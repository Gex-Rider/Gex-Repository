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90" yWindow="195" windowWidth="19725" windowHeight="1402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F82" i="1" l="1"/>
  <c r="F42" i="1"/>
  <c r="F1" i="1"/>
  <c r="C82" i="1" l="1"/>
  <c r="D83" i="1" l="1"/>
  <c r="BE82" i="1" l="1"/>
  <c r="BF82" i="1" s="1"/>
  <c r="K3" i="2" l="1"/>
  <c r="A45" i="1" l="1"/>
  <c r="A4" i="1"/>
  <c r="A1" i="2" l="1"/>
  <c r="T136" i="2" l="1"/>
  <c r="X84" i="2"/>
  <c r="X136" i="2" s="1"/>
  <c r="V84" i="2"/>
  <c r="V136" i="2" s="1"/>
  <c r="T84" i="2"/>
  <c r="R84" i="2"/>
  <c r="R136" i="2" s="1"/>
  <c r="P84" i="2"/>
  <c r="P136" i="2" s="1"/>
  <c r="N84" i="2"/>
  <c r="N136" i="2" s="1"/>
  <c r="L84" i="2"/>
  <c r="L136" i="2" s="1"/>
  <c r="K84" i="2"/>
  <c r="K136" i="2" s="1"/>
  <c r="B44" i="2"/>
  <c r="C44" i="2" s="1"/>
  <c r="C84" i="2" s="1"/>
  <c r="C136" i="2" s="1"/>
  <c r="M44" i="2"/>
  <c r="O44" i="2" s="1"/>
  <c r="O84" i="2" s="1"/>
  <c r="O136" i="2" s="1"/>
  <c r="M3" i="2"/>
  <c r="O3" i="2" s="1"/>
  <c r="Q3" i="2" s="1"/>
  <c r="B84" i="2" l="1"/>
  <c r="B136" i="2" s="1"/>
  <c r="M84" i="2"/>
  <c r="M136" i="2" s="1"/>
  <c r="D44" i="2"/>
  <c r="Q44" i="2"/>
  <c r="Q84" i="2" s="1"/>
  <c r="Q136" i="2" s="1"/>
  <c r="S3" i="2"/>
  <c r="E44" i="2" l="1"/>
  <c r="E84" i="2" s="1"/>
  <c r="E136" i="2" s="1"/>
  <c r="D84" i="2"/>
  <c r="D136" i="2" s="1"/>
  <c r="S44" i="2"/>
  <c r="S84" i="2" s="1"/>
  <c r="S136" i="2" s="1"/>
  <c r="U3" i="2"/>
  <c r="W3" i="2" s="1"/>
  <c r="F44" i="2" l="1"/>
  <c r="F84" i="2" s="1"/>
  <c r="F136" i="2" s="1"/>
  <c r="U44" i="2"/>
  <c r="U84" i="2" s="1"/>
  <c r="U136" i="2" s="1"/>
  <c r="G44" i="2" l="1"/>
  <c r="G84" i="2" s="1"/>
  <c r="G136" i="2" s="1"/>
  <c r="W44" i="2"/>
  <c r="W84" i="2" s="1"/>
  <c r="W136" i="2" s="1"/>
  <c r="H44" i="2" l="1"/>
  <c r="H84" i="2" s="1"/>
  <c r="H136" i="2" s="1"/>
  <c r="I44" i="2" l="1"/>
  <c r="I84" i="2" s="1"/>
  <c r="I136" i="2" s="1"/>
  <c r="J44" i="2" l="1"/>
  <c r="J84" i="2" s="1"/>
  <c r="J136" i="2" s="1"/>
  <c r="C3" i="2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83" i="1" s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139" i="2"/>
  <c r="B46" i="2"/>
  <c r="B140" i="2"/>
  <c r="B48" i="2"/>
  <c r="B49" i="2"/>
  <c r="B138" i="2"/>
  <c r="B86" i="2"/>
  <c r="B5" i="2"/>
  <c r="B141" i="2"/>
  <c r="B47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46" i="2"/>
  <c r="C5" i="2"/>
  <c r="C48" i="2"/>
  <c r="B50" i="2"/>
  <c r="C142" i="2"/>
  <c r="C49" i="2"/>
  <c r="B142" i="2"/>
  <c r="C50" i="2"/>
  <c r="C86" i="2"/>
  <c r="C138" i="2"/>
  <c r="C140" i="2"/>
  <c r="C141" i="2"/>
  <c r="C47" i="2"/>
  <c r="C139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B51" i="2"/>
  <c r="D140" i="2"/>
  <c r="D86" i="2"/>
  <c r="D50" i="2"/>
  <c r="D138" i="2"/>
  <c r="D47" i="2"/>
  <c r="D141" i="2"/>
  <c r="D143" i="2"/>
  <c r="D139" i="2"/>
  <c r="D51" i="2"/>
  <c r="D46" i="2"/>
  <c r="B143" i="2"/>
  <c r="D142" i="2"/>
  <c r="D49" i="2"/>
  <c r="C143" i="2"/>
  <c r="C51" i="2"/>
  <c r="D5" i="2"/>
  <c r="D48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5" i="2"/>
  <c r="E143" i="2"/>
  <c r="C144" i="2"/>
  <c r="E50" i="2"/>
  <c r="E144" i="2"/>
  <c r="C52" i="2"/>
  <c r="E49" i="2"/>
  <c r="E138" i="2"/>
  <c r="D52" i="2"/>
  <c r="E46" i="2"/>
  <c r="E140" i="2"/>
  <c r="E48" i="2"/>
  <c r="E139" i="2"/>
  <c r="E141" i="2"/>
  <c r="E142" i="2"/>
  <c r="E47" i="2"/>
  <c r="E52" i="2"/>
  <c r="D144" i="2"/>
  <c r="E86" i="2"/>
  <c r="B144" i="2"/>
  <c r="B52" i="2"/>
  <c r="E51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144" i="2"/>
  <c r="C145" i="2"/>
  <c r="F52" i="2"/>
  <c r="F145" i="2"/>
  <c r="F51" i="2"/>
  <c r="F53" i="2"/>
  <c r="B145" i="2"/>
  <c r="E53" i="2"/>
  <c r="F47" i="2"/>
  <c r="F138" i="2"/>
  <c r="D145" i="2"/>
  <c r="F86" i="2"/>
  <c r="F142" i="2"/>
  <c r="F140" i="2"/>
  <c r="F141" i="2"/>
  <c r="F139" i="2"/>
  <c r="B53" i="2"/>
  <c r="F48" i="2"/>
  <c r="F46" i="2"/>
  <c r="D53" i="2"/>
  <c r="F49" i="2"/>
  <c r="E145" i="2"/>
  <c r="F50" i="2"/>
  <c r="F5" i="2"/>
  <c r="C53" i="2"/>
  <c r="F143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82" i="1"/>
  <c r="E134" i="1"/>
  <c r="G86" i="2"/>
  <c r="G141" i="2"/>
  <c r="G144" i="2"/>
  <c r="D146" i="2"/>
  <c r="B54" i="2"/>
  <c r="G143" i="2"/>
  <c r="G47" i="2"/>
  <c r="G138" i="2"/>
  <c r="G5" i="2"/>
  <c r="B146" i="2"/>
  <c r="G142" i="2"/>
  <c r="G49" i="2"/>
  <c r="F146" i="2"/>
  <c r="G54" i="2"/>
  <c r="E54" i="2"/>
  <c r="G139" i="2"/>
  <c r="G145" i="2"/>
  <c r="E146" i="2"/>
  <c r="G140" i="2"/>
  <c r="G51" i="2"/>
  <c r="G50" i="2"/>
  <c r="G46" i="2"/>
  <c r="C146" i="2"/>
  <c r="G48" i="2"/>
  <c r="C54" i="2"/>
  <c r="F54" i="2"/>
  <c r="G53" i="2"/>
  <c r="G146" i="2"/>
  <c r="G52" i="2"/>
  <c r="D54" i="2"/>
  <c r="G42" i="2" l="1"/>
  <c r="G82" i="2" s="1"/>
  <c r="G134" i="2" s="1"/>
  <c r="V43" i="2"/>
  <c r="W43" i="2"/>
  <c r="A146" i="1"/>
  <c r="A147" i="2" s="1"/>
  <c r="AZ145" i="1"/>
  <c r="A54" i="1"/>
  <c r="A55" i="2" s="1"/>
  <c r="AZ53" i="1"/>
  <c r="EI83" i="1"/>
  <c r="B147" i="2"/>
  <c r="H138" i="2"/>
  <c r="H139" i="2"/>
  <c r="H52" i="2"/>
  <c r="C147" i="2"/>
  <c r="E147" i="2"/>
  <c r="H144" i="2"/>
  <c r="E55" i="2"/>
  <c r="H46" i="2"/>
  <c r="H86" i="2"/>
  <c r="G147" i="2"/>
  <c r="C55" i="2"/>
  <c r="H55" i="2"/>
  <c r="H51" i="2"/>
  <c r="H5" i="2"/>
  <c r="H54" i="2"/>
  <c r="H143" i="2"/>
  <c r="F147" i="2"/>
  <c r="B55" i="2"/>
  <c r="H53" i="2"/>
  <c r="D55" i="2"/>
  <c r="H146" i="2"/>
  <c r="H140" i="2"/>
  <c r="F55" i="2"/>
  <c r="H147" i="2"/>
  <c r="H47" i="2"/>
  <c r="H49" i="2"/>
  <c r="H141" i="2"/>
  <c r="D147" i="2"/>
  <c r="G55" i="2"/>
  <c r="H48" i="2"/>
  <c r="H50" i="2"/>
  <c r="H142" i="2"/>
  <c r="H145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53" i="2"/>
  <c r="H56" i="2"/>
  <c r="H148" i="2"/>
  <c r="E56" i="2"/>
  <c r="B56" i="2"/>
  <c r="E148" i="2"/>
  <c r="I52" i="2"/>
  <c r="I55" i="2"/>
  <c r="I51" i="2"/>
  <c r="D56" i="2"/>
  <c r="I143" i="2"/>
  <c r="I139" i="2"/>
  <c r="I46" i="2"/>
  <c r="I145" i="2"/>
  <c r="I49" i="2"/>
  <c r="I54" i="2"/>
  <c r="I141" i="2"/>
  <c r="G56" i="2"/>
  <c r="I140" i="2"/>
  <c r="I144" i="2"/>
  <c r="F56" i="2"/>
  <c r="I56" i="2"/>
  <c r="I142" i="2"/>
  <c r="C148" i="2"/>
  <c r="I147" i="2"/>
  <c r="I86" i="2"/>
  <c r="B148" i="2"/>
  <c r="I48" i="2"/>
  <c r="I47" i="2"/>
  <c r="D148" i="2"/>
  <c r="I50" i="2"/>
  <c r="C56" i="2"/>
  <c r="G148" i="2"/>
  <c r="F148" i="2"/>
  <c r="I5" i="2"/>
  <c r="I138" i="2"/>
  <c r="I148" i="2"/>
  <c r="I146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D57" i="2"/>
  <c r="J146" i="2"/>
  <c r="J52" i="2"/>
  <c r="J53" i="2"/>
  <c r="B57" i="2"/>
  <c r="C149" i="2"/>
  <c r="J55" i="2"/>
  <c r="J149" i="2"/>
  <c r="J51" i="2"/>
  <c r="H57" i="2"/>
  <c r="E149" i="2"/>
  <c r="F57" i="2"/>
  <c r="J139" i="2"/>
  <c r="D149" i="2"/>
  <c r="G149" i="2"/>
  <c r="H149" i="2"/>
  <c r="I149" i="2"/>
  <c r="J144" i="2"/>
  <c r="J50" i="2"/>
  <c r="J148" i="2"/>
  <c r="I57" i="2"/>
  <c r="B149" i="2"/>
  <c r="J86" i="2"/>
  <c r="J141" i="2"/>
  <c r="J48" i="2"/>
  <c r="J5" i="2"/>
  <c r="J138" i="2"/>
  <c r="J56" i="2"/>
  <c r="J147" i="2"/>
  <c r="J47" i="2"/>
  <c r="F149" i="2"/>
  <c r="J143" i="2"/>
  <c r="C57" i="2"/>
  <c r="J46" i="2"/>
  <c r="J49" i="2"/>
  <c r="J140" i="2"/>
  <c r="G57" i="2"/>
  <c r="J145" i="2"/>
  <c r="E57" i="2"/>
  <c r="J142" i="2"/>
  <c r="J54" i="2"/>
  <c r="J57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146" i="2"/>
  <c r="K53" i="2"/>
  <c r="F58" i="2"/>
  <c r="K148" i="2"/>
  <c r="K143" i="2"/>
  <c r="K147" i="2"/>
  <c r="B150" i="2"/>
  <c r="D150" i="2"/>
  <c r="H150" i="2"/>
  <c r="K47" i="2"/>
  <c r="K48" i="2"/>
  <c r="K54" i="2"/>
  <c r="H58" i="2"/>
  <c r="K86" i="2"/>
  <c r="K49" i="2"/>
  <c r="K144" i="2"/>
  <c r="G58" i="2"/>
  <c r="K149" i="2"/>
  <c r="K58" i="2"/>
  <c r="K141" i="2"/>
  <c r="K51" i="2"/>
  <c r="G150" i="2"/>
  <c r="K145" i="2"/>
  <c r="E150" i="2"/>
  <c r="K55" i="2"/>
  <c r="C58" i="2"/>
  <c r="B58" i="2"/>
  <c r="C150" i="2"/>
  <c r="I150" i="2"/>
  <c r="I58" i="2"/>
  <c r="F150" i="2"/>
  <c r="K139" i="2"/>
  <c r="J150" i="2"/>
  <c r="K50" i="2"/>
  <c r="K150" i="2"/>
  <c r="K5" i="2"/>
  <c r="K56" i="2"/>
  <c r="K138" i="2"/>
  <c r="J58" i="2"/>
  <c r="K57" i="2"/>
  <c r="D58" i="2"/>
  <c r="K140" i="2"/>
  <c r="K46" i="2"/>
  <c r="K142" i="2"/>
  <c r="K52" i="2"/>
  <c r="E58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K59" i="2"/>
  <c r="L59" i="2"/>
  <c r="L49" i="2"/>
  <c r="B151" i="2"/>
  <c r="L149" i="2"/>
  <c r="F151" i="2"/>
  <c r="L50" i="2"/>
  <c r="L53" i="2"/>
  <c r="I59" i="2"/>
  <c r="L56" i="2"/>
  <c r="L146" i="2"/>
  <c r="E59" i="2"/>
  <c r="D59" i="2"/>
  <c r="J151" i="2"/>
  <c r="D151" i="2"/>
  <c r="L86" i="2"/>
  <c r="I151" i="2"/>
  <c r="L150" i="2"/>
  <c r="L58" i="2"/>
  <c r="G151" i="2"/>
  <c r="L151" i="2"/>
  <c r="L142" i="2"/>
  <c r="G59" i="2"/>
  <c r="L140" i="2"/>
  <c r="L52" i="2"/>
  <c r="C151" i="2"/>
  <c r="L145" i="2"/>
  <c r="L147" i="2"/>
  <c r="L46" i="2"/>
  <c r="H151" i="2"/>
  <c r="K151" i="2"/>
  <c r="L139" i="2"/>
  <c r="L47" i="2"/>
  <c r="L148" i="2"/>
  <c r="L54" i="2"/>
  <c r="B59" i="2"/>
  <c r="L48" i="2"/>
  <c r="L138" i="2"/>
  <c r="E151" i="2"/>
  <c r="L5" i="2"/>
  <c r="J59" i="2"/>
  <c r="L144" i="2"/>
  <c r="L57" i="2"/>
  <c r="L51" i="2"/>
  <c r="F59" i="2"/>
  <c r="L143" i="2"/>
  <c r="L141" i="2"/>
  <c r="H59" i="2"/>
  <c r="L55" i="2"/>
  <c r="C59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150" i="2"/>
  <c r="M57" i="2"/>
  <c r="E60" i="2"/>
  <c r="L152" i="2"/>
  <c r="J60" i="2"/>
  <c r="M52" i="2"/>
  <c r="B60" i="2"/>
  <c r="M138" i="2"/>
  <c r="H60" i="2"/>
  <c r="M59" i="2"/>
  <c r="G152" i="2"/>
  <c r="M148" i="2"/>
  <c r="F60" i="2"/>
  <c r="L60" i="2"/>
  <c r="M50" i="2"/>
  <c r="M49" i="2"/>
  <c r="M141" i="2"/>
  <c r="D60" i="2"/>
  <c r="M55" i="2"/>
  <c r="M144" i="2"/>
  <c r="I60" i="2"/>
  <c r="M56" i="2"/>
  <c r="I152" i="2"/>
  <c r="M54" i="2"/>
  <c r="M53" i="2"/>
  <c r="M48" i="2"/>
  <c r="M143" i="2"/>
  <c r="C60" i="2"/>
  <c r="M151" i="2"/>
  <c r="E152" i="2"/>
  <c r="M145" i="2"/>
  <c r="M140" i="2"/>
  <c r="G60" i="2"/>
  <c r="M142" i="2"/>
  <c r="M58" i="2"/>
  <c r="M5" i="2"/>
  <c r="M147" i="2"/>
  <c r="D152" i="2"/>
  <c r="K152" i="2"/>
  <c r="M86" i="2"/>
  <c r="J152" i="2"/>
  <c r="C152" i="2"/>
  <c r="H152" i="2"/>
  <c r="M46" i="2"/>
  <c r="M149" i="2"/>
  <c r="M139" i="2"/>
  <c r="M47" i="2"/>
  <c r="M60" i="2"/>
  <c r="B152" i="2"/>
  <c r="M146" i="2"/>
  <c r="M152" i="2"/>
  <c r="F152" i="2"/>
  <c r="M51" i="2"/>
  <c r="K60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58" i="2"/>
  <c r="N50" i="2"/>
  <c r="N153" i="2"/>
  <c r="N144" i="2"/>
  <c r="N56" i="2"/>
  <c r="N55" i="2"/>
  <c r="N152" i="2"/>
  <c r="B61" i="2"/>
  <c r="N140" i="2"/>
  <c r="N57" i="2"/>
  <c r="E61" i="2"/>
  <c r="D61" i="2"/>
  <c r="M61" i="2"/>
  <c r="N149" i="2"/>
  <c r="N147" i="2"/>
  <c r="J153" i="2"/>
  <c r="N47" i="2"/>
  <c r="N46" i="2"/>
  <c r="N51" i="2"/>
  <c r="J61" i="2"/>
  <c r="I61" i="2"/>
  <c r="N146" i="2"/>
  <c r="N148" i="2"/>
  <c r="N143" i="2"/>
  <c r="F153" i="2"/>
  <c r="N145" i="2"/>
  <c r="N5" i="2"/>
  <c r="N49" i="2"/>
  <c r="L153" i="2"/>
  <c r="N139" i="2"/>
  <c r="N142" i="2"/>
  <c r="N61" i="2"/>
  <c r="N48" i="2"/>
  <c r="E153" i="2"/>
  <c r="D153" i="2"/>
  <c r="G61" i="2"/>
  <c r="N60" i="2"/>
  <c r="N150" i="2"/>
  <c r="C153" i="2"/>
  <c r="N59" i="2"/>
  <c r="L61" i="2"/>
  <c r="I153" i="2"/>
  <c r="N141" i="2"/>
  <c r="F61" i="2"/>
  <c r="C61" i="2"/>
  <c r="K61" i="2"/>
  <c r="N54" i="2"/>
  <c r="N86" i="2"/>
  <c r="H153" i="2"/>
  <c r="N53" i="2"/>
  <c r="K153" i="2"/>
  <c r="B153" i="2"/>
  <c r="H61" i="2"/>
  <c r="M153" i="2"/>
  <c r="N151" i="2"/>
  <c r="N52" i="2"/>
  <c r="N138" i="2"/>
  <c r="G153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D53" i="1"/>
  <c r="DD51" i="1"/>
  <c r="DB45" i="1"/>
  <c r="DD54" i="1"/>
  <c r="DF57" i="1"/>
  <c r="DB55" i="1"/>
  <c r="DD57" i="1"/>
  <c r="DB56" i="1"/>
  <c r="DD49" i="1"/>
  <c r="DF58" i="1"/>
  <c r="DF48" i="1"/>
  <c r="DB47" i="1"/>
  <c r="DF45" i="1"/>
  <c r="DB60" i="1"/>
  <c r="DF56" i="1"/>
  <c r="DD55" i="1"/>
  <c r="DF49" i="1"/>
  <c r="DF47" i="1"/>
  <c r="DD59" i="1"/>
  <c r="DD47" i="1"/>
  <c r="DF61" i="1"/>
  <c r="DB54" i="1"/>
  <c r="DF55" i="1"/>
  <c r="DF50" i="1"/>
  <c r="DD45" i="1"/>
  <c r="DB50" i="1"/>
  <c r="DD52" i="1"/>
  <c r="DB49" i="1"/>
  <c r="DB61" i="1"/>
  <c r="DB4" i="1"/>
  <c r="DD58" i="1"/>
  <c r="DD56" i="1"/>
  <c r="DB48" i="1"/>
  <c r="DF59" i="1"/>
  <c r="DD50" i="1"/>
  <c r="DB57" i="1"/>
  <c r="DD48" i="1"/>
  <c r="DB58" i="1"/>
  <c r="DB51" i="1"/>
  <c r="DD60" i="1"/>
  <c r="DD46" i="1"/>
  <c r="DD61" i="1"/>
  <c r="DB46" i="1"/>
  <c r="DF53" i="1"/>
  <c r="DB53" i="1"/>
  <c r="DF52" i="1"/>
  <c r="DF60" i="1"/>
  <c r="DB59" i="1"/>
  <c r="DB52" i="1"/>
  <c r="DF54" i="1"/>
  <c r="DF51" i="1"/>
  <c r="DF46" i="1"/>
  <c r="F154" i="2"/>
  <c r="L62" i="2"/>
  <c r="B154" i="2"/>
  <c r="F62" i="2"/>
  <c r="O47" i="2"/>
  <c r="B62" i="2"/>
  <c r="O58" i="2"/>
  <c r="I62" i="2"/>
  <c r="O148" i="2"/>
  <c r="O152" i="2"/>
  <c r="O150" i="2"/>
  <c r="O144" i="2"/>
  <c r="H62" i="2"/>
  <c r="O59" i="2"/>
  <c r="N154" i="2"/>
  <c r="O147" i="2"/>
  <c r="N62" i="2"/>
  <c r="O50" i="2"/>
  <c r="E62" i="2"/>
  <c r="O54" i="2"/>
  <c r="O52" i="2"/>
  <c r="M154" i="2"/>
  <c r="O154" i="2"/>
  <c r="O5" i="2"/>
  <c r="O138" i="2"/>
  <c r="E154" i="2"/>
  <c r="I154" i="2"/>
  <c r="M62" i="2"/>
  <c r="D154" i="2"/>
  <c r="O49" i="2"/>
  <c r="G62" i="2"/>
  <c r="H154" i="2"/>
  <c r="O48" i="2"/>
  <c r="O61" i="2"/>
  <c r="O56" i="2"/>
  <c r="O149" i="2"/>
  <c r="O140" i="2"/>
  <c r="O51" i="2"/>
  <c r="O62" i="2"/>
  <c r="O55" i="2"/>
  <c r="O60" i="2"/>
  <c r="O142" i="2"/>
  <c r="O153" i="2"/>
  <c r="J154" i="2"/>
  <c r="G154" i="2"/>
  <c r="O143" i="2"/>
  <c r="L154" i="2"/>
  <c r="C62" i="2"/>
  <c r="O57" i="2"/>
  <c r="O145" i="2"/>
  <c r="K154" i="2"/>
  <c r="O53" i="2"/>
  <c r="J62" i="2"/>
  <c r="O151" i="2"/>
  <c r="O86" i="2"/>
  <c r="O139" i="2"/>
  <c r="D62" i="2"/>
  <c r="O146" i="2"/>
  <c r="C154" i="2"/>
  <c r="O141" i="2"/>
  <c r="K62" i="2"/>
  <c r="O46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D62" i="1"/>
  <c r="DD4" i="1"/>
  <c r="DF4" i="1"/>
  <c r="DF62" i="1"/>
  <c r="DB62" i="1"/>
  <c r="L63" i="2"/>
  <c r="P149" i="2"/>
  <c r="B155" i="2"/>
  <c r="P52" i="2"/>
  <c r="C155" i="2"/>
  <c r="P153" i="2"/>
  <c r="P142" i="2"/>
  <c r="M63" i="2"/>
  <c r="P53" i="2"/>
  <c r="O155" i="2"/>
  <c r="H63" i="2"/>
  <c r="P56" i="2"/>
  <c r="L155" i="2"/>
  <c r="P55" i="2"/>
  <c r="D155" i="2"/>
  <c r="P152" i="2"/>
  <c r="P144" i="2"/>
  <c r="D63" i="2"/>
  <c r="P60" i="2"/>
  <c r="E155" i="2"/>
  <c r="P151" i="2"/>
  <c r="P5" i="2"/>
  <c r="I63" i="2"/>
  <c r="P49" i="2"/>
  <c r="H155" i="2"/>
  <c r="P143" i="2"/>
  <c r="K155" i="2"/>
  <c r="P154" i="2"/>
  <c r="P139" i="2"/>
  <c r="P150" i="2"/>
  <c r="P50" i="2"/>
  <c r="B63" i="2"/>
  <c r="G155" i="2"/>
  <c r="P59" i="2"/>
  <c r="E63" i="2"/>
  <c r="P138" i="2"/>
  <c r="P148" i="2"/>
  <c r="P54" i="2"/>
  <c r="G63" i="2"/>
  <c r="F63" i="2"/>
  <c r="P86" i="2"/>
  <c r="P57" i="2"/>
  <c r="P140" i="2"/>
  <c r="P147" i="2"/>
  <c r="P61" i="2"/>
  <c r="C63" i="2"/>
  <c r="P47" i="2"/>
  <c r="P62" i="2"/>
  <c r="P63" i="2"/>
  <c r="P155" i="2"/>
  <c r="P46" i="2"/>
  <c r="N63" i="2"/>
  <c r="P146" i="2"/>
  <c r="J63" i="2"/>
  <c r="P58" i="2"/>
  <c r="J155" i="2"/>
  <c r="P141" i="2"/>
  <c r="P48" i="2"/>
  <c r="F155" i="2"/>
  <c r="N155" i="2"/>
  <c r="K63" i="2"/>
  <c r="P145" i="2"/>
  <c r="I155" i="2"/>
  <c r="O63" i="2"/>
  <c r="P51" i="2"/>
  <c r="M155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BJ43" i="1"/>
  <c r="BJ83" i="1" s="1"/>
  <c r="BA1" i="1"/>
  <c r="BA82" i="1" s="1"/>
  <c r="BB82" i="1" s="1"/>
  <c r="AW1" i="1"/>
  <c r="AU1" i="1"/>
  <c r="I1" i="1"/>
  <c r="G44" i="1"/>
  <c r="F44" i="1"/>
  <c r="G84" i="1"/>
  <c r="F3" i="1"/>
  <c r="DB63" i="1"/>
  <c r="G136" i="1"/>
  <c r="DD63" i="1"/>
  <c r="A44" i="1"/>
  <c r="A3" i="1"/>
  <c r="DF63" i="1"/>
  <c r="F136" i="1"/>
  <c r="F84" i="1"/>
  <c r="H156" i="2"/>
  <c r="J64" i="2"/>
  <c r="K156" i="2"/>
  <c r="Q64" i="2"/>
  <c r="O156" i="2"/>
  <c r="E156" i="2"/>
  <c r="Q58" i="2"/>
  <c r="Q155" i="2"/>
  <c r="N64" i="2"/>
  <c r="P156" i="2"/>
  <c r="M64" i="2"/>
  <c r="C156" i="2"/>
  <c r="Q60" i="2"/>
  <c r="Q143" i="2"/>
  <c r="Q146" i="2"/>
  <c r="Q156" i="2"/>
  <c r="L156" i="2"/>
  <c r="B156" i="2"/>
  <c r="Q47" i="2"/>
  <c r="F156" i="2"/>
  <c r="Q63" i="2"/>
  <c r="Q148" i="2"/>
  <c r="I156" i="2"/>
  <c r="D64" i="2"/>
  <c r="Q56" i="2"/>
  <c r="H64" i="2"/>
  <c r="Q59" i="2"/>
  <c r="Q151" i="2"/>
  <c r="Q54" i="2"/>
  <c r="O64" i="2"/>
  <c r="Q48" i="2"/>
  <c r="Q150" i="2"/>
  <c r="Q139" i="2"/>
  <c r="L64" i="2"/>
  <c r="Q5" i="2"/>
  <c r="Q149" i="2"/>
  <c r="J156" i="2"/>
  <c r="Q142" i="2"/>
  <c r="Q52" i="2"/>
  <c r="Q145" i="2"/>
  <c r="N156" i="2"/>
  <c r="Q49" i="2"/>
  <c r="Q55" i="2"/>
  <c r="Q153" i="2"/>
  <c r="G64" i="2"/>
  <c r="E64" i="2"/>
  <c r="C64" i="2"/>
  <c r="Q50" i="2"/>
  <c r="M156" i="2"/>
  <c r="Q62" i="2"/>
  <c r="F64" i="2"/>
  <c r="Q86" i="2"/>
  <c r="Q140" i="2"/>
  <c r="Q154" i="2"/>
  <c r="Q152" i="2"/>
  <c r="Q57" i="2"/>
  <c r="I64" i="2"/>
  <c r="Q141" i="2"/>
  <c r="Q147" i="2"/>
  <c r="B64" i="2"/>
  <c r="K64" i="2"/>
  <c r="Q144" i="2"/>
  <c r="Q138" i="2"/>
  <c r="Q46" i="2"/>
  <c r="G156" i="2"/>
  <c r="Q61" i="2"/>
  <c r="P64" i="2"/>
  <c r="D156" i="2"/>
  <c r="Q51" i="2"/>
  <c r="Q53" i="2"/>
  <c r="D133" i="1" l="1"/>
  <c r="D81" i="1"/>
  <c r="A84" i="1" s="1"/>
  <c r="Q42" i="2"/>
  <c r="Q82" i="2" s="1"/>
  <c r="Q134" i="2" s="1"/>
  <c r="A4" i="2"/>
  <c r="A45" i="2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BC82" i="1" s="1"/>
  <c r="BD82" i="1" s="1"/>
  <c r="AV1" i="1"/>
  <c r="CH43" i="1"/>
  <c r="CI2" i="1"/>
  <c r="AY1" i="1"/>
  <c r="BF1" i="1" s="1"/>
  <c r="AW82" i="1"/>
  <c r="BK2" i="1"/>
  <c r="CI54" i="1"/>
  <c r="AX54" i="1"/>
  <c r="EQ54" i="1"/>
  <c r="CF54" i="1"/>
  <c r="BF54" i="1"/>
  <c r="BC54" i="1"/>
  <c r="EN54" i="1"/>
  <c r="AU54" i="1"/>
  <c r="CE54" i="1"/>
  <c r="BE137" i="1"/>
  <c r="AT54" i="1"/>
  <c r="DB64" i="1"/>
  <c r="DA54" i="1"/>
  <c r="DC54" i="1"/>
  <c r="AV54" i="1"/>
  <c r="AS54" i="1"/>
  <c r="BA54" i="1"/>
  <c r="BD54" i="1"/>
  <c r="DD64" i="1"/>
  <c r="BB54" i="1"/>
  <c r="BE54" i="1"/>
  <c r="CG54" i="1"/>
  <c r="DE54" i="1"/>
  <c r="CD54" i="1"/>
  <c r="EO54" i="1"/>
  <c r="DF64" i="1"/>
  <c r="CH54" i="1"/>
  <c r="AW54" i="1"/>
  <c r="EP54" i="1"/>
  <c r="F157" i="2"/>
  <c r="O157" i="2"/>
  <c r="R140" i="2"/>
  <c r="G65" i="2"/>
  <c r="H157" i="2"/>
  <c r="G157" i="2"/>
  <c r="B65" i="2"/>
  <c r="D157" i="2"/>
  <c r="C65" i="2"/>
  <c r="R49" i="2"/>
  <c r="O65" i="2"/>
  <c r="R156" i="2"/>
  <c r="M157" i="2"/>
  <c r="L65" i="2"/>
  <c r="R62" i="2"/>
  <c r="K157" i="2"/>
  <c r="R48" i="2"/>
  <c r="R86" i="2"/>
  <c r="R154" i="2"/>
  <c r="F65" i="2"/>
  <c r="M65" i="2"/>
  <c r="R144" i="2"/>
  <c r="P157" i="2"/>
  <c r="E157" i="2"/>
  <c r="R139" i="2"/>
  <c r="N65" i="2"/>
  <c r="R65" i="2"/>
  <c r="J157" i="2"/>
  <c r="R59" i="2"/>
  <c r="R151" i="2"/>
  <c r="R58" i="2"/>
  <c r="C157" i="2"/>
  <c r="R155" i="2"/>
  <c r="E65" i="2"/>
  <c r="R55" i="2"/>
  <c r="L157" i="2"/>
  <c r="R145" i="2"/>
  <c r="R142" i="2"/>
  <c r="R61" i="2"/>
  <c r="R50" i="2"/>
  <c r="R63" i="2"/>
  <c r="R146" i="2"/>
  <c r="R51" i="2"/>
  <c r="I65" i="2"/>
  <c r="R150" i="2"/>
  <c r="R56" i="2"/>
  <c r="R153" i="2"/>
  <c r="Q65" i="2"/>
  <c r="R157" i="2"/>
  <c r="Q157" i="2"/>
  <c r="R52" i="2"/>
  <c r="R60" i="2"/>
  <c r="R138" i="2"/>
  <c r="D65" i="2"/>
  <c r="I157" i="2"/>
  <c r="R47" i="2"/>
  <c r="P65" i="2"/>
  <c r="R152" i="2"/>
  <c r="R64" i="2"/>
  <c r="R141" i="2"/>
  <c r="B157" i="2"/>
  <c r="R5" i="2"/>
  <c r="R148" i="2"/>
  <c r="R147" i="2"/>
  <c r="R149" i="2"/>
  <c r="H65" i="2"/>
  <c r="R53" i="2"/>
  <c r="N157" i="2"/>
  <c r="R54" i="2"/>
  <c r="R57" i="2"/>
  <c r="J65" i="2"/>
  <c r="R46" i="2"/>
  <c r="K65" i="2"/>
  <c r="R143" i="2"/>
  <c r="CO54" i="1" l="1"/>
  <c r="CM54" i="1"/>
  <c r="CK54" i="1"/>
  <c r="DH54" i="1"/>
  <c r="DJ54" i="1"/>
  <c r="DI54" i="1"/>
  <c r="DK54" i="1"/>
  <c r="A136" i="1"/>
  <c r="A85" i="2"/>
  <c r="DG64" i="1"/>
  <c r="R42" i="2"/>
  <c r="R82" i="2" s="1"/>
  <c r="R134" i="2" s="1"/>
  <c r="AZ85" i="1"/>
  <c r="A86" i="1"/>
  <c r="A87" i="2" s="1"/>
  <c r="DG85" i="1"/>
  <c r="A157" i="1"/>
  <c r="A158" i="2" s="1"/>
  <c r="AZ156" i="1"/>
  <c r="A65" i="1"/>
  <c r="AZ64" i="1"/>
  <c r="EY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Q54" i="1"/>
  <c r="C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BC65" i="1"/>
  <c r="CI55" i="1"/>
  <c r="CF65" i="1"/>
  <c r="AU65" i="1"/>
  <c r="AU55" i="1"/>
  <c r="EN55" i="1"/>
  <c r="EQ65" i="1"/>
  <c r="AX65" i="1"/>
  <c r="BF65" i="1"/>
  <c r="EQ55" i="1"/>
  <c r="AX55" i="1"/>
  <c r="BC55" i="1"/>
  <c r="BF55" i="1"/>
  <c r="CI65" i="1"/>
  <c r="EN65" i="1"/>
  <c r="CF55" i="1"/>
  <c r="DD65" i="1"/>
  <c r="CE55" i="1"/>
  <c r="DB65" i="1"/>
  <c r="AW137" i="1"/>
  <c r="BB65" i="1"/>
  <c r="CG65" i="1"/>
  <c r="CE65" i="1"/>
  <c r="BA55" i="1"/>
  <c r="AS65" i="1"/>
  <c r="BD55" i="1"/>
  <c r="DC55" i="1"/>
  <c r="AS55" i="1"/>
  <c r="BE55" i="1"/>
  <c r="CH55" i="1"/>
  <c r="AX137" i="1"/>
  <c r="CH65" i="1"/>
  <c r="AT65" i="1"/>
  <c r="CG55" i="1"/>
  <c r="AV55" i="1"/>
  <c r="BB55" i="1"/>
  <c r="DC65" i="1"/>
  <c r="BA65" i="1"/>
  <c r="BD65" i="1"/>
  <c r="AW65" i="1"/>
  <c r="EO65" i="1"/>
  <c r="EP65" i="1"/>
  <c r="DA65" i="1"/>
  <c r="BE65" i="1"/>
  <c r="EP55" i="1"/>
  <c r="DA55" i="1"/>
  <c r="AV65" i="1"/>
  <c r="CD55" i="1"/>
  <c r="CD65" i="1"/>
  <c r="EO55" i="1"/>
  <c r="DF65" i="1"/>
  <c r="DE55" i="1"/>
  <c r="AW55" i="1"/>
  <c r="AT55" i="1"/>
  <c r="DE65" i="1"/>
  <c r="S151" i="2"/>
  <c r="N158" i="2"/>
  <c r="H87" i="2"/>
  <c r="O158" i="2"/>
  <c r="S158" i="2"/>
  <c r="J87" i="2"/>
  <c r="S57" i="2"/>
  <c r="K158" i="2"/>
  <c r="D87" i="2"/>
  <c r="F158" i="2"/>
  <c r="S61" i="2"/>
  <c r="S144" i="2"/>
  <c r="L158" i="2"/>
  <c r="S46" i="2"/>
  <c r="O87" i="2"/>
  <c r="S50" i="2"/>
  <c r="S157" i="2"/>
  <c r="N87" i="2"/>
  <c r="L87" i="2"/>
  <c r="S141" i="2"/>
  <c r="B87" i="2"/>
  <c r="R87" i="2"/>
  <c r="S48" i="2"/>
  <c r="S156" i="2"/>
  <c r="S54" i="2"/>
  <c r="S56" i="2"/>
  <c r="Q87" i="2"/>
  <c r="S51" i="2"/>
  <c r="G158" i="2"/>
  <c r="C158" i="2"/>
  <c r="S149" i="2"/>
  <c r="S86" i="2"/>
  <c r="S52" i="2"/>
  <c r="S146" i="2"/>
  <c r="E158" i="2"/>
  <c r="J158" i="2"/>
  <c r="S65" i="2"/>
  <c r="M87" i="2"/>
  <c r="S62" i="2"/>
  <c r="I87" i="2"/>
  <c r="S154" i="2"/>
  <c r="S47" i="2"/>
  <c r="P87" i="2"/>
  <c r="B158" i="2"/>
  <c r="S152" i="2"/>
  <c r="Q158" i="2"/>
  <c r="S147" i="2"/>
  <c r="C87" i="2"/>
  <c r="S143" i="2"/>
  <c r="S64" i="2"/>
  <c r="S145" i="2"/>
  <c r="D158" i="2"/>
  <c r="S58" i="2"/>
  <c r="S60" i="2"/>
  <c r="H158" i="2"/>
  <c r="E87" i="2"/>
  <c r="S148" i="2"/>
  <c r="S63" i="2"/>
  <c r="S53" i="2"/>
  <c r="S140" i="2"/>
  <c r="S55" i="2"/>
  <c r="S59" i="2"/>
  <c r="S150" i="2"/>
  <c r="M158" i="2"/>
  <c r="F87" i="2"/>
  <c r="S49" i="2"/>
  <c r="S139" i="2"/>
  <c r="S153" i="2"/>
  <c r="P158" i="2"/>
  <c r="S87" i="2"/>
  <c r="K87" i="2"/>
  <c r="S5" i="2"/>
  <c r="S142" i="2"/>
  <c r="G87" i="2"/>
  <c r="S138" i="2"/>
  <c r="I158" i="2"/>
  <c r="S155" i="2"/>
  <c r="R158" i="2"/>
  <c r="DG146" i="1" l="1"/>
  <c r="CO65" i="1"/>
  <c r="CO55" i="1"/>
  <c r="CM65" i="1"/>
  <c r="CM55" i="1"/>
  <c r="CK65" i="1"/>
  <c r="CK55" i="1"/>
  <c r="DH55" i="1"/>
  <c r="DJ55" i="1"/>
  <c r="DJ65" i="1"/>
  <c r="DH65" i="1"/>
  <c r="DK65" i="1"/>
  <c r="DI65" i="1"/>
  <c r="DI55" i="1"/>
  <c r="DK55" i="1"/>
  <c r="DM54" i="1"/>
  <c r="DL54" i="1"/>
  <c r="DG153" i="1"/>
  <c r="DG155" i="1"/>
  <c r="DG150" i="1"/>
  <c r="DG152" i="1"/>
  <c r="DG137" i="1"/>
  <c r="FA4" i="1"/>
  <c r="DG140" i="1"/>
  <c r="DG156" i="1"/>
  <c r="DG141" i="1"/>
  <c r="DG138" i="1"/>
  <c r="DG154" i="1"/>
  <c r="A137" i="2"/>
  <c r="DG139" i="1"/>
  <c r="DG144" i="1"/>
  <c r="DG143" i="1"/>
  <c r="DG145" i="1"/>
  <c r="DG142" i="1"/>
  <c r="DG147" i="1"/>
  <c r="DG148" i="1"/>
  <c r="DG151" i="1"/>
  <c r="DG149" i="1"/>
  <c r="DG157" i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B65" i="1"/>
  <c r="AY65" i="1"/>
  <c r="DO65" i="1"/>
  <c r="DN65" i="1"/>
  <c r="EH65" i="1"/>
  <c r="EA65" i="1" s="1"/>
  <c r="BM65" i="1" s="1"/>
  <c r="EI65" i="1"/>
  <c r="EB65" i="1" s="1"/>
  <c r="BN65" i="1" s="1"/>
  <c r="EG65" i="1"/>
  <c r="DZ65" i="1" s="1"/>
  <c r="BL65" i="1" s="1"/>
  <c r="D65" i="1"/>
  <c r="CU65" i="1"/>
  <c r="C65" i="1"/>
  <c r="CS65" i="1"/>
  <c r="EJ65" i="1"/>
  <c r="EC65" i="1" s="1"/>
  <c r="BO65" i="1" s="1"/>
  <c r="A66" i="1"/>
  <c r="AZ65" i="1"/>
  <c r="DT65" i="1" s="1"/>
  <c r="F65" i="1"/>
  <c r="DV54" i="1"/>
  <c r="DW54" i="1"/>
  <c r="DN55" i="1"/>
  <c r="DU55" i="1"/>
  <c r="DO55" i="1"/>
  <c r="DT55" i="1"/>
  <c r="DS54" i="1"/>
  <c r="DP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Q55" i="1"/>
  <c r="C55" i="1"/>
  <c r="AY55" i="1"/>
  <c r="B55" i="1"/>
  <c r="EH55" i="1"/>
  <c r="EA55" i="1" s="1"/>
  <c r="BM55" i="1" s="1"/>
  <c r="F63" i="1"/>
  <c r="F55" i="1"/>
  <c r="AS82" i="1"/>
  <c r="AS134" i="1"/>
  <c r="BA134" i="1"/>
  <c r="BM2" i="1"/>
  <c r="BL43" i="1"/>
  <c r="I66" i="2"/>
  <c r="R66" i="2"/>
  <c r="C66" i="2"/>
  <c r="L66" i="2"/>
  <c r="B66" i="2"/>
  <c r="Q66" i="2"/>
  <c r="S66" i="2"/>
  <c r="F66" i="2"/>
  <c r="M66" i="2"/>
  <c r="N66" i="2"/>
  <c r="D66" i="2"/>
  <c r="H66" i="2"/>
  <c r="G66" i="2"/>
  <c r="O66" i="2"/>
  <c r="E66" i="2"/>
  <c r="P66" i="2"/>
  <c r="K66" i="2"/>
  <c r="J66" i="2"/>
  <c r="DL65" i="1" l="1"/>
  <c r="DM65" i="1"/>
  <c r="DM55" i="1"/>
  <c r="DL55" i="1"/>
  <c r="ED54" i="1"/>
  <c r="ES54" i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U65" i="1"/>
  <c r="E65" i="1"/>
  <c r="BZ65" i="1"/>
  <c r="A67" i="1"/>
  <c r="AZ66" i="1"/>
  <c r="F66" i="1"/>
  <c r="DS65" i="1"/>
  <c r="CP65" i="1"/>
  <c r="DV65" i="1"/>
  <c r="DW55" i="1"/>
  <c r="DV55" i="1"/>
  <c r="DS55" i="1"/>
  <c r="DP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D55" i="1" l="1"/>
  <c r="DW65" i="1"/>
  <c r="ES65" i="1" s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ED65" i="1" l="1"/>
  <c r="A161" i="2"/>
  <c r="DG160" i="1"/>
  <c r="A69" i="2"/>
  <c r="DG68" i="1"/>
  <c r="V42" i="2"/>
  <c r="V82" i="2" s="1"/>
  <c r="V134" i="2" s="1"/>
  <c r="A90" i="1"/>
  <c r="A91" i="2" s="1"/>
  <c r="AZ89" i="1"/>
  <c r="DG89" i="1"/>
  <c r="A161" i="1"/>
  <c r="AZ160" i="1"/>
  <c r="A69" i="1"/>
  <c r="AZ68" i="1"/>
  <c r="F68" i="1"/>
  <c r="F160" i="1"/>
  <c r="G160" i="1"/>
  <c r="BO43" i="1"/>
  <c r="F60" i="1"/>
  <c r="AS151" i="1"/>
  <c r="BF69" i="1"/>
  <c r="AS149" i="1"/>
  <c r="BF66" i="1"/>
  <c r="AU67" i="1"/>
  <c r="AT158" i="1"/>
  <c r="EN68" i="1"/>
  <c r="CI67" i="1"/>
  <c r="EN67" i="1"/>
  <c r="AT148" i="1"/>
  <c r="CF68" i="1"/>
  <c r="AS156" i="1"/>
  <c r="AS158" i="1"/>
  <c r="AU68" i="1"/>
  <c r="EQ66" i="1"/>
  <c r="CI68" i="1"/>
  <c r="AU66" i="1"/>
  <c r="CF67" i="1"/>
  <c r="AS155" i="1"/>
  <c r="AT157" i="1"/>
  <c r="BF68" i="1"/>
  <c r="AS152" i="1"/>
  <c r="AT149" i="1"/>
  <c r="AS159" i="1"/>
  <c r="EN66" i="1"/>
  <c r="AX68" i="1"/>
  <c r="CF66" i="1"/>
  <c r="AT159" i="1"/>
  <c r="AX67" i="1"/>
  <c r="BC69" i="1"/>
  <c r="EQ69" i="1"/>
  <c r="AT151" i="1"/>
  <c r="CF69" i="1"/>
  <c r="CI66" i="1"/>
  <c r="EQ68" i="1"/>
  <c r="AS154" i="1"/>
  <c r="AX69" i="1"/>
  <c r="AS157" i="1"/>
  <c r="CI69" i="1"/>
  <c r="BF67" i="1"/>
  <c r="EN69" i="1"/>
  <c r="BC66" i="1"/>
  <c r="AS148" i="1"/>
  <c r="AT150" i="1"/>
  <c r="AS153" i="1"/>
  <c r="AS150" i="1"/>
  <c r="BC68" i="1"/>
  <c r="BC67" i="1"/>
  <c r="AX66" i="1"/>
  <c r="EQ67" i="1"/>
  <c r="AT156" i="1"/>
  <c r="AU69" i="1"/>
  <c r="AT139" i="1"/>
  <c r="AT155" i="1"/>
  <c r="AW66" i="1"/>
  <c r="DA68" i="1"/>
  <c r="BA66" i="1"/>
  <c r="DF69" i="1"/>
  <c r="AS146" i="1"/>
  <c r="CE69" i="1"/>
  <c r="CH68" i="1"/>
  <c r="BE67" i="1"/>
  <c r="AS138" i="1"/>
  <c r="DB66" i="1"/>
  <c r="DD67" i="1"/>
  <c r="CD69" i="1"/>
  <c r="AS147" i="1"/>
  <c r="CH66" i="1"/>
  <c r="AS68" i="1"/>
  <c r="BD66" i="1"/>
  <c r="DA66" i="1"/>
  <c r="AS139" i="1"/>
  <c r="AS69" i="1"/>
  <c r="AW67" i="1"/>
  <c r="AW68" i="1"/>
  <c r="DD68" i="1"/>
  <c r="BA67" i="1"/>
  <c r="DF68" i="1"/>
  <c r="BB69" i="1"/>
  <c r="EO66" i="1"/>
  <c r="DC68" i="1"/>
  <c r="AT141" i="1"/>
  <c r="DE66" i="1"/>
  <c r="BA85" i="1"/>
  <c r="AS142" i="1"/>
  <c r="DC69" i="1"/>
  <c r="EO68" i="1"/>
  <c r="AS143" i="1"/>
  <c r="AT144" i="1"/>
  <c r="BD69" i="1"/>
  <c r="CG68" i="1"/>
  <c r="AS160" i="1"/>
  <c r="AS66" i="1"/>
  <c r="AT69" i="1"/>
  <c r="CH69" i="1"/>
  <c r="AT143" i="1"/>
  <c r="AS141" i="1"/>
  <c r="EO67" i="1"/>
  <c r="BE69" i="1"/>
  <c r="EO69" i="1"/>
  <c r="CE66" i="1"/>
  <c r="CE68" i="1"/>
  <c r="AT146" i="1"/>
  <c r="DB67" i="1"/>
  <c r="BB66" i="1"/>
  <c r="DE67" i="1"/>
  <c r="EP67" i="1"/>
  <c r="DA67" i="1"/>
  <c r="AT147" i="1"/>
  <c r="BB67" i="1"/>
  <c r="CH67" i="1"/>
  <c r="DF67" i="1"/>
  <c r="CG67" i="1"/>
  <c r="AS140" i="1"/>
  <c r="CG69" i="1"/>
  <c r="CE67" i="1"/>
  <c r="AT68" i="1"/>
  <c r="AT154" i="1"/>
  <c r="EP69" i="1"/>
  <c r="AT152" i="1"/>
  <c r="AT153" i="1"/>
  <c r="DD66" i="1"/>
  <c r="AS137" i="1"/>
  <c r="DB69" i="1"/>
  <c r="DC67" i="1"/>
  <c r="DD69" i="1"/>
  <c r="BE68" i="1"/>
  <c r="AT137" i="1"/>
  <c r="AT138" i="1"/>
  <c r="AT160" i="1"/>
  <c r="AW69" i="1"/>
  <c r="DE68" i="1"/>
  <c r="BA68" i="1"/>
  <c r="EP68" i="1"/>
  <c r="AV66" i="1"/>
  <c r="AV68" i="1"/>
  <c r="BA137" i="1"/>
  <c r="DF66" i="1"/>
  <c r="EP66" i="1"/>
  <c r="BD67" i="1"/>
  <c r="DA69" i="1"/>
  <c r="AT140" i="1"/>
  <c r="CD66" i="1"/>
  <c r="AT145" i="1"/>
  <c r="DB68" i="1"/>
  <c r="DC66" i="1"/>
  <c r="AT66" i="1"/>
  <c r="BB68" i="1"/>
  <c r="AT161" i="1"/>
  <c r="DE69" i="1"/>
  <c r="AV69" i="1"/>
  <c r="BA69" i="1"/>
  <c r="AV67" i="1"/>
  <c r="AS161" i="1"/>
  <c r="AS144" i="1"/>
  <c r="BE66" i="1"/>
  <c r="CD67" i="1"/>
  <c r="AT67" i="1"/>
  <c r="CG66" i="1"/>
  <c r="BD68" i="1"/>
  <c r="AS67" i="1"/>
  <c r="AT142" i="1"/>
  <c r="CD68" i="1"/>
  <c r="AS145" i="1"/>
  <c r="CO68" i="1" l="1"/>
  <c r="CO67" i="1"/>
  <c r="CO69" i="1"/>
  <c r="CO66" i="1"/>
  <c r="CM69" i="1"/>
  <c r="CM66" i="1"/>
  <c r="CM67" i="1"/>
  <c r="CM68" i="1"/>
  <c r="CK69" i="1"/>
  <c r="CK67" i="1"/>
  <c r="CK68" i="1"/>
  <c r="CK66" i="1"/>
  <c r="DK66" i="1"/>
  <c r="DO66" i="1"/>
  <c r="DI66" i="1"/>
  <c r="DT67" i="1"/>
  <c r="CQ67" i="1"/>
  <c r="CS68" i="1"/>
  <c r="CQ68" i="1"/>
  <c r="EH68" i="1"/>
  <c r="EA68" i="1" s="1"/>
  <c r="BM68" i="1" s="1"/>
  <c r="D66" i="1"/>
  <c r="D68" i="1"/>
  <c r="EG66" i="1"/>
  <c r="DZ66" i="1" s="1"/>
  <c r="BL66" i="1" s="1"/>
  <c r="DN68" i="1"/>
  <c r="DJ68" i="1"/>
  <c r="DH68" i="1"/>
  <c r="DJ67" i="1"/>
  <c r="DH67" i="1"/>
  <c r="DN67" i="1"/>
  <c r="CS66" i="1"/>
  <c r="CU68" i="1"/>
  <c r="DI67" i="1"/>
  <c r="DO67" i="1"/>
  <c r="DK67" i="1"/>
  <c r="B68" i="1"/>
  <c r="AY68" i="1"/>
  <c r="AY67" i="1"/>
  <c r="B67" i="1"/>
  <c r="EI67" i="1"/>
  <c r="EB67" i="1" s="1"/>
  <c r="BN67" i="1" s="1"/>
  <c r="EI68" i="1"/>
  <c r="EB68" i="1" s="1"/>
  <c r="BN68" i="1" s="1"/>
  <c r="EJ67" i="1"/>
  <c r="EC67" i="1" s="1"/>
  <c r="BO67" i="1" s="1"/>
  <c r="C68" i="1"/>
  <c r="EH66" i="1"/>
  <c r="EA66" i="1" s="1"/>
  <c r="BM66" i="1" s="1"/>
  <c r="D67" i="1"/>
  <c r="C67" i="1"/>
  <c r="CQ66" i="1"/>
  <c r="DT66" i="1"/>
  <c r="CU67" i="1"/>
  <c r="AY66" i="1"/>
  <c r="B66" i="1"/>
  <c r="C66" i="1"/>
  <c r="EG68" i="1"/>
  <c r="DZ68" i="1" s="1"/>
  <c r="BL68" i="1" s="1"/>
  <c r="DU66" i="1"/>
  <c r="CS67" i="1"/>
  <c r="DU67" i="1"/>
  <c r="DI68" i="1"/>
  <c r="DO68" i="1"/>
  <c r="DK68" i="1"/>
  <c r="CU66" i="1"/>
  <c r="DJ66" i="1"/>
  <c r="DH66" i="1"/>
  <c r="DN66" i="1"/>
  <c r="EJ68" i="1"/>
  <c r="EC68" i="1" s="1"/>
  <c r="BO68" i="1" s="1"/>
  <c r="EH67" i="1"/>
  <c r="EA67" i="1" s="1"/>
  <c r="BM67" i="1" s="1"/>
  <c r="EI66" i="1"/>
  <c r="EB66" i="1" s="1"/>
  <c r="BN66" i="1" s="1"/>
  <c r="EG67" i="1"/>
  <c r="DZ67" i="1" s="1"/>
  <c r="BL67" i="1" s="1"/>
  <c r="EJ66" i="1"/>
  <c r="EC66" i="1" s="1"/>
  <c r="BO66" i="1" s="1"/>
  <c r="DT68" i="1"/>
  <c r="DH69" i="1"/>
  <c r="DJ69" i="1"/>
  <c r="DI69" i="1"/>
  <c r="DK69" i="1"/>
  <c r="A162" i="2"/>
  <c r="DG161" i="1"/>
  <c r="A70" i="2"/>
  <c r="DG69" i="1"/>
  <c r="W42" i="2"/>
  <c r="W82" i="2" s="1"/>
  <c r="W134" i="2" s="1"/>
  <c r="A91" i="1"/>
  <c r="A92" i="2" s="1"/>
  <c r="AZ90" i="1"/>
  <c r="DG90" i="1"/>
  <c r="A162" i="1"/>
  <c r="AZ161" i="1"/>
  <c r="F161" i="1"/>
  <c r="G161" i="1"/>
  <c r="CQ69" i="1"/>
  <c r="B69" i="1"/>
  <c r="AY69" i="1"/>
  <c r="DO69" i="1"/>
  <c r="DN69" i="1"/>
  <c r="C69" i="1"/>
  <c r="CS69" i="1"/>
  <c r="EI69" i="1"/>
  <c r="EB69" i="1" s="1"/>
  <c r="BN69" i="1" s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DU68" i="1"/>
  <c r="A70" i="1"/>
  <c r="AZ69" i="1"/>
  <c r="DU69" i="1" s="1"/>
  <c r="F69" i="1"/>
  <c r="F159" i="1"/>
  <c r="G159" i="1"/>
  <c r="F59" i="1"/>
  <c r="AS162" i="1"/>
  <c r="DD70" i="1"/>
  <c r="AT162" i="1"/>
  <c r="DB70" i="1"/>
  <c r="DF70" i="1"/>
  <c r="DV66" i="1" l="1"/>
  <c r="DL67" i="1"/>
  <c r="DM66" i="1"/>
  <c r="DV68" i="1"/>
  <c r="DW66" i="1"/>
  <c r="CP66" i="1"/>
  <c r="E68" i="1"/>
  <c r="BU66" i="1"/>
  <c r="DV67" i="1"/>
  <c r="DQ68" i="1"/>
  <c r="DP66" i="1"/>
  <c r="BS68" i="1"/>
  <c r="CP67" i="1"/>
  <c r="BU67" i="1"/>
  <c r="E67" i="1"/>
  <c r="DQ66" i="1"/>
  <c r="BZ66" i="1"/>
  <c r="CA66" i="1" s="1"/>
  <c r="BU68" i="1"/>
  <c r="DQ67" i="1"/>
  <c r="DP68" i="1"/>
  <c r="CP68" i="1"/>
  <c r="BZ68" i="1"/>
  <c r="DS66" i="1"/>
  <c r="DL68" i="1"/>
  <c r="BZ67" i="1"/>
  <c r="E66" i="1"/>
  <c r="CB67" i="1"/>
  <c r="DW67" i="1"/>
  <c r="DM68" i="1"/>
  <c r="DS68" i="1"/>
  <c r="CB66" i="1"/>
  <c r="CC66" i="1" s="1"/>
  <c r="DL66" i="1"/>
  <c r="DP67" i="1"/>
  <c r="DS67" i="1"/>
  <c r="DM67" i="1"/>
  <c r="BS66" i="1"/>
  <c r="BT66" i="1" s="1"/>
  <c r="CB68" i="1"/>
  <c r="BS67" i="1"/>
  <c r="DM69" i="1"/>
  <c r="DL69" i="1"/>
  <c r="DW68" i="1"/>
  <c r="A163" i="2"/>
  <c r="DG162" i="1"/>
  <c r="A71" i="2"/>
  <c r="DG70" i="1"/>
  <c r="X42" i="2"/>
  <c r="X82" i="2" s="1"/>
  <c r="X134" i="2" s="1"/>
  <c r="A92" i="1"/>
  <c r="A93" i="2" s="1"/>
  <c r="AZ91" i="1"/>
  <c r="DG91" i="1"/>
  <c r="A163" i="1"/>
  <c r="AZ162" i="1"/>
  <c r="F162" i="1"/>
  <c r="G162" i="1"/>
  <c r="DQ69" i="1"/>
  <c r="BU69" i="1"/>
  <c r="BZ69" i="1"/>
  <c r="CB69" i="1"/>
  <c r="BS69" i="1"/>
  <c r="A71" i="1"/>
  <c r="AZ70" i="1"/>
  <c r="F70" i="1"/>
  <c r="DW69" i="1"/>
  <c r="E69" i="1"/>
  <c r="DT69" i="1"/>
  <c r="DV69" i="1" s="1"/>
  <c r="DP69" i="1"/>
  <c r="CP69" i="1"/>
  <c r="DS69" i="1"/>
  <c r="F158" i="1"/>
  <c r="G158" i="1"/>
  <c r="F58" i="1"/>
  <c r="DD71" i="1"/>
  <c r="AS163" i="1"/>
  <c r="EQ163" i="1"/>
  <c r="AT163" i="1"/>
  <c r="DF71" i="1"/>
  <c r="DB71" i="1"/>
  <c r="ES66" i="1" l="1"/>
  <c r="ES68" i="1"/>
  <c r="BT69" i="1"/>
  <c r="ED66" i="1"/>
  <c r="ED67" i="1"/>
  <c r="BT68" i="1"/>
  <c r="CA68" i="1"/>
  <c r="CA69" i="1"/>
  <c r="CA67" i="1"/>
  <c r="ES67" i="1"/>
  <c r="CC67" i="1"/>
  <c r="CC68" i="1"/>
  <c r="CC69" i="1"/>
  <c r="BT67" i="1"/>
  <c r="ED69" i="1"/>
  <c r="ED68" i="1"/>
  <c r="ES69" i="1"/>
  <c r="A164" i="2"/>
  <c r="DG163" i="1"/>
  <c r="A72" i="2"/>
  <c r="DG71" i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DF72" i="1"/>
  <c r="AT164" i="1"/>
  <c r="DD72" i="1"/>
  <c r="AS164" i="1"/>
  <c r="DB72" i="1"/>
  <c r="A165" i="2" l="1"/>
  <c r="DG164" i="1"/>
  <c r="A73" i="2"/>
  <c r="DG72" i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DF73" i="1"/>
  <c r="DB73" i="1"/>
  <c r="AS165" i="1"/>
  <c r="DD73" i="1"/>
  <c r="AT165" i="1"/>
  <c r="A166" i="2" l="1"/>
  <c r="DG165" i="1"/>
  <c r="A74" i="2"/>
  <c r="DG73" i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AS166" i="1"/>
  <c r="DB74" i="1"/>
  <c r="DD74" i="1"/>
  <c r="DF74" i="1"/>
  <c r="AT166" i="1"/>
  <c r="A167" i="2" l="1"/>
  <c r="DG166" i="1"/>
  <c r="A75" i="2"/>
  <c r="DG74" i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DF75" i="1"/>
  <c r="DB75" i="1"/>
  <c r="DD75" i="1"/>
  <c r="AT167" i="1"/>
  <c r="AS167" i="1"/>
  <c r="A168" i="2" l="1"/>
  <c r="DG167" i="1"/>
  <c r="A76" i="2"/>
  <c r="DG75" i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DB76" i="1"/>
  <c r="DD76" i="1"/>
  <c r="AT168" i="1"/>
  <c r="DF76" i="1"/>
  <c r="AS168" i="1"/>
  <c r="A169" i="2" l="1"/>
  <c r="DG168" i="1"/>
  <c r="A77" i="2"/>
  <c r="DG76" i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B77" i="1"/>
  <c r="DF77" i="1"/>
  <c r="DD77" i="1"/>
  <c r="AT169" i="1"/>
  <c r="AS169" i="1"/>
  <c r="A170" i="2" l="1"/>
  <c r="DG169" i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B78" i="1"/>
  <c r="AT170" i="1"/>
  <c r="AS170" i="1"/>
  <c r="DD78" i="1"/>
  <c r="DF78" i="1"/>
  <c r="A171" i="2" l="1"/>
  <c r="DG170" i="1"/>
  <c r="A79" i="2"/>
  <c r="DG78" i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T171" i="1"/>
  <c r="DB79" i="1"/>
  <c r="DF79" i="1"/>
  <c r="AS171" i="1"/>
  <c r="DD79" i="1"/>
  <c r="A172" i="2" l="1"/>
  <c r="DG171" i="1"/>
  <c r="A80" i="2"/>
  <c r="DG79" i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S172" i="1"/>
  <c r="AT172" i="1"/>
  <c r="A173" i="2" l="1"/>
  <c r="DG172" i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S173" i="1"/>
  <c r="AT173" i="1"/>
  <c r="A174" i="2" l="1"/>
  <c r="DG173" i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S174" i="1"/>
  <c r="AT174" i="1"/>
  <c r="A175" i="2" l="1"/>
  <c r="DG174" i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T175" i="1"/>
  <c r="AS175" i="1"/>
  <c r="A176" i="2" l="1"/>
  <c r="DG175" i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T176" i="1"/>
  <c r="AS176" i="1"/>
  <c r="A177" i="2" l="1"/>
  <c r="DG176" i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A178" i="2" l="1"/>
  <c r="DG177" i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S178" i="1"/>
  <c r="AT178" i="1"/>
  <c r="A179" i="2" l="1"/>
  <c r="DG178" i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S179" i="1"/>
  <c r="AT179" i="1"/>
  <c r="A180" i="2" l="1"/>
  <c r="DG179" i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S180" i="1"/>
  <c r="AT180" i="1"/>
  <c r="A181" i="2" l="1"/>
  <c r="DG180" i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S181" i="1"/>
  <c r="AT181" i="1"/>
  <c r="A182" i="2" l="1"/>
  <c r="DG181" i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T182" i="1"/>
  <c r="AS182" i="1"/>
  <c r="A183" i="2" l="1"/>
  <c r="DG182" i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T183" i="1"/>
  <c r="AS183" i="1"/>
  <c r="A184" i="2" l="1"/>
  <c r="DG183" i="1"/>
  <c r="DG112" i="1"/>
  <c r="AZ112" i="1"/>
  <c r="G112" i="1"/>
  <c r="F112" i="1"/>
  <c r="A113" i="1"/>
  <c r="A114" i="2" s="1"/>
  <c r="A184" i="1"/>
  <c r="AZ183" i="1"/>
  <c r="F183" i="1"/>
  <c r="G183" i="1"/>
  <c r="CT84" i="1"/>
  <c r="AT184" i="1"/>
  <c r="AS184" i="1"/>
  <c r="A185" i="2" l="1"/>
  <c r="DG184" i="1"/>
  <c r="DG113" i="1"/>
  <c r="F113" i="1"/>
  <c r="A114" i="1"/>
  <c r="A115" i="2" s="1"/>
  <c r="AZ113" i="1"/>
  <c r="G113" i="1"/>
  <c r="A185" i="1"/>
  <c r="AZ184" i="1"/>
  <c r="G184" i="1"/>
  <c r="F184" i="1"/>
  <c r="AS185" i="1"/>
  <c r="AT185" i="1"/>
  <c r="A186" i="2" l="1"/>
  <c r="DG185" i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T186" i="1"/>
  <c r="AS186" i="1"/>
  <c r="A187" i="2" l="1"/>
  <c r="DG186" i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T187" i="1"/>
  <c r="AS187" i="1"/>
  <c r="A188" i="2" l="1"/>
  <c r="DG187" i="1"/>
  <c r="DG116" i="1"/>
  <c r="AZ116" i="1"/>
  <c r="F116" i="1"/>
  <c r="G116" i="1"/>
  <c r="A117" i="1"/>
  <c r="A118" i="2" s="1"/>
  <c r="A188" i="1"/>
  <c r="AZ187" i="1"/>
  <c r="G187" i="1"/>
  <c r="F187" i="1"/>
  <c r="AS188" i="1"/>
  <c r="AT188" i="1"/>
  <c r="A189" i="2" l="1"/>
  <c r="DG188" i="1"/>
  <c r="DG117" i="1"/>
  <c r="A118" i="1"/>
  <c r="A119" i="2" s="1"/>
  <c r="AZ117" i="1"/>
  <c r="F117" i="1"/>
  <c r="G117" i="1"/>
  <c r="A189" i="1"/>
  <c r="AZ188" i="1"/>
  <c r="F188" i="1"/>
  <c r="G188" i="1"/>
  <c r="DC189" i="1"/>
  <c r="AT189" i="1"/>
  <c r="DD189" i="1"/>
  <c r="AS189" i="1"/>
  <c r="A190" i="2" l="1"/>
  <c r="DG189" i="1"/>
  <c r="DG118" i="1"/>
  <c r="A119" i="1"/>
  <c r="A120" i="2" s="1"/>
  <c r="AZ118" i="1"/>
  <c r="G118" i="1"/>
  <c r="F118" i="1"/>
  <c r="AZ189" i="1"/>
  <c r="F189" i="1"/>
  <c r="G189" i="1"/>
  <c r="EL43" i="1"/>
  <c r="EL65" i="1"/>
  <c r="EL68" i="1"/>
  <c r="EL55" i="1"/>
  <c r="EL67" i="1"/>
  <c r="EL54" i="1"/>
  <c r="EL66" i="1"/>
  <c r="EL69" i="1"/>
  <c r="DG119" i="1" l="1"/>
  <c r="A120" i="1"/>
  <c r="A121" i="2" s="1"/>
  <c r="AZ119" i="1"/>
  <c r="G119" i="1"/>
  <c r="F119" i="1"/>
  <c r="EE54" i="1"/>
  <c r="DX54" i="1" s="1"/>
  <c r="EE65" i="1"/>
  <c r="DX65" i="1" s="1"/>
  <c r="EE55" i="1"/>
  <c r="DX55" i="1" s="1"/>
  <c r="EE66" i="1"/>
  <c r="DX66" i="1" s="1"/>
  <c r="EE67" i="1"/>
  <c r="DX67" i="1" s="1"/>
  <c r="EE68" i="1"/>
  <c r="DX68" i="1" s="1"/>
  <c r="EE69" i="1"/>
  <c r="DX69" i="1" s="1"/>
  <c r="EL83" i="1"/>
  <c r="EM43" i="1"/>
  <c r="EM54" i="1"/>
  <c r="EM68" i="1"/>
  <c r="EM69" i="1"/>
  <c r="EM67" i="1"/>
  <c r="EM65" i="1"/>
  <c r="EM66" i="1"/>
  <c r="EM55" i="1"/>
  <c r="BJ54" i="1" l="1"/>
  <c r="BJ66" i="1"/>
  <c r="BJ67" i="1"/>
  <c r="BJ69" i="1"/>
  <c r="BJ55" i="1"/>
  <c r="BJ68" i="1"/>
  <c r="BJ65" i="1"/>
  <c r="DG120" i="1"/>
  <c r="A121" i="1"/>
  <c r="A122" i="2" s="1"/>
  <c r="AZ120" i="1"/>
  <c r="F120" i="1"/>
  <c r="G120" i="1"/>
  <c r="EF54" i="1"/>
  <c r="DY54" i="1" s="1"/>
  <c r="BK54" i="1" s="1"/>
  <c r="EF65" i="1"/>
  <c r="DY65" i="1" s="1"/>
  <c r="BK65" i="1" s="1"/>
  <c r="EF55" i="1"/>
  <c r="DY55" i="1" s="1"/>
  <c r="BK55" i="1" s="1"/>
  <c r="EF66" i="1"/>
  <c r="DY66" i="1" s="1"/>
  <c r="BK66" i="1" s="1"/>
  <c r="EF67" i="1"/>
  <c r="DY67" i="1" s="1"/>
  <c r="BK67" i="1" s="1"/>
  <c r="EF68" i="1"/>
  <c r="DY68" i="1" s="1"/>
  <c r="BK68" i="1" s="1"/>
  <c r="EF69" i="1"/>
  <c r="DY69" i="1" s="1"/>
  <c r="BK69" i="1" s="1"/>
  <c r="EL135" i="1"/>
  <c r="EM135" i="1" s="1"/>
  <c r="EN135" i="1" s="1"/>
  <c r="EO135" i="1" s="1"/>
  <c r="EP135" i="1" s="1"/>
  <c r="EQ135" i="1" s="1"/>
  <c r="EM83" i="1"/>
  <c r="EN43" i="1"/>
  <c r="DR69" i="1" l="1"/>
  <c r="DR65" i="1"/>
  <c r="BQ54" i="1"/>
  <c r="EK69" i="1"/>
  <c r="EK55" i="1"/>
  <c r="BQ66" i="1"/>
  <c r="EK54" i="1"/>
  <c r="EK65" i="1"/>
  <c r="EK68" i="1"/>
  <c r="BQ67" i="1"/>
  <c r="EK66" i="1"/>
  <c r="EK67" i="1"/>
  <c r="BX55" i="1"/>
  <c r="CY55" i="1" s="1"/>
  <c r="BQ68" i="1"/>
  <c r="DG121" i="1"/>
  <c r="G121" i="1"/>
  <c r="A122" i="1"/>
  <c r="A123" i="2" s="1"/>
  <c r="AZ121" i="1"/>
  <c r="F121" i="1"/>
  <c r="BQ65" i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DR55" i="1"/>
  <c r="BQ69" i="1"/>
  <c r="BX69" i="1"/>
  <c r="BQ55" i="1"/>
  <c r="DR68" i="1"/>
  <c r="EN83" i="1"/>
  <c r="EO43" i="1"/>
  <c r="ET55" i="1" l="1"/>
  <c r="ET69" i="1"/>
  <c r="ET65" i="1"/>
  <c r="ET68" i="1"/>
  <c r="CW54" i="1"/>
  <c r="ET54" i="1"/>
  <c r="CW67" i="1"/>
  <c r="ET67" i="1"/>
  <c r="CW66" i="1"/>
  <c r="ET66" i="1"/>
  <c r="BR68" i="1"/>
  <c r="BR66" i="1"/>
  <c r="CW68" i="1"/>
  <c r="BR67" i="1"/>
  <c r="CW55" i="1"/>
  <c r="BR55" i="1"/>
  <c r="CW65" i="1"/>
  <c r="CW69" i="1"/>
  <c r="BR69" i="1"/>
  <c r="DG122" i="1"/>
  <c r="F122" i="1"/>
  <c r="A123" i="1"/>
  <c r="A124" i="2" s="1"/>
  <c r="AZ122" i="1"/>
  <c r="G122" i="1"/>
  <c r="BY69" i="1"/>
  <c r="BY55" i="1"/>
  <c r="BY66" i="1"/>
  <c r="BY68" i="1"/>
  <c r="BY67" i="1"/>
  <c r="CY66" i="1"/>
  <c r="CZ67" i="1" s="1"/>
  <c r="CZ55" i="1"/>
  <c r="CY69" i="1"/>
  <c r="CZ69" i="1" s="1"/>
  <c r="CZ68" i="1"/>
  <c r="EO83" i="1"/>
  <c r="EP43" i="1"/>
  <c r="DG123" i="1" l="1"/>
  <c r="A124" i="1"/>
  <c r="A125" i="2" s="1"/>
  <c r="AZ123" i="1"/>
  <c r="F123" i="1"/>
  <c r="G123" i="1"/>
  <c r="CZ66" i="1"/>
  <c r="EQ43" i="1"/>
  <c r="EP83" i="1"/>
  <c r="DG124" i="1" l="1"/>
  <c r="A125" i="1"/>
  <c r="A126" i="2" s="1"/>
  <c r="AZ124" i="1"/>
  <c r="F124" i="1"/>
  <c r="G124" i="1"/>
  <c r="EQ83" i="1"/>
  <c r="DG125" i="1" l="1"/>
  <c r="A126" i="1"/>
  <c r="A127" i="2" s="1"/>
  <c r="AZ125" i="1"/>
  <c r="G125" i="1"/>
  <c r="F125" i="1"/>
  <c r="F4" i="1"/>
  <c r="DG126" i="1" l="1"/>
  <c r="A127" i="1"/>
  <c r="A128" i="2" s="1"/>
  <c r="AZ126" i="1"/>
  <c r="F126" i="1"/>
  <c r="G126" i="1"/>
  <c r="A5" i="1"/>
  <c r="AZ5" i="1" l="1"/>
  <c r="A6" i="2"/>
  <c r="DG5" i="1"/>
  <c r="DG127" i="1"/>
  <c r="G127" i="1"/>
  <c r="A128" i="1"/>
  <c r="A129" i="2" s="1"/>
  <c r="AZ127" i="1"/>
  <c r="F127" i="1"/>
  <c r="D137" i="1"/>
  <c r="DT85" i="1"/>
  <c r="F5" i="1"/>
  <c r="A6" i="1"/>
  <c r="AZ6" i="1" l="1"/>
  <c r="A7" i="2"/>
  <c r="DG6" i="1"/>
  <c r="DG128" i="1"/>
  <c r="G128" i="1"/>
  <c r="A129" i="1"/>
  <c r="A130" i="2" s="1"/>
  <c r="AZ128" i="1"/>
  <c r="F128" i="1"/>
  <c r="B168" i="1"/>
  <c r="B163" i="1"/>
  <c r="F6" i="1"/>
  <c r="A7" i="1"/>
  <c r="U173" i="2"/>
  <c r="U156" i="2"/>
  <c r="X162" i="2"/>
  <c r="B75" i="2"/>
  <c r="P90" i="2"/>
  <c r="L162" i="2"/>
  <c r="W77" i="2"/>
  <c r="H115" i="2"/>
  <c r="W159" i="2"/>
  <c r="K93" i="2"/>
  <c r="V163" i="2"/>
  <c r="V147" i="2"/>
  <c r="V94" i="2"/>
  <c r="W155" i="2"/>
  <c r="W103" i="2"/>
  <c r="S172" i="2"/>
  <c r="P166" i="2"/>
  <c r="Q102" i="2"/>
  <c r="U155" i="2"/>
  <c r="X154" i="2"/>
  <c r="D166" i="2"/>
  <c r="D183" i="2"/>
  <c r="H176" i="2"/>
  <c r="X175" i="2"/>
  <c r="C68" i="2"/>
  <c r="N175" i="2"/>
  <c r="J174" i="2"/>
  <c r="B161" i="2"/>
  <c r="L160" i="2"/>
  <c r="Q68" i="2"/>
  <c r="I80" i="2"/>
  <c r="F182" i="2"/>
  <c r="W63" i="2"/>
  <c r="V153" i="2"/>
  <c r="H172" i="2"/>
  <c r="D107" i="2"/>
  <c r="D164" i="2"/>
  <c r="S99" i="2"/>
  <c r="C176" i="2"/>
  <c r="V89" i="2"/>
  <c r="M94" i="2"/>
  <c r="E89" i="2"/>
  <c r="T141" i="2"/>
  <c r="R74" i="2"/>
  <c r="D72" i="2"/>
  <c r="R91" i="2"/>
  <c r="I75" i="2"/>
  <c r="C70" i="2"/>
  <c r="E95" i="2"/>
  <c r="M93" i="2"/>
  <c r="B69" i="2"/>
  <c r="K79" i="2"/>
  <c r="D98" i="2"/>
  <c r="F180" i="2"/>
  <c r="N77" i="2"/>
  <c r="D186" i="2"/>
  <c r="D179" i="2"/>
  <c r="S164" i="2"/>
  <c r="D70" i="2"/>
  <c r="B165" i="2"/>
  <c r="D93" i="2"/>
  <c r="H111" i="2"/>
  <c r="P174" i="2"/>
  <c r="T76" i="2"/>
  <c r="T146" i="2"/>
  <c r="X89" i="2"/>
  <c r="M167" i="2"/>
  <c r="L169" i="2"/>
  <c r="I95" i="2"/>
  <c r="W170" i="2"/>
  <c r="X163" i="2"/>
  <c r="E108" i="2"/>
  <c r="T144" i="2"/>
  <c r="O91" i="2"/>
  <c r="X77" i="2"/>
  <c r="X151" i="2"/>
  <c r="J179" i="2"/>
  <c r="X156" i="2"/>
  <c r="K162" i="2"/>
  <c r="W165" i="2"/>
  <c r="D91" i="2"/>
  <c r="J161" i="2"/>
  <c r="P172" i="2"/>
  <c r="X56" i="2"/>
  <c r="M76" i="2"/>
  <c r="K106" i="2"/>
  <c r="T95" i="2"/>
  <c r="B169" i="2"/>
  <c r="F170" i="2"/>
  <c r="R169" i="2"/>
  <c r="W73" i="2"/>
  <c r="Q171" i="2"/>
  <c r="N164" i="2"/>
  <c r="F99" i="2"/>
  <c r="O98" i="2"/>
  <c r="B95" i="2"/>
  <c r="T111" i="2"/>
  <c r="W69" i="2"/>
  <c r="J181" i="2"/>
  <c r="I107" i="2"/>
  <c r="V145" i="2"/>
  <c r="W151" i="2"/>
  <c r="V169" i="2"/>
  <c r="E176" i="2"/>
  <c r="O111" i="2"/>
  <c r="Q73" i="2"/>
  <c r="C91" i="2"/>
  <c r="Q167" i="2"/>
  <c r="O167" i="2"/>
  <c r="G69" i="2"/>
  <c r="H76" i="2"/>
  <c r="T108" i="2"/>
  <c r="B167" i="2"/>
  <c r="W144" i="2"/>
  <c r="T90" i="2"/>
  <c r="L180" i="2"/>
  <c r="K181" i="2"/>
  <c r="W91" i="2"/>
  <c r="L76" i="2"/>
  <c r="M106" i="2"/>
  <c r="R107" i="2"/>
  <c r="K76" i="2"/>
  <c r="P183" i="2"/>
  <c r="W59" i="2"/>
  <c r="D68" i="2"/>
  <c r="U77" i="2"/>
  <c r="B67" i="2"/>
  <c r="U143" i="2"/>
  <c r="S107" i="2"/>
  <c r="U179" i="2"/>
  <c r="X86" i="2"/>
  <c r="L69" i="2"/>
  <c r="F92" i="2"/>
  <c r="I91" i="2"/>
  <c r="F72" i="2"/>
  <c r="H99" i="2"/>
  <c r="P167" i="2"/>
  <c r="U60" i="2"/>
  <c r="D110" i="2"/>
  <c r="H165" i="2"/>
  <c r="W139" i="2"/>
  <c r="R170" i="2"/>
  <c r="P89" i="2"/>
  <c r="L90" i="2"/>
  <c r="G71" i="2"/>
  <c r="X71" i="2"/>
  <c r="V69" i="2"/>
  <c r="T99" i="2"/>
  <c r="W138" i="2"/>
  <c r="W149" i="2"/>
  <c r="T181" i="2"/>
  <c r="N171" i="2"/>
  <c r="S113" i="2"/>
  <c r="C73" i="2"/>
  <c r="T147" i="2"/>
  <c r="N100" i="2"/>
  <c r="J94" i="2"/>
  <c r="X55" i="2"/>
  <c r="K113" i="2"/>
  <c r="W53" i="2"/>
  <c r="B88" i="2"/>
  <c r="L92" i="2"/>
  <c r="X148" i="2"/>
  <c r="J103" i="2"/>
  <c r="W168" i="2"/>
  <c r="M99" i="2"/>
  <c r="L176" i="2"/>
  <c r="P161" i="2"/>
  <c r="T159" i="2"/>
  <c r="M96" i="2"/>
  <c r="X73" i="2"/>
  <c r="X90" i="2"/>
  <c r="H164" i="2"/>
  <c r="Q175" i="2"/>
  <c r="V107" i="2"/>
  <c r="S108" i="2"/>
  <c r="N181" i="2"/>
  <c r="X74" i="2"/>
  <c r="U78" i="2"/>
  <c r="O164" i="2"/>
  <c r="N73" i="2"/>
  <c r="L97" i="2"/>
  <c r="P102" i="2"/>
  <c r="D67" i="2"/>
  <c r="W97" i="2"/>
  <c r="M70" i="2"/>
  <c r="R73" i="2"/>
  <c r="Q114" i="2"/>
  <c r="O102" i="2"/>
  <c r="U163" i="2"/>
  <c r="J162" i="2"/>
  <c r="I164" i="2"/>
  <c r="C182" i="2"/>
  <c r="U88" i="2"/>
  <c r="L179" i="2"/>
  <c r="L170" i="2"/>
  <c r="T65" i="2"/>
  <c r="G111" i="2"/>
  <c r="M67" i="2"/>
  <c r="Q78" i="2"/>
  <c r="T50" i="2"/>
  <c r="I111" i="2"/>
  <c r="F88" i="2"/>
  <c r="H174" i="2"/>
  <c r="T145" i="2"/>
  <c r="C88" i="2"/>
  <c r="T5" i="2"/>
  <c r="M69" i="2"/>
  <c r="T86" i="2"/>
  <c r="U167" i="2"/>
  <c r="R95" i="2"/>
  <c r="U46" i="2"/>
  <c r="R105" i="2"/>
  <c r="P94" i="2"/>
  <c r="X64" i="2"/>
  <c r="K182" i="2"/>
  <c r="S75" i="2"/>
  <c r="U114" i="2"/>
  <c r="G159" i="2"/>
  <c r="O70" i="2"/>
  <c r="X176" i="2"/>
  <c r="H90" i="2"/>
  <c r="W99" i="2"/>
  <c r="V140" i="2"/>
  <c r="S74" i="2"/>
  <c r="W46" i="2"/>
  <c r="F76" i="2"/>
  <c r="C94" i="2"/>
  <c r="C165" i="2"/>
  <c r="U65" i="2"/>
  <c r="T158" i="2"/>
  <c r="Q95" i="2"/>
  <c r="U158" i="2"/>
  <c r="E184" i="2"/>
  <c r="J74" i="2"/>
  <c r="P168" i="2"/>
  <c r="L79" i="2"/>
  <c r="U56" i="2"/>
  <c r="O162" i="2"/>
  <c r="G165" i="2"/>
  <c r="F183" i="2"/>
  <c r="K80" i="2"/>
  <c r="F102" i="2"/>
  <c r="U147" i="2"/>
  <c r="G73" i="2"/>
  <c r="L93" i="2"/>
  <c r="I182" i="2"/>
  <c r="G68" i="2"/>
  <c r="N67" i="2"/>
  <c r="F96" i="2"/>
  <c r="O74" i="2"/>
  <c r="Q163" i="2"/>
  <c r="O176" i="2"/>
  <c r="Q98" i="2"/>
  <c r="U168" i="2"/>
  <c r="M171" i="2"/>
  <c r="X92" i="2"/>
  <c r="N160" i="2"/>
  <c r="U145" i="2"/>
  <c r="N96" i="2"/>
  <c r="H72" i="2"/>
  <c r="X181" i="2"/>
  <c r="R162" i="2"/>
  <c r="L165" i="2"/>
  <c r="W92" i="2"/>
  <c r="V59" i="2"/>
  <c r="R106" i="2"/>
  <c r="O96" i="2"/>
  <c r="M170" i="2"/>
  <c r="R172" i="2"/>
  <c r="U161" i="2"/>
  <c r="B72" i="2"/>
  <c r="E183" i="2"/>
  <c r="D99" i="2"/>
  <c r="F177" i="2"/>
  <c r="U102" i="2"/>
  <c r="E112" i="2"/>
  <c r="Q165" i="2"/>
  <c r="B184" i="2"/>
  <c r="U61" i="2"/>
  <c r="T138" i="2"/>
  <c r="H168" i="2"/>
  <c r="U151" i="2"/>
  <c r="N166" i="2"/>
  <c r="N102" i="2"/>
  <c r="V5" i="2"/>
  <c r="T93" i="2"/>
  <c r="G89" i="2"/>
  <c r="Q67" i="2"/>
  <c r="U75" i="2"/>
  <c r="X76" i="2"/>
  <c r="N173" i="2"/>
  <c r="B180" i="2"/>
  <c r="Q77" i="2"/>
  <c r="E160" i="2"/>
  <c r="H177" i="2"/>
  <c r="T89" i="2"/>
  <c r="U95" i="2"/>
  <c r="V161" i="2"/>
  <c r="B173" i="2"/>
  <c r="N91" i="2"/>
  <c r="I100" i="2"/>
  <c r="P97" i="2"/>
  <c r="Q75" i="2"/>
  <c r="U174" i="2"/>
  <c r="B160" i="2"/>
  <c r="L80" i="2"/>
  <c r="V115" i="2"/>
  <c r="D71" i="2"/>
  <c r="H163" i="2"/>
  <c r="N182" i="2"/>
  <c r="X96" i="2"/>
  <c r="B97" i="2"/>
  <c r="K78" i="2"/>
  <c r="V60" i="2"/>
  <c r="L182" i="2"/>
  <c r="H92" i="2"/>
  <c r="M108" i="2"/>
  <c r="J184" i="2"/>
  <c r="V106" i="2"/>
  <c r="B111" i="2"/>
  <c r="D79" i="2"/>
  <c r="W55" i="2"/>
  <c r="V149" i="2"/>
  <c r="S169" i="2"/>
  <c r="M68" i="2"/>
  <c r="K97" i="2"/>
  <c r="T102" i="2"/>
  <c r="B112" i="2"/>
  <c r="X51" i="2"/>
  <c r="X169" i="2"/>
  <c r="U184" i="2"/>
  <c r="I88" i="2"/>
  <c r="E93" i="2"/>
  <c r="S167" i="2"/>
  <c r="I89" i="2"/>
  <c r="T166" i="2"/>
  <c r="K165" i="2"/>
  <c r="X149" i="2"/>
  <c r="G80" i="2"/>
  <c r="X113" i="2"/>
  <c r="E75" i="2"/>
  <c r="X102" i="2"/>
  <c r="R92" i="2"/>
  <c r="V139" i="2"/>
  <c r="S70" i="2"/>
  <c r="S77" i="2"/>
  <c r="V47" i="2"/>
  <c r="D103" i="2"/>
  <c r="G176" i="2"/>
  <c r="M97" i="2"/>
  <c r="D162" i="2"/>
  <c r="G185" i="2"/>
  <c r="Q113" i="2"/>
  <c r="Q107" i="2"/>
  <c r="J165" i="2"/>
  <c r="T49" i="2"/>
  <c r="G171" i="2"/>
  <c r="L74" i="2"/>
  <c r="B94" i="2"/>
  <c r="J163" i="2"/>
  <c r="E101" i="2"/>
  <c r="W176" i="2"/>
  <c r="C168" i="2"/>
  <c r="J69" i="2"/>
  <c r="H100" i="2"/>
  <c r="G70" i="2"/>
  <c r="V159" i="2"/>
  <c r="V102" i="2"/>
  <c r="C104" i="2"/>
  <c r="D172" i="2"/>
  <c r="E92" i="2"/>
  <c r="T113" i="2"/>
  <c r="V99" i="2"/>
  <c r="O103" i="2"/>
  <c r="W160" i="2"/>
  <c r="V166" i="2"/>
  <c r="V76" i="2"/>
  <c r="U150" i="2"/>
  <c r="X60" i="2"/>
  <c r="Q76" i="2"/>
  <c r="X94" i="2"/>
  <c r="N68" i="2"/>
  <c r="H75" i="2"/>
  <c r="L184" i="2"/>
  <c r="G74" i="2"/>
  <c r="G102" i="2"/>
  <c r="M91" i="2"/>
  <c r="D100" i="2"/>
  <c r="T155" i="2"/>
  <c r="L175" i="2"/>
  <c r="V77" i="2"/>
  <c r="N165" i="2"/>
  <c r="N172" i="2"/>
  <c r="T105" i="2"/>
  <c r="V86" i="2"/>
  <c r="W71" i="2"/>
  <c r="F187" i="2"/>
  <c r="I168" i="2"/>
  <c r="O160" i="2"/>
  <c r="V87" i="2"/>
  <c r="J68" i="2"/>
  <c r="W65" i="2"/>
  <c r="U111" i="2"/>
  <c r="W50" i="2"/>
  <c r="J89" i="2"/>
  <c r="K91" i="2"/>
  <c r="V151" i="2"/>
  <c r="O114" i="2"/>
  <c r="G72" i="2"/>
  <c r="U52" i="2"/>
  <c r="E70" i="2"/>
  <c r="C103" i="2"/>
  <c r="V150" i="2"/>
  <c r="J101" i="2"/>
  <c r="O100" i="2"/>
  <c r="T177" i="2"/>
  <c r="E91" i="2"/>
  <c r="F109" i="2"/>
  <c r="C166" i="2"/>
  <c r="I103" i="2"/>
  <c r="N93" i="2"/>
  <c r="P162" i="2"/>
  <c r="E72" i="2"/>
  <c r="M74" i="2"/>
  <c r="H170" i="2"/>
  <c r="F93" i="2"/>
  <c r="K178" i="2"/>
  <c r="H175" i="2"/>
  <c r="X111" i="2"/>
  <c r="M95" i="2"/>
  <c r="I79" i="2"/>
  <c r="E189" i="2"/>
  <c r="F166" i="2"/>
  <c r="K74" i="2"/>
  <c r="T55" i="2"/>
  <c r="Q190" i="2"/>
  <c r="V101" i="2"/>
  <c r="W180" i="2"/>
  <c r="Q173" i="2"/>
  <c r="U142" i="2"/>
  <c r="J99" i="2"/>
  <c r="S100" i="2"/>
  <c r="P113" i="2"/>
  <c r="I112" i="2"/>
  <c r="S94" i="2"/>
  <c r="S168" i="2"/>
  <c r="W158" i="2"/>
  <c r="L72" i="2"/>
  <c r="H113" i="2"/>
  <c r="N178" i="2"/>
  <c r="C106" i="2"/>
  <c r="O169" i="2"/>
  <c r="R96" i="2"/>
  <c r="M162" i="2"/>
  <c r="N170" i="2"/>
  <c r="U105" i="2"/>
  <c r="J108" i="2"/>
  <c r="T79" i="2"/>
  <c r="O71" i="2"/>
  <c r="O95" i="2"/>
  <c r="M90" i="2"/>
  <c r="Q177" i="2"/>
  <c r="X121" i="2"/>
  <c r="X185" i="2"/>
  <c r="P67" i="2"/>
  <c r="F80" i="2"/>
  <c r="P104" i="2"/>
  <c r="X170" i="2"/>
  <c r="P98" i="2"/>
  <c r="E97" i="2"/>
  <c r="O101" i="2"/>
  <c r="S177" i="2"/>
  <c r="F113" i="2"/>
  <c r="Q80" i="2"/>
  <c r="V93" i="2"/>
  <c r="U118" i="2"/>
  <c r="L99" i="2"/>
  <c r="E165" i="2"/>
  <c r="M163" i="2"/>
  <c r="V156" i="2"/>
  <c r="G96" i="2"/>
  <c r="T165" i="2"/>
  <c r="J106" i="2"/>
  <c r="U71" i="2"/>
  <c r="L107" i="2"/>
  <c r="V183" i="2"/>
  <c r="V79" i="2"/>
  <c r="C72" i="2"/>
  <c r="M114" i="2"/>
  <c r="I73" i="2"/>
  <c r="Q100" i="2"/>
  <c r="K163" i="2"/>
  <c r="E177" i="2"/>
  <c r="T96" i="2"/>
  <c r="T98" i="2"/>
  <c r="B114" i="2"/>
  <c r="L161" i="2"/>
  <c r="S103" i="2"/>
  <c r="C105" i="2"/>
  <c r="M77" i="2"/>
  <c r="O171" i="2"/>
  <c r="H69" i="2"/>
  <c r="V70" i="2"/>
  <c r="B166" i="2"/>
  <c r="U170" i="2"/>
  <c r="W52" i="2"/>
  <c r="I69" i="2"/>
  <c r="C167" i="2"/>
  <c r="F111" i="2"/>
  <c r="V141" i="2"/>
  <c r="D165" i="2"/>
  <c r="J173" i="2"/>
  <c r="X88" i="2"/>
  <c r="V148" i="2"/>
  <c r="F68" i="2"/>
  <c r="X143" i="2"/>
  <c r="K98" i="2"/>
  <c r="Q106" i="2"/>
  <c r="E161" i="2"/>
  <c r="C99" i="2"/>
  <c r="I160" i="2"/>
  <c r="W94" i="2"/>
  <c r="Q179" i="2"/>
  <c r="V154" i="2"/>
  <c r="O186" i="2"/>
  <c r="T63" i="2"/>
  <c r="B163" i="2"/>
  <c r="T52" i="2"/>
  <c r="X68" i="2"/>
  <c r="J168" i="2"/>
  <c r="P184" i="2"/>
  <c r="I175" i="2"/>
  <c r="X155" i="2"/>
  <c r="P69" i="2"/>
  <c r="N98" i="2"/>
  <c r="T101" i="2"/>
  <c r="U53" i="2"/>
  <c r="S181" i="2"/>
  <c r="U64" i="2"/>
  <c r="O108" i="2"/>
  <c r="W75" i="2"/>
  <c r="E163" i="2"/>
  <c r="R179" i="2"/>
  <c r="L188" i="2"/>
  <c r="D96" i="2"/>
  <c r="T157" i="2"/>
  <c r="N72" i="2"/>
  <c r="Q160" i="2"/>
  <c r="P73" i="2"/>
  <c r="I188" i="2"/>
  <c r="W185" i="2"/>
  <c r="U171" i="2"/>
  <c r="L96" i="2"/>
  <c r="S92" i="2"/>
  <c r="V55" i="2"/>
  <c r="J80" i="2"/>
  <c r="R104" i="2"/>
  <c r="P164" i="2"/>
  <c r="P121" i="2"/>
  <c r="N69" i="2"/>
  <c r="J71" i="2"/>
  <c r="K122" i="2"/>
  <c r="I94" i="2"/>
  <c r="S178" i="2"/>
  <c r="E99" i="2"/>
  <c r="P160" i="2"/>
  <c r="X147" i="2"/>
  <c r="H160" i="2"/>
  <c r="G92" i="2"/>
  <c r="G187" i="2"/>
  <c r="K160" i="2"/>
  <c r="E180" i="2"/>
  <c r="U94" i="2"/>
  <c r="G90" i="2"/>
  <c r="V142" i="2"/>
  <c r="K107" i="2"/>
  <c r="O88" i="2"/>
  <c r="P96" i="2"/>
  <c r="V62" i="2"/>
  <c r="L108" i="2"/>
  <c r="R78" i="2"/>
  <c r="D90" i="2"/>
  <c r="X115" i="2"/>
  <c r="E68" i="2"/>
  <c r="U51" i="2"/>
  <c r="H80" i="2"/>
  <c r="R98" i="2"/>
  <c r="P78" i="2"/>
  <c r="W47" i="2"/>
  <c r="W76" i="2"/>
  <c r="N168" i="2"/>
  <c r="U92" i="2"/>
  <c r="X87" i="2"/>
  <c r="W181" i="2"/>
  <c r="T175" i="2"/>
  <c r="I169" i="2"/>
  <c r="R175" i="2"/>
  <c r="J96" i="2"/>
  <c r="D101" i="2"/>
  <c r="B92" i="2"/>
  <c r="P182" i="2"/>
  <c r="E73" i="2"/>
  <c r="K172" i="2"/>
  <c r="W67" i="2"/>
  <c r="S116" i="2"/>
  <c r="J76" i="2"/>
  <c r="K75" i="2"/>
  <c r="B80" i="2"/>
  <c r="V91" i="2"/>
  <c r="I74" i="2"/>
  <c r="W58" i="2"/>
  <c r="P176" i="2"/>
  <c r="D112" i="2"/>
  <c r="X91" i="2"/>
  <c r="G162" i="2"/>
  <c r="D176" i="2"/>
  <c r="V49" i="2"/>
  <c r="L94" i="2"/>
  <c r="R79" i="2"/>
  <c r="B104" i="2"/>
  <c r="S93" i="2"/>
  <c r="C74" i="2"/>
  <c r="J118" i="2"/>
  <c r="O109" i="2"/>
  <c r="M185" i="2"/>
  <c r="E88" i="2"/>
  <c r="H67" i="2"/>
  <c r="C101" i="2"/>
  <c r="I99" i="2"/>
  <c r="T142" i="2"/>
  <c r="C92" i="2"/>
  <c r="X72" i="2"/>
  <c r="J98" i="2"/>
  <c r="U73" i="2"/>
  <c r="U49" i="2"/>
  <c r="I187" i="2"/>
  <c r="U5" i="2"/>
  <c r="J102" i="2"/>
  <c r="S163" i="2"/>
  <c r="X114" i="2"/>
  <c r="I163" i="2"/>
  <c r="E164" i="2"/>
  <c r="S174" i="2"/>
  <c r="D102" i="2"/>
  <c r="T152" i="2"/>
  <c r="R163" i="2"/>
  <c r="E162" i="2"/>
  <c r="E167" i="2"/>
  <c r="N110" i="2"/>
  <c r="M92" i="2"/>
  <c r="U187" i="2"/>
  <c r="K77" i="2"/>
  <c r="I159" i="2"/>
  <c r="O79" i="2"/>
  <c r="U62" i="2"/>
  <c r="P92" i="2"/>
  <c r="T68" i="2"/>
  <c r="N109" i="2"/>
  <c r="H178" i="2"/>
  <c r="R75" i="2"/>
  <c r="E94" i="2"/>
  <c r="W162" i="2"/>
  <c r="X100" i="2"/>
  <c r="M159" i="2"/>
  <c r="V78" i="2"/>
  <c r="U67" i="2"/>
  <c r="R112" i="2"/>
  <c r="F178" i="2"/>
  <c r="T173" i="2"/>
  <c r="F121" i="2"/>
  <c r="P93" i="2"/>
  <c r="W154" i="2"/>
  <c r="G160" i="2"/>
  <c r="B71" i="2"/>
  <c r="X80" i="2"/>
  <c r="M101" i="2"/>
  <c r="B159" i="2"/>
  <c r="N174" i="2"/>
  <c r="P165" i="2"/>
  <c r="T143" i="2"/>
  <c r="S159" i="2"/>
  <c r="G94" i="2"/>
  <c r="S71" i="2"/>
  <c r="Q99" i="2"/>
  <c r="U103" i="2"/>
  <c r="X141" i="2"/>
  <c r="B74" i="2"/>
  <c r="K112" i="2"/>
  <c r="U50" i="2"/>
  <c r="P100" i="2"/>
  <c r="J170" i="2"/>
  <c r="T170" i="2"/>
  <c r="O159" i="2"/>
  <c r="L102" i="2"/>
  <c r="D159" i="2"/>
  <c r="K109" i="2"/>
  <c r="W141" i="2"/>
  <c r="E113" i="2"/>
  <c r="U154" i="2"/>
  <c r="W102" i="2"/>
  <c r="U106" i="2"/>
  <c r="P173" i="2"/>
  <c r="L100" i="2"/>
  <c r="N112" i="2"/>
  <c r="P175" i="2"/>
  <c r="L78" i="2"/>
  <c r="I71" i="2"/>
  <c r="P185" i="2"/>
  <c r="D160" i="2"/>
  <c r="H104" i="2"/>
  <c r="H103" i="2"/>
  <c r="D88" i="2"/>
  <c r="U172" i="2"/>
  <c r="T164" i="2"/>
  <c r="Q183" i="2"/>
  <c r="X93" i="2"/>
  <c r="E100" i="2"/>
  <c r="E119" i="2"/>
  <c r="O78" i="2"/>
  <c r="O113" i="2"/>
  <c r="N99" i="2"/>
  <c r="V157" i="2"/>
  <c r="X65" i="2"/>
  <c r="R110" i="2"/>
  <c r="W66" i="2"/>
  <c r="K70" i="2"/>
  <c r="M177" i="2"/>
  <c r="S162" i="2"/>
  <c r="Q174" i="2"/>
  <c r="K100" i="2"/>
  <c r="W54" i="2"/>
  <c r="S97" i="2"/>
  <c r="J73" i="2"/>
  <c r="T140" i="2"/>
  <c r="T92" i="2"/>
  <c r="O168" i="2"/>
  <c r="K72" i="2"/>
  <c r="R69" i="2"/>
  <c r="L166" i="2"/>
  <c r="V113" i="2"/>
  <c r="K89" i="2"/>
  <c r="X179" i="2"/>
  <c r="K103" i="2"/>
  <c r="F73" i="2"/>
  <c r="I108" i="2"/>
  <c r="T56" i="2"/>
  <c r="K179" i="2"/>
  <c r="T149" i="2"/>
  <c r="U166" i="2"/>
  <c r="D184" i="2"/>
  <c r="C162" i="2"/>
  <c r="K159" i="2"/>
  <c r="Q161" i="2"/>
  <c r="V54" i="2"/>
  <c r="S106" i="2"/>
  <c r="H97" i="2"/>
  <c r="S101" i="2"/>
  <c r="V100" i="2"/>
  <c r="C78" i="2"/>
  <c r="B90" i="2"/>
  <c r="D94" i="2"/>
  <c r="X97" i="2"/>
  <c r="V162" i="2"/>
  <c r="F106" i="2"/>
  <c r="K116" i="2"/>
  <c r="Q74" i="2"/>
  <c r="K169" i="2"/>
  <c r="R88" i="2"/>
  <c r="S160" i="2"/>
  <c r="H98" i="2"/>
  <c r="H112" i="2"/>
  <c r="U141" i="2"/>
  <c r="X47" i="2"/>
  <c r="D80" i="2"/>
  <c r="V182" i="2"/>
  <c r="G106" i="2"/>
  <c r="M180" i="2"/>
  <c r="Q172" i="2"/>
  <c r="H105" i="2"/>
  <c r="E178" i="2"/>
  <c r="U164" i="2"/>
  <c r="I114" i="2"/>
  <c r="O104" i="2"/>
  <c r="V155" i="2"/>
  <c r="H68" i="2"/>
  <c r="V103" i="2"/>
  <c r="X110" i="2"/>
  <c r="R164" i="2"/>
  <c r="M79" i="2"/>
  <c r="E118" i="2"/>
  <c r="H93" i="2"/>
  <c r="U69" i="2"/>
  <c r="J100" i="2"/>
  <c r="V90" i="2"/>
  <c r="G170" i="2"/>
  <c r="I106" i="2"/>
  <c r="E67" i="2"/>
  <c r="X109" i="2"/>
  <c r="U91" i="2"/>
  <c r="N176" i="2"/>
  <c r="L163" i="2"/>
  <c r="C161" i="2"/>
  <c r="L173" i="2"/>
  <c r="K161" i="2"/>
  <c r="F169" i="2"/>
  <c r="S115" i="2"/>
  <c r="R159" i="2"/>
  <c r="C185" i="2"/>
  <c r="H78" i="2"/>
  <c r="Q111" i="2"/>
  <c r="D119" i="2"/>
  <c r="F103" i="2"/>
  <c r="C110" i="2"/>
  <c r="P169" i="2"/>
  <c r="R114" i="2"/>
  <c r="S102" i="2"/>
  <c r="W95" i="2"/>
  <c r="V123" i="2"/>
  <c r="D73" i="2"/>
  <c r="N88" i="2"/>
  <c r="F74" i="2"/>
  <c r="X70" i="2"/>
  <c r="L174" i="2"/>
  <c r="J110" i="2"/>
  <c r="B102" i="2"/>
  <c r="J93" i="2"/>
  <c r="L95" i="2"/>
  <c r="L77" i="2"/>
  <c r="V176" i="2"/>
  <c r="G188" i="2"/>
  <c r="O189" i="2"/>
  <c r="S88" i="2"/>
  <c r="G119" i="2"/>
  <c r="U90" i="2"/>
  <c r="I171" i="2"/>
  <c r="O80" i="2"/>
  <c r="M179" i="2"/>
  <c r="M183" i="2"/>
  <c r="M109" i="2"/>
  <c r="U180" i="2"/>
  <c r="V96" i="2"/>
  <c r="Q118" i="2"/>
  <c r="U93" i="2"/>
  <c r="J175" i="2"/>
  <c r="T180" i="2"/>
  <c r="L116" i="2"/>
  <c r="K177" i="2"/>
  <c r="R185" i="2"/>
  <c r="D113" i="2"/>
  <c r="C115" i="2"/>
  <c r="K90" i="2"/>
  <c r="T122" i="2"/>
  <c r="R160" i="2"/>
  <c r="E103" i="2"/>
  <c r="Q91" i="2"/>
  <c r="F186" i="2"/>
  <c r="C169" i="2"/>
  <c r="N75" i="2"/>
  <c r="Q124" i="2"/>
  <c r="G189" i="2"/>
  <c r="S91" i="2"/>
  <c r="L190" i="2"/>
  <c r="V118" i="2"/>
  <c r="S69" i="2"/>
  <c r="L105" i="2"/>
  <c r="X138" i="2"/>
  <c r="U80" i="2"/>
  <c r="J160" i="2"/>
  <c r="V185" i="2"/>
  <c r="R102" i="2"/>
  <c r="X171" i="2"/>
  <c r="O187" i="2"/>
  <c r="F175" i="2"/>
  <c r="R93" i="2"/>
  <c r="M117" i="2"/>
  <c r="T114" i="2"/>
  <c r="T167" i="2"/>
  <c r="I116" i="2"/>
  <c r="V177" i="2"/>
  <c r="W142" i="2"/>
  <c r="C71" i="2"/>
  <c r="X98" i="2"/>
  <c r="Q120" i="2"/>
  <c r="S80" i="2"/>
  <c r="G174" i="2"/>
  <c r="T188" i="2"/>
  <c r="U107" i="2"/>
  <c r="E105" i="2"/>
  <c r="T100" i="2"/>
  <c r="E168" i="2"/>
  <c r="Q162" i="2"/>
  <c r="X158" i="2"/>
  <c r="O170" i="2"/>
  <c r="T66" i="2"/>
  <c r="U153" i="2"/>
  <c r="W104" i="2"/>
  <c r="U57" i="2"/>
  <c r="U108" i="2"/>
  <c r="O180" i="2"/>
  <c r="B78" i="2"/>
  <c r="O110" i="2"/>
  <c r="R171" i="2"/>
  <c r="D167" i="2"/>
  <c r="U176" i="2"/>
  <c r="X62" i="2"/>
  <c r="J92" i="2"/>
  <c r="L103" i="2"/>
  <c r="V168" i="2"/>
  <c r="T190" i="2"/>
  <c r="T72" i="2"/>
  <c r="F107" i="2"/>
  <c r="F89" i="2"/>
  <c r="L178" i="2"/>
  <c r="L172" i="2"/>
  <c r="F78" i="2"/>
  <c r="L75" i="2"/>
  <c r="B187" i="2"/>
  <c r="B113" i="2"/>
  <c r="P107" i="2"/>
  <c r="G117" i="2"/>
  <c r="M169" i="2"/>
  <c r="G78" i="2"/>
  <c r="L113" i="2"/>
  <c r="X61" i="2"/>
  <c r="B106" i="2"/>
  <c r="V63" i="2"/>
  <c r="D97" i="2"/>
  <c r="O177" i="2"/>
  <c r="C181" i="2"/>
  <c r="T171" i="2"/>
  <c r="M116" i="2"/>
  <c r="J159" i="2"/>
  <c r="I104" i="2"/>
  <c r="N94" i="2"/>
  <c r="V187" i="2"/>
  <c r="F189" i="2"/>
  <c r="D170" i="2"/>
  <c r="M102" i="2"/>
  <c r="X186" i="2"/>
  <c r="E190" i="2"/>
  <c r="V158" i="2"/>
  <c r="M184" i="2"/>
  <c r="N106" i="2"/>
  <c r="J190" i="2"/>
  <c r="M107" i="2"/>
  <c r="V119" i="2"/>
  <c r="R100" i="2"/>
  <c r="J72" i="2"/>
  <c r="W183" i="2"/>
  <c r="P76" i="2"/>
  <c r="T150" i="2"/>
  <c r="C119" i="2"/>
  <c r="B93" i="2"/>
  <c r="R189" i="2"/>
  <c r="L112" i="2"/>
  <c r="J70" i="2"/>
  <c r="M78" i="2"/>
  <c r="V56" i="2"/>
  <c r="O116" i="2"/>
  <c r="S170" i="2"/>
  <c r="B99" i="2"/>
  <c r="P70" i="2"/>
  <c r="C98" i="2"/>
  <c r="H110" i="2"/>
  <c r="O92" i="2"/>
  <c r="G110" i="2"/>
  <c r="K174" i="2"/>
  <c r="I67" i="2"/>
  <c r="I172" i="2"/>
  <c r="Q103" i="2"/>
  <c r="D69" i="2"/>
  <c r="V48" i="2"/>
  <c r="J180" i="2"/>
  <c r="C122" i="2"/>
  <c r="S183" i="2"/>
  <c r="U97" i="2"/>
  <c r="V108" i="2"/>
  <c r="G178" i="2"/>
  <c r="W156" i="2"/>
  <c r="G182" i="2"/>
  <c r="X166" i="2"/>
  <c r="N185" i="2"/>
  <c r="K88" i="2"/>
  <c r="T58" i="2"/>
  <c r="U72" i="2"/>
  <c r="D77" i="2"/>
  <c r="B89" i="2"/>
  <c r="X174" i="2"/>
  <c r="U152" i="2"/>
  <c r="L104" i="2"/>
  <c r="G109" i="2"/>
  <c r="F77" i="2"/>
  <c r="S188" i="2"/>
  <c r="V105" i="2"/>
  <c r="P108" i="2"/>
  <c r="R72" i="2"/>
  <c r="L98" i="2"/>
  <c r="M98" i="2"/>
  <c r="N105" i="2"/>
  <c r="G172" i="2"/>
  <c r="D161" i="2"/>
  <c r="P71" i="2"/>
  <c r="I189" i="2"/>
  <c r="C114" i="2"/>
  <c r="J95" i="2"/>
  <c r="O72" i="2"/>
  <c r="W64" i="2"/>
  <c r="S176" i="2"/>
  <c r="S161" i="2"/>
  <c r="L68" i="2"/>
  <c r="X146" i="2"/>
  <c r="Q181" i="2"/>
  <c r="X168" i="2"/>
  <c r="K180" i="2"/>
  <c r="P112" i="2"/>
  <c r="T70" i="2"/>
  <c r="C173" i="2"/>
  <c r="D169" i="2"/>
  <c r="N104" i="2"/>
  <c r="W96" i="2"/>
  <c r="K170" i="2"/>
  <c r="W157" i="2"/>
  <c r="W88" i="2"/>
  <c r="S184" i="2"/>
  <c r="L164" i="2"/>
  <c r="J113" i="2"/>
  <c r="O165" i="2"/>
  <c r="D108" i="2"/>
  <c r="Q72" i="2"/>
  <c r="X5" i="2"/>
  <c r="D117" i="2"/>
  <c r="Q69" i="2"/>
  <c r="V170" i="2"/>
  <c r="H162" i="2"/>
  <c r="Q180" i="2"/>
  <c r="T67" i="2"/>
  <c r="V46" i="2"/>
  <c r="E179" i="2"/>
  <c r="E186" i="2"/>
  <c r="W89" i="2"/>
  <c r="W74" i="2"/>
  <c r="L106" i="2"/>
  <c r="X101" i="2"/>
  <c r="M161" i="2"/>
  <c r="T47" i="2"/>
  <c r="M174" i="2"/>
  <c r="U70" i="2"/>
  <c r="J107" i="2"/>
  <c r="B182" i="2"/>
  <c r="X177" i="2"/>
  <c r="C180" i="2"/>
  <c r="I70" i="2"/>
  <c r="J116" i="2"/>
  <c r="T64" i="2"/>
  <c r="M88" i="2"/>
  <c r="B179" i="2"/>
  <c r="W173" i="2"/>
  <c r="T184" i="2"/>
  <c r="X95" i="2"/>
  <c r="W182" i="2"/>
  <c r="S104" i="2"/>
  <c r="C178" i="2"/>
  <c r="D121" i="2"/>
  <c r="E175" i="2"/>
  <c r="V178" i="2"/>
  <c r="U140" i="2"/>
  <c r="M123" i="2"/>
  <c r="H79" i="2"/>
  <c r="N79" i="2"/>
  <c r="V53" i="2"/>
  <c r="S110" i="2"/>
  <c r="S118" i="2"/>
  <c r="H166" i="2"/>
  <c r="M187" i="2"/>
  <c r="F105" i="2"/>
  <c r="V111" i="2"/>
  <c r="W175" i="2"/>
  <c r="N118" i="2"/>
  <c r="K164" i="2"/>
  <c r="I117" i="2"/>
  <c r="S166" i="2"/>
  <c r="X123" i="2"/>
  <c r="V152" i="2"/>
  <c r="W56" i="2"/>
  <c r="N95" i="2"/>
  <c r="R90" i="2"/>
  <c r="X66" i="2"/>
  <c r="U165" i="2"/>
  <c r="X69" i="2"/>
  <c r="F110" i="2"/>
  <c r="B119" i="2"/>
  <c r="T106" i="2"/>
  <c r="N114" i="2"/>
  <c r="P178" i="2"/>
  <c r="Q189" i="2"/>
  <c r="T178" i="2"/>
  <c r="Q112" i="2"/>
  <c r="U121" i="2"/>
  <c r="N184" i="2"/>
  <c r="L117" i="2"/>
  <c r="L187" i="2"/>
  <c r="F174" i="2"/>
  <c r="H108" i="2"/>
  <c r="E188" i="2"/>
  <c r="F79" i="2"/>
  <c r="T94" i="2"/>
  <c r="C190" i="2"/>
  <c r="W189" i="2"/>
  <c r="E116" i="2"/>
  <c r="U123" i="2"/>
  <c r="W86" i="2"/>
  <c r="S89" i="2"/>
  <c r="F91" i="2"/>
  <c r="M165" i="2"/>
  <c r="T74" i="2"/>
  <c r="V68" i="2"/>
  <c r="E172" i="2"/>
  <c r="C108" i="2"/>
  <c r="T172" i="2"/>
  <c r="R190" i="2"/>
  <c r="P72" i="2"/>
  <c r="W190" i="2"/>
  <c r="P124" i="2"/>
  <c r="T168" i="2"/>
  <c r="W112" i="2"/>
  <c r="U116" i="2"/>
  <c r="K118" i="2"/>
  <c r="X140" i="2"/>
  <c r="I92" i="2"/>
  <c r="M172" i="2"/>
  <c r="T109" i="2"/>
  <c r="C97" i="2"/>
  <c r="G77" i="2"/>
  <c r="V88" i="2"/>
  <c r="G161" i="2"/>
  <c r="R174" i="2"/>
  <c r="L183" i="2"/>
  <c r="D178" i="2"/>
  <c r="C75" i="2"/>
  <c r="H71" i="2"/>
  <c r="X50" i="2"/>
  <c r="N92" i="2"/>
  <c r="Q89" i="2"/>
  <c r="X150" i="2"/>
  <c r="L89" i="2"/>
  <c r="U63" i="2"/>
  <c r="L67" i="2"/>
  <c r="R77" i="2"/>
  <c r="V143" i="2"/>
  <c r="T78" i="2"/>
  <c r="H96" i="2"/>
  <c r="L110" i="2"/>
  <c r="C77" i="2"/>
  <c r="K167" i="2"/>
  <c r="U115" i="2"/>
  <c r="X180" i="2"/>
  <c r="W164" i="2"/>
  <c r="U76" i="2"/>
  <c r="U138" i="2"/>
  <c r="T116" i="2"/>
  <c r="V75" i="2"/>
  <c r="U54" i="2"/>
  <c r="U159" i="2"/>
  <c r="F101" i="2"/>
  <c r="I165" i="2"/>
  <c r="U169" i="2"/>
  <c r="T153" i="2"/>
  <c r="J122" i="2"/>
  <c r="W108" i="2"/>
  <c r="F179" i="2"/>
  <c r="U178" i="2"/>
  <c r="I166" i="2"/>
  <c r="T182" i="2"/>
  <c r="V92" i="2"/>
  <c r="X46" i="2"/>
  <c r="S187" i="2"/>
  <c r="O185" i="2"/>
  <c r="T156" i="2"/>
  <c r="D163" i="2"/>
  <c r="B183" i="2"/>
  <c r="I161" i="2"/>
  <c r="K104" i="2"/>
  <c r="O161" i="2"/>
  <c r="M75" i="2"/>
  <c r="K117" i="2"/>
  <c r="Q109" i="2"/>
  <c r="E110" i="2"/>
  <c r="P74" i="2"/>
  <c r="U181" i="2"/>
  <c r="T80" i="2"/>
  <c r="T186" i="2"/>
  <c r="C111" i="2"/>
  <c r="M100" i="2"/>
  <c r="K94" i="2"/>
  <c r="U58" i="2"/>
  <c r="F117" i="2"/>
  <c r="I167" i="2"/>
  <c r="V52" i="2"/>
  <c r="T119" i="2"/>
  <c r="E170" i="2"/>
  <c r="F67" i="2"/>
  <c r="K188" i="2"/>
  <c r="I181" i="2"/>
  <c r="P88" i="2"/>
  <c r="W125" i="2"/>
  <c r="V181" i="2"/>
  <c r="W57" i="2"/>
  <c r="R168" i="2"/>
  <c r="P123" i="2"/>
  <c r="I177" i="2"/>
  <c r="B120" i="2"/>
  <c r="F173" i="2"/>
  <c r="D118" i="2"/>
  <c r="N122" i="2"/>
  <c r="S180" i="2"/>
  <c r="V190" i="2"/>
  <c r="X139" i="2"/>
  <c r="K183" i="2"/>
  <c r="O69" i="2"/>
  <c r="M189" i="2"/>
  <c r="S123" i="2"/>
  <c r="O125" i="2"/>
  <c r="D127" i="2"/>
  <c r="Q166" i="2"/>
  <c r="B107" i="2"/>
  <c r="U125" i="2"/>
  <c r="N117" i="2"/>
  <c r="D168" i="2"/>
  <c r="K73" i="2"/>
  <c r="M122" i="2"/>
  <c r="Q116" i="2"/>
  <c r="U190" i="2"/>
  <c r="O121" i="2"/>
  <c r="P171" i="2"/>
  <c r="I101" i="2"/>
  <c r="R115" i="2"/>
  <c r="U119" i="2"/>
  <c r="U113" i="2"/>
  <c r="O127" i="2"/>
  <c r="J117" i="2"/>
  <c r="J187" i="2"/>
  <c r="S125" i="2"/>
  <c r="W171" i="2"/>
  <c r="H91" i="2"/>
  <c r="U47" i="2"/>
  <c r="P68" i="2"/>
  <c r="N103" i="2"/>
  <c r="X167" i="2"/>
  <c r="L159" i="2"/>
  <c r="W106" i="2"/>
  <c r="T77" i="2"/>
  <c r="K120" i="2"/>
  <c r="I78" i="2"/>
  <c r="D105" i="2"/>
  <c r="J183" i="2"/>
  <c r="Q93" i="2"/>
  <c r="B121" i="2"/>
  <c r="E125" i="2"/>
  <c r="V186" i="2"/>
  <c r="M115" i="2"/>
  <c r="X122" i="2"/>
  <c r="U66" i="2"/>
  <c r="C120" i="2"/>
  <c r="U188" i="2"/>
  <c r="W178" i="2"/>
  <c r="O107" i="2"/>
  <c r="H101" i="2"/>
  <c r="S117" i="2"/>
  <c r="D122" i="2"/>
  <c r="G67" i="2"/>
  <c r="H126" i="2"/>
  <c r="G100" i="2"/>
  <c r="S119" i="2"/>
  <c r="N119" i="2"/>
  <c r="I102" i="2"/>
  <c r="W150" i="2"/>
  <c r="J111" i="2"/>
  <c r="P190" i="2"/>
  <c r="X52" i="2"/>
  <c r="B116" i="2"/>
  <c r="B175" i="2"/>
  <c r="E114" i="2"/>
  <c r="W177" i="2"/>
  <c r="K102" i="2"/>
  <c r="R124" i="2"/>
  <c r="D126" i="2"/>
  <c r="W127" i="2"/>
  <c r="V67" i="2"/>
  <c r="F162" i="2"/>
  <c r="M124" i="2"/>
  <c r="I119" i="2"/>
  <c r="O89" i="2"/>
  <c r="H167" i="2"/>
  <c r="T179" i="2"/>
  <c r="L121" i="2"/>
  <c r="T73" i="2"/>
  <c r="G184" i="2"/>
  <c r="M121" i="2"/>
  <c r="H188" i="2"/>
  <c r="N177" i="2"/>
  <c r="L124" i="2"/>
  <c r="Q182" i="2"/>
  <c r="C127" i="2"/>
  <c r="W140" i="2"/>
  <c r="C171" i="2"/>
  <c r="C123" i="2"/>
  <c r="Q71" i="2"/>
  <c r="W167" i="2"/>
  <c r="Q101" i="2"/>
  <c r="Q97" i="2"/>
  <c r="W152" i="2"/>
  <c r="P189" i="2"/>
  <c r="N76" i="2"/>
  <c r="Q122" i="2"/>
  <c r="E96" i="2"/>
  <c r="M178" i="2"/>
  <c r="N126" i="2"/>
  <c r="V175" i="2"/>
  <c r="M113" i="2"/>
  <c r="U74" i="2"/>
  <c r="M190" i="2"/>
  <c r="N189" i="2"/>
  <c r="C95" i="2"/>
  <c r="Q121" i="2"/>
  <c r="T151" i="2"/>
  <c r="H120" i="2"/>
  <c r="I184" i="2"/>
  <c r="H77" i="2"/>
  <c r="S120" i="2"/>
  <c r="K168" i="2"/>
  <c r="D106" i="2"/>
  <c r="S90" i="2"/>
  <c r="S173" i="2"/>
  <c r="U182" i="2"/>
  <c r="T103" i="2"/>
  <c r="L114" i="2"/>
  <c r="L109" i="2"/>
  <c r="P101" i="2"/>
  <c r="H114" i="2"/>
  <c r="S72" i="2"/>
  <c r="W120" i="2"/>
  <c r="B170" i="2"/>
  <c r="O68" i="2"/>
  <c r="R99" i="2"/>
  <c r="E123" i="2"/>
  <c r="G88" i="2"/>
  <c r="W101" i="2"/>
  <c r="Q168" i="2"/>
  <c r="J91" i="2"/>
  <c r="H70" i="2"/>
  <c r="I185" i="2"/>
  <c r="D185" i="2"/>
  <c r="V112" i="2"/>
  <c r="E124" i="2"/>
  <c r="S67" i="2"/>
  <c r="G125" i="2"/>
  <c r="H128" i="2"/>
  <c r="E122" i="2"/>
  <c r="T91" i="2"/>
  <c r="E182" i="2"/>
  <c r="U110" i="2"/>
  <c r="D174" i="2"/>
  <c r="N113" i="2"/>
  <c r="C80" i="2"/>
  <c r="W90" i="2"/>
  <c r="U100" i="2"/>
  <c r="W79" i="2"/>
  <c r="C184" i="2"/>
  <c r="U87" i="2"/>
  <c r="H169" i="2"/>
  <c r="X53" i="2"/>
  <c r="E106" i="2"/>
  <c r="P188" i="2"/>
  <c r="T128" i="2"/>
  <c r="W128" i="2"/>
  <c r="Q79" i="2"/>
  <c r="R173" i="2"/>
  <c r="W105" i="2"/>
  <c r="D123" i="2"/>
  <c r="I118" i="2"/>
  <c r="G177" i="2"/>
  <c r="V97" i="2"/>
  <c r="R68" i="2"/>
  <c r="M111" i="2"/>
  <c r="K190" i="2"/>
  <c r="G101" i="2"/>
  <c r="C96" i="2"/>
  <c r="X144" i="2"/>
  <c r="N71" i="2"/>
  <c r="L70" i="2"/>
  <c r="G169" i="2"/>
  <c r="V98" i="2"/>
  <c r="E187" i="2"/>
  <c r="K108" i="2"/>
  <c r="W146" i="2"/>
  <c r="E90" i="2"/>
  <c r="T62" i="2"/>
  <c r="H181" i="2"/>
  <c r="F163" i="2"/>
  <c r="W109" i="2"/>
  <c r="X160" i="2"/>
  <c r="R122" i="2"/>
  <c r="F116" i="2"/>
  <c r="K114" i="2"/>
  <c r="J166" i="2"/>
  <c r="O73" i="2"/>
  <c r="B171" i="2"/>
  <c r="C186" i="2"/>
  <c r="O174" i="2"/>
  <c r="V165" i="2"/>
  <c r="R89" i="2"/>
  <c r="C89" i="2"/>
  <c r="E115" i="2"/>
  <c r="D104" i="2"/>
  <c r="W98" i="2"/>
  <c r="C113" i="2"/>
  <c r="N78" i="2"/>
  <c r="W153" i="2"/>
  <c r="T160" i="2"/>
  <c r="X67" i="2"/>
  <c r="P79" i="2"/>
  <c r="N188" i="2"/>
  <c r="Q90" i="2"/>
  <c r="O166" i="2"/>
  <c r="R186" i="2"/>
  <c r="O119" i="2"/>
  <c r="J79" i="2"/>
  <c r="V110" i="2"/>
  <c r="D114" i="2"/>
  <c r="M72" i="2"/>
  <c r="R178" i="2"/>
  <c r="D181" i="2"/>
  <c r="P187" i="2"/>
  <c r="V95" i="2"/>
  <c r="E109" i="2"/>
  <c r="F188" i="2"/>
  <c r="I120" i="2"/>
  <c r="R108" i="2"/>
  <c r="V114" i="2"/>
  <c r="R97" i="2"/>
  <c r="G103" i="2"/>
  <c r="L119" i="2"/>
  <c r="Q125" i="2"/>
  <c r="S76" i="2"/>
  <c r="G175" i="2"/>
  <c r="J104" i="2"/>
  <c r="K119" i="2"/>
  <c r="P117" i="2"/>
  <c r="T189" i="2"/>
  <c r="T183" i="2"/>
  <c r="R113" i="2"/>
  <c r="H89" i="2"/>
  <c r="P75" i="2"/>
  <c r="N183" i="2"/>
  <c r="S79" i="2"/>
  <c r="N167" i="2"/>
  <c r="T121" i="2"/>
  <c r="G99" i="2"/>
  <c r="B101" i="2"/>
  <c r="R177" i="2"/>
  <c r="D189" i="2"/>
  <c r="Q115" i="2"/>
  <c r="U55" i="2"/>
  <c r="T120" i="2"/>
  <c r="W51" i="2"/>
  <c r="O179" i="2"/>
  <c r="R183" i="2"/>
  <c r="X63" i="2"/>
  <c r="Q119" i="2"/>
  <c r="B76" i="2"/>
  <c r="V65" i="2"/>
  <c r="J126" i="2"/>
  <c r="O183" i="2"/>
  <c r="X187" i="2"/>
  <c r="T48" i="2"/>
  <c r="T127" i="2"/>
  <c r="R67" i="2"/>
  <c r="E79" i="2"/>
  <c r="S96" i="2"/>
  <c r="M168" i="2"/>
  <c r="E74" i="2"/>
  <c r="D92" i="2"/>
  <c r="S73" i="2"/>
  <c r="X58" i="2"/>
  <c r="E107" i="2"/>
  <c r="K105" i="2"/>
  <c r="E71" i="2"/>
  <c r="I123" i="2"/>
  <c r="G167" i="2"/>
  <c r="W188" i="2"/>
  <c r="D177" i="2"/>
  <c r="Q127" i="2"/>
  <c r="U109" i="2"/>
  <c r="Q164" i="2"/>
  <c r="T115" i="2"/>
  <c r="E98" i="2"/>
  <c r="U186" i="2"/>
  <c r="L189" i="2"/>
  <c r="H118" i="2"/>
  <c r="W187" i="2"/>
  <c r="W107" i="2"/>
  <c r="F181" i="2"/>
  <c r="F123" i="2"/>
  <c r="P125" i="2"/>
  <c r="I127" i="2"/>
  <c r="M112" i="2"/>
  <c r="D120" i="2"/>
  <c r="W123" i="2"/>
  <c r="W186" i="2"/>
  <c r="U144" i="2"/>
  <c r="W145" i="2"/>
  <c r="O190" i="2"/>
  <c r="F168" i="2"/>
  <c r="F122" i="2"/>
  <c r="K92" i="2"/>
  <c r="N190" i="2"/>
  <c r="C188" i="2"/>
  <c r="J186" i="2"/>
  <c r="L122" i="2"/>
  <c r="R126" i="2"/>
  <c r="B127" i="2"/>
  <c r="C67" i="2"/>
  <c r="W166" i="2"/>
  <c r="F190" i="2"/>
  <c r="E173" i="2"/>
  <c r="U162" i="2"/>
  <c r="J88" i="2"/>
  <c r="M181" i="2"/>
  <c r="D74" i="2"/>
  <c r="I115" i="2"/>
  <c r="K123" i="2"/>
  <c r="G164" i="2"/>
  <c r="D89" i="2"/>
  <c r="Q176" i="2"/>
  <c r="L115" i="2"/>
  <c r="X188" i="2"/>
  <c r="F171" i="2"/>
  <c r="R80" i="2"/>
  <c r="V179" i="2"/>
  <c r="I162" i="2"/>
  <c r="H107" i="2"/>
  <c r="X117" i="2"/>
  <c r="U122" i="2"/>
  <c r="K111" i="2"/>
  <c r="C179" i="2"/>
  <c r="P186" i="2"/>
  <c r="R120" i="2"/>
  <c r="R184" i="2"/>
  <c r="J188" i="2"/>
  <c r="P80" i="2"/>
  <c r="H125" i="2"/>
  <c r="X125" i="2"/>
  <c r="H180" i="2"/>
  <c r="B77" i="2"/>
  <c r="U157" i="2"/>
  <c r="V73" i="2"/>
  <c r="K71" i="2"/>
  <c r="X145" i="2"/>
  <c r="H102" i="2"/>
  <c r="H171" i="2"/>
  <c r="L111" i="2"/>
  <c r="X99" i="2"/>
  <c r="C69" i="2"/>
  <c r="J185" i="2"/>
  <c r="C112" i="2"/>
  <c r="H190" i="2"/>
  <c r="R111" i="2"/>
  <c r="T126" i="2"/>
  <c r="J182" i="2"/>
  <c r="U120" i="2"/>
  <c r="W124" i="2"/>
  <c r="X57" i="2"/>
  <c r="X79" i="2"/>
  <c r="F94" i="2"/>
  <c r="J90" i="2"/>
  <c r="X118" i="2"/>
  <c r="E111" i="2"/>
  <c r="P109" i="2"/>
  <c r="T161" i="2"/>
  <c r="J164" i="2"/>
  <c r="P114" i="2"/>
  <c r="P181" i="2"/>
  <c r="V116" i="2"/>
  <c r="M127" i="2"/>
  <c r="D95" i="2"/>
  <c r="C79" i="2"/>
  <c r="H123" i="2"/>
  <c r="J189" i="2"/>
  <c r="W179" i="2"/>
  <c r="H182" i="2"/>
  <c r="X106" i="2"/>
  <c r="R109" i="2"/>
  <c r="N180" i="2"/>
  <c r="S122" i="2"/>
  <c r="V164" i="2"/>
  <c r="X127" i="2"/>
  <c r="B70" i="2"/>
  <c r="R165" i="2"/>
  <c r="V72" i="2"/>
  <c r="X108" i="2"/>
  <c r="X120" i="2"/>
  <c r="T112" i="2"/>
  <c r="B188" i="2"/>
  <c r="X59" i="2"/>
  <c r="D78" i="2"/>
  <c r="D125" i="2"/>
  <c r="X128" i="2"/>
  <c r="P110" i="2"/>
  <c r="P115" i="2"/>
  <c r="D116" i="2"/>
  <c r="O117" i="2"/>
  <c r="R181" i="2"/>
  <c r="G104" i="2"/>
  <c r="F115" i="2"/>
  <c r="N101" i="2"/>
  <c r="W163" i="2"/>
  <c r="W87" i="2"/>
  <c r="M186" i="2"/>
  <c r="Q184" i="2"/>
  <c r="G180" i="2"/>
  <c r="I186" i="2"/>
  <c r="D124" i="2"/>
  <c r="L125" i="2"/>
  <c r="I128" i="2"/>
  <c r="U128" i="2"/>
  <c r="G93" i="2"/>
  <c r="K96" i="2"/>
  <c r="M188" i="2"/>
  <c r="P106" i="2"/>
  <c r="E120" i="2"/>
  <c r="S182" i="2"/>
  <c r="M166" i="2"/>
  <c r="X172" i="2"/>
  <c r="T169" i="2"/>
  <c r="C160" i="2"/>
  <c r="X54" i="2"/>
  <c r="H121" i="2"/>
  <c r="O120" i="2"/>
  <c r="N179" i="2"/>
  <c r="F108" i="2"/>
  <c r="J97" i="2"/>
  <c r="D75" i="2"/>
  <c r="B177" i="2"/>
  <c r="S175" i="2"/>
  <c r="V144" i="2"/>
  <c r="G95" i="2"/>
  <c r="V66" i="2"/>
  <c r="G190" i="2"/>
  <c r="O105" i="2"/>
  <c r="B73" i="2"/>
  <c r="R167" i="2"/>
  <c r="J114" i="2"/>
  <c r="R119" i="2"/>
  <c r="G98" i="2"/>
  <c r="R71" i="2"/>
  <c r="W115" i="2"/>
  <c r="W68" i="2"/>
  <c r="U104" i="2"/>
  <c r="E185" i="2"/>
  <c r="T148" i="2"/>
  <c r="H95" i="2"/>
  <c r="S186" i="2"/>
  <c r="M182" i="2"/>
  <c r="K68" i="2"/>
  <c r="I68" i="2"/>
  <c r="O112" i="2"/>
  <c r="B117" i="2"/>
  <c r="J123" i="2"/>
  <c r="T87" i="2"/>
  <c r="I174" i="2"/>
  <c r="R176" i="2"/>
  <c r="K175" i="2"/>
  <c r="U101" i="2"/>
  <c r="M173" i="2"/>
  <c r="F119" i="2"/>
  <c r="E80" i="2"/>
  <c r="X116" i="2"/>
  <c r="Q108" i="2"/>
  <c r="X165" i="2"/>
  <c r="B174" i="2"/>
  <c r="T176" i="2"/>
  <c r="D180" i="2"/>
  <c r="H173" i="2"/>
  <c r="O99" i="2"/>
  <c r="V58" i="2"/>
  <c r="J176" i="2"/>
  <c r="W78" i="2"/>
  <c r="G120" i="2"/>
  <c r="L91" i="2"/>
  <c r="X164" i="2"/>
  <c r="X189" i="2"/>
  <c r="N89" i="2"/>
  <c r="U175" i="2"/>
  <c r="R180" i="2"/>
  <c r="V171" i="2"/>
  <c r="N121" i="2"/>
  <c r="H185" i="2"/>
  <c r="Q105" i="2"/>
  <c r="F75" i="2"/>
  <c r="S105" i="2"/>
  <c r="M80" i="2"/>
  <c r="W5" i="2"/>
  <c r="E159" i="2"/>
  <c r="V109" i="2"/>
  <c r="L181" i="2"/>
  <c r="L177" i="2"/>
  <c r="U183" i="2"/>
  <c r="T154" i="2"/>
  <c r="Q110" i="2"/>
  <c r="M110" i="2"/>
  <c r="P99" i="2"/>
  <c r="O76" i="2"/>
  <c r="C187" i="2"/>
  <c r="R101" i="2"/>
  <c r="K67" i="2"/>
  <c r="F114" i="2"/>
  <c r="W116" i="2"/>
  <c r="G186" i="2"/>
  <c r="E104" i="2"/>
  <c r="H122" i="2"/>
  <c r="G126" i="2"/>
  <c r="J125" i="2"/>
  <c r="T104" i="2"/>
  <c r="C102" i="2"/>
  <c r="L185" i="2"/>
  <c r="F185" i="2"/>
  <c r="Q104" i="2"/>
  <c r="F104" i="2"/>
  <c r="Q88" i="2"/>
  <c r="E181" i="2"/>
  <c r="X173" i="2"/>
  <c r="D190" i="2"/>
  <c r="W93" i="2"/>
  <c r="G163" i="2"/>
  <c r="B118" i="2"/>
  <c r="C174" i="2"/>
  <c r="B109" i="2"/>
  <c r="R121" i="2"/>
  <c r="N159" i="2"/>
  <c r="F184" i="2"/>
  <c r="N161" i="2"/>
  <c r="M175" i="2"/>
  <c r="W147" i="2"/>
  <c r="I109" i="2"/>
  <c r="P170" i="2"/>
  <c r="I96" i="2"/>
  <c r="W161" i="2"/>
  <c r="X48" i="2"/>
  <c r="H179" i="2"/>
  <c r="W100" i="2"/>
  <c r="C90" i="2"/>
  <c r="B185" i="2"/>
  <c r="G124" i="2"/>
  <c r="U124" i="2"/>
  <c r="L127" i="2"/>
  <c r="S114" i="2"/>
  <c r="W62" i="2"/>
  <c r="L126" i="2"/>
  <c r="I105" i="2"/>
  <c r="N111" i="2"/>
  <c r="X178" i="2"/>
  <c r="I180" i="2"/>
  <c r="U139" i="2"/>
  <c r="H109" i="2"/>
  <c r="V122" i="2"/>
  <c r="E102" i="2"/>
  <c r="C159" i="2"/>
  <c r="C118" i="2"/>
  <c r="T51" i="2"/>
  <c r="L186" i="2"/>
  <c r="G181" i="2"/>
  <c r="P163" i="2"/>
  <c r="T75" i="2"/>
  <c r="I176" i="2"/>
  <c r="V71" i="2"/>
  <c r="H184" i="2"/>
  <c r="E174" i="2"/>
  <c r="P95" i="2"/>
  <c r="F69" i="2"/>
  <c r="V160" i="2"/>
  <c r="V104" i="2"/>
  <c r="N115" i="2"/>
  <c r="P180" i="2"/>
  <c r="J178" i="2"/>
  <c r="H124" i="2"/>
  <c r="T124" i="2"/>
  <c r="X49" i="2"/>
  <c r="C117" i="2"/>
  <c r="D175" i="2"/>
  <c r="U48" i="2"/>
  <c r="G173" i="2"/>
  <c r="H159" i="2"/>
  <c r="F70" i="2"/>
  <c r="N107" i="2"/>
  <c r="V173" i="2"/>
  <c r="T97" i="2"/>
  <c r="R117" i="2"/>
  <c r="N162" i="2"/>
  <c r="E121" i="2"/>
  <c r="G114" i="2"/>
  <c r="O126" i="2"/>
  <c r="R188" i="2"/>
  <c r="D111" i="2"/>
  <c r="G91" i="2"/>
  <c r="I77" i="2"/>
  <c r="K173" i="2"/>
  <c r="H161" i="2"/>
  <c r="K99" i="2"/>
  <c r="J67" i="2"/>
  <c r="K171" i="2"/>
  <c r="C109" i="2"/>
  <c r="Q70" i="2"/>
  <c r="P118" i="2"/>
  <c r="X190" i="2"/>
  <c r="T185" i="2"/>
  <c r="N124" i="2"/>
  <c r="M125" i="2"/>
  <c r="P127" i="2"/>
  <c r="L167" i="2"/>
  <c r="M176" i="2"/>
  <c r="I97" i="2"/>
  <c r="O178" i="2"/>
  <c r="X142" i="2"/>
  <c r="O175" i="2"/>
  <c r="S121" i="2"/>
  <c r="M71" i="2"/>
  <c r="N169" i="2"/>
  <c r="W72" i="2"/>
  <c r="G168" i="2"/>
  <c r="C170" i="2"/>
  <c r="B105" i="2"/>
  <c r="O122" i="2"/>
  <c r="N108" i="2"/>
  <c r="V127" i="2"/>
  <c r="O163" i="2"/>
  <c r="O182" i="2"/>
  <c r="O115" i="2"/>
  <c r="V189" i="2"/>
  <c r="N74" i="2"/>
  <c r="F125" i="2"/>
  <c r="Q169" i="2"/>
  <c r="G121" i="2"/>
  <c r="U79" i="2"/>
  <c r="H117" i="2"/>
  <c r="K101" i="2"/>
  <c r="T54" i="2"/>
  <c r="B164" i="2"/>
  <c r="S179" i="2"/>
  <c r="E171" i="2"/>
  <c r="O90" i="2"/>
  <c r="W117" i="2"/>
  <c r="I121" i="2"/>
  <c r="O93" i="2"/>
  <c r="J120" i="2"/>
  <c r="C177" i="2"/>
  <c r="G127" i="2"/>
  <c r="G128" i="2"/>
  <c r="S190" i="2"/>
  <c r="H74" i="2"/>
  <c r="Q96" i="2"/>
  <c r="E76" i="2"/>
  <c r="P111" i="2"/>
  <c r="V188" i="2"/>
  <c r="K189" i="2"/>
  <c r="G179" i="2"/>
  <c r="G75" i="2"/>
  <c r="B115" i="2"/>
  <c r="C100" i="2"/>
  <c r="B123" i="2"/>
  <c r="X107" i="2"/>
  <c r="W126" i="2"/>
  <c r="B126" i="2"/>
  <c r="K126" i="2"/>
  <c r="N128" i="2"/>
  <c r="Q128" i="2"/>
  <c r="I183" i="2"/>
  <c r="G166" i="2"/>
  <c r="W110" i="2"/>
  <c r="H94" i="2"/>
  <c r="V180" i="2"/>
  <c r="X153" i="2"/>
  <c r="F100" i="2"/>
  <c r="V50" i="2"/>
  <c r="I110" i="2"/>
  <c r="Q186" i="2"/>
  <c r="W60" i="2"/>
  <c r="O172" i="2"/>
  <c r="W143" i="2"/>
  <c r="F118" i="2"/>
  <c r="S112" i="2"/>
  <c r="C126" i="2"/>
  <c r="E128" i="2"/>
  <c r="L128" i="2"/>
  <c r="B68" i="2"/>
  <c r="I72" i="2"/>
  <c r="T46" i="2"/>
  <c r="S78" i="2"/>
  <c r="S171" i="2"/>
  <c r="M104" i="2"/>
  <c r="J112" i="2"/>
  <c r="J169" i="2"/>
  <c r="O75" i="2"/>
  <c r="C76" i="2"/>
  <c r="K187" i="2"/>
  <c r="R70" i="2"/>
  <c r="N116" i="2"/>
  <c r="M120" i="2"/>
  <c r="F165" i="2"/>
  <c r="V172" i="2"/>
  <c r="F159" i="2"/>
  <c r="L120" i="2"/>
  <c r="M73" i="2"/>
  <c r="W111" i="2"/>
  <c r="B122" i="2"/>
  <c r="R127" i="2"/>
  <c r="L73" i="2"/>
  <c r="B98" i="2"/>
  <c r="M118" i="2"/>
  <c r="H127" i="2"/>
  <c r="K95" i="2"/>
  <c r="T71" i="2"/>
  <c r="G107" i="2"/>
  <c r="T123" i="2"/>
  <c r="S127" i="2"/>
  <c r="T61" i="2"/>
  <c r="W113" i="2"/>
  <c r="B108" i="2"/>
  <c r="M103" i="2"/>
  <c r="D173" i="2"/>
  <c r="K115" i="2"/>
  <c r="X126" i="2"/>
  <c r="X103" i="2"/>
  <c r="F161" i="2"/>
  <c r="U89" i="2"/>
  <c r="I126" i="2"/>
  <c r="V121" i="2"/>
  <c r="P119" i="2"/>
  <c r="Q94" i="2"/>
  <c r="W184" i="2"/>
  <c r="F95" i="2"/>
  <c r="B103" i="2"/>
  <c r="D188" i="2"/>
  <c r="R166" i="2"/>
  <c r="N97" i="2"/>
  <c r="E78" i="2"/>
  <c r="U112" i="2"/>
  <c r="V174" i="2"/>
  <c r="Q123" i="2"/>
  <c r="M105" i="2"/>
  <c r="F90" i="2"/>
  <c r="C183" i="2"/>
  <c r="R118" i="2"/>
  <c r="C128" i="2"/>
  <c r="I173" i="2"/>
  <c r="K176" i="2"/>
  <c r="F124" i="2"/>
  <c r="I93" i="2"/>
  <c r="D171" i="2"/>
  <c r="B128" i="2"/>
  <c r="R128" i="2"/>
  <c r="U99" i="2"/>
  <c r="J167" i="2"/>
  <c r="W49" i="2"/>
  <c r="B189" i="2"/>
  <c r="D109" i="2"/>
  <c r="P105" i="2"/>
  <c r="U160" i="2"/>
  <c r="W114" i="2"/>
  <c r="R187" i="2"/>
  <c r="U146" i="2"/>
  <c r="R182" i="2"/>
  <c r="Q159" i="2"/>
  <c r="X112" i="2"/>
  <c r="R76" i="2"/>
  <c r="G115" i="2"/>
  <c r="J127" i="2"/>
  <c r="N129" i="2"/>
  <c r="L129" i="2"/>
  <c r="I6" i="2"/>
  <c r="O6" i="2"/>
  <c r="M129" i="2"/>
  <c r="S129" i="2"/>
  <c r="R129" i="2"/>
  <c r="W129" i="2"/>
  <c r="K6" i="2"/>
  <c r="V129" i="2"/>
  <c r="J129" i="2"/>
  <c r="K129" i="2"/>
  <c r="Q170" i="2"/>
  <c r="T57" i="2"/>
  <c r="F97" i="2"/>
  <c r="O124" i="2"/>
  <c r="W148" i="2"/>
  <c r="V117" i="2"/>
  <c r="E166" i="2"/>
  <c r="P126" i="2"/>
  <c r="F126" i="2"/>
  <c r="S126" i="2"/>
  <c r="M128" i="2"/>
  <c r="B79" i="2"/>
  <c r="L123" i="2"/>
  <c r="F128" i="2"/>
  <c r="L101" i="2"/>
  <c r="U126" i="2"/>
  <c r="W48" i="2"/>
  <c r="J109" i="2"/>
  <c r="E127" i="2"/>
  <c r="U6" i="2"/>
  <c r="C129" i="2"/>
  <c r="T6" i="2"/>
  <c r="G6" i="2"/>
  <c r="N163" i="2"/>
  <c r="X161" i="2"/>
  <c r="O67" i="2"/>
  <c r="B91" i="2"/>
  <c r="W118" i="2"/>
  <c r="E169" i="2"/>
  <c r="C163" i="2"/>
  <c r="H73" i="2"/>
  <c r="V120" i="2"/>
  <c r="D115" i="2"/>
  <c r="C107" i="2"/>
  <c r="O97" i="2"/>
  <c r="J78" i="2"/>
  <c r="S109" i="2"/>
  <c r="O184" i="2"/>
  <c r="J171" i="2"/>
  <c r="G97" i="2"/>
  <c r="W80" i="2"/>
  <c r="U98" i="2"/>
  <c r="X159" i="2"/>
  <c r="V184" i="2"/>
  <c r="Q92" i="2"/>
  <c r="T139" i="2"/>
  <c r="C189" i="2"/>
  <c r="X105" i="2"/>
  <c r="P159" i="2"/>
  <c r="M164" i="2"/>
  <c r="F112" i="2"/>
  <c r="V61" i="2"/>
  <c r="L168" i="2"/>
  <c r="P177" i="2"/>
  <c r="S189" i="2"/>
  <c r="V57" i="2"/>
  <c r="G113" i="2"/>
  <c r="S185" i="2"/>
  <c r="X75" i="2"/>
  <c r="M119" i="2"/>
  <c r="T174" i="2"/>
  <c r="R103" i="2"/>
  <c r="I122" i="2"/>
  <c r="Q188" i="2"/>
  <c r="T107" i="2"/>
  <c r="P91" i="2"/>
  <c r="V74" i="2"/>
  <c r="B186" i="2"/>
  <c r="I125" i="2"/>
  <c r="G76" i="2"/>
  <c r="X124" i="2"/>
  <c r="G79" i="2"/>
  <c r="P116" i="2"/>
  <c r="N80" i="2"/>
  <c r="H189" i="2"/>
  <c r="C175" i="2"/>
  <c r="X152" i="2"/>
  <c r="C121" i="2"/>
  <c r="U185" i="2"/>
  <c r="N127" i="2"/>
  <c r="D76" i="2"/>
  <c r="H88" i="2"/>
  <c r="E126" i="2"/>
  <c r="S111" i="2"/>
  <c r="I179" i="2"/>
  <c r="Q126" i="2"/>
  <c r="N70" i="2"/>
  <c r="U96" i="2"/>
  <c r="O128" i="2"/>
  <c r="C125" i="2"/>
  <c r="J115" i="2"/>
  <c r="F176" i="2"/>
  <c r="W121" i="2"/>
  <c r="B181" i="2"/>
  <c r="V125" i="2"/>
  <c r="Q187" i="2"/>
  <c r="S68" i="2"/>
  <c r="S98" i="2"/>
  <c r="X182" i="2"/>
  <c r="L88" i="2"/>
  <c r="F160" i="2"/>
  <c r="R116" i="2"/>
  <c r="G123" i="2"/>
  <c r="P179" i="2"/>
  <c r="J105" i="2"/>
  <c r="S128" i="2"/>
  <c r="G129" i="2"/>
  <c r="W6" i="2"/>
  <c r="H6" i="2"/>
  <c r="H129" i="2"/>
  <c r="B6" i="2"/>
  <c r="E6" i="2"/>
  <c r="P129" i="2"/>
  <c r="V6" i="2"/>
  <c r="P6" i="2"/>
  <c r="E129" i="2"/>
  <c r="Q129" i="2"/>
  <c r="U129" i="2"/>
  <c r="F71" i="2"/>
  <c r="G105" i="2"/>
  <c r="X119" i="2"/>
  <c r="V80" i="2"/>
  <c r="H187" i="2"/>
  <c r="T118" i="2"/>
  <c r="G183" i="2"/>
  <c r="T53" i="2"/>
  <c r="K125" i="2"/>
  <c r="T117" i="2"/>
  <c r="W61" i="2"/>
  <c r="J121" i="2"/>
  <c r="I124" i="2"/>
  <c r="D182" i="2"/>
  <c r="K69" i="2"/>
  <c r="B125" i="2"/>
  <c r="X104" i="2"/>
  <c r="G122" i="2"/>
  <c r="U127" i="2"/>
  <c r="H116" i="2"/>
  <c r="B190" i="2"/>
  <c r="F127" i="2"/>
  <c r="N187" i="2"/>
  <c r="P128" i="2"/>
  <c r="O77" i="2"/>
  <c r="K185" i="2"/>
  <c r="I190" i="2"/>
  <c r="U86" i="2"/>
  <c r="W174" i="2"/>
  <c r="V128" i="2"/>
  <c r="J6" i="2"/>
  <c r="X6" i="2"/>
  <c r="L6" i="2"/>
  <c r="C93" i="2"/>
  <c r="J172" i="2"/>
  <c r="F98" i="2"/>
  <c r="W70" i="2"/>
  <c r="M160" i="2"/>
  <c r="C164" i="2"/>
  <c r="H106" i="2"/>
  <c r="S95" i="2"/>
  <c r="J75" i="2"/>
  <c r="K121" i="2"/>
  <c r="X184" i="2"/>
  <c r="G118" i="2"/>
  <c r="U117" i="2"/>
  <c r="E77" i="2"/>
  <c r="Q117" i="2"/>
  <c r="O94" i="2"/>
  <c r="O188" i="2"/>
  <c r="H119" i="2"/>
  <c r="W172" i="2"/>
  <c r="I170" i="2"/>
  <c r="K124" i="2"/>
  <c r="B168" i="2"/>
  <c r="T187" i="2"/>
  <c r="V124" i="2"/>
  <c r="J124" i="2"/>
  <c r="T162" i="2"/>
  <c r="B172" i="2"/>
  <c r="B100" i="2"/>
  <c r="F167" i="2"/>
  <c r="D187" i="2"/>
  <c r="G116" i="2"/>
  <c r="I113" i="2"/>
  <c r="W122" i="2"/>
  <c r="T59" i="2"/>
  <c r="B96" i="2"/>
  <c r="H183" i="2"/>
  <c r="V146" i="2"/>
  <c r="W119" i="2"/>
  <c r="C172" i="2"/>
  <c r="T60" i="2"/>
  <c r="N120" i="2"/>
  <c r="V138" i="2"/>
  <c r="Q178" i="2"/>
  <c r="L71" i="2"/>
  <c r="N123" i="2"/>
  <c r="J77" i="2"/>
  <c r="L118" i="2"/>
  <c r="X157" i="2"/>
  <c r="C124" i="2"/>
  <c r="B176" i="2"/>
  <c r="C116" i="2"/>
  <c r="U59" i="2"/>
  <c r="G108" i="2"/>
  <c r="L171" i="2"/>
  <c r="J128" i="2"/>
  <c r="I98" i="2"/>
  <c r="M89" i="2"/>
  <c r="K186" i="2"/>
  <c r="O106" i="2"/>
  <c r="H186" i="2"/>
  <c r="S165" i="2"/>
  <c r="U189" i="2"/>
  <c r="N125" i="2"/>
  <c r="T125" i="2"/>
  <c r="T69" i="2"/>
  <c r="D128" i="2"/>
  <c r="T88" i="2"/>
  <c r="B110" i="2"/>
  <c r="U177" i="2"/>
  <c r="B178" i="2"/>
  <c r="X78" i="2"/>
  <c r="V167" i="2"/>
  <c r="P122" i="2"/>
  <c r="V51" i="2"/>
  <c r="N90" i="2"/>
  <c r="G112" i="2"/>
  <c r="P103" i="2"/>
  <c r="O173" i="2"/>
  <c r="K127" i="2"/>
  <c r="V126" i="2"/>
  <c r="R123" i="2"/>
  <c r="O123" i="2"/>
  <c r="K128" i="2"/>
  <c r="F6" i="2"/>
  <c r="B129" i="2"/>
  <c r="M6" i="2"/>
  <c r="Q6" i="2"/>
  <c r="T129" i="2"/>
  <c r="C6" i="2"/>
  <c r="I129" i="2"/>
  <c r="X129" i="2"/>
  <c r="O129" i="2"/>
  <c r="D129" i="2"/>
  <c r="D6" i="2"/>
  <c r="F120" i="2"/>
  <c r="I178" i="2"/>
  <c r="B162" i="2"/>
  <c r="F164" i="2"/>
  <c r="J119" i="2"/>
  <c r="N186" i="2"/>
  <c r="O181" i="2"/>
  <c r="K184" i="2"/>
  <c r="B124" i="2"/>
  <c r="K166" i="2"/>
  <c r="U149" i="2"/>
  <c r="T163" i="2"/>
  <c r="R94" i="2"/>
  <c r="R125" i="2"/>
  <c r="I90" i="2"/>
  <c r="E69" i="2"/>
  <c r="E117" i="2"/>
  <c r="S124" i="2"/>
  <c r="R161" i="2"/>
  <c r="U148" i="2"/>
  <c r="X183" i="2"/>
  <c r="P77" i="2"/>
  <c r="Q185" i="2"/>
  <c r="M126" i="2"/>
  <c r="O118" i="2"/>
  <c r="K110" i="2"/>
  <c r="U68" i="2"/>
  <c r="I76" i="2"/>
  <c r="P120" i="2"/>
  <c r="T110" i="2"/>
  <c r="V64" i="2"/>
  <c r="F172" i="2"/>
  <c r="W169" i="2"/>
  <c r="J177" i="2"/>
  <c r="R6" i="2"/>
  <c r="S6" i="2"/>
  <c r="N6" i="2"/>
  <c r="F129" i="2"/>
  <c r="P7" i="2"/>
  <c r="C130" i="2"/>
  <c r="P130" i="2"/>
  <c r="Q130" i="2"/>
  <c r="D7" i="2"/>
  <c r="T7" i="2"/>
  <c r="N130" i="2"/>
  <c r="X7" i="2"/>
  <c r="M130" i="2"/>
  <c r="U7" i="2"/>
  <c r="W7" i="2"/>
  <c r="F130" i="2"/>
  <c r="I7" i="2"/>
  <c r="B130" i="2"/>
  <c r="X130" i="2"/>
  <c r="H130" i="2"/>
  <c r="M7" i="2"/>
  <c r="O7" i="2"/>
  <c r="L7" i="2"/>
  <c r="J7" i="2"/>
  <c r="H7" i="2"/>
  <c r="D130" i="2"/>
  <c r="S7" i="2"/>
  <c r="R130" i="2"/>
  <c r="N7" i="2"/>
  <c r="C7" i="2"/>
  <c r="E7" i="2"/>
  <c r="Q7" i="2"/>
  <c r="E130" i="2"/>
  <c r="K7" i="2"/>
  <c r="G130" i="2"/>
  <c r="K130" i="2"/>
  <c r="V130" i="2"/>
  <c r="G7" i="2"/>
  <c r="F7" i="2"/>
  <c r="J130" i="2"/>
  <c r="T130" i="2"/>
  <c r="V7" i="2"/>
  <c r="R7" i="2"/>
  <c r="B7" i="2"/>
  <c r="L130" i="2"/>
  <c r="O130" i="2"/>
  <c r="S130" i="2"/>
  <c r="W130" i="2"/>
  <c r="U130" i="2"/>
  <c r="I130" i="2"/>
  <c r="Y60" i="2" l="1"/>
  <c r="BG59" i="1" s="1"/>
  <c r="Y59" i="2"/>
  <c r="BG58" i="1" s="1"/>
  <c r="Y53" i="2"/>
  <c r="BG52" i="1" s="1"/>
  <c r="Y139" i="2"/>
  <c r="BG138" i="1" s="1"/>
  <c r="Y57" i="2"/>
  <c r="BG56" i="1" s="1"/>
  <c r="Y61" i="2"/>
  <c r="BG60" i="1" s="1"/>
  <c r="Y46" i="2"/>
  <c r="BG45" i="1" s="1"/>
  <c r="Y54" i="2"/>
  <c r="BG53" i="1" s="1"/>
  <c r="Y51" i="2"/>
  <c r="BG50" i="1" s="1"/>
  <c r="Y154" i="2"/>
  <c r="BG153" i="1" s="1"/>
  <c r="Y87" i="2"/>
  <c r="BG86" i="1" s="1"/>
  <c r="Y148" i="2"/>
  <c r="BG147" i="1" s="1"/>
  <c r="Y48" i="2"/>
  <c r="BG47" i="1" s="1"/>
  <c r="Y62" i="2"/>
  <c r="BG61" i="1" s="1"/>
  <c r="Y151" i="2"/>
  <c r="BG150" i="1" s="1"/>
  <c r="Y156" i="2"/>
  <c r="BG155" i="1" s="1"/>
  <c r="Y153" i="2"/>
  <c r="BG152" i="1" s="1"/>
  <c r="Y64" i="2"/>
  <c r="BG63" i="1" s="1"/>
  <c r="Y47" i="2"/>
  <c r="BG46" i="1" s="1"/>
  <c r="Y58" i="2"/>
  <c r="BG57" i="1" s="1"/>
  <c r="Y150" i="2"/>
  <c r="BG149" i="1" s="1"/>
  <c r="Y66" i="2"/>
  <c r="BG65" i="1" s="1"/>
  <c r="BH65" i="1" s="1"/>
  <c r="Y149" i="2"/>
  <c r="BG148" i="1" s="1"/>
  <c r="Y56" i="2"/>
  <c r="BG55" i="1" s="1"/>
  <c r="BH55" i="1" s="1"/>
  <c r="Y140" i="2"/>
  <c r="BG139" i="1" s="1"/>
  <c r="Y143" i="2"/>
  <c r="BG142" i="1" s="1"/>
  <c r="Y152" i="2"/>
  <c r="BG151" i="1" s="1"/>
  <c r="Y142" i="2"/>
  <c r="BG141" i="1" s="1"/>
  <c r="Y157" i="2"/>
  <c r="BG156" i="1" s="1"/>
  <c r="Y52" i="2"/>
  <c r="BG51" i="1" s="1"/>
  <c r="Y63" i="2"/>
  <c r="BG62" i="1" s="1"/>
  <c r="Y55" i="2"/>
  <c r="BG54" i="1" s="1"/>
  <c r="BH54" i="1" s="1"/>
  <c r="Y155" i="2"/>
  <c r="BG154" i="1" s="1"/>
  <c r="Y49" i="2"/>
  <c r="BG48" i="1" s="1"/>
  <c r="Y138" i="2"/>
  <c r="BG137" i="1" s="1"/>
  <c r="Y158" i="2"/>
  <c r="BG157" i="1" s="1"/>
  <c r="Y86" i="2"/>
  <c r="BG85" i="1" s="1"/>
  <c r="Y5" i="2"/>
  <c r="BG4" i="1" s="1"/>
  <c r="Y145" i="2"/>
  <c r="BG144" i="1" s="1"/>
  <c r="Y50" i="2"/>
  <c r="BG49" i="1" s="1"/>
  <c r="Y65" i="2"/>
  <c r="BG64" i="1" s="1"/>
  <c r="Y147" i="2"/>
  <c r="BG146" i="1" s="1"/>
  <c r="Y144" i="2"/>
  <c r="BG143" i="1" s="1"/>
  <c r="Y146" i="2"/>
  <c r="BG145" i="1" s="1"/>
  <c r="Y141" i="2"/>
  <c r="BG140" i="1" s="1"/>
  <c r="Y124" i="2"/>
  <c r="BG123" i="1" s="1"/>
  <c r="Y162" i="2"/>
  <c r="BG161" i="1" s="1"/>
  <c r="Y129" i="2"/>
  <c r="BG128" i="1" s="1"/>
  <c r="Y178" i="2"/>
  <c r="BG177" i="1" s="1"/>
  <c r="Y110" i="2"/>
  <c r="BG109" i="1" s="1"/>
  <c r="Y176" i="2"/>
  <c r="BG175" i="1" s="1"/>
  <c r="Y96" i="2"/>
  <c r="BG95" i="1" s="1"/>
  <c r="Y100" i="2"/>
  <c r="BG99" i="1" s="1"/>
  <c r="Y172" i="2"/>
  <c r="BG171" i="1" s="1"/>
  <c r="Y168" i="2"/>
  <c r="BG167" i="1" s="1"/>
  <c r="Y190" i="2"/>
  <c r="BG189" i="1" s="1"/>
  <c r="Y125" i="2"/>
  <c r="BG124" i="1" s="1"/>
  <c r="Y6" i="2"/>
  <c r="BG5" i="1" s="1"/>
  <c r="Y181" i="2"/>
  <c r="BG180" i="1" s="1"/>
  <c r="Y186" i="2"/>
  <c r="BG185" i="1" s="1"/>
  <c r="Y91" i="2"/>
  <c r="BG90" i="1" s="1"/>
  <c r="Y79" i="2"/>
  <c r="BG78" i="1" s="1"/>
  <c r="Y189" i="2"/>
  <c r="BG188" i="1" s="1"/>
  <c r="Y128" i="2"/>
  <c r="BG127" i="1" s="1"/>
  <c r="Y103" i="2"/>
  <c r="BG102" i="1" s="1"/>
  <c r="Y108" i="2"/>
  <c r="BG107" i="1" s="1"/>
  <c r="Y98" i="2"/>
  <c r="BG97" i="1" s="1"/>
  <c r="Y122" i="2"/>
  <c r="BG121" i="1" s="1"/>
  <c r="Y68" i="2"/>
  <c r="BG67" i="1" s="1"/>
  <c r="BH67" i="1" s="1"/>
  <c r="Y126" i="2"/>
  <c r="BG125" i="1" s="1"/>
  <c r="Y123" i="2"/>
  <c r="BG122" i="1" s="1"/>
  <c r="Y115" i="2"/>
  <c r="BG114" i="1" s="1"/>
  <c r="Y164" i="2"/>
  <c r="BG163" i="1" s="1"/>
  <c r="Y105" i="2"/>
  <c r="BG104" i="1" s="1"/>
  <c r="Y185" i="2"/>
  <c r="BG184" i="1" s="1"/>
  <c r="Y109" i="2"/>
  <c r="BG108" i="1" s="1"/>
  <c r="Y118" i="2"/>
  <c r="BG117" i="1" s="1"/>
  <c r="Y174" i="2"/>
  <c r="BG173" i="1" s="1"/>
  <c r="Y117" i="2"/>
  <c r="BG116" i="1" s="1"/>
  <c r="Y73" i="2"/>
  <c r="BG72" i="1" s="1"/>
  <c r="Y177" i="2"/>
  <c r="BG176" i="1" s="1"/>
  <c r="Y188" i="2"/>
  <c r="BG187" i="1" s="1"/>
  <c r="Y70" i="2"/>
  <c r="BG69" i="1" s="1"/>
  <c r="BH69" i="1" s="1"/>
  <c r="Y77" i="2"/>
  <c r="BG76" i="1" s="1"/>
  <c r="Y127" i="2"/>
  <c r="BG126" i="1" s="1"/>
  <c r="Y76" i="2"/>
  <c r="BG75" i="1" s="1"/>
  <c r="Y101" i="2"/>
  <c r="BG100" i="1" s="1"/>
  <c r="Y171" i="2"/>
  <c r="BG170" i="1" s="1"/>
  <c r="Y170" i="2"/>
  <c r="BG169" i="1" s="1"/>
  <c r="Y175" i="2"/>
  <c r="BG174" i="1" s="1"/>
  <c r="Y116" i="2"/>
  <c r="BG115" i="1" s="1"/>
  <c r="Y121" i="2"/>
  <c r="BG120" i="1" s="1"/>
  <c r="Y107" i="2"/>
  <c r="BG106" i="1" s="1"/>
  <c r="Y120" i="2"/>
  <c r="BG119" i="1" s="1"/>
  <c r="Y183" i="2"/>
  <c r="BG182" i="1" s="1"/>
  <c r="Y119" i="2"/>
  <c r="BG118" i="1" s="1"/>
  <c r="Y179" i="2"/>
  <c r="BG178" i="1" s="1"/>
  <c r="Y182" i="2"/>
  <c r="BG181" i="1" s="1"/>
  <c r="Y89" i="2"/>
  <c r="BG88" i="1" s="1"/>
  <c r="Y99" i="2"/>
  <c r="BG98" i="1" s="1"/>
  <c r="Y93" i="2"/>
  <c r="BG92" i="1" s="1"/>
  <c r="Y106" i="2"/>
  <c r="BG105" i="1" s="1"/>
  <c r="Y113" i="2"/>
  <c r="BG112" i="1" s="1"/>
  <c r="Y187" i="2"/>
  <c r="BG186" i="1" s="1"/>
  <c r="Y78" i="2"/>
  <c r="BG77" i="1" s="1"/>
  <c r="Y102" i="2"/>
  <c r="BG101" i="1" s="1"/>
  <c r="Y90" i="2"/>
  <c r="BG89" i="1" s="1"/>
  <c r="Y74" i="2"/>
  <c r="BG73" i="1" s="1"/>
  <c r="Y159" i="2"/>
  <c r="BG158" i="1" s="1"/>
  <c r="Y71" i="2"/>
  <c r="BG70" i="1" s="1"/>
  <c r="Y104" i="2"/>
  <c r="BG103" i="1" s="1"/>
  <c r="Y80" i="2"/>
  <c r="BG79" i="1" s="1"/>
  <c r="Y92" i="2"/>
  <c r="BG91" i="1" s="1"/>
  <c r="Y163" i="2"/>
  <c r="BG162" i="1" s="1"/>
  <c r="Y166" i="2"/>
  <c r="BG165" i="1" s="1"/>
  <c r="Y114" i="2"/>
  <c r="BG113" i="1" s="1"/>
  <c r="Y94" i="2"/>
  <c r="BG93" i="1" s="1"/>
  <c r="Y112" i="2"/>
  <c r="BG111" i="1" s="1"/>
  <c r="Y111" i="2"/>
  <c r="BG110" i="1" s="1"/>
  <c r="Y97" i="2"/>
  <c r="BG96" i="1" s="1"/>
  <c r="Y160" i="2"/>
  <c r="BG159" i="1" s="1"/>
  <c r="Y173" i="2"/>
  <c r="BG172" i="1" s="1"/>
  <c r="Y180" i="2"/>
  <c r="BG179" i="1" s="1"/>
  <c r="Y184" i="2"/>
  <c r="BG183" i="1" s="1"/>
  <c r="Y72" i="2"/>
  <c r="BG71" i="1" s="1"/>
  <c r="Y88" i="2"/>
  <c r="BG87" i="1" s="1"/>
  <c r="Y67" i="2"/>
  <c r="BG66" i="1" s="1"/>
  <c r="BH66" i="1" s="1"/>
  <c r="Y167" i="2"/>
  <c r="BG166" i="1" s="1"/>
  <c r="Y95" i="2"/>
  <c r="BG94" i="1" s="1"/>
  <c r="Y169" i="2"/>
  <c r="BG168" i="1" s="1"/>
  <c r="Y165" i="2"/>
  <c r="BG164" i="1" s="1"/>
  <c r="Y69" i="2"/>
  <c r="BG68" i="1" s="1"/>
  <c r="BH68" i="1" s="1"/>
  <c r="Y161" i="2"/>
  <c r="BG160" i="1" s="1"/>
  <c r="Y75" i="2"/>
  <c r="BG74" i="1" s="1"/>
  <c r="Y7" i="2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V131" i="2"/>
  <c r="U131" i="2"/>
  <c r="H131" i="2"/>
  <c r="K8" i="2"/>
  <c r="O131" i="2"/>
  <c r="G131" i="2"/>
  <c r="G8" i="2"/>
  <c r="P8" i="2"/>
  <c r="K131" i="2"/>
  <c r="M131" i="2"/>
  <c r="X8" i="2"/>
  <c r="I131" i="2"/>
  <c r="N8" i="2"/>
  <c r="E131" i="2"/>
  <c r="B8" i="2"/>
  <c r="D8" i="2"/>
  <c r="M8" i="2"/>
  <c r="X131" i="2"/>
  <c r="J8" i="2"/>
  <c r="F8" i="2"/>
  <c r="L131" i="2"/>
  <c r="S8" i="2"/>
  <c r="C8" i="2"/>
  <c r="L8" i="2"/>
  <c r="U8" i="2"/>
  <c r="W131" i="2"/>
  <c r="P131" i="2"/>
  <c r="E8" i="2"/>
  <c r="Q131" i="2"/>
  <c r="S131" i="2"/>
  <c r="R8" i="2"/>
  <c r="T8" i="2"/>
  <c r="R131" i="2"/>
  <c r="N131" i="2"/>
  <c r="W8" i="2"/>
  <c r="H8" i="2"/>
  <c r="J131" i="2"/>
  <c r="F131" i="2"/>
  <c r="Q8" i="2"/>
  <c r="V8" i="2"/>
  <c r="B131" i="2"/>
  <c r="C131" i="2"/>
  <c r="O8" i="2"/>
  <c r="D131" i="2"/>
  <c r="T131" i="2"/>
  <c r="I8" i="2"/>
  <c r="BI69" i="1" l="1"/>
  <c r="BI66" i="1"/>
  <c r="BI55" i="1"/>
  <c r="BI67" i="1"/>
  <c r="BI68" i="1"/>
  <c r="Y8" i="2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B9" i="2"/>
  <c r="W9" i="2"/>
  <c r="D9" i="2"/>
  <c r="J9" i="2"/>
  <c r="M9" i="2"/>
  <c r="S9" i="2"/>
  <c r="I9" i="2"/>
  <c r="H9" i="2"/>
  <c r="P9" i="2"/>
  <c r="C9" i="2"/>
  <c r="O9" i="2"/>
  <c r="R9" i="2"/>
  <c r="F9" i="2"/>
  <c r="L9" i="2"/>
  <c r="U9" i="2"/>
  <c r="Q9" i="2"/>
  <c r="G9" i="2"/>
  <c r="N9" i="2"/>
  <c r="T9" i="2"/>
  <c r="X9" i="2"/>
  <c r="K9" i="2"/>
  <c r="V9" i="2"/>
  <c r="E9" i="2"/>
  <c r="Y9" i="2" l="1"/>
  <c r="BG8" i="1" s="1"/>
  <c r="AZ9" i="1"/>
  <c r="A10" i="2"/>
  <c r="DG9" i="1"/>
  <c r="F9" i="1"/>
  <c r="A10" i="1"/>
  <c r="U10" i="2"/>
  <c r="C10" i="2"/>
  <c r="Q10" i="2"/>
  <c r="H10" i="2"/>
  <c r="S10" i="2"/>
  <c r="M10" i="2"/>
  <c r="K10" i="2"/>
  <c r="F10" i="2"/>
  <c r="R10" i="2"/>
  <c r="X10" i="2"/>
  <c r="W10" i="2"/>
  <c r="O10" i="2"/>
  <c r="N10" i="2"/>
  <c r="P10" i="2"/>
  <c r="D10" i="2"/>
  <c r="G10" i="2"/>
  <c r="E10" i="2"/>
  <c r="T10" i="2"/>
  <c r="L10" i="2"/>
  <c r="B10" i="2"/>
  <c r="V10" i="2"/>
  <c r="I10" i="2"/>
  <c r="J10" i="2"/>
  <c r="Y10" i="2" l="1"/>
  <c r="BG9" i="1" s="1"/>
  <c r="AZ10" i="1"/>
  <c r="A11" i="2"/>
  <c r="DG10" i="1"/>
  <c r="F10" i="1"/>
  <c r="A11" i="1"/>
  <c r="O11" i="2"/>
  <c r="E11" i="2"/>
  <c r="W11" i="2"/>
  <c r="Q11" i="2"/>
  <c r="L11" i="2"/>
  <c r="R11" i="2"/>
  <c r="D11" i="2"/>
  <c r="T11" i="2"/>
  <c r="G11" i="2"/>
  <c r="I11" i="2"/>
  <c r="B11" i="2"/>
  <c r="C11" i="2"/>
  <c r="V11" i="2"/>
  <c r="X11" i="2"/>
  <c r="F11" i="2"/>
  <c r="J11" i="2"/>
  <c r="S11" i="2"/>
  <c r="M11" i="2"/>
  <c r="U11" i="2"/>
  <c r="H11" i="2"/>
  <c r="P11" i="2"/>
  <c r="N11" i="2"/>
  <c r="K11" i="2"/>
  <c r="Y11" i="2" l="1"/>
  <c r="BG10" i="1" s="1"/>
  <c r="AZ11" i="1"/>
  <c r="A12" i="2"/>
  <c r="DG11" i="1"/>
  <c r="F11" i="1"/>
  <c r="A12" i="1"/>
  <c r="L12" i="2"/>
  <c r="J12" i="2"/>
  <c r="N12" i="2"/>
  <c r="D12" i="2"/>
  <c r="X12" i="2"/>
  <c r="E12" i="2"/>
  <c r="C12" i="2"/>
  <c r="K12" i="2"/>
  <c r="T12" i="2"/>
  <c r="U12" i="2"/>
  <c r="W12" i="2"/>
  <c r="R12" i="2"/>
  <c r="B12" i="2"/>
  <c r="I12" i="2"/>
  <c r="F12" i="2"/>
  <c r="O12" i="2"/>
  <c r="Q12" i="2"/>
  <c r="G12" i="2"/>
  <c r="H12" i="2"/>
  <c r="M12" i="2"/>
  <c r="S12" i="2"/>
  <c r="P12" i="2"/>
  <c r="V12" i="2"/>
  <c r="Y12" i="2" l="1"/>
  <c r="BG11" i="1" s="1"/>
  <c r="AZ12" i="1"/>
  <c r="A13" i="2"/>
  <c r="DG12" i="1"/>
  <c r="F12" i="1"/>
  <c r="A13" i="1"/>
  <c r="E13" i="2"/>
  <c r="S13" i="2"/>
  <c r="I13" i="2"/>
  <c r="Q13" i="2"/>
  <c r="X13" i="2"/>
  <c r="U13" i="2"/>
  <c r="D13" i="2"/>
  <c r="M13" i="2"/>
  <c r="J13" i="2"/>
  <c r="R13" i="2"/>
  <c r="F13" i="2"/>
  <c r="G13" i="2"/>
  <c r="O13" i="2"/>
  <c r="P13" i="2"/>
  <c r="N13" i="2"/>
  <c r="W13" i="2"/>
  <c r="C13" i="2"/>
  <c r="H13" i="2"/>
  <c r="K13" i="2"/>
  <c r="L13" i="2"/>
  <c r="V13" i="2"/>
  <c r="B13" i="2"/>
  <c r="T13" i="2"/>
  <c r="Y13" i="2" l="1"/>
  <c r="BG12" i="1" s="1"/>
  <c r="AZ13" i="1"/>
  <c r="A14" i="2"/>
  <c r="DG13" i="1"/>
  <c r="F13" i="1"/>
  <c r="A14" i="1"/>
  <c r="P14" i="2"/>
  <c r="G14" i="2"/>
  <c r="W14" i="2"/>
  <c r="X14" i="2"/>
  <c r="R14" i="2"/>
  <c r="O14" i="2"/>
  <c r="H14" i="2"/>
  <c r="L14" i="2"/>
  <c r="M14" i="2"/>
  <c r="S14" i="2"/>
  <c r="J14" i="2"/>
  <c r="N14" i="2"/>
  <c r="C14" i="2"/>
  <c r="T14" i="2"/>
  <c r="I14" i="2"/>
  <c r="B14" i="2"/>
  <c r="F14" i="2"/>
  <c r="E14" i="2"/>
  <c r="U14" i="2"/>
  <c r="D14" i="2"/>
  <c r="V14" i="2"/>
  <c r="Q14" i="2"/>
  <c r="K14" i="2"/>
  <c r="Y14" i="2" l="1"/>
  <c r="BG13" i="1" s="1"/>
  <c r="AZ14" i="1"/>
  <c r="A15" i="2"/>
  <c r="DG14" i="1"/>
  <c r="F14" i="1"/>
  <c r="A15" i="1"/>
  <c r="T15" i="2"/>
  <c r="X15" i="2"/>
  <c r="V15" i="2"/>
  <c r="F15" i="2"/>
  <c r="D15" i="2"/>
  <c r="G15" i="2"/>
  <c r="J15" i="2"/>
  <c r="W15" i="2"/>
  <c r="C15" i="2"/>
  <c r="B15" i="2"/>
  <c r="E15" i="2"/>
  <c r="P15" i="2"/>
  <c r="U15" i="2"/>
  <c r="K15" i="2"/>
  <c r="O15" i="2"/>
  <c r="R15" i="2"/>
  <c r="S15" i="2"/>
  <c r="L15" i="2"/>
  <c r="N15" i="2"/>
  <c r="H15" i="2"/>
  <c r="Q15" i="2"/>
  <c r="I15" i="2"/>
  <c r="M15" i="2"/>
  <c r="Y15" i="2" l="1"/>
  <c r="BG14" i="1" s="1"/>
  <c r="AZ15" i="1"/>
  <c r="A16" i="2"/>
  <c r="DG15" i="1"/>
  <c r="F15" i="1"/>
  <c r="A16" i="1"/>
  <c r="C16" i="2"/>
  <c r="U16" i="2"/>
  <c r="R16" i="2"/>
  <c r="K16" i="2"/>
  <c r="O16" i="2"/>
  <c r="F16" i="2"/>
  <c r="I16" i="2"/>
  <c r="G16" i="2"/>
  <c r="Q16" i="2"/>
  <c r="E16" i="2"/>
  <c r="V16" i="2"/>
  <c r="J16" i="2"/>
  <c r="H16" i="2"/>
  <c r="B16" i="2"/>
  <c r="T16" i="2"/>
  <c r="S16" i="2"/>
  <c r="P16" i="2"/>
  <c r="M16" i="2"/>
  <c r="L16" i="2"/>
  <c r="W16" i="2"/>
  <c r="X16" i="2"/>
  <c r="D16" i="2"/>
  <c r="N16" i="2"/>
  <c r="Y16" i="2" l="1"/>
  <c r="BG15" i="1" s="1"/>
  <c r="AZ16" i="1"/>
  <c r="A17" i="2"/>
  <c r="DG16" i="1"/>
  <c r="F16" i="1"/>
  <c r="A17" i="1"/>
  <c r="B17" i="2"/>
  <c r="C17" i="2"/>
  <c r="M17" i="2"/>
  <c r="R17" i="2"/>
  <c r="D17" i="2"/>
  <c r="X17" i="2"/>
  <c r="F17" i="2"/>
  <c r="T17" i="2"/>
  <c r="U17" i="2"/>
  <c r="J17" i="2"/>
  <c r="W17" i="2"/>
  <c r="G17" i="2"/>
  <c r="O17" i="2"/>
  <c r="H17" i="2"/>
  <c r="V17" i="2"/>
  <c r="K17" i="2"/>
  <c r="N17" i="2"/>
  <c r="Q17" i="2"/>
  <c r="I17" i="2"/>
  <c r="L17" i="2"/>
  <c r="S17" i="2"/>
  <c r="P17" i="2"/>
  <c r="E17" i="2"/>
  <c r="Y17" i="2" l="1"/>
  <c r="BG16" i="1" s="1"/>
  <c r="AZ17" i="1"/>
  <c r="A18" i="2"/>
  <c r="DG17" i="1"/>
  <c r="F17" i="1"/>
  <c r="A18" i="1"/>
  <c r="M18" i="2"/>
  <c r="H18" i="2"/>
  <c r="X18" i="2"/>
  <c r="T18" i="2"/>
  <c r="G18" i="2"/>
  <c r="Q18" i="2"/>
  <c r="R18" i="2"/>
  <c r="U18" i="2"/>
  <c r="B18" i="2"/>
  <c r="C18" i="2"/>
  <c r="F18" i="2"/>
  <c r="N18" i="2"/>
  <c r="L18" i="2"/>
  <c r="J18" i="2"/>
  <c r="K18" i="2"/>
  <c r="S18" i="2"/>
  <c r="I18" i="2"/>
  <c r="W18" i="2"/>
  <c r="D18" i="2"/>
  <c r="V18" i="2"/>
  <c r="P18" i="2"/>
  <c r="O18" i="2"/>
  <c r="E18" i="2"/>
  <c r="Y18" i="2" l="1"/>
  <c r="BG17" i="1" s="1"/>
  <c r="AZ18" i="1"/>
  <c r="A19" i="2"/>
  <c r="DG18" i="1"/>
  <c r="F18" i="1"/>
  <c r="A19" i="1"/>
  <c r="F19" i="2"/>
  <c r="T19" i="2"/>
  <c r="R19" i="2"/>
  <c r="B19" i="2"/>
  <c r="U19" i="2"/>
  <c r="E19" i="2"/>
  <c r="P19" i="2"/>
  <c r="I19" i="2"/>
  <c r="W19" i="2"/>
  <c r="M19" i="2"/>
  <c r="C19" i="2"/>
  <c r="H19" i="2"/>
  <c r="V19" i="2"/>
  <c r="K19" i="2"/>
  <c r="O19" i="2"/>
  <c r="N19" i="2"/>
  <c r="Q19" i="2"/>
  <c r="S19" i="2"/>
  <c r="L19" i="2"/>
  <c r="J19" i="2"/>
  <c r="D19" i="2"/>
  <c r="G19" i="2"/>
  <c r="X19" i="2"/>
  <c r="Y19" i="2" l="1"/>
  <c r="BG18" i="1" s="1"/>
  <c r="AZ19" i="1"/>
  <c r="A20" i="2"/>
  <c r="DG19" i="1"/>
  <c r="F19" i="1"/>
  <c r="A20" i="1"/>
  <c r="T20" i="2"/>
  <c r="J20" i="2"/>
  <c r="G20" i="2"/>
  <c r="V20" i="2"/>
  <c r="X20" i="2"/>
  <c r="H20" i="2"/>
  <c r="W20" i="2"/>
  <c r="U20" i="2"/>
  <c r="B20" i="2"/>
  <c r="O20" i="2"/>
  <c r="M20" i="2"/>
  <c r="R20" i="2"/>
  <c r="D20" i="2"/>
  <c r="I20" i="2"/>
  <c r="C20" i="2"/>
  <c r="N20" i="2"/>
  <c r="E20" i="2"/>
  <c r="P20" i="2"/>
  <c r="L20" i="2"/>
  <c r="Q20" i="2"/>
  <c r="S20" i="2"/>
  <c r="K20" i="2"/>
  <c r="F20" i="2"/>
  <c r="Y20" i="2" l="1"/>
  <c r="BG19" i="1" s="1"/>
  <c r="AZ20" i="1"/>
  <c r="A21" i="2"/>
  <c r="DG20" i="1"/>
  <c r="F20" i="1"/>
  <c r="A21" i="1"/>
  <c r="B21" i="2"/>
  <c r="J21" i="2"/>
  <c r="H21" i="2"/>
  <c r="M21" i="2"/>
  <c r="X21" i="2"/>
  <c r="V21" i="2"/>
  <c r="Q21" i="2"/>
  <c r="N21" i="2"/>
  <c r="F21" i="2"/>
  <c r="E21" i="2"/>
  <c r="O21" i="2"/>
  <c r="C21" i="2"/>
  <c r="S21" i="2"/>
  <c r="R21" i="2"/>
  <c r="U21" i="2"/>
  <c r="P21" i="2"/>
  <c r="L21" i="2"/>
  <c r="I21" i="2"/>
  <c r="T21" i="2"/>
  <c r="D21" i="2"/>
  <c r="G21" i="2"/>
  <c r="K21" i="2"/>
  <c r="W21" i="2"/>
  <c r="Y21" i="2" l="1"/>
  <c r="BG20" i="1" s="1"/>
  <c r="AZ21" i="1"/>
  <c r="A22" i="2"/>
  <c r="DG21" i="1"/>
  <c r="F21" i="1"/>
  <c r="A22" i="1"/>
  <c r="C22" i="2"/>
  <c r="J22" i="2"/>
  <c r="H22" i="2"/>
  <c r="M22" i="2"/>
  <c r="R22" i="2"/>
  <c r="T22" i="2"/>
  <c r="P22" i="2"/>
  <c r="I22" i="2"/>
  <c r="N22" i="2"/>
  <c r="G22" i="2"/>
  <c r="X22" i="2"/>
  <c r="O22" i="2"/>
  <c r="W22" i="2"/>
  <c r="F22" i="2"/>
  <c r="V22" i="2"/>
  <c r="S22" i="2"/>
  <c r="K22" i="2"/>
  <c r="E22" i="2"/>
  <c r="B22" i="2"/>
  <c r="Q22" i="2"/>
  <c r="D22" i="2"/>
  <c r="L22" i="2"/>
  <c r="U22" i="2"/>
  <c r="Y22" i="2" l="1"/>
  <c r="BG21" i="1" s="1"/>
  <c r="AZ22" i="1"/>
  <c r="A23" i="2"/>
  <c r="DG22" i="1"/>
  <c r="F22" i="1"/>
  <c r="A23" i="1"/>
  <c r="I23" i="2"/>
  <c r="C23" i="2"/>
  <c r="O23" i="2"/>
  <c r="L23" i="2"/>
  <c r="V23" i="2"/>
  <c r="S23" i="2"/>
  <c r="U23" i="2"/>
  <c r="G23" i="2"/>
  <c r="R23" i="2"/>
  <c r="X23" i="2"/>
  <c r="E23" i="2"/>
  <c r="B23" i="2"/>
  <c r="J23" i="2"/>
  <c r="M23" i="2"/>
  <c r="W23" i="2"/>
  <c r="H23" i="2"/>
  <c r="D23" i="2"/>
  <c r="T23" i="2"/>
  <c r="N23" i="2"/>
  <c r="F23" i="2"/>
  <c r="Q23" i="2"/>
  <c r="K23" i="2"/>
  <c r="P23" i="2"/>
  <c r="Y23" i="2" l="1"/>
  <c r="BG22" i="1" s="1"/>
  <c r="AZ23" i="1"/>
  <c r="A24" i="2"/>
  <c r="DG23" i="1"/>
  <c r="F23" i="1"/>
  <c r="A24" i="1"/>
  <c r="C24" i="2"/>
  <c r="X24" i="2"/>
  <c r="R24" i="2"/>
  <c r="B24" i="2"/>
  <c r="T24" i="2"/>
  <c r="I24" i="2"/>
  <c r="J24" i="2"/>
  <c r="N24" i="2"/>
  <c r="G24" i="2"/>
  <c r="W24" i="2"/>
  <c r="S24" i="2"/>
  <c r="U24" i="2"/>
  <c r="E24" i="2"/>
  <c r="K24" i="2"/>
  <c r="F24" i="2"/>
  <c r="P24" i="2"/>
  <c r="D24" i="2"/>
  <c r="Q24" i="2"/>
  <c r="V24" i="2"/>
  <c r="M24" i="2"/>
  <c r="L24" i="2"/>
  <c r="H24" i="2"/>
  <c r="O24" i="2"/>
  <c r="Y24" i="2" l="1"/>
  <c r="BG23" i="1" s="1"/>
  <c r="AZ24" i="1"/>
  <c r="A25" i="2"/>
  <c r="DG24" i="1"/>
  <c r="F24" i="1"/>
  <c r="A25" i="1"/>
  <c r="I25" i="2"/>
  <c r="Q25" i="2"/>
  <c r="V25" i="2"/>
  <c r="P25" i="2"/>
  <c r="U25" i="2"/>
  <c r="B25" i="2"/>
  <c r="S25" i="2"/>
  <c r="H25" i="2"/>
  <c r="N25" i="2"/>
  <c r="J25" i="2"/>
  <c r="C25" i="2"/>
  <c r="W25" i="2"/>
  <c r="T25" i="2"/>
  <c r="M25" i="2"/>
  <c r="E25" i="2"/>
  <c r="G25" i="2"/>
  <c r="R25" i="2"/>
  <c r="F25" i="2"/>
  <c r="D25" i="2"/>
  <c r="O25" i="2"/>
  <c r="K25" i="2"/>
  <c r="L25" i="2"/>
  <c r="X25" i="2"/>
  <c r="Y25" i="2" l="1"/>
  <c r="BG24" i="1" s="1"/>
  <c r="AZ25" i="1"/>
  <c r="A26" i="2"/>
  <c r="DG25" i="1"/>
  <c r="F25" i="1"/>
  <c r="A26" i="1"/>
  <c r="EO172" i="1"/>
  <c r="AU179" i="1"/>
  <c r="AU180" i="1"/>
  <c r="BB85" i="1"/>
  <c r="BB86" i="1"/>
  <c r="BC125" i="1"/>
  <c r="BC120" i="1"/>
  <c r="BC118" i="1"/>
  <c r="BC126" i="1"/>
  <c r="EN178" i="1"/>
  <c r="BC116" i="1"/>
  <c r="BC122" i="1"/>
  <c r="BC117" i="1"/>
  <c r="EN180" i="1"/>
  <c r="BC128" i="1"/>
  <c r="BC123" i="1"/>
  <c r="BB90" i="1"/>
  <c r="AV172" i="1"/>
  <c r="EN179" i="1"/>
  <c r="AU177" i="1"/>
  <c r="BC130" i="1"/>
  <c r="BC127" i="1"/>
  <c r="BB87" i="1"/>
  <c r="BB91" i="1"/>
  <c r="BB92" i="1"/>
  <c r="EO173" i="1"/>
  <c r="AU178" i="1"/>
  <c r="BC129" i="1"/>
  <c r="BB89" i="1"/>
  <c r="BC121" i="1"/>
  <c r="AV173" i="1"/>
  <c r="EN177" i="1"/>
  <c r="BC124" i="1"/>
  <c r="BC119" i="1"/>
  <c r="BB88" i="1"/>
  <c r="CD164" i="1"/>
  <c r="BF168" i="1"/>
  <c r="AV145" i="1"/>
  <c r="BA168" i="1"/>
  <c r="AV154" i="1"/>
  <c r="AU182" i="1"/>
  <c r="AV142" i="1"/>
  <c r="EN188" i="1"/>
  <c r="EN181" i="1"/>
  <c r="EN137" i="1"/>
  <c r="AV141" i="1"/>
  <c r="AV149" i="1"/>
  <c r="EN140" i="1"/>
  <c r="AU183" i="1"/>
  <c r="AX169" i="1"/>
  <c r="EN187" i="1"/>
  <c r="AU184" i="1"/>
  <c r="EN183" i="1"/>
  <c r="CD168" i="1"/>
  <c r="BA108" i="1"/>
  <c r="BC107" i="1"/>
  <c r="BB124" i="1"/>
  <c r="BA110" i="1"/>
  <c r="BA107" i="1"/>
  <c r="BA113" i="1"/>
  <c r="BA105" i="1"/>
  <c r="BB93" i="1"/>
  <c r="BB114" i="1"/>
  <c r="BB119" i="1"/>
  <c r="BB126" i="1"/>
  <c r="BA93" i="1"/>
  <c r="BC111" i="1"/>
  <c r="BC94" i="1"/>
  <c r="BA128" i="1"/>
  <c r="BA117" i="1"/>
  <c r="BC97" i="1"/>
  <c r="BC99" i="1"/>
  <c r="BD89" i="1"/>
  <c r="BD85" i="1"/>
  <c r="BB106" i="1"/>
  <c r="BA97" i="1"/>
  <c r="BA95" i="1"/>
  <c r="BB117" i="1"/>
  <c r="BB112" i="1"/>
  <c r="BC96" i="1"/>
  <c r="CD165" i="1"/>
  <c r="CD161" i="1"/>
  <c r="AV150" i="1"/>
  <c r="EN139" i="1"/>
  <c r="AX173" i="1"/>
  <c r="AV157" i="1"/>
  <c r="AX170" i="1"/>
  <c r="AV151" i="1"/>
  <c r="EN185" i="1"/>
  <c r="AU140" i="1"/>
  <c r="EO142" i="1"/>
  <c r="BA99" i="1"/>
  <c r="BB104" i="1"/>
  <c r="BC115" i="1"/>
  <c r="BB94" i="1"/>
  <c r="BB116" i="1"/>
  <c r="BA104" i="1"/>
  <c r="BA124" i="1"/>
  <c r="BB123" i="1"/>
  <c r="BC91" i="1"/>
  <c r="BB120" i="1"/>
  <c r="BD86" i="1"/>
  <c r="BB111" i="1"/>
  <c r="BA98" i="1"/>
  <c r="BB125" i="1"/>
  <c r="BA163" i="1"/>
  <c r="EO157" i="1"/>
  <c r="EN186" i="1"/>
  <c r="AV147" i="1"/>
  <c r="AX176" i="1"/>
  <c r="AX172" i="1"/>
  <c r="EO148" i="1"/>
  <c r="AX174" i="1"/>
  <c r="AU139" i="1"/>
  <c r="EO143" i="1"/>
  <c r="AV143" i="1"/>
  <c r="BC104" i="1"/>
  <c r="BA129" i="1"/>
  <c r="BC92" i="1"/>
  <c r="BB101" i="1"/>
  <c r="BA100" i="1"/>
  <c r="BC113" i="1"/>
  <c r="BC93" i="1"/>
  <c r="BA101" i="1"/>
  <c r="BC100" i="1"/>
  <c r="BC95" i="1"/>
  <c r="BB98" i="1"/>
  <c r="BB95" i="1"/>
  <c r="BB110" i="1"/>
  <c r="BC110" i="1"/>
  <c r="CD163" i="1"/>
  <c r="EO145" i="1"/>
  <c r="EO146" i="1"/>
  <c r="AU181" i="1"/>
  <c r="EO147" i="1"/>
  <c r="EN189" i="1"/>
  <c r="BF163" i="1"/>
  <c r="EN138" i="1"/>
  <c r="EN182" i="1"/>
  <c r="AX171" i="1"/>
  <c r="AU187" i="1"/>
  <c r="EO141" i="1"/>
  <c r="AV155" i="1"/>
  <c r="AV146" i="1"/>
  <c r="AV148" i="1"/>
  <c r="EO149" i="1"/>
  <c r="AV153" i="1"/>
  <c r="BA109" i="1"/>
  <c r="BA121" i="1"/>
  <c r="BA112" i="1"/>
  <c r="BA114" i="1"/>
  <c r="BA94" i="1"/>
  <c r="BA111" i="1"/>
  <c r="BA126" i="1"/>
  <c r="BA102" i="1"/>
  <c r="BA123" i="1"/>
  <c r="BB102" i="1"/>
  <c r="BA103" i="1"/>
  <c r="BB103" i="1"/>
  <c r="BC106" i="1"/>
  <c r="BA96" i="1"/>
  <c r="BC102" i="1"/>
  <c r="BB109" i="1"/>
  <c r="BA125" i="1"/>
  <c r="BA120" i="1"/>
  <c r="BB118" i="1"/>
  <c r="BB108" i="1"/>
  <c r="BD87" i="1"/>
  <c r="BB96" i="1"/>
  <c r="BD92" i="1"/>
  <c r="BB99" i="1"/>
  <c r="BB130" i="1"/>
  <c r="BA118" i="1"/>
  <c r="CD162" i="1"/>
  <c r="EO156" i="1"/>
  <c r="EO154" i="1"/>
  <c r="EO152" i="1"/>
  <c r="EN184" i="1"/>
  <c r="AV156" i="1"/>
  <c r="EO153" i="1"/>
  <c r="EO155" i="1"/>
  <c r="EO151" i="1"/>
  <c r="AU186" i="1"/>
  <c r="BB113" i="1"/>
  <c r="BC112" i="1"/>
  <c r="BB121" i="1"/>
  <c r="BC103" i="1"/>
  <c r="BB107" i="1"/>
  <c r="BC105" i="1"/>
  <c r="BC101" i="1"/>
  <c r="BA115" i="1"/>
  <c r="BB115" i="1"/>
  <c r="BC98" i="1"/>
  <c r="BA122" i="1"/>
  <c r="BA106" i="1"/>
  <c r="BB97" i="1"/>
  <c r="BD90" i="1"/>
  <c r="AX175" i="1"/>
  <c r="AU185" i="1"/>
  <c r="EO150" i="1"/>
  <c r="AV144" i="1"/>
  <c r="AV152" i="1"/>
  <c r="EO144" i="1"/>
  <c r="BB128" i="1"/>
  <c r="BB129" i="1"/>
  <c r="BB100" i="1"/>
  <c r="BB127" i="1"/>
  <c r="BB122" i="1"/>
  <c r="BC108" i="1"/>
  <c r="BB105" i="1"/>
  <c r="BD91" i="1"/>
  <c r="BA127" i="1"/>
  <c r="BD88" i="1"/>
  <c r="BA119" i="1"/>
  <c r="BC109" i="1"/>
  <c r="BA116" i="1"/>
  <c r="BC114" i="1"/>
  <c r="D26" i="2"/>
  <c r="E26" i="2"/>
  <c r="H26" i="2"/>
  <c r="R26" i="2"/>
  <c r="C26" i="2"/>
  <c r="Q26" i="2"/>
  <c r="T26" i="2"/>
  <c r="N26" i="2"/>
  <c r="F26" i="2"/>
  <c r="K26" i="2"/>
  <c r="G26" i="2"/>
  <c r="S26" i="2"/>
  <c r="I26" i="2"/>
  <c r="V26" i="2"/>
  <c r="M26" i="2"/>
  <c r="W26" i="2"/>
  <c r="B26" i="2"/>
  <c r="O26" i="2"/>
  <c r="J26" i="2"/>
  <c r="U26" i="2"/>
  <c r="L26" i="2"/>
  <c r="X26" i="2"/>
  <c r="P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S27" i="2"/>
  <c r="N27" i="2"/>
  <c r="V27" i="2"/>
  <c r="U27" i="2"/>
  <c r="P27" i="2"/>
  <c r="T27" i="2"/>
  <c r="W27" i="2"/>
  <c r="O27" i="2"/>
  <c r="I27" i="2"/>
  <c r="Q27" i="2"/>
  <c r="B27" i="2"/>
  <c r="H27" i="2"/>
  <c r="J27" i="2"/>
  <c r="L27" i="2"/>
  <c r="K27" i="2"/>
  <c r="D27" i="2"/>
  <c r="C27" i="2"/>
  <c r="E27" i="2"/>
  <c r="X27" i="2"/>
  <c r="R27" i="2"/>
  <c r="M27" i="2"/>
  <c r="G27" i="2"/>
  <c r="F27" i="2"/>
  <c r="Y27" i="2" l="1"/>
  <c r="BG26" i="1" s="1"/>
  <c r="AZ27" i="1"/>
  <c r="A28" i="2"/>
  <c r="DG27" i="1"/>
  <c r="F27" i="1"/>
  <c r="A28" i="1"/>
  <c r="EO171" i="1"/>
  <c r="EO168" i="1"/>
  <c r="EN170" i="1"/>
  <c r="EN167" i="1"/>
  <c r="EN166" i="1"/>
  <c r="EO166" i="1"/>
  <c r="EO167" i="1"/>
  <c r="EO169" i="1"/>
  <c r="EN173" i="1"/>
  <c r="EN168" i="1"/>
  <c r="EO170" i="1"/>
  <c r="EN160" i="1"/>
  <c r="EN172" i="1"/>
  <c r="EN163" i="1"/>
  <c r="EN176" i="1"/>
  <c r="EO165" i="1"/>
  <c r="EN174" i="1"/>
  <c r="EO174" i="1"/>
  <c r="EO175" i="1"/>
  <c r="EO164" i="1"/>
  <c r="EO176" i="1"/>
  <c r="EN164" i="1"/>
  <c r="EN169" i="1"/>
  <c r="EN175" i="1"/>
  <c r="EN161" i="1"/>
  <c r="EN162" i="1"/>
  <c r="EN165" i="1"/>
  <c r="EN171" i="1"/>
  <c r="BE168" i="1"/>
  <c r="BE163" i="1"/>
  <c r="EO161" i="1"/>
  <c r="EO162" i="1"/>
  <c r="EO160" i="1"/>
  <c r="EO158" i="1"/>
  <c r="EN159" i="1"/>
  <c r="EN158" i="1"/>
  <c r="EO159" i="1"/>
  <c r="EO163" i="1"/>
  <c r="F28" i="2"/>
  <c r="Q28" i="2"/>
  <c r="N28" i="2"/>
  <c r="H28" i="2"/>
  <c r="G28" i="2"/>
  <c r="X28" i="2"/>
  <c r="O28" i="2"/>
  <c r="U28" i="2"/>
  <c r="V28" i="2"/>
  <c r="S28" i="2"/>
  <c r="T28" i="2"/>
  <c r="W28" i="2"/>
  <c r="C28" i="2"/>
  <c r="P28" i="2"/>
  <c r="I28" i="2"/>
  <c r="B28" i="2"/>
  <c r="E28" i="2"/>
  <c r="K28" i="2"/>
  <c r="R28" i="2"/>
  <c r="J28" i="2"/>
  <c r="M28" i="2"/>
  <c r="L28" i="2"/>
  <c r="D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CI118" i="1"/>
  <c r="AV184" i="1"/>
  <c r="CI104" i="1"/>
  <c r="CI109" i="1"/>
  <c r="EO184" i="1"/>
  <c r="CI106" i="1"/>
  <c r="CI115" i="1"/>
  <c r="AU160" i="1"/>
  <c r="CI100" i="1"/>
  <c r="AU162" i="1"/>
  <c r="AU169" i="1"/>
  <c r="AU51" i="1"/>
  <c r="AX50" i="1"/>
  <c r="DF150" i="1"/>
  <c r="AX64" i="1"/>
  <c r="EO181" i="1"/>
  <c r="CI93" i="1"/>
  <c r="AU163" i="1"/>
  <c r="DE150" i="1"/>
  <c r="DF159" i="1"/>
  <c r="DB156" i="1"/>
  <c r="CF168" i="1"/>
  <c r="AX53" i="1"/>
  <c r="DC148" i="1"/>
  <c r="EQ45" i="1"/>
  <c r="CI95" i="1"/>
  <c r="CF123" i="1"/>
  <c r="EO183" i="1"/>
  <c r="EO177" i="1"/>
  <c r="EO182" i="1"/>
  <c r="EN63" i="1"/>
  <c r="AX49" i="1"/>
  <c r="DD148" i="1"/>
  <c r="BF52" i="1"/>
  <c r="DA152" i="1"/>
  <c r="EQ61" i="1"/>
  <c r="CF64" i="1"/>
  <c r="DB87" i="1"/>
  <c r="AX95" i="1"/>
  <c r="DE155" i="1"/>
  <c r="CF165" i="1"/>
  <c r="DA154" i="1"/>
  <c r="DE159" i="1"/>
  <c r="AX118" i="1"/>
  <c r="AU53" i="1"/>
  <c r="AU63" i="1"/>
  <c r="DC149" i="1"/>
  <c r="DD149" i="1"/>
  <c r="AX129" i="1"/>
  <c r="BF53" i="1"/>
  <c r="DF85" i="1"/>
  <c r="DB150" i="1"/>
  <c r="AU164" i="1"/>
  <c r="EQ48" i="1"/>
  <c r="CF130" i="1"/>
  <c r="DF86" i="1"/>
  <c r="BC52" i="1"/>
  <c r="AU119" i="1"/>
  <c r="AX115" i="1"/>
  <c r="AU121" i="1"/>
  <c r="DC150" i="1"/>
  <c r="EQ58" i="1"/>
  <c r="EN52" i="1"/>
  <c r="DF151" i="1"/>
  <c r="DD90" i="1"/>
  <c r="EQ53" i="1"/>
  <c r="EN73" i="1"/>
  <c r="AU125" i="1"/>
  <c r="EQ79" i="1"/>
  <c r="CI71" i="1"/>
  <c r="CI62" i="1"/>
  <c r="DD91" i="1"/>
  <c r="EP159" i="1"/>
  <c r="AV178" i="1"/>
  <c r="AX104" i="1"/>
  <c r="CF121" i="1"/>
  <c r="AX102" i="1"/>
  <c r="BF56" i="1"/>
  <c r="AU120" i="1"/>
  <c r="DB85" i="1"/>
  <c r="AX127" i="1"/>
  <c r="AX110" i="1"/>
  <c r="DF87" i="1"/>
  <c r="EQ74" i="1"/>
  <c r="EN76" i="1"/>
  <c r="DA149" i="1"/>
  <c r="EN49" i="1"/>
  <c r="EQ49" i="1"/>
  <c r="DB157" i="1"/>
  <c r="AX107" i="1"/>
  <c r="AX111" i="1"/>
  <c r="AU122" i="1"/>
  <c r="AX97" i="1"/>
  <c r="BF95" i="1"/>
  <c r="BF116" i="1"/>
  <c r="BF109" i="1"/>
  <c r="BF117" i="1"/>
  <c r="BF102" i="1"/>
  <c r="BF115" i="1"/>
  <c r="BF129" i="1"/>
  <c r="BF97" i="1"/>
  <c r="BF125" i="1"/>
  <c r="BF106" i="1"/>
  <c r="BF130" i="1"/>
  <c r="BF104" i="1"/>
  <c r="BF121" i="1"/>
  <c r="CI110" i="1"/>
  <c r="CI103" i="1"/>
  <c r="CI112" i="1"/>
  <c r="CI122" i="1"/>
  <c r="CF161" i="1"/>
  <c r="CI111" i="1"/>
  <c r="EO185" i="1"/>
  <c r="AV175" i="1"/>
  <c r="CI107" i="1"/>
  <c r="BD168" i="1"/>
  <c r="CI113" i="1"/>
  <c r="CI108" i="1"/>
  <c r="CI126" i="1"/>
  <c r="CI94" i="1"/>
  <c r="CG164" i="1"/>
  <c r="EQ50" i="1"/>
  <c r="EQ76" i="1"/>
  <c r="AU175" i="1"/>
  <c r="DC151" i="1"/>
  <c r="CI123" i="1"/>
  <c r="CI96" i="1"/>
  <c r="CF126" i="1"/>
  <c r="CF164" i="1"/>
  <c r="DA150" i="1"/>
  <c r="DA153" i="1"/>
  <c r="AV183" i="1"/>
  <c r="CI98" i="1"/>
  <c r="DD157" i="1"/>
  <c r="AV167" i="1"/>
  <c r="DF156" i="1"/>
  <c r="EQ52" i="1"/>
  <c r="DA157" i="1"/>
  <c r="EQ46" i="1"/>
  <c r="DE148" i="1"/>
  <c r="AV180" i="1"/>
  <c r="DE153" i="1"/>
  <c r="AX56" i="1"/>
  <c r="CF49" i="1"/>
  <c r="EQ78" i="1"/>
  <c r="DC158" i="1"/>
  <c r="EN53" i="1"/>
  <c r="DB88" i="1"/>
  <c r="AU165" i="1"/>
  <c r="DD92" i="1"/>
  <c r="EQ73" i="1"/>
  <c r="EN48" i="1"/>
  <c r="DD159" i="1"/>
  <c r="AX113" i="1"/>
  <c r="CF116" i="1"/>
  <c r="BC64" i="1"/>
  <c r="EO180" i="1"/>
  <c r="BF50" i="1"/>
  <c r="CI49" i="1"/>
  <c r="CF125" i="1"/>
  <c r="CF70" i="1"/>
  <c r="DE154" i="1"/>
  <c r="DD156" i="1"/>
  <c r="DE152" i="1"/>
  <c r="AX120" i="1"/>
  <c r="EN74" i="1"/>
  <c r="CF127" i="1"/>
  <c r="EN79" i="1"/>
  <c r="AU49" i="1"/>
  <c r="AU123" i="1"/>
  <c r="DD151" i="1"/>
  <c r="AU50" i="1"/>
  <c r="DB148" i="1"/>
  <c r="DF88" i="1"/>
  <c r="CF118" i="1"/>
  <c r="AX123" i="1"/>
  <c r="CE92" i="1"/>
  <c r="EN50" i="1"/>
  <c r="AV176" i="1"/>
  <c r="EN56" i="1"/>
  <c r="EN71" i="1"/>
  <c r="DD86" i="1"/>
  <c r="CF124" i="1"/>
  <c r="DD85" i="1"/>
  <c r="AX103" i="1"/>
  <c r="AX101" i="1"/>
  <c r="EQ77" i="1"/>
  <c r="DA155" i="1"/>
  <c r="EO178" i="1"/>
  <c r="DD89" i="1"/>
  <c r="AT91" i="1"/>
  <c r="EQ62" i="1"/>
  <c r="AU52" i="1"/>
  <c r="CF52" i="1"/>
  <c r="DC155" i="1"/>
  <c r="CF71" i="1"/>
  <c r="CE91" i="1"/>
  <c r="AT89" i="1"/>
  <c r="EN78" i="1"/>
  <c r="EQ64" i="1"/>
  <c r="AX125" i="1"/>
  <c r="EN60" i="1"/>
  <c r="DC152" i="1"/>
  <c r="BF99" i="1"/>
  <c r="BF119" i="1"/>
  <c r="BF93" i="1"/>
  <c r="BF110" i="1"/>
  <c r="BF105" i="1"/>
  <c r="BF112" i="1"/>
  <c r="BF103" i="1"/>
  <c r="BF111" i="1"/>
  <c r="BF107" i="1"/>
  <c r="BF113" i="1"/>
  <c r="AU64" i="1"/>
  <c r="CE89" i="1"/>
  <c r="AT90" i="1"/>
  <c r="EN75" i="1"/>
  <c r="AX124" i="1"/>
  <c r="AX51" i="1"/>
  <c r="DB91" i="1"/>
  <c r="AW159" i="1"/>
  <c r="AX126" i="1"/>
  <c r="CI64" i="1"/>
  <c r="AX117" i="1"/>
  <c r="AX121" i="1"/>
  <c r="AX106" i="1"/>
  <c r="CE87" i="1"/>
  <c r="EN51" i="1"/>
  <c r="AX130" i="1"/>
  <c r="AU116" i="1"/>
  <c r="CF56" i="1"/>
  <c r="BF51" i="1"/>
  <c r="BF98" i="1"/>
  <c r="BF101" i="1"/>
  <c r="BF127" i="1"/>
  <c r="AV170" i="1"/>
  <c r="CI119" i="1"/>
  <c r="CI120" i="1"/>
  <c r="CG168" i="1"/>
  <c r="CI117" i="1"/>
  <c r="AV168" i="1"/>
  <c r="AU161" i="1"/>
  <c r="CI121" i="1"/>
  <c r="AV171" i="1"/>
  <c r="AV169" i="1"/>
  <c r="CI125" i="1"/>
  <c r="CI128" i="1"/>
  <c r="CI127" i="1"/>
  <c r="AU167" i="1"/>
  <c r="EQ72" i="1"/>
  <c r="CF128" i="1"/>
  <c r="EN47" i="1"/>
  <c r="AU171" i="1"/>
  <c r="AX70" i="1"/>
  <c r="AU173" i="1"/>
  <c r="CI102" i="1"/>
  <c r="AU166" i="1"/>
  <c r="AX93" i="1"/>
  <c r="DD150" i="1"/>
  <c r="CF162" i="1"/>
  <c r="CI124" i="1"/>
  <c r="CI129" i="1"/>
  <c r="AX63" i="1"/>
  <c r="DB158" i="1"/>
  <c r="AU172" i="1"/>
  <c r="CI56" i="1"/>
  <c r="AV164" i="1"/>
  <c r="EQ59" i="1"/>
  <c r="EQ57" i="1"/>
  <c r="AU128" i="1"/>
  <c r="AU70" i="1"/>
  <c r="AU130" i="1"/>
  <c r="DF149" i="1"/>
  <c r="AX98" i="1"/>
  <c r="AX116" i="1"/>
  <c r="EN70" i="1"/>
  <c r="CI50" i="1"/>
  <c r="EN57" i="1"/>
  <c r="AX94" i="1"/>
  <c r="AU56" i="1"/>
  <c r="BC56" i="1"/>
  <c r="CE90" i="1"/>
  <c r="EN59" i="1"/>
  <c r="EQ70" i="1"/>
  <c r="EN72" i="1"/>
  <c r="DB159" i="1"/>
  <c r="AT88" i="1"/>
  <c r="DA148" i="1"/>
  <c r="EN61" i="1"/>
  <c r="DC159" i="1"/>
  <c r="CI63" i="1"/>
  <c r="DB92" i="1"/>
  <c r="DC153" i="1"/>
  <c r="AX100" i="1"/>
  <c r="CG165" i="1"/>
  <c r="DD87" i="1"/>
  <c r="AX112" i="1"/>
  <c r="AU168" i="1"/>
  <c r="EQ75" i="1"/>
  <c r="AV182" i="1"/>
  <c r="EN58" i="1"/>
  <c r="EN45" i="1"/>
  <c r="BC51" i="1"/>
  <c r="DA158" i="1"/>
  <c r="DF89" i="1"/>
  <c r="DC154" i="1"/>
  <c r="CF62" i="1"/>
  <c r="DE149" i="1"/>
  <c r="DF90" i="1"/>
  <c r="CF53" i="1"/>
  <c r="DD158" i="1"/>
  <c r="BF123" i="1"/>
  <c r="BF114" i="1"/>
  <c r="BF122" i="1"/>
  <c r="CI114" i="1"/>
  <c r="CI116" i="1"/>
  <c r="AV185" i="1"/>
  <c r="AV174" i="1"/>
  <c r="CI105" i="1"/>
  <c r="AU176" i="1"/>
  <c r="CI99" i="1"/>
  <c r="DB149" i="1"/>
  <c r="DA151" i="1"/>
  <c r="AV166" i="1"/>
  <c r="CI51" i="1"/>
  <c r="AV165" i="1"/>
  <c r="BC163" i="1"/>
  <c r="BC50" i="1"/>
  <c r="EN64" i="1"/>
  <c r="AX96" i="1"/>
  <c r="CE85" i="1"/>
  <c r="DB89" i="1"/>
  <c r="AX105" i="1"/>
  <c r="AX114" i="1"/>
  <c r="AT87" i="1"/>
  <c r="DC156" i="1"/>
  <c r="CF117" i="1"/>
  <c r="DB90" i="1"/>
  <c r="CE86" i="1"/>
  <c r="AX122" i="1"/>
  <c r="BF124" i="1"/>
  <c r="BF94" i="1"/>
  <c r="AV177" i="1"/>
  <c r="AV181" i="1"/>
  <c r="AU124" i="1"/>
  <c r="AT86" i="1"/>
  <c r="DE151" i="1"/>
  <c r="CF50" i="1"/>
  <c r="CF51" i="1"/>
  <c r="BF108" i="1"/>
  <c r="AU170" i="1"/>
  <c r="CI130" i="1"/>
  <c r="EQ60" i="1"/>
  <c r="CI101" i="1"/>
  <c r="BC168" i="1"/>
  <c r="DA156" i="1"/>
  <c r="AU117" i="1"/>
  <c r="AX52" i="1"/>
  <c r="EO179" i="1"/>
  <c r="AX119" i="1"/>
  <c r="AV179" i="1"/>
  <c r="AU129" i="1"/>
  <c r="AX128" i="1"/>
  <c r="CF122" i="1"/>
  <c r="EQ51" i="1"/>
  <c r="DC157" i="1"/>
  <c r="EQ63" i="1"/>
  <c r="DF91" i="1"/>
  <c r="CF119" i="1"/>
  <c r="EQ47" i="1"/>
  <c r="DA159" i="1"/>
  <c r="CE88" i="1"/>
  <c r="BF118" i="1"/>
  <c r="BF96" i="1"/>
  <c r="DF158" i="1"/>
  <c r="AU174" i="1"/>
  <c r="DB151" i="1"/>
  <c r="AU118" i="1"/>
  <c r="EN77" i="1"/>
  <c r="EQ71" i="1"/>
  <c r="BF126" i="1"/>
  <c r="DE157" i="1"/>
  <c r="AU126" i="1"/>
  <c r="CI70" i="1"/>
  <c r="DF157" i="1"/>
  <c r="CI53" i="1"/>
  <c r="DF148" i="1"/>
  <c r="AX108" i="1"/>
  <c r="AX99" i="1"/>
  <c r="BC53" i="1"/>
  <c r="CI97" i="1"/>
  <c r="CI52" i="1"/>
  <c r="DE158" i="1"/>
  <c r="BC49" i="1"/>
  <c r="DD88" i="1"/>
  <c r="CF63" i="1"/>
  <c r="EN62" i="1"/>
  <c r="BF64" i="1"/>
  <c r="AX109" i="1"/>
  <c r="CF120" i="1"/>
  <c r="AU127" i="1"/>
  <c r="CF163" i="1"/>
  <c r="BF100" i="1"/>
  <c r="BF120" i="1"/>
  <c r="BF128" i="1"/>
  <c r="CF129" i="1"/>
  <c r="EQ56" i="1"/>
  <c r="BF49" i="1"/>
  <c r="EN46" i="1"/>
  <c r="AT92" i="1"/>
  <c r="DB86" i="1"/>
  <c r="DE156" i="1"/>
  <c r="DF92" i="1"/>
  <c r="CH128" i="1"/>
  <c r="EP174" i="1"/>
  <c r="EQ178" i="1"/>
  <c r="DA79" i="1"/>
  <c r="EQ182" i="1"/>
  <c r="EP183" i="1"/>
  <c r="CH102" i="1"/>
  <c r="CH85" i="1"/>
  <c r="DE142" i="1"/>
  <c r="DF138" i="1"/>
  <c r="DF129" i="1"/>
  <c r="AW180" i="1"/>
  <c r="AU153" i="1"/>
  <c r="EP146" i="1"/>
  <c r="EO63" i="1"/>
  <c r="DB171" i="1"/>
  <c r="CH107" i="1"/>
  <c r="DE130" i="1"/>
  <c r="AV70" i="1"/>
  <c r="BB163" i="1"/>
  <c r="DF155" i="1"/>
  <c r="EQ188" i="1"/>
  <c r="CG161" i="1"/>
  <c r="DF177" i="1"/>
  <c r="AX148" i="1"/>
  <c r="DB163" i="1"/>
  <c r="CD124" i="1"/>
  <c r="CH130" i="1"/>
  <c r="CG127" i="1"/>
  <c r="AT128" i="1"/>
  <c r="EO57" i="1"/>
  <c r="DB146" i="1"/>
  <c r="DE188" i="1"/>
  <c r="CH91" i="1"/>
  <c r="CI90" i="1"/>
  <c r="DF180" i="1"/>
  <c r="EQ171" i="1"/>
  <c r="AW148" i="1"/>
  <c r="DD187" i="1"/>
  <c r="CG126" i="1"/>
  <c r="BA49" i="1"/>
  <c r="CH104" i="1"/>
  <c r="CH97" i="1"/>
  <c r="AX178" i="1"/>
  <c r="DB144" i="1"/>
  <c r="DA146" i="1"/>
  <c r="CE161" i="1"/>
  <c r="DD164" i="1"/>
  <c r="BD49" i="1"/>
  <c r="CI87" i="1"/>
  <c r="CH101" i="1"/>
  <c r="DF168" i="1"/>
  <c r="AW186" i="1"/>
  <c r="AW169" i="1"/>
  <c r="DE176" i="1"/>
  <c r="EO187" i="1"/>
  <c r="CH109" i="1"/>
  <c r="AV52" i="1"/>
  <c r="AX189" i="1"/>
  <c r="AW152" i="1"/>
  <c r="CH86" i="1"/>
  <c r="DA170" i="1"/>
  <c r="EQ153" i="1"/>
  <c r="DC72" i="1"/>
  <c r="DA85" i="1"/>
  <c r="EO137" i="1"/>
  <c r="CH121" i="1"/>
  <c r="EO58" i="1"/>
  <c r="DE129" i="1"/>
  <c r="DA188" i="1"/>
  <c r="EP64" i="1"/>
  <c r="DE61" i="1"/>
  <c r="BE49" i="1"/>
  <c r="EO139" i="1"/>
  <c r="AW188" i="1"/>
  <c r="EO70" i="1"/>
  <c r="DD178" i="1"/>
  <c r="CH110" i="1"/>
  <c r="CH94" i="1"/>
  <c r="AX188" i="1"/>
  <c r="DF170" i="1"/>
  <c r="DA182" i="1"/>
  <c r="BD52" i="1"/>
  <c r="BB168" i="1"/>
  <c r="CH95" i="1"/>
  <c r="AV140" i="1"/>
  <c r="DD180" i="1"/>
  <c r="DD137" i="1"/>
  <c r="EN157" i="1"/>
  <c r="AX147" i="1"/>
  <c r="AW174" i="1"/>
  <c r="EQ166" i="1"/>
  <c r="EP142" i="1"/>
  <c r="CI89" i="1"/>
  <c r="AW177" i="1"/>
  <c r="EP177" i="1"/>
  <c r="DF161" i="1"/>
  <c r="AX158" i="1"/>
  <c r="DB128" i="1"/>
  <c r="EO52" i="1"/>
  <c r="EP58" i="1"/>
  <c r="AU88" i="1"/>
  <c r="CD86" i="1"/>
  <c r="DB101" i="1"/>
  <c r="CG99" i="1"/>
  <c r="EO48" i="1"/>
  <c r="DF163" i="1"/>
  <c r="DC62" i="1"/>
  <c r="BE52" i="1"/>
  <c r="AW141" i="1"/>
  <c r="DA112" i="1"/>
  <c r="AU97" i="1"/>
  <c r="DD179" i="1"/>
  <c r="DF172" i="1"/>
  <c r="EN146" i="1"/>
  <c r="DA128" i="1"/>
  <c r="AW160" i="1"/>
  <c r="DD95" i="1"/>
  <c r="EQ161" i="1"/>
  <c r="DB143" i="1"/>
  <c r="AT101" i="1"/>
  <c r="DA88" i="1"/>
  <c r="DD113" i="1"/>
  <c r="CG115" i="1"/>
  <c r="DE98" i="1"/>
  <c r="BE56" i="1"/>
  <c r="DE104" i="1"/>
  <c r="CH111" i="1"/>
  <c r="AV162" i="1"/>
  <c r="AW157" i="1"/>
  <c r="DC89" i="1"/>
  <c r="AW138" i="1"/>
  <c r="EP152" i="1"/>
  <c r="DD169" i="1"/>
  <c r="EN154" i="1"/>
  <c r="AV126" i="1"/>
  <c r="DD140" i="1"/>
  <c r="DD127" i="1"/>
  <c r="EQ176" i="1"/>
  <c r="CH71" i="1"/>
  <c r="DA168" i="1"/>
  <c r="DE52" i="1"/>
  <c r="AV158" i="1"/>
  <c r="AW147" i="1"/>
  <c r="DC141" i="1"/>
  <c r="EP59" i="1"/>
  <c r="AX138" i="1"/>
  <c r="CG62" i="1"/>
  <c r="CH56" i="1"/>
  <c r="DB169" i="1"/>
  <c r="DE89" i="1"/>
  <c r="EO186" i="1"/>
  <c r="AV64" i="1"/>
  <c r="EP75" i="1"/>
  <c r="EP46" i="1"/>
  <c r="EP61" i="1"/>
  <c r="CE126" i="1"/>
  <c r="AU142" i="1"/>
  <c r="EN142" i="1"/>
  <c r="AX155" i="1"/>
  <c r="DB166" i="1"/>
  <c r="DB127" i="1"/>
  <c r="DC167" i="1"/>
  <c r="CH127" i="1"/>
  <c r="DA177" i="1"/>
  <c r="EO51" i="1"/>
  <c r="DE78" i="1"/>
  <c r="CE125" i="1"/>
  <c r="BD51" i="1"/>
  <c r="AW165" i="1"/>
  <c r="EQ175" i="1"/>
  <c r="AW155" i="1"/>
  <c r="EP76" i="1"/>
  <c r="EP56" i="1"/>
  <c r="AV51" i="1"/>
  <c r="CE163" i="1"/>
  <c r="AU157" i="1"/>
  <c r="AX149" i="1"/>
  <c r="EP168" i="1"/>
  <c r="DE163" i="1"/>
  <c r="AW144" i="1"/>
  <c r="BD163" i="1"/>
  <c r="CH114" i="1"/>
  <c r="CH88" i="1"/>
  <c r="BE51" i="1"/>
  <c r="AW166" i="1"/>
  <c r="DD166" i="1"/>
  <c r="DB177" i="1"/>
  <c r="EP166" i="1"/>
  <c r="EQ145" i="1"/>
  <c r="EP188" i="1"/>
  <c r="CH165" i="1"/>
  <c r="DD129" i="1"/>
  <c r="DC124" i="1"/>
  <c r="EN151" i="1"/>
  <c r="EQ156" i="1"/>
  <c r="AT118" i="1"/>
  <c r="EP139" i="1"/>
  <c r="EQ151" i="1"/>
  <c r="EO189" i="1"/>
  <c r="CH100" i="1"/>
  <c r="EP143" i="1"/>
  <c r="DD165" i="1"/>
  <c r="DD171" i="1"/>
  <c r="DB164" i="1"/>
  <c r="CI168" i="1"/>
  <c r="CH92" i="1"/>
  <c r="CI86" i="1"/>
  <c r="BD50" i="1"/>
  <c r="DE177" i="1"/>
  <c r="EO138" i="1"/>
  <c r="DB176" i="1"/>
  <c r="EQ170" i="1"/>
  <c r="DA130" i="1"/>
  <c r="EN144" i="1"/>
  <c r="DF124" i="1"/>
  <c r="AX186" i="1"/>
  <c r="AX156" i="1"/>
  <c r="EP140" i="1"/>
  <c r="DD167" i="1"/>
  <c r="EP79" i="1"/>
  <c r="CH99" i="1"/>
  <c r="DD168" i="1"/>
  <c r="DB165" i="1"/>
  <c r="DB114" i="1"/>
  <c r="CE102" i="1"/>
  <c r="DA120" i="1"/>
  <c r="CF105" i="1"/>
  <c r="AW102" i="1"/>
  <c r="DC76" i="1"/>
  <c r="AS63" i="1"/>
  <c r="AS86" i="1"/>
  <c r="AV88" i="1"/>
  <c r="DA176" i="1"/>
  <c r="AT114" i="1"/>
  <c r="AT50" i="1"/>
  <c r="EQ179" i="1"/>
  <c r="AT111" i="1"/>
  <c r="DD154" i="1"/>
  <c r="AV163" i="1"/>
  <c r="AX144" i="1"/>
  <c r="DF130" i="1"/>
  <c r="DB96" i="1"/>
  <c r="CD100" i="1"/>
  <c r="CH70" i="1"/>
  <c r="DD108" i="1"/>
  <c r="AS111" i="1"/>
  <c r="DB106" i="1"/>
  <c r="DE99" i="1"/>
  <c r="EQ177" i="1"/>
  <c r="AW153" i="1"/>
  <c r="AU143" i="1"/>
  <c r="DC77" i="1"/>
  <c r="DC175" i="1"/>
  <c r="DE140" i="1"/>
  <c r="AX142" i="1"/>
  <c r="AX179" i="1"/>
  <c r="DC187" i="1"/>
  <c r="DB123" i="1"/>
  <c r="CH89" i="1"/>
  <c r="EN156" i="1"/>
  <c r="AW172" i="1"/>
  <c r="AX151" i="1"/>
  <c r="EO53" i="1"/>
  <c r="EN147" i="1"/>
  <c r="DB154" i="1"/>
  <c r="DE87" i="1"/>
  <c r="EN148" i="1"/>
  <c r="DF127" i="1"/>
  <c r="DE143" i="1"/>
  <c r="CH112" i="1"/>
  <c r="DA162" i="1"/>
  <c r="AT110" i="1"/>
  <c r="AX180" i="1"/>
  <c r="DF140" i="1"/>
  <c r="AT126" i="1"/>
  <c r="AV161" i="1"/>
  <c r="EO60" i="1"/>
  <c r="AV129" i="1"/>
  <c r="EN145" i="1"/>
  <c r="AU144" i="1"/>
  <c r="EP169" i="1"/>
  <c r="AX157" i="1"/>
  <c r="DA90" i="1"/>
  <c r="DF166" i="1"/>
  <c r="CH122" i="1"/>
  <c r="EQ140" i="1"/>
  <c r="DF182" i="1"/>
  <c r="AV160" i="1"/>
  <c r="AX146" i="1"/>
  <c r="EQ150" i="1"/>
  <c r="AT130" i="1"/>
  <c r="DC78" i="1"/>
  <c r="AV112" i="1"/>
  <c r="DD185" i="1"/>
  <c r="CD90" i="1"/>
  <c r="EP73" i="1"/>
  <c r="DD98" i="1"/>
  <c r="DC46" i="1"/>
  <c r="AW163" i="1"/>
  <c r="DC120" i="1"/>
  <c r="DA119" i="1"/>
  <c r="CH125" i="1"/>
  <c r="DD144" i="1"/>
  <c r="EP144" i="1"/>
  <c r="DE183" i="1"/>
  <c r="EO78" i="1"/>
  <c r="AW100" i="1"/>
  <c r="EP74" i="1"/>
  <c r="CH168" i="1"/>
  <c r="AX92" i="1"/>
  <c r="AT121" i="1"/>
  <c r="DA86" i="1"/>
  <c r="DC61" i="1"/>
  <c r="AU148" i="1"/>
  <c r="CG102" i="1"/>
  <c r="CD125" i="1"/>
  <c r="AU107" i="1"/>
  <c r="DA52" i="1"/>
  <c r="DB111" i="1"/>
  <c r="CE63" i="1"/>
  <c r="DC169" i="1"/>
  <c r="DA143" i="1"/>
  <c r="DB152" i="1"/>
  <c r="CI163" i="1"/>
  <c r="AU147" i="1"/>
  <c r="DB187" i="1"/>
  <c r="DA59" i="1"/>
  <c r="DD188" i="1"/>
  <c r="CG105" i="1"/>
  <c r="AW107" i="1"/>
  <c r="DE119" i="1"/>
  <c r="DA87" i="1"/>
  <c r="DB107" i="1"/>
  <c r="EL51" i="1"/>
  <c r="CG118" i="1"/>
  <c r="CD91" i="1"/>
  <c r="AW110" i="1"/>
  <c r="AS52" i="1"/>
  <c r="AT104" i="1"/>
  <c r="AU103" i="1"/>
  <c r="DF178" i="1"/>
  <c r="DA142" i="1"/>
  <c r="DC143" i="1"/>
  <c r="AX143" i="1"/>
  <c r="EQ139" i="1"/>
  <c r="DF165" i="1"/>
  <c r="CE162" i="1"/>
  <c r="CE104" i="1"/>
  <c r="DB119" i="1"/>
  <c r="CD129" i="1"/>
  <c r="AS113" i="1"/>
  <c r="DC97" i="1"/>
  <c r="CD50" i="1"/>
  <c r="DA111" i="1"/>
  <c r="AU95" i="1"/>
  <c r="AU110" i="1"/>
  <c r="AX153" i="1"/>
  <c r="AW123" i="1"/>
  <c r="AV96" i="1"/>
  <c r="DD109" i="1"/>
  <c r="DE103" i="1"/>
  <c r="DB184" i="1"/>
  <c r="DA48" i="1"/>
  <c r="CG110" i="1"/>
  <c r="CE165" i="1"/>
  <c r="EP45" i="1"/>
  <c r="AS88" i="1"/>
  <c r="EO77" i="1"/>
  <c r="EO140" i="1"/>
  <c r="AV50" i="1"/>
  <c r="EQ187" i="1"/>
  <c r="EP167" i="1"/>
  <c r="EN150" i="1"/>
  <c r="AW171" i="1"/>
  <c r="DF120" i="1"/>
  <c r="DA169" i="1"/>
  <c r="CE124" i="1"/>
  <c r="DA60" i="1"/>
  <c r="DA51" i="1"/>
  <c r="AT116" i="1"/>
  <c r="EP147" i="1"/>
  <c r="EN149" i="1"/>
  <c r="CG128" i="1"/>
  <c r="EP53" i="1"/>
  <c r="EQ164" i="1"/>
  <c r="AW175" i="1"/>
  <c r="AT120" i="1"/>
  <c r="EP179" i="1"/>
  <c r="AV95" i="1"/>
  <c r="DB120" i="1"/>
  <c r="DB129" i="1"/>
  <c r="AX165" i="1"/>
  <c r="CH53" i="1"/>
  <c r="CH118" i="1"/>
  <c r="DB172" i="1"/>
  <c r="DA187" i="1"/>
  <c r="AU141" i="1"/>
  <c r="DA174" i="1"/>
  <c r="CH129" i="1"/>
  <c r="DB168" i="1"/>
  <c r="CD88" i="1"/>
  <c r="AX91" i="1"/>
  <c r="DE168" i="1"/>
  <c r="DC91" i="1"/>
  <c r="EO64" i="1"/>
  <c r="CE115" i="1"/>
  <c r="EP171" i="1"/>
  <c r="CI164" i="1"/>
  <c r="AX187" i="1"/>
  <c r="AW183" i="1"/>
  <c r="DE59" i="1"/>
  <c r="DA163" i="1"/>
  <c r="EQ172" i="1"/>
  <c r="DE75" i="1"/>
  <c r="BA50" i="1"/>
  <c r="EN153" i="1"/>
  <c r="DC144" i="1"/>
  <c r="AV130" i="1"/>
  <c r="DE144" i="1"/>
  <c r="DE175" i="1"/>
  <c r="DF98" i="1"/>
  <c r="EQ168" i="1"/>
  <c r="DF117" i="1"/>
  <c r="CE110" i="1"/>
  <c r="DC59" i="1"/>
  <c r="DB180" i="1"/>
  <c r="DA173" i="1"/>
  <c r="AS51" i="1"/>
  <c r="EP149" i="1"/>
  <c r="DA50" i="1"/>
  <c r="DC94" i="1"/>
  <c r="EO73" i="1"/>
  <c r="DA107" i="1"/>
  <c r="AT56" i="1"/>
  <c r="AS87" i="1"/>
  <c r="DD175" i="1"/>
  <c r="BA51" i="1"/>
  <c r="DB173" i="1"/>
  <c r="CE93" i="1"/>
  <c r="CG86" i="1"/>
  <c r="DE189" i="1"/>
  <c r="EN152" i="1"/>
  <c r="DB142" i="1"/>
  <c r="DE178" i="1"/>
  <c r="CE64" i="1"/>
  <c r="AS125" i="1"/>
  <c r="CH162" i="1"/>
  <c r="EP158" i="1"/>
  <c r="DF95" i="1"/>
  <c r="AW104" i="1"/>
  <c r="DA165" i="1"/>
  <c r="AS91" i="1"/>
  <c r="CF103" i="1"/>
  <c r="AW87" i="1"/>
  <c r="AW173" i="1"/>
  <c r="DE112" i="1"/>
  <c r="DE128" i="1"/>
  <c r="DC112" i="1"/>
  <c r="DA91" i="1"/>
  <c r="DA167" i="1"/>
  <c r="EP47" i="1"/>
  <c r="DB179" i="1"/>
  <c r="DE180" i="1"/>
  <c r="DD124" i="1"/>
  <c r="CH106" i="1"/>
  <c r="AW167" i="1"/>
  <c r="DC168" i="1"/>
  <c r="DF147" i="1"/>
  <c r="BD56" i="1"/>
  <c r="AX177" i="1"/>
  <c r="DC129" i="1"/>
  <c r="AT106" i="1"/>
  <c r="DA97" i="1"/>
  <c r="AT113" i="1"/>
  <c r="DD174" i="1"/>
  <c r="AW124" i="1"/>
  <c r="AW119" i="1"/>
  <c r="DA95" i="1"/>
  <c r="AS89" i="1"/>
  <c r="EP186" i="1"/>
  <c r="CE49" i="1"/>
  <c r="DD104" i="1"/>
  <c r="AS121" i="1"/>
  <c r="AV120" i="1"/>
  <c r="DF187" i="1"/>
  <c r="BD64" i="1"/>
  <c r="CG95" i="1"/>
  <c r="DD116" i="1"/>
  <c r="DC52" i="1"/>
  <c r="DE181" i="1"/>
  <c r="DB161" i="1"/>
  <c r="CH50" i="1"/>
  <c r="DA127" i="1"/>
  <c r="AX185" i="1"/>
  <c r="DE162" i="1"/>
  <c r="AU151" i="1"/>
  <c r="AV111" i="1"/>
  <c r="AT64" i="1"/>
  <c r="DD125" i="1"/>
  <c r="DF186" i="1"/>
  <c r="CH93" i="1"/>
  <c r="EP153" i="1"/>
  <c r="EN155" i="1"/>
  <c r="AT124" i="1"/>
  <c r="EQ137" i="1"/>
  <c r="DB182" i="1"/>
  <c r="AW181" i="1"/>
  <c r="DC177" i="1"/>
  <c r="DC139" i="1"/>
  <c r="DE138" i="1"/>
  <c r="AW187" i="1"/>
  <c r="AV128" i="1"/>
  <c r="AW49" i="1"/>
  <c r="DC174" i="1"/>
  <c r="EP178" i="1"/>
  <c r="EO61" i="1"/>
  <c r="DF160" i="1"/>
  <c r="AX166" i="1"/>
  <c r="DD186" i="1"/>
  <c r="DE141" i="1"/>
  <c r="DE170" i="1"/>
  <c r="AV104" i="1"/>
  <c r="AW149" i="1"/>
  <c r="CH49" i="1"/>
  <c r="DB95" i="1"/>
  <c r="DE110" i="1"/>
  <c r="DA47" i="1"/>
  <c r="DA75" i="1"/>
  <c r="DE114" i="1"/>
  <c r="AV110" i="1"/>
  <c r="DB124" i="1"/>
  <c r="DD145" i="1"/>
  <c r="CD98" i="1"/>
  <c r="EP160" i="1"/>
  <c r="AS128" i="1"/>
  <c r="AV119" i="1"/>
  <c r="DA73" i="1"/>
  <c r="AW179" i="1"/>
  <c r="EO50" i="1"/>
  <c r="AT53" i="1"/>
  <c r="CE113" i="1"/>
  <c r="AW161" i="1"/>
  <c r="DF116" i="1"/>
  <c r="DE125" i="1"/>
  <c r="CG122" i="1"/>
  <c r="CD71" i="1"/>
  <c r="AW127" i="1"/>
  <c r="DD119" i="1"/>
  <c r="DA72" i="1"/>
  <c r="AS94" i="1"/>
  <c r="DF102" i="1"/>
  <c r="CG101" i="1"/>
  <c r="AX160" i="1"/>
  <c r="CH119" i="1"/>
  <c r="BE64" i="1"/>
  <c r="DC90" i="1"/>
  <c r="AV101" i="1"/>
  <c r="AV107" i="1"/>
  <c r="DE127" i="1"/>
  <c r="DB105" i="1"/>
  <c r="AV115" i="1"/>
  <c r="CE101" i="1"/>
  <c r="AS112" i="1"/>
  <c r="EQ146" i="1"/>
  <c r="AW109" i="1"/>
  <c r="DC105" i="1"/>
  <c r="AU91" i="1"/>
  <c r="EP57" i="1"/>
  <c r="DA166" i="1"/>
  <c r="DC179" i="1"/>
  <c r="AV122" i="1"/>
  <c r="BE50" i="1"/>
  <c r="DF162" i="1"/>
  <c r="DE185" i="1"/>
  <c r="CH96" i="1"/>
  <c r="AW146" i="1"/>
  <c r="CD85" i="1"/>
  <c r="DC75" i="1"/>
  <c r="CD101" i="1"/>
  <c r="AX154" i="1"/>
  <c r="EQ184" i="1"/>
  <c r="DC99" i="1"/>
  <c r="AS95" i="1"/>
  <c r="DE160" i="1"/>
  <c r="AV102" i="1"/>
  <c r="CG114" i="1"/>
  <c r="DC171" i="1"/>
  <c r="EP145" i="1"/>
  <c r="EQ157" i="1"/>
  <c r="DE73" i="1"/>
  <c r="DF145" i="1"/>
  <c r="CD130" i="1"/>
  <c r="EP138" i="1"/>
  <c r="AX163" i="1"/>
  <c r="EO72" i="1"/>
  <c r="DC70" i="1"/>
  <c r="CD122" i="1"/>
  <c r="DF106" i="1"/>
  <c r="DC122" i="1"/>
  <c r="DF104" i="1"/>
  <c r="CD108" i="1"/>
  <c r="EP161" i="1"/>
  <c r="DB94" i="1"/>
  <c r="AW92" i="1"/>
  <c r="CG109" i="1"/>
  <c r="EP176" i="1"/>
  <c r="EP50" i="1"/>
  <c r="DA141" i="1"/>
  <c r="CH117" i="1"/>
  <c r="AT123" i="1"/>
  <c r="AX152" i="1"/>
  <c r="AT127" i="1"/>
  <c r="CH161" i="1"/>
  <c r="DE172" i="1"/>
  <c r="CE127" i="1"/>
  <c r="CH108" i="1"/>
  <c r="AX159" i="1"/>
  <c r="DE88" i="1"/>
  <c r="AW151" i="1"/>
  <c r="BB51" i="1"/>
  <c r="DF167" i="1"/>
  <c r="CG108" i="1"/>
  <c r="DE179" i="1"/>
  <c r="DF119" i="1"/>
  <c r="EQ159" i="1"/>
  <c r="EP157" i="1"/>
  <c r="CE114" i="1"/>
  <c r="EQ138" i="1"/>
  <c r="DF122" i="1"/>
  <c r="DC127" i="1"/>
  <c r="AX183" i="1"/>
  <c r="DA58" i="1"/>
  <c r="DA49" i="1"/>
  <c r="AW128" i="1"/>
  <c r="DC111" i="1"/>
  <c r="AT93" i="1"/>
  <c r="CF113" i="1"/>
  <c r="CD117" i="1"/>
  <c r="AV103" i="1"/>
  <c r="EM50" i="1"/>
  <c r="DE174" i="1"/>
  <c r="DF188" i="1"/>
  <c r="CF90" i="1"/>
  <c r="CF91" i="1"/>
  <c r="AW139" i="1"/>
  <c r="DA110" i="1"/>
  <c r="EP154" i="1"/>
  <c r="CD126" i="1"/>
  <c r="BB64" i="1"/>
  <c r="CE128" i="1"/>
  <c r="CG123" i="1"/>
  <c r="DC137" i="1"/>
  <c r="AW154" i="1"/>
  <c r="EQ158" i="1"/>
  <c r="DE123" i="1"/>
  <c r="DC140" i="1"/>
  <c r="DD177" i="1"/>
  <c r="CG116" i="1"/>
  <c r="DE94" i="1"/>
  <c r="DB139" i="1"/>
  <c r="CG124" i="1"/>
  <c r="DF107" i="1"/>
  <c r="CH87" i="1"/>
  <c r="DC178" i="1"/>
  <c r="DF154" i="1"/>
  <c r="AV124" i="1"/>
  <c r="DC117" i="1"/>
  <c r="AT52" i="1"/>
  <c r="AX161" i="1"/>
  <c r="DE46" i="1"/>
  <c r="AW120" i="1"/>
  <c r="EP182" i="1"/>
  <c r="CF112" i="1"/>
  <c r="AU152" i="1"/>
  <c r="AU87" i="1"/>
  <c r="CD99" i="1"/>
  <c r="DE171" i="1"/>
  <c r="DA124" i="1"/>
  <c r="AT109" i="1"/>
  <c r="DA93" i="1"/>
  <c r="DE113" i="1"/>
  <c r="DB108" i="1"/>
  <c r="CE111" i="1"/>
  <c r="DF137" i="1"/>
  <c r="CE130" i="1"/>
  <c r="DE71" i="1"/>
  <c r="DE107" i="1"/>
  <c r="DB181" i="1"/>
  <c r="AU85" i="1"/>
  <c r="CD105" i="1"/>
  <c r="DD172" i="1"/>
  <c r="DB160" i="1"/>
  <c r="DE91" i="1"/>
  <c r="DC45" i="1"/>
  <c r="CI88" i="1"/>
  <c r="AW178" i="1"/>
  <c r="DF125" i="1"/>
  <c r="DA164" i="1"/>
  <c r="EP141" i="1"/>
  <c r="DE48" i="1"/>
  <c r="DE57" i="1"/>
  <c r="DD107" i="1"/>
  <c r="CF111" i="1"/>
  <c r="DC146" i="1"/>
  <c r="DE53" i="1"/>
  <c r="CD107" i="1"/>
  <c r="AU92" i="1"/>
  <c r="DD184" i="1"/>
  <c r="DC96" i="1"/>
  <c r="CE106" i="1"/>
  <c r="BA52" i="1"/>
  <c r="DD155" i="1"/>
  <c r="DE62" i="1"/>
  <c r="EO56" i="1"/>
  <c r="AW89" i="1"/>
  <c r="DC110" i="1"/>
  <c r="AS123" i="1"/>
  <c r="DF175" i="1"/>
  <c r="AU146" i="1"/>
  <c r="EP181" i="1"/>
  <c r="AW112" i="1"/>
  <c r="EP52" i="1"/>
  <c r="DD111" i="1"/>
  <c r="AX86" i="1"/>
  <c r="DE118" i="1"/>
  <c r="CH98" i="1"/>
  <c r="DB130" i="1"/>
  <c r="CF85" i="1"/>
  <c r="AX167" i="1"/>
  <c r="DB103" i="1"/>
  <c r="AW93" i="1"/>
  <c r="DE58" i="1"/>
  <c r="AU100" i="1"/>
  <c r="AW64" i="1"/>
  <c r="CE71" i="1"/>
  <c r="AV91" i="1"/>
  <c r="DE169" i="1"/>
  <c r="DA125" i="1"/>
  <c r="AS116" i="1"/>
  <c r="AT107" i="1"/>
  <c r="DA78" i="1"/>
  <c r="DA114" i="1"/>
  <c r="DF126" i="1"/>
  <c r="CD89" i="1"/>
  <c r="AX88" i="1"/>
  <c r="DE97" i="1"/>
  <c r="AW185" i="1"/>
  <c r="DF152" i="1"/>
  <c r="AX141" i="1"/>
  <c r="AW106" i="1"/>
  <c r="CE118" i="1"/>
  <c r="EQ167" i="1"/>
  <c r="DD93" i="1"/>
  <c r="CE95" i="1"/>
  <c r="CD113" i="1"/>
  <c r="DE49" i="1"/>
  <c r="CG106" i="1"/>
  <c r="DC114" i="1"/>
  <c r="CE97" i="1"/>
  <c r="CH62" i="1"/>
  <c r="DA122" i="1"/>
  <c r="DE45" i="1"/>
  <c r="EL52" i="1"/>
  <c r="DD6" i="1"/>
  <c r="DE85" i="1"/>
  <c r="AT49" i="1"/>
  <c r="DC73" i="1"/>
  <c r="CG56" i="1"/>
  <c r="AV100" i="1"/>
  <c r="AW125" i="1"/>
  <c r="DC162" i="1"/>
  <c r="AS99" i="1"/>
  <c r="CD51" i="1"/>
  <c r="CG119" i="1"/>
  <c r="AU159" i="1"/>
  <c r="DD160" i="1"/>
  <c r="DE165" i="1"/>
  <c r="AU90" i="1"/>
  <c r="CD127" i="1"/>
  <c r="AU111" i="1"/>
  <c r="DC123" i="1"/>
  <c r="DD173" i="1"/>
  <c r="CD103" i="1"/>
  <c r="CD62" i="1"/>
  <c r="EP184" i="1"/>
  <c r="AV89" i="1"/>
  <c r="DC87" i="1"/>
  <c r="AT125" i="1"/>
  <c r="CF88" i="1"/>
  <c r="EL49" i="1"/>
  <c r="DE93" i="1"/>
  <c r="BA53" i="1"/>
  <c r="AU93" i="1"/>
  <c r="DB102" i="1"/>
  <c r="DB189" i="1"/>
  <c r="AV123" i="1"/>
  <c r="AU154" i="1"/>
  <c r="DD114" i="1"/>
  <c r="EQ165" i="1"/>
  <c r="DA186" i="1"/>
  <c r="DE100" i="1"/>
  <c r="AW98" i="1"/>
  <c r="DD153" i="1"/>
  <c r="CD111" i="1"/>
  <c r="AS117" i="1"/>
  <c r="BB50" i="1"/>
  <c r="AS103" i="1"/>
  <c r="DB188" i="1"/>
  <c r="DC184" i="1"/>
  <c r="DC50" i="1"/>
  <c r="DC182" i="1"/>
  <c r="DB98" i="1"/>
  <c r="AS53" i="1"/>
  <c r="DD139" i="1"/>
  <c r="DE108" i="1"/>
  <c r="AW168" i="1"/>
  <c r="AV85" i="1"/>
  <c r="AT70" i="1"/>
  <c r="AV87" i="1"/>
  <c r="DC103" i="1"/>
  <c r="CD64" i="1"/>
  <c r="EQ174" i="1"/>
  <c r="CF95" i="1"/>
  <c r="DE124" i="1"/>
  <c r="CD123" i="1"/>
  <c r="AW111" i="1"/>
  <c r="AW117" i="1"/>
  <c r="DD103" i="1"/>
  <c r="DB97" i="1"/>
  <c r="AV90" i="1"/>
  <c r="AU94" i="1"/>
  <c r="DC64" i="1"/>
  <c r="DB110" i="1"/>
  <c r="EP163" i="1"/>
  <c r="AU108" i="1"/>
  <c r="CF104" i="1"/>
  <c r="DF101" i="1"/>
  <c r="DC118" i="1"/>
  <c r="DC98" i="1"/>
  <c r="DB113" i="1"/>
  <c r="DC71" i="1"/>
  <c r="DA123" i="1"/>
  <c r="DE90" i="1"/>
  <c r="AT94" i="1"/>
  <c r="AT100" i="1"/>
  <c r="CH52" i="1"/>
  <c r="CF109" i="1"/>
  <c r="DA70" i="1"/>
  <c r="BD93" i="1"/>
  <c r="BD112" i="1"/>
  <c r="BF88" i="1"/>
  <c r="BE86" i="1"/>
  <c r="BE120" i="1"/>
  <c r="BE121" i="1"/>
  <c r="BE130" i="1"/>
  <c r="BD99" i="1"/>
  <c r="BE90" i="1"/>
  <c r="BD97" i="1"/>
  <c r="BE129" i="1"/>
  <c r="BF86" i="1"/>
  <c r="EN141" i="1"/>
  <c r="CG163" i="1"/>
  <c r="CH105" i="1"/>
  <c r="AW150" i="1"/>
  <c r="AW189" i="1"/>
  <c r="AT96" i="1"/>
  <c r="CH120" i="1"/>
  <c r="DA138" i="1"/>
  <c r="DE137" i="1"/>
  <c r="DD118" i="1"/>
  <c r="AT105" i="1"/>
  <c r="EO79" i="1"/>
  <c r="DE126" i="1"/>
  <c r="AS127" i="1"/>
  <c r="DF96" i="1"/>
  <c r="DB170" i="1"/>
  <c r="DC163" i="1"/>
  <c r="EO75" i="1"/>
  <c r="DC126" i="1"/>
  <c r="DA160" i="1"/>
  <c r="CE122" i="1"/>
  <c r="DF169" i="1"/>
  <c r="CG94" i="1"/>
  <c r="CI161" i="1"/>
  <c r="EP175" i="1"/>
  <c r="DD96" i="1"/>
  <c r="DA137" i="1"/>
  <c r="AT95" i="1"/>
  <c r="AX139" i="1"/>
  <c r="DD143" i="1"/>
  <c r="DF171" i="1"/>
  <c r="DC160" i="1"/>
  <c r="AU105" i="1"/>
  <c r="DC88" i="1"/>
  <c r="CG96" i="1"/>
  <c r="AS108" i="1"/>
  <c r="DF142" i="1"/>
  <c r="DE47" i="1"/>
  <c r="DE167" i="1"/>
  <c r="DC102" i="1"/>
  <c r="EM51" i="1"/>
  <c r="DE96" i="1"/>
  <c r="DB115" i="1"/>
  <c r="EO49" i="1"/>
  <c r="EP137" i="1"/>
  <c r="AS64" i="1"/>
  <c r="EP156" i="1"/>
  <c r="DD162" i="1"/>
  <c r="AS98" i="1"/>
  <c r="EP63" i="1"/>
  <c r="EQ149" i="1"/>
  <c r="DB121" i="1"/>
  <c r="DD123" i="1"/>
  <c r="AX140" i="1"/>
  <c r="AU106" i="1"/>
  <c r="EQ142" i="1"/>
  <c r="DE111" i="1"/>
  <c r="DD122" i="1"/>
  <c r="DC147" i="1"/>
  <c r="BB56" i="1"/>
  <c r="CF92" i="1"/>
  <c r="DA76" i="1"/>
  <c r="AT119" i="1"/>
  <c r="DA106" i="1"/>
  <c r="DF189" i="1"/>
  <c r="CG125" i="1"/>
  <c r="DF6" i="1"/>
  <c r="AW122" i="1"/>
  <c r="AS100" i="1"/>
  <c r="EP151" i="1"/>
  <c r="CE103" i="1"/>
  <c r="CG91" i="1"/>
  <c r="DE161" i="1"/>
  <c r="AW156" i="1"/>
  <c r="AS109" i="1"/>
  <c r="DA71" i="1"/>
  <c r="EP185" i="1"/>
  <c r="AS122" i="1"/>
  <c r="EM49" i="1"/>
  <c r="DE92" i="1"/>
  <c r="AV121" i="1"/>
  <c r="CE116" i="1"/>
  <c r="DF100" i="1"/>
  <c r="CD49" i="1"/>
  <c r="AW182" i="1"/>
  <c r="AU113" i="1"/>
  <c r="DA56" i="1"/>
  <c r="CD104" i="1"/>
  <c r="CH115" i="1"/>
  <c r="AU96" i="1"/>
  <c r="AS97" i="1"/>
  <c r="AW88" i="1"/>
  <c r="AV99" i="1"/>
  <c r="EQ155" i="1"/>
  <c r="CG103" i="1"/>
  <c r="DF118" i="1"/>
  <c r="DE76" i="1"/>
  <c r="AU109" i="1"/>
  <c r="AV92" i="1"/>
  <c r="DF110" i="1"/>
  <c r="DB104" i="1"/>
  <c r="AW176" i="1"/>
  <c r="CD56" i="1"/>
  <c r="CG89" i="1"/>
  <c r="CD121" i="1"/>
  <c r="CD95" i="1"/>
  <c r="DC186" i="1"/>
  <c r="EQ180" i="1"/>
  <c r="DC173" i="1"/>
  <c r="DF99" i="1"/>
  <c r="CE108" i="1"/>
  <c r="DC180" i="1"/>
  <c r="CD52" i="1"/>
  <c r="DF146" i="1"/>
  <c r="AU89" i="1"/>
  <c r="DB6" i="1"/>
  <c r="DA99" i="1"/>
  <c r="DA74" i="1"/>
  <c r="AT108" i="1"/>
  <c r="AU150" i="1"/>
  <c r="DB140" i="1"/>
  <c r="DE184" i="1"/>
  <c r="CF115" i="1"/>
  <c r="AW115" i="1"/>
  <c r="CG120" i="1"/>
  <c r="DB186" i="1"/>
  <c r="DC119" i="1"/>
  <c r="EO45" i="1"/>
  <c r="AS110" i="1"/>
  <c r="DC107" i="1"/>
  <c r="AV117" i="1"/>
  <c r="DA189" i="1"/>
  <c r="CF102" i="1"/>
  <c r="CD93" i="1"/>
  <c r="CE168" i="1"/>
  <c r="CD116" i="1"/>
  <c r="CD120" i="1"/>
  <c r="EO71" i="1"/>
  <c r="CF97" i="1"/>
  <c r="DA61" i="1"/>
  <c r="CG49" i="1"/>
  <c r="CE112" i="1"/>
  <c r="CH103" i="1"/>
  <c r="DD97" i="1"/>
  <c r="DC166" i="1"/>
  <c r="CE51" i="1"/>
  <c r="AS105" i="1"/>
  <c r="CE94" i="1"/>
  <c r="DC93" i="1"/>
  <c r="BD110" i="1"/>
  <c r="BE94" i="1"/>
  <c r="BA87" i="1"/>
  <c r="BC88" i="1"/>
  <c r="BA90" i="1"/>
  <c r="BE118" i="1"/>
  <c r="BE112" i="1"/>
  <c r="BF91" i="1"/>
  <c r="BD109" i="1"/>
  <c r="BE117" i="1"/>
  <c r="BE123" i="1"/>
  <c r="BE119" i="1"/>
  <c r="BD113" i="1"/>
  <c r="BE92" i="1"/>
  <c r="BD95" i="1"/>
  <c r="BF89" i="1"/>
  <c r="BD130" i="1"/>
  <c r="BD120" i="1"/>
  <c r="BD127" i="1"/>
  <c r="BA89" i="1"/>
  <c r="BA88" i="1"/>
  <c r="DF94" i="1"/>
  <c r="EQ143" i="1"/>
  <c r="AW130" i="1"/>
  <c r="AW90" i="1"/>
  <c r="CF89" i="1"/>
  <c r="CD110" i="1"/>
  <c r="DE146" i="1"/>
  <c r="AW101" i="1"/>
  <c r="CE98" i="1"/>
  <c r="AV53" i="1"/>
  <c r="DA115" i="1"/>
  <c r="AS130" i="1"/>
  <c r="CD119" i="1"/>
  <c r="DA104" i="1"/>
  <c r="CE52" i="1"/>
  <c r="DD105" i="1"/>
  <c r="AW95" i="1"/>
  <c r="EQ154" i="1"/>
  <c r="CE123" i="1"/>
  <c r="AV105" i="1"/>
  <c r="EP60" i="1"/>
  <c r="AX164" i="1"/>
  <c r="EQ186" i="1"/>
  <c r="EQ160" i="1"/>
  <c r="AW145" i="1"/>
  <c r="EL53" i="1"/>
  <c r="AW86" i="1"/>
  <c r="DA64" i="1"/>
  <c r="CI91" i="1"/>
  <c r="AV109" i="1"/>
  <c r="DA178" i="1"/>
  <c r="DF111" i="1"/>
  <c r="AU102" i="1"/>
  <c r="DB125" i="1"/>
  <c r="AW108" i="1"/>
  <c r="DE182" i="1"/>
  <c r="CH90" i="1"/>
  <c r="DA45" i="1"/>
  <c r="DC172" i="1"/>
  <c r="DA161" i="1"/>
  <c r="CG51" i="1"/>
  <c r="DE77" i="1"/>
  <c r="CG117" i="1"/>
  <c r="CG121" i="1"/>
  <c r="AW184" i="1"/>
  <c r="DB93" i="1"/>
  <c r="EQ183" i="1"/>
  <c r="DE56" i="1"/>
  <c r="CD106" i="1"/>
  <c r="DC181" i="1"/>
  <c r="CG63" i="1"/>
  <c r="DD94" i="1"/>
  <c r="EQ169" i="1"/>
  <c r="DA100" i="1"/>
  <c r="DE116" i="1"/>
  <c r="DD176" i="1"/>
  <c r="EM56" i="1"/>
  <c r="AT122" i="1"/>
  <c r="AV187" i="1"/>
  <c r="AT102" i="1"/>
  <c r="DC92" i="1"/>
  <c r="BA56" i="1"/>
  <c r="EO46" i="1"/>
  <c r="CE56" i="1"/>
  <c r="CE53" i="1"/>
  <c r="DF128" i="1"/>
  <c r="DB147" i="1"/>
  <c r="BD98" i="1"/>
  <c r="BE85" i="1"/>
  <c r="BE102" i="1"/>
  <c r="BA91" i="1"/>
  <c r="BA92" i="1"/>
  <c r="BC85" i="1"/>
  <c r="BE89" i="1"/>
  <c r="BD103" i="1"/>
  <c r="BC89" i="1"/>
  <c r="BE106" i="1"/>
  <c r="BE108" i="1"/>
  <c r="DA129" i="1"/>
  <c r="DB138" i="1"/>
  <c r="DB141" i="1"/>
  <c r="DF153" i="1"/>
  <c r="EP180" i="1"/>
  <c r="DD170" i="1"/>
  <c r="CI162" i="1"/>
  <c r="EP189" i="1"/>
  <c r="CH113" i="1"/>
  <c r="EQ173" i="1"/>
  <c r="EO62" i="1"/>
  <c r="CH126" i="1"/>
  <c r="EQ144" i="1"/>
  <c r="DD120" i="1"/>
  <c r="DB174" i="1"/>
  <c r="DD147" i="1"/>
  <c r="CI85" i="1"/>
  <c r="AU156" i="1"/>
  <c r="DC47" i="1"/>
  <c r="DC164" i="1"/>
  <c r="DD161" i="1"/>
  <c r="AW97" i="1"/>
  <c r="DA63" i="1"/>
  <c r="AX145" i="1"/>
  <c r="EP172" i="1"/>
  <c r="DE86" i="1"/>
  <c r="AS119" i="1"/>
  <c r="DB5" i="1"/>
  <c r="AU99" i="1"/>
  <c r="CD118" i="1"/>
  <c r="AV186" i="1"/>
  <c r="AS101" i="1"/>
  <c r="AT98" i="1"/>
  <c r="DB117" i="1"/>
  <c r="DB155" i="1"/>
  <c r="DD126" i="1"/>
  <c r="EM53" i="1"/>
  <c r="AS92" i="1"/>
  <c r="AV56" i="1"/>
  <c r="DC101" i="1"/>
  <c r="DE79" i="1"/>
  <c r="DE166" i="1"/>
  <c r="EL50" i="1"/>
  <c r="AW162" i="1"/>
  <c r="CE62" i="1"/>
  <c r="AX90" i="1"/>
  <c r="BB53" i="1"/>
  <c r="AS102" i="1"/>
  <c r="DD106" i="1"/>
  <c r="CF107" i="1"/>
  <c r="DF173" i="1"/>
  <c r="CD53" i="1"/>
  <c r="BA64" i="1"/>
  <c r="CD92" i="1"/>
  <c r="DB100" i="1"/>
  <c r="DE51" i="1"/>
  <c r="DD117" i="1"/>
  <c r="AU98" i="1"/>
  <c r="DC176" i="1"/>
  <c r="CF98" i="1"/>
  <c r="CE117" i="1"/>
  <c r="AS49" i="1"/>
  <c r="DF123" i="1"/>
  <c r="DD115" i="1"/>
  <c r="DF114" i="1"/>
  <c r="AV125" i="1"/>
  <c r="AT112" i="1"/>
  <c r="DF103" i="1"/>
  <c r="CD97" i="1"/>
  <c r="DE64" i="1"/>
  <c r="AW113" i="1"/>
  <c r="CG100" i="1"/>
  <c r="AW164" i="1"/>
  <c r="CG92" i="1"/>
  <c r="CH51" i="1"/>
  <c r="DE105" i="1"/>
  <c r="CE120" i="1"/>
  <c r="DB109" i="1"/>
  <c r="AU104" i="1"/>
  <c r="DA53" i="1"/>
  <c r="DB162" i="1"/>
  <c r="DA105" i="1"/>
  <c r="DE122" i="1"/>
  <c r="AX85" i="1"/>
  <c r="DA101" i="1"/>
  <c r="DC116" i="1"/>
  <c r="DC130" i="1"/>
  <c r="DB112" i="1"/>
  <c r="EP51" i="1"/>
  <c r="DB183" i="1"/>
  <c r="EP72" i="1"/>
  <c r="CI165" i="1"/>
  <c r="AU149" i="1"/>
  <c r="CF110" i="1"/>
  <c r="DE102" i="1"/>
  <c r="AT103" i="1"/>
  <c r="DC60" i="1"/>
  <c r="BA86" i="1"/>
  <c r="BE99" i="1"/>
  <c r="BE114" i="1"/>
  <c r="BD116" i="1"/>
  <c r="BD111" i="1"/>
  <c r="BE88" i="1"/>
  <c r="BE125" i="1"/>
  <c r="BD94" i="1"/>
  <c r="BD119" i="1"/>
  <c r="BE91" i="1"/>
  <c r="BE100" i="1"/>
  <c r="CH124" i="1"/>
  <c r="EP49" i="1"/>
  <c r="DD138" i="1"/>
  <c r="AW142" i="1"/>
  <c r="DA144" i="1"/>
  <c r="AW143" i="1"/>
  <c r="AX168" i="1"/>
  <c r="CG113" i="1"/>
  <c r="CH123" i="1"/>
  <c r="CH116" i="1"/>
  <c r="DE72" i="1"/>
  <c r="AX87" i="1"/>
  <c r="DE147" i="1"/>
  <c r="CF87" i="1"/>
  <c r="DD121" i="1"/>
  <c r="CE105" i="1"/>
  <c r="CH163" i="1"/>
  <c r="DC121" i="1"/>
  <c r="AT97" i="1"/>
  <c r="DA89" i="1"/>
  <c r="DF174" i="1"/>
  <c r="DC165" i="1"/>
  <c r="DB137" i="1"/>
  <c r="DA113" i="1"/>
  <c r="CF93" i="1"/>
  <c r="DE173" i="1"/>
  <c r="EL56" i="1"/>
  <c r="EP150" i="1"/>
  <c r="EQ185" i="1"/>
  <c r="CG64" i="1"/>
  <c r="DD128" i="1"/>
  <c r="DC161" i="1"/>
  <c r="AW118" i="1"/>
  <c r="DF144" i="1"/>
  <c r="CD102" i="1"/>
  <c r="DE60" i="1"/>
  <c r="EQ189" i="1"/>
  <c r="CG98" i="1"/>
  <c r="CE119" i="1"/>
  <c r="AW105" i="1"/>
  <c r="AU145" i="1"/>
  <c r="DC185" i="1"/>
  <c r="CG88" i="1"/>
  <c r="DA96" i="1"/>
  <c r="BB52" i="1"/>
  <c r="CG162" i="1"/>
  <c r="DE50" i="1"/>
  <c r="AS118" i="1"/>
  <c r="DB185" i="1"/>
  <c r="AW85" i="1"/>
  <c r="DE164" i="1"/>
  <c r="AW52" i="1"/>
  <c r="CD115" i="1"/>
  <c r="DD141" i="1"/>
  <c r="DA109" i="1"/>
  <c r="CG70" i="1"/>
  <c r="DD99" i="1"/>
  <c r="DA181" i="1"/>
  <c r="DA108" i="1"/>
  <c r="AU115" i="1"/>
  <c r="CD87" i="1"/>
  <c r="CF99" i="1"/>
  <c r="DB126" i="1"/>
  <c r="DC142" i="1"/>
  <c r="CD112" i="1"/>
  <c r="AU86" i="1"/>
  <c r="CG50" i="1"/>
  <c r="CD128" i="1"/>
  <c r="AT99" i="1"/>
  <c r="DC63" i="1"/>
  <c r="EP187" i="1"/>
  <c r="AX162" i="1"/>
  <c r="DA98" i="1"/>
  <c r="CF100" i="1"/>
  <c r="EP70" i="1"/>
  <c r="DA62" i="1"/>
  <c r="AW91" i="1"/>
  <c r="DE109" i="1"/>
  <c r="CE164" i="1"/>
  <c r="DA121" i="1"/>
  <c r="DD112" i="1"/>
  <c r="AV94" i="1"/>
  <c r="BD108" i="1"/>
  <c r="BD124" i="1"/>
  <c r="BD107" i="1"/>
  <c r="BD118" i="1"/>
  <c r="BD117" i="1"/>
  <c r="BE87" i="1"/>
  <c r="BE111" i="1"/>
  <c r="BD126" i="1"/>
  <c r="BD121" i="1"/>
  <c r="BD105" i="1"/>
  <c r="BE116" i="1"/>
  <c r="BE127" i="1"/>
  <c r="BE126" i="1"/>
  <c r="EO188" i="1"/>
  <c r="AW50" i="1"/>
  <c r="DB175" i="1"/>
  <c r="DD100" i="1"/>
  <c r="AW126" i="1"/>
  <c r="CE100" i="1"/>
  <c r="DA92" i="1"/>
  <c r="DB145" i="1"/>
  <c r="CD109" i="1"/>
  <c r="DF164" i="1"/>
  <c r="AS104" i="1"/>
  <c r="AW170" i="1"/>
  <c r="AV106" i="1"/>
  <c r="DF184" i="1"/>
  <c r="DF143" i="1"/>
  <c r="AW51" i="1"/>
  <c r="EP165" i="1"/>
  <c r="DC100" i="1"/>
  <c r="DA126" i="1"/>
  <c r="AS124" i="1"/>
  <c r="DE120" i="1"/>
  <c r="DE186" i="1"/>
  <c r="BE98" i="1"/>
  <c r="BE95" i="1"/>
  <c r="BE101" i="1"/>
  <c r="BC86" i="1"/>
  <c r="BD100" i="1"/>
  <c r="BE97" i="1"/>
  <c r="CG53" i="1"/>
  <c r="EP170" i="1"/>
  <c r="AV49" i="1"/>
  <c r="AW94" i="1"/>
  <c r="DC188" i="1"/>
  <c r="DA94" i="1"/>
  <c r="DD183" i="1"/>
  <c r="DD181" i="1"/>
  <c r="CG129" i="1"/>
  <c r="DE74" i="1"/>
  <c r="DF139" i="1"/>
  <c r="AV93" i="1"/>
  <c r="EP155" i="1"/>
  <c r="DB178" i="1"/>
  <c r="DA185" i="1"/>
  <c r="CG87" i="1"/>
  <c r="AV98" i="1"/>
  <c r="DC48" i="1"/>
  <c r="CD70" i="1"/>
  <c r="DC183" i="1"/>
  <c r="AT117" i="1"/>
  <c r="DD102" i="1"/>
  <c r="DA183" i="1"/>
  <c r="AW56" i="1"/>
  <c r="AS126" i="1"/>
  <c r="CI92" i="1"/>
  <c r="DF108" i="1"/>
  <c r="CH164" i="1"/>
  <c r="EQ147" i="1"/>
  <c r="DD163" i="1"/>
  <c r="EO47" i="1"/>
  <c r="DD152" i="1"/>
  <c r="DF105" i="1"/>
  <c r="AW99" i="1"/>
  <c r="AU158" i="1"/>
  <c r="DA139" i="1"/>
  <c r="DA180" i="1"/>
  <c r="DE187" i="1"/>
  <c r="EP48" i="1"/>
  <c r="DE106" i="1"/>
  <c r="DF176" i="1"/>
  <c r="DA140" i="1"/>
  <c r="DD101" i="1"/>
  <c r="AW129" i="1"/>
  <c r="AW140" i="1"/>
  <c r="CD63" i="1"/>
  <c r="AV127" i="1"/>
  <c r="EM52" i="1"/>
  <c r="DC53" i="1"/>
  <c r="AU112" i="1"/>
  <c r="DF181" i="1"/>
  <c r="EP62" i="1"/>
  <c r="DC86" i="1"/>
  <c r="DF185" i="1"/>
  <c r="DC79" i="1"/>
  <c r="CE70" i="1"/>
  <c r="AX184" i="1"/>
  <c r="AV86" i="1"/>
  <c r="EP71" i="1"/>
  <c r="DD142" i="1"/>
  <c r="DE95" i="1"/>
  <c r="DC109" i="1"/>
  <c r="CG97" i="1"/>
  <c r="EQ181" i="1"/>
  <c r="AS107" i="1"/>
  <c r="DF183" i="1"/>
  <c r="CG111" i="1"/>
  <c r="AS90" i="1"/>
  <c r="DF115" i="1"/>
  <c r="AV116" i="1"/>
  <c r="DF112" i="1"/>
  <c r="DE115" i="1"/>
  <c r="AS129" i="1"/>
  <c r="AW96" i="1"/>
  <c r="DF179" i="1"/>
  <c r="DC128" i="1"/>
  <c r="BB49" i="1"/>
  <c r="AS106" i="1"/>
  <c r="BF90" i="1"/>
  <c r="BE103" i="1"/>
  <c r="BD102" i="1"/>
  <c r="BD106" i="1"/>
  <c r="BD122" i="1"/>
  <c r="BE96" i="1"/>
  <c r="BF92" i="1"/>
  <c r="BE124" i="1"/>
  <c r="EO59" i="1"/>
  <c r="CD94" i="1"/>
  <c r="AW53" i="1"/>
  <c r="DC108" i="1"/>
  <c r="DF113" i="1"/>
  <c r="DE101" i="1"/>
  <c r="AV63" i="1"/>
  <c r="AV97" i="1"/>
  <c r="DC138" i="1"/>
  <c r="DC57" i="1"/>
  <c r="CE99" i="1"/>
  <c r="AS56" i="1"/>
  <c r="DA77" i="1"/>
  <c r="EP164" i="1"/>
  <c r="AX89" i="1"/>
  <c r="DC95" i="1"/>
  <c r="AW121" i="1"/>
  <c r="DC113" i="1"/>
  <c r="CG93" i="1"/>
  <c r="DE117" i="1"/>
  <c r="DA175" i="1"/>
  <c r="CF96" i="1"/>
  <c r="BE128" i="1"/>
  <c r="BE115" i="1"/>
  <c r="BE104" i="1"/>
  <c r="BE105" i="1"/>
  <c r="BD114" i="1"/>
  <c r="AT129" i="1"/>
  <c r="AV108" i="1"/>
  <c r="DA179" i="1"/>
  <c r="DB118" i="1"/>
  <c r="CE96" i="1"/>
  <c r="BE53" i="1"/>
  <c r="EQ141" i="1"/>
  <c r="CE121" i="1"/>
  <c r="AX181" i="1"/>
  <c r="DC74" i="1"/>
  <c r="AX150" i="1"/>
  <c r="AS114" i="1"/>
  <c r="DF97" i="1"/>
  <c r="CD114" i="1"/>
  <c r="DD130" i="1"/>
  <c r="CG130" i="1"/>
  <c r="DB153" i="1"/>
  <c r="EQ148" i="1"/>
  <c r="DF109" i="1"/>
  <c r="CG90" i="1"/>
  <c r="AS93" i="1"/>
  <c r="CE107" i="1"/>
  <c r="DA118" i="1"/>
  <c r="CF106" i="1"/>
  <c r="EP77" i="1"/>
  <c r="DC56" i="1"/>
  <c r="DF121" i="1"/>
  <c r="DA172" i="1"/>
  <c r="AW103" i="1"/>
  <c r="CG85" i="1"/>
  <c r="CG104" i="1"/>
  <c r="AT51" i="1"/>
  <c r="CD96" i="1"/>
  <c r="DA46" i="1"/>
  <c r="AS50" i="1"/>
  <c r="DA116" i="1"/>
  <c r="DB122" i="1"/>
  <c r="DC85" i="1"/>
  <c r="EO74" i="1"/>
  <c r="AS115" i="1"/>
  <c r="EP148" i="1"/>
  <c r="EP78" i="1"/>
  <c r="EP162" i="1"/>
  <c r="DC58" i="1"/>
  <c r="EP173" i="1"/>
  <c r="DC51" i="1"/>
  <c r="DE70" i="1"/>
  <c r="DC49" i="1"/>
  <c r="CE129" i="1"/>
  <c r="DF5" i="1"/>
  <c r="DA171" i="1"/>
  <c r="DC106" i="1"/>
  <c r="DA117" i="1"/>
  <c r="DD182" i="1"/>
  <c r="AT115" i="1"/>
  <c r="DC115" i="1"/>
  <c r="AW114" i="1"/>
  <c r="DA184" i="1"/>
  <c r="CE50" i="1"/>
  <c r="EQ162" i="1"/>
  <c r="CH64" i="1"/>
  <c r="AS120" i="1"/>
  <c r="CG107" i="1"/>
  <c r="DC104" i="1"/>
  <c r="DF93" i="1"/>
  <c r="CH63" i="1"/>
  <c r="AW116" i="1"/>
  <c r="AS96" i="1"/>
  <c r="DA102" i="1"/>
  <c r="AV113" i="1"/>
  <c r="AW158" i="1"/>
  <c r="DD110" i="1"/>
  <c r="AX182" i="1"/>
  <c r="CF108" i="1"/>
  <c r="CF94" i="1"/>
  <c r="DE63" i="1"/>
  <c r="AU101" i="1"/>
  <c r="DD5" i="1"/>
  <c r="BD129" i="1"/>
  <c r="BD125" i="1"/>
  <c r="BF85" i="1"/>
  <c r="BD123" i="1"/>
  <c r="BE109" i="1"/>
  <c r="BE113" i="1"/>
  <c r="BD96" i="1"/>
  <c r="BF87" i="1"/>
  <c r="BC87" i="1"/>
  <c r="BE93" i="1"/>
  <c r="BD104" i="1"/>
  <c r="BE122" i="1"/>
  <c r="BC90" i="1"/>
  <c r="AU155" i="1"/>
  <c r="AV159" i="1"/>
  <c r="BD53" i="1"/>
  <c r="CG52" i="1"/>
  <c r="CG71" i="1"/>
  <c r="CF101" i="1"/>
  <c r="DA103" i="1"/>
  <c r="EO76" i="1"/>
  <c r="CG112" i="1"/>
  <c r="DE121" i="1"/>
  <c r="DB167" i="1"/>
  <c r="EQ152" i="1"/>
  <c r="DC170" i="1"/>
  <c r="DB99" i="1"/>
  <c r="CF86" i="1"/>
  <c r="DF141" i="1"/>
  <c r="AV118" i="1"/>
  <c r="DC125" i="1"/>
  <c r="DB116" i="1"/>
  <c r="DA57" i="1"/>
  <c r="AV114" i="1"/>
  <c r="CE109" i="1"/>
  <c r="EN143" i="1"/>
  <c r="DE139" i="1"/>
  <c r="DA147" i="1"/>
  <c r="DD146" i="1"/>
  <c r="BD101" i="1"/>
  <c r="BD128" i="1"/>
  <c r="BD115" i="1"/>
  <c r="BE110" i="1"/>
  <c r="BE107" i="1"/>
  <c r="AU114" i="1"/>
  <c r="DA145" i="1"/>
  <c r="DE145" i="1"/>
  <c r="CF114" i="1"/>
  <c r="DC145" i="1"/>
  <c r="R29" i="2"/>
  <c r="M32" i="2"/>
  <c r="F32" i="2"/>
  <c r="J31" i="2"/>
  <c r="Q29" i="2"/>
  <c r="D32" i="2"/>
  <c r="I31" i="2"/>
  <c r="T29" i="2"/>
  <c r="G31" i="2"/>
  <c r="D30" i="2"/>
  <c r="X30" i="2"/>
  <c r="L29" i="2"/>
  <c r="T31" i="2"/>
  <c r="M31" i="2"/>
  <c r="M29" i="2"/>
  <c r="I32" i="2"/>
  <c r="T32" i="2"/>
  <c r="O32" i="2"/>
  <c r="C31" i="2"/>
  <c r="S32" i="2"/>
  <c r="G29" i="2"/>
  <c r="E32" i="2"/>
  <c r="D29" i="2"/>
  <c r="J30" i="2"/>
  <c r="Q31" i="2"/>
  <c r="S29" i="2"/>
  <c r="X32" i="2"/>
  <c r="H30" i="2"/>
  <c r="K29" i="2"/>
  <c r="W29" i="2"/>
  <c r="J32" i="2"/>
  <c r="N32" i="2"/>
  <c r="N29" i="2"/>
  <c r="E29" i="2"/>
  <c r="H31" i="2"/>
  <c r="O29" i="2"/>
  <c r="R30" i="2"/>
  <c r="J29" i="2"/>
  <c r="P29" i="2"/>
  <c r="S30" i="2"/>
  <c r="T30" i="2"/>
  <c r="C29" i="2"/>
  <c r="E31" i="2"/>
  <c r="H32" i="2"/>
  <c r="W31" i="2"/>
  <c r="Q30" i="2"/>
  <c r="P31" i="2"/>
  <c r="V30" i="2"/>
  <c r="L30" i="2"/>
  <c r="B32" i="2"/>
  <c r="K31" i="2"/>
  <c r="R32" i="2"/>
  <c r="I29" i="2"/>
  <c r="X31" i="2"/>
  <c r="S31" i="2"/>
  <c r="V29" i="2"/>
  <c r="N30" i="2"/>
  <c r="C32" i="2"/>
  <c r="B29" i="2"/>
  <c r="B30" i="2"/>
  <c r="L32" i="2"/>
  <c r="I30" i="2"/>
  <c r="P32" i="2"/>
  <c r="U32" i="2"/>
  <c r="F29" i="2"/>
  <c r="Q32" i="2"/>
  <c r="F30" i="2"/>
  <c r="K32" i="2"/>
  <c r="O31" i="2"/>
  <c r="G32" i="2"/>
  <c r="D31" i="2"/>
  <c r="V31" i="2"/>
  <c r="E30" i="2"/>
  <c r="W32" i="2"/>
  <c r="U29" i="2"/>
  <c r="U31" i="2"/>
  <c r="N31" i="2"/>
  <c r="U30" i="2"/>
  <c r="R31" i="2"/>
  <c r="W30" i="2"/>
  <c r="G30" i="2"/>
  <c r="H29" i="2"/>
  <c r="L31" i="2"/>
  <c r="P30" i="2"/>
  <c r="B31" i="2"/>
  <c r="F31" i="2"/>
  <c r="O30" i="2"/>
  <c r="C30" i="2"/>
  <c r="V32" i="2"/>
  <c r="X29" i="2"/>
  <c r="K30" i="2"/>
  <c r="M30" i="2"/>
  <c r="CM108" i="1" l="1"/>
  <c r="CM110" i="1"/>
  <c r="CM129" i="1"/>
  <c r="CM126" i="1"/>
  <c r="CM168" i="1"/>
  <c r="CM164" i="1"/>
  <c r="CM165" i="1"/>
  <c r="CM163" i="1"/>
  <c r="CM162" i="1"/>
  <c r="CO168" i="1"/>
  <c r="CO164" i="1"/>
  <c r="CO162" i="1"/>
  <c r="CO161" i="1"/>
  <c r="CO163" i="1"/>
  <c r="CM161" i="1"/>
  <c r="CO165" i="1"/>
  <c r="CO96" i="1"/>
  <c r="CK164" i="1"/>
  <c r="CO117" i="1"/>
  <c r="CO111" i="1"/>
  <c r="CK168" i="1"/>
  <c r="CM127" i="1"/>
  <c r="CO98" i="1"/>
  <c r="CO114" i="1"/>
  <c r="CM120" i="1"/>
  <c r="CO113" i="1"/>
  <c r="CO125" i="1"/>
  <c r="CO108" i="1"/>
  <c r="CM113" i="1"/>
  <c r="CO106" i="1"/>
  <c r="CM125" i="1"/>
  <c r="CO99" i="1"/>
  <c r="CO122" i="1"/>
  <c r="CO112" i="1"/>
  <c r="CO95" i="1"/>
  <c r="CO103" i="1"/>
  <c r="CM123" i="1"/>
  <c r="CM118" i="1"/>
  <c r="CO101" i="1"/>
  <c r="CO126" i="1"/>
  <c r="CO109" i="1"/>
  <c r="CO120" i="1"/>
  <c r="CO130" i="1"/>
  <c r="CK165" i="1"/>
  <c r="CO123" i="1"/>
  <c r="CO127" i="1"/>
  <c r="CO124" i="1"/>
  <c r="CK162" i="1"/>
  <c r="CM124" i="1"/>
  <c r="CO97" i="1"/>
  <c r="CO100" i="1"/>
  <c r="CM130" i="1"/>
  <c r="CM128" i="1"/>
  <c r="CK163" i="1"/>
  <c r="CK161" i="1"/>
  <c r="CM111" i="1"/>
  <c r="CO121" i="1"/>
  <c r="CO85" i="1"/>
  <c r="CO86" i="1"/>
  <c r="CO93" i="1"/>
  <c r="CO105" i="1"/>
  <c r="CO115" i="1"/>
  <c r="CO90" i="1"/>
  <c r="CO129" i="1"/>
  <c r="CO119" i="1"/>
  <c r="CO110" i="1"/>
  <c r="CO118" i="1"/>
  <c r="CO104" i="1"/>
  <c r="CO107" i="1"/>
  <c r="CO92" i="1"/>
  <c r="CO116" i="1"/>
  <c r="CO94" i="1"/>
  <c r="CO102" i="1"/>
  <c r="CO91" i="1"/>
  <c r="CO87" i="1"/>
  <c r="CO128" i="1"/>
  <c r="CO89" i="1"/>
  <c r="CO88" i="1"/>
  <c r="CK89" i="1"/>
  <c r="CM117" i="1"/>
  <c r="CM86" i="1"/>
  <c r="CK87" i="1"/>
  <c r="CM85" i="1"/>
  <c r="CK88" i="1"/>
  <c r="CK107" i="1"/>
  <c r="CM115" i="1"/>
  <c r="CM87" i="1"/>
  <c r="CK106" i="1"/>
  <c r="CM101" i="1"/>
  <c r="CK105" i="1"/>
  <c r="CK129" i="1"/>
  <c r="CM94" i="1"/>
  <c r="CM116" i="1"/>
  <c r="CK90" i="1"/>
  <c r="CK124" i="1"/>
  <c r="CK110" i="1"/>
  <c r="CK117" i="1"/>
  <c r="CK108" i="1"/>
  <c r="CK120" i="1"/>
  <c r="CM89" i="1"/>
  <c r="CM93" i="1"/>
  <c r="CM90" i="1"/>
  <c r="CM114" i="1"/>
  <c r="CM96" i="1"/>
  <c r="CM106" i="1"/>
  <c r="CK118" i="1"/>
  <c r="CM121" i="1"/>
  <c r="CK122" i="1"/>
  <c r="CK109" i="1"/>
  <c r="CK116" i="1"/>
  <c r="CM91" i="1"/>
  <c r="CK104" i="1"/>
  <c r="CK115" i="1"/>
  <c r="CM100" i="1"/>
  <c r="CM105" i="1"/>
  <c r="CK123" i="1"/>
  <c r="CK126" i="1"/>
  <c r="CM92" i="1"/>
  <c r="CM102" i="1"/>
  <c r="CK95" i="1"/>
  <c r="CM119" i="1"/>
  <c r="CK93" i="1"/>
  <c r="CM122" i="1"/>
  <c r="CK92" i="1"/>
  <c r="CK112" i="1"/>
  <c r="CM107" i="1"/>
  <c r="CK86" i="1"/>
  <c r="CK121" i="1"/>
  <c r="CM95" i="1"/>
  <c r="CK114" i="1"/>
  <c r="CK113" i="1"/>
  <c r="CM99" i="1"/>
  <c r="CK119" i="1"/>
  <c r="CK91" i="1"/>
  <c r="CK128" i="1"/>
  <c r="CK125" i="1"/>
  <c r="CM103" i="1"/>
  <c r="CK111" i="1"/>
  <c r="CK127" i="1"/>
  <c r="CM97" i="1"/>
  <c r="CM104" i="1"/>
  <c r="CM88" i="1"/>
  <c r="CM112" i="1"/>
  <c r="CM109" i="1"/>
  <c r="CM98" i="1"/>
  <c r="CK100" i="1"/>
  <c r="CK103" i="1"/>
  <c r="CK94" i="1"/>
  <c r="CK96" i="1"/>
  <c r="CK99" i="1"/>
  <c r="CK97" i="1"/>
  <c r="CK102" i="1"/>
  <c r="CK98" i="1"/>
  <c r="CK130" i="1"/>
  <c r="CK101" i="1"/>
  <c r="CO51" i="1"/>
  <c r="CO52" i="1"/>
  <c r="CO64" i="1"/>
  <c r="CO56" i="1"/>
  <c r="CO53" i="1"/>
  <c r="CO50" i="1"/>
  <c r="CO49" i="1"/>
  <c r="CM52" i="1"/>
  <c r="CM50" i="1"/>
  <c r="CM49" i="1"/>
  <c r="CM64" i="1"/>
  <c r="CM63" i="1"/>
  <c r="CM53" i="1"/>
  <c r="CM56" i="1"/>
  <c r="CM70" i="1"/>
  <c r="CM51" i="1"/>
  <c r="CK53" i="1"/>
  <c r="CK49" i="1"/>
  <c r="CK56" i="1"/>
  <c r="CK50" i="1"/>
  <c r="CK64" i="1"/>
  <c r="CK52" i="1"/>
  <c r="CK51" i="1"/>
  <c r="DK50" i="1"/>
  <c r="DJ137" i="1"/>
  <c r="DH137" i="1"/>
  <c r="DI126" i="1"/>
  <c r="DK126" i="1"/>
  <c r="DK125" i="1"/>
  <c r="DI125" i="1"/>
  <c r="DH168" i="1"/>
  <c r="DK130" i="1"/>
  <c r="DI130" i="1"/>
  <c r="DI129" i="1"/>
  <c r="DK129" i="1"/>
  <c r="DJ85" i="1"/>
  <c r="DH85" i="1"/>
  <c r="DI163" i="1"/>
  <c r="DH163" i="1"/>
  <c r="DK128" i="1"/>
  <c r="DI128" i="1"/>
  <c r="DI168" i="1"/>
  <c r="DJ88" i="1"/>
  <c r="DH88" i="1"/>
  <c r="DJ86" i="1"/>
  <c r="DH86" i="1"/>
  <c r="DJ90" i="1"/>
  <c r="DH90" i="1"/>
  <c r="DK122" i="1"/>
  <c r="DI122" i="1"/>
  <c r="DJ93" i="1"/>
  <c r="DH93" i="1"/>
  <c r="DK127" i="1"/>
  <c r="DI127" i="1"/>
  <c r="DJ91" i="1"/>
  <c r="DH91" i="1"/>
  <c r="DK121" i="1"/>
  <c r="DI121" i="1"/>
  <c r="DK123" i="1"/>
  <c r="DI123" i="1"/>
  <c r="DK120" i="1"/>
  <c r="DI120" i="1"/>
  <c r="DK117" i="1"/>
  <c r="DI117" i="1"/>
  <c r="DI51" i="1"/>
  <c r="DK51" i="1"/>
  <c r="DI50" i="1"/>
  <c r="DH49" i="1"/>
  <c r="DJ49" i="1"/>
  <c r="DI53" i="1"/>
  <c r="DK53" i="1"/>
  <c r="DH64" i="1"/>
  <c r="DJ64" i="1"/>
  <c r="DH53" i="1"/>
  <c r="DJ53" i="1"/>
  <c r="DK64" i="1"/>
  <c r="DI64" i="1"/>
  <c r="DI49" i="1"/>
  <c r="DK49" i="1"/>
  <c r="DI56" i="1"/>
  <c r="DK56" i="1"/>
  <c r="DH52" i="1"/>
  <c r="DJ52" i="1"/>
  <c r="DH50" i="1"/>
  <c r="DJ50" i="1"/>
  <c r="DI52" i="1"/>
  <c r="DK52" i="1"/>
  <c r="DH56" i="1"/>
  <c r="DJ56" i="1"/>
  <c r="DH51" i="1"/>
  <c r="DJ51" i="1"/>
  <c r="DJ89" i="1"/>
  <c r="DH89" i="1"/>
  <c r="DK116" i="1"/>
  <c r="DI116" i="1"/>
  <c r="DK124" i="1"/>
  <c r="DI124" i="1"/>
  <c r="DI96" i="1"/>
  <c r="DK96" i="1"/>
  <c r="DK110" i="1"/>
  <c r="DI110" i="1"/>
  <c r="DK108" i="1"/>
  <c r="DI108" i="1"/>
  <c r="DH94" i="1"/>
  <c r="DJ94" i="1"/>
  <c r="DI94" i="1"/>
  <c r="DK94" i="1"/>
  <c r="DK118" i="1"/>
  <c r="DI118" i="1"/>
  <c r="DI95" i="1"/>
  <c r="DK95" i="1"/>
  <c r="DJ99" i="1"/>
  <c r="DH99" i="1"/>
  <c r="DH95" i="1"/>
  <c r="DJ95" i="1"/>
  <c r="DJ107" i="1"/>
  <c r="DH107" i="1"/>
  <c r="DJ97" i="1"/>
  <c r="DH97" i="1"/>
  <c r="DH96" i="1"/>
  <c r="DJ96" i="1"/>
  <c r="DK90" i="1"/>
  <c r="DI90" i="1"/>
  <c r="DJ87" i="1"/>
  <c r="DH87" i="1"/>
  <c r="DJ128" i="1"/>
  <c r="DH128" i="1"/>
  <c r="DJ92" i="1"/>
  <c r="DH92" i="1"/>
  <c r="DK98" i="1"/>
  <c r="DI98" i="1"/>
  <c r="DJ130" i="1"/>
  <c r="DH130" i="1"/>
  <c r="DK86" i="1"/>
  <c r="DI86" i="1"/>
  <c r="DK106" i="1"/>
  <c r="DI106" i="1"/>
  <c r="DK100" i="1"/>
  <c r="DI100" i="1"/>
  <c r="DK92" i="1"/>
  <c r="DI92" i="1"/>
  <c r="DK119" i="1"/>
  <c r="DI119" i="1"/>
  <c r="DJ123" i="1"/>
  <c r="DH123" i="1"/>
  <c r="DJ125" i="1"/>
  <c r="DH125" i="1"/>
  <c r="DJ120" i="1"/>
  <c r="DH120" i="1"/>
  <c r="DK91" i="1"/>
  <c r="DI91" i="1"/>
  <c r="DK87" i="1"/>
  <c r="DI87" i="1"/>
  <c r="DJ129" i="1"/>
  <c r="DH129" i="1"/>
  <c r="DK93" i="1"/>
  <c r="DI93" i="1"/>
  <c r="DK104" i="1"/>
  <c r="DI104" i="1"/>
  <c r="DK97" i="1"/>
  <c r="DI97" i="1"/>
  <c r="DK101" i="1"/>
  <c r="DI101" i="1"/>
  <c r="DK112" i="1"/>
  <c r="DI112" i="1"/>
  <c r="DK103" i="1"/>
  <c r="DI103" i="1"/>
  <c r="DK105" i="1"/>
  <c r="DI105" i="1"/>
  <c r="DJ126" i="1"/>
  <c r="DH126" i="1"/>
  <c r="DK114" i="1"/>
  <c r="DI114" i="1"/>
  <c r="DK88" i="1"/>
  <c r="DI88" i="1"/>
  <c r="DK89" i="1"/>
  <c r="DI89" i="1"/>
  <c r="DK115" i="1"/>
  <c r="DI115" i="1"/>
  <c r="DJ127" i="1"/>
  <c r="DH127" i="1"/>
  <c r="DK109" i="1"/>
  <c r="DI109" i="1"/>
  <c r="DK113" i="1"/>
  <c r="DI113" i="1"/>
  <c r="DJ106" i="1"/>
  <c r="DH106" i="1"/>
  <c r="DJ112" i="1"/>
  <c r="DH112" i="1"/>
  <c r="DJ109" i="1"/>
  <c r="DH109" i="1"/>
  <c r="DK102" i="1"/>
  <c r="DI102" i="1"/>
  <c r="DJ104" i="1"/>
  <c r="DH104" i="1"/>
  <c r="DK111" i="1"/>
  <c r="DI111" i="1"/>
  <c r="DJ118" i="1"/>
  <c r="DH118" i="1"/>
  <c r="DJ124" i="1"/>
  <c r="DH124" i="1"/>
  <c r="DJ114" i="1"/>
  <c r="DH114" i="1"/>
  <c r="DJ115" i="1"/>
  <c r="DH115" i="1"/>
  <c r="DK107" i="1"/>
  <c r="DI107" i="1"/>
  <c r="DJ110" i="1"/>
  <c r="DH110" i="1"/>
  <c r="DK99" i="1"/>
  <c r="DI99" i="1"/>
  <c r="DJ98" i="1"/>
  <c r="DH98" i="1"/>
  <c r="DJ116" i="1"/>
  <c r="DH116" i="1"/>
  <c r="DJ105" i="1"/>
  <c r="DH105" i="1"/>
  <c r="DJ117" i="1"/>
  <c r="DH117" i="1"/>
  <c r="DJ100" i="1"/>
  <c r="DH100" i="1"/>
  <c r="DJ113" i="1"/>
  <c r="DH113" i="1"/>
  <c r="DJ122" i="1"/>
  <c r="DH122" i="1"/>
  <c r="DJ102" i="1"/>
  <c r="DH102" i="1"/>
  <c r="DJ103" i="1"/>
  <c r="DH103" i="1"/>
  <c r="DK85" i="1"/>
  <c r="DI85" i="1"/>
  <c r="DJ101" i="1"/>
  <c r="DH101" i="1"/>
  <c r="DJ119" i="1"/>
  <c r="DH119" i="1"/>
  <c r="DJ121" i="1"/>
  <c r="DH121" i="1"/>
  <c r="DJ108" i="1"/>
  <c r="DH108" i="1"/>
  <c r="DJ111" i="1"/>
  <c r="DH111" i="1"/>
  <c r="DO120" i="1"/>
  <c r="DW120" i="1" s="1"/>
  <c r="EI78" i="1"/>
  <c r="EB78" i="1" s="1"/>
  <c r="BN78" i="1" s="1"/>
  <c r="DO110" i="1"/>
  <c r="DW110" i="1" s="1"/>
  <c r="EI170" i="1"/>
  <c r="EB170" i="1" s="1"/>
  <c r="BN170" i="1" s="1"/>
  <c r="EJ79" i="1"/>
  <c r="EC79" i="1" s="1"/>
  <c r="BO79" i="1" s="1"/>
  <c r="DN90" i="1"/>
  <c r="C155" i="1"/>
  <c r="DO104" i="1"/>
  <c r="DW104" i="1" s="1"/>
  <c r="B130" i="1"/>
  <c r="AY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B112" i="1"/>
  <c r="AY112" i="1"/>
  <c r="EJ156" i="1"/>
  <c r="EC156" i="1" s="1"/>
  <c r="BO156" i="1" s="1"/>
  <c r="C153" i="1"/>
  <c r="C125" i="1"/>
  <c r="CU89" i="1"/>
  <c r="EF53" i="1"/>
  <c r="DY53" i="1" s="1"/>
  <c r="BK53" i="1" s="1"/>
  <c r="BH118" i="1"/>
  <c r="CS118" i="1"/>
  <c r="D112" i="1"/>
  <c r="EI148" i="1"/>
  <c r="EB148" i="1" s="1"/>
  <c r="BN148" i="1" s="1"/>
  <c r="EJ184" i="1"/>
  <c r="EC184" i="1" s="1"/>
  <c r="BO184" i="1" s="1"/>
  <c r="CD84" i="1"/>
  <c r="DO102" i="1"/>
  <c r="DW102" i="1" s="1"/>
  <c r="C112" i="1"/>
  <c r="D147" i="1"/>
  <c r="D153" i="1"/>
  <c r="Y30" i="2"/>
  <c r="BG29" i="1" s="1"/>
  <c r="CS127" i="1"/>
  <c r="BH127" i="1"/>
  <c r="CU120" i="1"/>
  <c r="D176" i="1"/>
  <c r="C91" i="1"/>
  <c r="D143" i="1"/>
  <c r="EI158" i="1"/>
  <c r="EB158" i="1" s="1"/>
  <c r="BN158" i="1" s="1"/>
  <c r="DC136" i="1"/>
  <c r="DO88" i="1"/>
  <c r="DW88" i="1" s="1"/>
  <c r="EH75" i="1"/>
  <c r="EA75" i="1" s="1"/>
  <c r="BM75" i="1" s="1"/>
  <c r="BH64" i="1"/>
  <c r="BI65" i="1" s="1"/>
  <c r="CQ64" i="1"/>
  <c r="DT64" i="1"/>
  <c r="D49" i="1"/>
  <c r="C187" i="1"/>
  <c r="B113" i="1"/>
  <c r="AY113" i="1"/>
  <c r="EI57" i="1"/>
  <c r="EB57" i="1" s="1"/>
  <c r="BN57" i="1" s="1"/>
  <c r="B51" i="1"/>
  <c r="AY51" i="1"/>
  <c r="D169" i="1"/>
  <c r="D89" i="1"/>
  <c r="DN120" i="1"/>
  <c r="DV120" i="1" s="1"/>
  <c r="CU96" i="1"/>
  <c r="C102" i="1"/>
  <c r="D155" i="1"/>
  <c r="C114" i="1"/>
  <c r="EI159" i="1"/>
  <c r="EB159" i="1" s="1"/>
  <c r="BN159" i="1" s="1"/>
  <c r="EI52" i="1"/>
  <c r="EB52" i="1" s="1"/>
  <c r="BN52" i="1" s="1"/>
  <c r="DO108" i="1"/>
  <c r="DW108" i="1" s="1"/>
  <c r="EJ145" i="1"/>
  <c r="EC145" i="1" s="1"/>
  <c r="BO145" i="1" s="1"/>
  <c r="B107" i="1"/>
  <c r="AY107" i="1"/>
  <c r="DN56" i="1"/>
  <c r="EG52" i="1"/>
  <c r="DZ52" i="1" s="1"/>
  <c r="BL52" i="1" s="1"/>
  <c r="C183" i="1"/>
  <c r="EI59" i="1"/>
  <c r="EB59" i="1" s="1"/>
  <c r="BN59" i="1" s="1"/>
  <c r="CU117" i="1"/>
  <c r="C147" i="1"/>
  <c r="B109" i="1"/>
  <c r="AY109" i="1"/>
  <c r="DO124" i="1"/>
  <c r="DW124" i="1" s="1"/>
  <c r="DN168" i="1"/>
  <c r="DV168" i="1" s="1"/>
  <c r="DJ168" i="1"/>
  <c r="DN122" i="1"/>
  <c r="DV122" i="1" s="1"/>
  <c r="DO89" i="1"/>
  <c r="DW89" i="1" s="1"/>
  <c r="D90" i="1"/>
  <c r="D150" i="1"/>
  <c r="B64" i="1"/>
  <c r="AY64" i="1"/>
  <c r="EI46" i="1"/>
  <c r="EB46" i="1" s="1"/>
  <c r="BN46" i="1" s="1"/>
  <c r="D151" i="1"/>
  <c r="C130" i="1"/>
  <c r="D122" i="1"/>
  <c r="EJ171" i="1"/>
  <c r="EC171" i="1" s="1"/>
  <c r="BO171" i="1" s="1"/>
  <c r="EH188" i="1"/>
  <c r="EA188" i="1" s="1"/>
  <c r="BM188" i="1" s="1"/>
  <c r="C86" i="1"/>
  <c r="CS121" i="1"/>
  <c r="BH121" i="1"/>
  <c r="DO49" i="1"/>
  <c r="DU49" i="1"/>
  <c r="DN53" i="1"/>
  <c r="C110" i="1"/>
  <c r="CU111" i="1"/>
  <c r="AY119" i="1"/>
  <c r="B119" i="1"/>
  <c r="EG150" i="1"/>
  <c r="DZ150" i="1" s="1"/>
  <c r="BL150" i="1" s="1"/>
  <c r="BS150" i="1" s="1"/>
  <c r="DN115" i="1"/>
  <c r="DV115" i="1" s="1"/>
  <c r="EI63" i="1"/>
  <c r="EB63" i="1" s="1"/>
  <c r="BN63" i="1" s="1"/>
  <c r="DO87" i="1"/>
  <c r="DW87" i="1" s="1"/>
  <c r="AY89" i="1"/>
  <c r="B89" i="1"/>
  <c r="D159" i="1"/>
  <c r="EJ77" i="1"/>
  <c r="EC77" i="1" s="1"/>
  <c r="BO77" i="1" s="1"/>
  <c r="DO52" i="1"/>
  <c r="DU52" i="1"/>
  <c r="CU64" i="1"/>
  <c r="EI167" i="1"/>
  <c r="EB167" i="1" s="1"/>
  <c r="BN167" i="1" s="1"/>
  <c r="C159" i="1"/>
  <c r="BS159" i="1"/>
  <c r="EJ155" i="1"/>
  <c r="EC155" i="1" s="1"/>
  <c r="BO155" i="1" s="1"/>
  <c r="DA136" i="1"/>
  <c r="DN108" i="1"/>
  <c r="DV108" i="1" s="1"/>
  <c r="EI152" i="1"/>
  <c r="EB152" i="1" s="1"/>
  <c r="BN152" i="1" s="1"/>
  <c r="EH140" i="1"/>
  <c r="EA140" i="1" s="1"/>
  <c r="BM140" i="1" s="1"/>
  <c r="BS140" i="1" s="1"/>
  <c r="C126" i="1"/>
  <c r="EJ162" i="1"/>
  <c r="EC162" i="1" s="1"/>
  <c r="BO162" i="1" s="1"/>
  <c r="DO90" i="1"/>
  <c r="DW90" i="1" s="1"/>
  <c r="EJ47" i="1"/>
  <c r="EC47" i="1" s="1"/>
  <c r="BO47" i="1" s="1"/>
  <c r="DN99" i="1"/>
  <c r="DV99" i="1" s="1"/>
  <c r="DO105" i="1"/>
  <c r="DW105" i="1" s="1"/>
  <c r="EJ74" i="1"/>
  <c r="EC74" i="1" s="1"/>
  <c r="BO74" i="1" s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DN95" i="1"/>
  <c r="DV95" i="1" s="1"/>
  <c r="DA84" i="1"/>
  <c r="DN85" i="1"/>
  <c r="DV85" i="1" s="1"/>
  <c r="EI149" i="1"/>
  <c r="EB149" i="1" s="1"/>
  <c r="BN149" i="1" s="1"/>
  <c r="CU94" i="1"/>
  <c r="EJ178" i="1"/>
  <c r="EC178" i="1" s="1"/>
  <c r="BO178" i="1" s="1"/>
  <c r="D100" i="1"/>
  <c r="C87" i="1"/>
  <c r="DO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S49" i="1"/>
  <c r="DN125" i="1"/>
  <c r="DV125" i="1" s="1"/>
  <c r="D123" i="1"/>
  <c r="CU53" i="1"/>
  <c r="B99" i="1"/>
  <c r="AY99" i="1"/>
  <c r="DO116" i="1"/>
  <c r="DW116" i="1" s="1"/>
  <c r="EJ138" i="1"/>
  <c r="EC138" i="1" s="1"/>
  <c r="BO138" i="1" s="1"/>
  <c r="EJ143" i="1"/>
  <c r="EC143" i="1" s="1"/>
  <c r="BO143" i="1" s="1"/>
  <c r="DO163" i="1"/>
  <c r="DK163" i="1"/>
  <c r="CS89" i="1"/>
  <c r="Y31" i="2"/>
  <c r="BG30" i="1" s="1"/>
  <c r="D124" i="1"/>
  <c r="C124" i="1"/>
  <c r="C70" i="1"/>
  <c r="DN121" i="1"/>
  <c r="DV121" i="1" s="1"/>
  <c r="CU115" i="1"/>
  <c r="EJ71" i="1"/>
  <c r="EC71" i="1" s="1"/>
  <c r="BO71" i="1" s="1"/>
  <c r="DO86" i="1"/>
  <c r="DW86" i="1" s="1"/>
  <c r="DN130" i="1"/>
  <c r="DV130" i="1" s="1"/>
  <c r="EG156" i="1"/>
  <c r="DZ156" i="1" s="1"/>
  <c r="BL156" i="1" s="1"/>
  <c r="BS156" i="1" s="1"/>
  <c r="DO93" i="1"/>
  <c r="DW93" i="1" s="1"/>
  <c r="D95" i="1"/>
  <c r="D108" i="1"/>
  <c r="D168" i="1"/>
  <c r="DO107" i="1"/>
  <c r="DW107" i="1" s="1"/>
  <c r="DN129" i="1"/>
  <c r="DV129" i="1" s="1"/>
  <c r="EG71" i="1"/>
  <c r="DZ71" i="1" s="1"/>
  <c r="BL71" i="1" s="1"/>
  <c r="D106" i="1"/>
  <c r="EG59" i="1"/>
  <c r="DZ59" i="1" s="1"/>
  <c r="BL59" i="1" s="1"/>
  <c r="DO127" i="1"/>
  <c r="DW127" i="1" s="1"/>
  <c r="EJ140" i="1"/>
  <c r="EC140" i="1" s="1"/>
  <c r="BO140" i="1" s="1"/>
  <c r="DO123" i="1"/>
  <c r="DW123" i="1" s="1"/>
  <c r="C104" i="1"/>
  <c r="DN93" i="1"/>
  <c r="DV93" i="1" s="1"/>
  <c r="AY88" i="1"/>
  <c r="B88" i="1"/>
  <c r="CS50" i="1"/>
  <c r="D107" i="1"/>
  <c r="B127" i="1"/>
  <c r="AY127" i="1"/>
  <c r="C151" i="1"/>
  <c r="DN97" i="1"/>
  <c r="DV97" i="1" s="1"/>
  <c r="EJ169" i="1"/>
  <c r="EC169" i="1" s="1"/>
  <c r="BO169" i="1" s="1"/>
  <c r="C105" i="1"/>
  <c r="D99" i="1"/>
  <c r="EI137" i="1"/>
  <c r="EB137" i="1" s="1"/>
  <c r="BN137" i="1" s="1"/>
  <c r="EP136" i="1"/>
  <c r="EJ181" i="1"/>
  <c r="EC181" i="1" s="1"/>
  <c r="BO181" i="1" s="1"/>
  <c r="C115" i="1"/>
  <c r="EH186" i="1"/>
  <c r="EA186" i="1" s="1"/>
  <c r="BM186" i="1" s="1"/>
  <c r="BS186" i="1" s="1"/>
  <c r="CQ51" i="1"/>
  <c r="DT51" i="1"/>
  <c r="BH51" i="1"/>
  <c r="DU51" i="1"/>
  <c r="DO51" i="1"/>
  <c r="EJ72" i="1"/>
  <c r="EC72" i="1" s="1"/>
  <c r="BO72" i="1" s="1"/>
  <c r="D172" i="1"/>
  <c r="BH113" i="1"/>
  <c r="CS113" i="1"/>
  <c r="D109" i="1"/>
  <c r="EJ60" i="1"/>
  <c r="EC60" i="1" s="1"/>
  <c r="BO60" i="1" s="1"/>
  <c r="CU108" i="1"/>
  <c r="D87" i="1"/>
  <c r="EJ146" i="1"/>
  <c r="EC146" i="1" s="1"/>
  <c r="BO146" i="1" s="1"/>
  <c r="DN51" i="1"/>
  <c r="AV84" i="1"/>
  <c r="EH183" i="1"/>
  <c r="EA183" i="1" s="1"/>
  <c r="BM183" i="1" s="1"/>
  <c r="BS183" i="1" s="1"/>
  <c r="CS87" i="1"/>
  <c r="DO113" i="1"/>
  <c r="DW113" i="1" s="1"/>
  <c r="EE49" i="1"/>
  <c r="DX49" i="1" s="1"/>
  <c r="DN111" i="1"/>
  <c r="DV111" i="1" s="1"/>
  <c r="EJ139" i="1"/>
  <c r="EC139" i="1" s="1"/>
  <c r="BO139" i="1" s="1"/>
  <c r="B129" i="1"/>
  <c r="AY129" i="1"/>
  <c r="DF84" i="1"/>
  <c r="EH59" i="1"/>
  <c r="EA59" i="1" s="1"/>
  <c r="BM59" i="1" s="1"/>
  <c r="EI182" i="1"/>
  <c r="EB182" i="1" s="1"/>
  <c r="BN182" i="1" s="1"/>
  <c r="D130" i="1"/>
  <c r="C98" i="1"/>
  <c r="DN109" i="1"/>
  <c r="DV109" i="1" s="1"/>
  <c r="EI71" i="1"/>
  <c r="EB71" i="1" s="1"/>
  <c r="BN71" i="1" s="1"/>
  <c r="EI141" i="1"/>
  <c r="EB141" i="1" s="1"/>
  <c r="BN141" i="1" s="1"/>
  <c r="EJ152" i="1"/>
  <c r="EC152" i="1" s="1"/>
  <c r="BO152" i="1" s="1"/>
  <c r="AY102" i="1"/>
  <c r="B102" i="1"/>
  <c r="EG49" i="1"/>
  <c r="DZ49" i="1" s="1"/>
  <c r="BL49" i="1" s="1"/>
  <c r="CU87" i="1"/>
  <c r="DO114" i="1"/>
  <c r="DW114" i="1" s="1"/>
  <c r="DN103" i="1"/>
  <c r="DV103" i="1" s="1"/>
  <c r="D97" i="1"/>
  <c r="CF84" i="1"/>
  <c r="EI180" i="1"/>
  <c r="EB180" i="1" s="1"/>
  <c r="BN180" i="1" s="1"/>
  <c r="C148" i="1"/>
  <c r="DB84" i="1"/>
  <c r="DO85" i="1"/>
  <c r="DW85" i="1" s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EJ187" i="1"/>
  <c r="EC187" i="1" s="1"/>
  <c r="BO187" i="1" s="1"/>
  <c r="CU95" i="1"/>
  <c r="C128" i="1"/>
  <c r="DO99" i="1"/>
  <c r="DW99" i="1" s="1"/>
  <c r="EJ183" i="1"/>
  <c r="EC183" i="1" s="1"/>
  <c r="BO183" i="1" s="1"/>
  <c r="B115" i="1"/>
  <c r="AY115" i="1"/>
  <c r="B105" i="1"/>
  <c r="AY105" i="1"/>
  <c r="CU110" i="1"/>
  <c r="C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D165" i="1"/>
  <c r="DO92" i="1"/>
  <c r="DW92" i="1" s="1"/>
  <c r="B108" i="1"/>
  <c r="AY108" i="1"/>
  <c r="D180" i="1"/>
  <c r="DN104" i="1"/>
  <c r="DV104" i="1" s="1"/>
  <c r="AY111" i="1"/>
  <c r="B111" i="1"/>
  <c r="DN126" i="1"/>
  <c r="DV126" i="1" s="1"/>
  <c r="EJ165" i="1"/>
  <c r="EC165" i="1" s="1"/>
  <c r="BO165" i="1" s="1"/>
  <c r="C121" i="1"/>
  <c r="C184" i="1"/>
  <c r="EI77" i="1"/>
  <c r="EB77" i="1" s="1"/>
  <c r="BN77" i="1" s="1"/>
  <c r="CQ56" i="1"/>
  <c r="BH56" i="1"/>
  <c r="BI56" i="1" s="1"/>
  <c r="DT56" i="1"/>
  <c r="DN127" i="1"/>
  <c r="DV127" i="1" s="1"/>
  <c r="C154" i="1"/>
  <c r="C93" i="1"/>
  <c r="EI61" i="1"/>
  <c r="EB61" i="1" s="1"/>
  <c r="BN61" i="1" s="1"/>
  <c r="C94" i="1"/>
  <c r="EG48" i="1"/>
  <c r="DZ48" i="1" s="1"/>
  <c r="BL48" i="1" s="1"/>
  <c r="EI73" i="1"/>
  <c r="EB73" i="1" s="1"/>
  <c r="BN73" i="1" s="1"/>
  <c r="CS94" i="1"/>
  <c r="BH94" i="1"/>
  <c r="AU84" i="1"/>
  <c r="C85" i="1"/>
  <c r="DN91" i="1"/>
  <c r="EJ154" i="1"/>
  <c r="EC154" i="1" s="1"/>
  <c r="BO154" i="1" s="1"/>
  <c r="C106" i="1"/>
  <c r="EI160" i="1"/>
  <c r="EB160" i="1" s="1"/>
  <c r="BN160" i="1" s="1"/>
  <c r="BH119" i="1"/>
  <c r="CS119" i="1"/>
  <c r="D103" i="1"/>
  <c r="D186" i="1"/>
  <c r="DN64" i="1"/>
  <c r="BS158" i="1"/>
  <c r="C158" i="1"/>
  <c r="DN50" i="1"/>
  <c r="C178" i="1"/>
  <c r="EI184" i="1"/>
  <c r="EB184" i="1" s="1"/>
  <c r="BN184" i="1" s="1"/>
  <c r="CS96" i="1"/>
  <c r="BH96" i="1"/>
  <c r="CU98" i="1"/>
  <c r="D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D128" i="1"/>
  <c r="EI154" i="1"/>
  <c r="EB154" i="1" s="1"/>
  <c r="BN154" i="1" s="1"/>
  <c r="EJ176" i="1"/>
  <c r="EC176" i="1" s="1"/>
  <c r="BO176" i="1" s="1"/>
  <c r="DN117" i="1"/>
  <c r="DV117" i="1" s="1"/>
  <c r="EJ142" i="1"/>
  <c r="EC142" i="1" s="1"/>
  <c r="BO142" i="1" s="1"/>
  <c r="C111" i="1"/>
  <c r="EH71" i="1"/>
  <c r="EA71" i="1" s="1"/>
  <c r="BM71" i="1" s="1"/>
  <c r="DO101" i="1"/>
  <c r="DW101" i="1" s="1"/>
  <c r="DB136" i="1"/>
  <c r="C127" i="1"/>
  <c r="DO103" i="1"/>
  <c r="DW103" i="1" s="1"/>
  <c r="C96" i="1"/>
  <c r="D187" i="1"/>
  <c r="C157" i="1"/>
  <c r="DE44" i="1"/>
  <c r="CU51" i="1"/>
  <c r="D50" i="1"/>
  <c r="EI142" i="1"/>
  <c r="EB142" i="1" s="1"/>
  <c r="BN142" i="1" s="1"/>
  <c r="CU49" i="1"/>
  <c r="DN128" i="1"/>
  <c r="DV128" i="1" s="1"/>
  <c r="EJ172" i="1"/>
  <c r="EC172" i="1" s="1"/>
  <c r="BO172" i="1" s="1"/>
  <c r="CU122" i="1"/>
  <c r="DO128" i="1"/>
  <c r="DW128" i="1" s="1"/>
  <c r="EI183" i="1"/>
  <c r="EB183" i="1" s="1"/>
  <c r="BN183" i="1" s="1"/>
  <c r="EJ49" i="1"/>
  <c r="EC49" i="1" s="1"/>
  <c r="BO49" i="1" s="1"/>
  <c r="DO100" i="1"/>
  <c r="DW100" i="1" s="1"/>
  <c r="C92" i="1"/>
  <c r="D110" i="1"/>
  <c r="C120" i="1"/>
  <c r="EI145" i="1"/>
  <c r="EB145" i="1" s="1"/>
  <c r="BN145" i="1" s="1"/>
  <c r="BH128" i="1"/>
  <c r="CS128" i="1"/>
  <c r="D104" i="1"/>
  <c r="B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97" i="1"/>
  <c r="EI138" i="1"/>
  <c r="EB138" i="1" s="1"/>
  <c r="BN138" i="1" s="1"/>
  <c r="B101" i="1"/>
  <c r="AY101" i="1"/>
  <c r="D92" i="1"/>
  <c r="EI58" i="1"/>
  <c r="EB58" i="1" s="1"/>
  <c r="BN58" i="1" s="1"/>
  <c r="EI79" i="1"/>
  <c r="EB79" i="1" s="1"/>
  <c r="BN79" i="1" s="1"/>
  <c r="DE84" i="1"/>
  <c r="C95" i="1"/>
  <c r="D119" i="1"/>
  <c r="D53" i="1"/>
  <c r="DN101" i="1"/>
  <c r="DV101" i="1" s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O112" i="1"/>
  <c r="DW112" i="1" s="1"/>
  <c r="CU113" i="1"/>
  <c r="B96" i="1"/>
  <c r="AY96" i="1"/>
  <c r="DD136" i="1"/>
  <c r="D101" i="1"/>
  <c r="C176" i="1"/>
  <c r="BS176" i="1"/>
  <c r="AY110" i="1"/>
  <c r="B110" i="1"/>
  <c r="DN92" i="1"/>
  <c r="BH50" i="1"/>
  <c r="DT50" i="1"/>
  <c r="CQ50" i="1"/>
  <c r="CS100" i="1"/>
  <c r="BH100" i="1"/>
  <c r="AY124" i="1"/>
  <c r="B124" i="1"/>
  <c r="EJ168" i="1"/>
  <c r="EC168" i="1" s="1"/>
  <c r="BO168" i="1" s="1"/>
  <c r="EJ150" i="1"/>
  <c r="EC150" i="1" s="1"/>
  <c r="BO150" i="1" s="1"/>
  <c r="CS90" i="1"/>
  <c r="D170" i="1"/>
  <c r="DN89" i="1"/>
  <c r="CS110" i="1"/>
  <c r="BH110" i="1"/>
  <c r="DN114" i="1"/>
  <c r="DV114" i="1" s="1"/>
  <c r="BH123" i="1"/>
  <c r="CS123" i="1"/>
  <c r="C142" i="1"/>
  <c r="DO121" i="1"/>
  <c r="DW121" i="1" s="1"/>
  <c r="D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EI165" i="1"/>
  <c r="EB165" i="1" s="1"/>
  <c r="BN165" i="1" s="1"/>
  <c r="EG74" i="1"/>
  <c r="DZ74" i="1" s="1"/>
  <c r="BL74" i="1" s="1"/>
  <c r="EG51" i="1"/>
  <c r="DZ51" i="1" s="1"/>
  <c r="BL51" i="1" s="1"/>
  <c r="C113" i="1"/>
  <c r="D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O109" i="1"/>
  <c r="DW109" i="1" s="1"/>
  <c r="CS122" i="1"/>
  <c r="BH122" i="1"/>
  <c r="DN88" i="1"/>
  <c r="C145" i="1"/>
  <c r="CU125" i="1"/>
  <c r="C109" i="1"/>
  <c r="BH105" i="1"/>
  <c r="CS105" i="1"/>
  <c r="EH57" i="1"/>
  <c r="EA57" i="1" s="1"/>
  <c r="BM57" i="1" s="1"/>
  <c r="AY103" i="1"/>
  <c r="B103" i="1"/>
  <c r="D146" i="1"/>
  <c r="AY94" i="1"/>
  <c r="B94" i="1"/>
  <c r="AY121" i="1"/>
  <c r="B121" i="1"/>
  <c r="B100" i="1"/>
  <c r="AY100" i="1"/>
  <c r="D177" i="1"/>
  <c r="DN116" i="1"/>
  <c r="DV116" i="1" s="1"/>
  <c r="C167" i="1"/>
  <c r="BS167" i="1"/>
  <c r="D93" i="1"/>
  <c r="D148" i="1"/>
  <c r="DN87" i="1"/>
  <c r="DO98" i="1"/>
  <c r="DW98" i="1" s="1"/>
  <c r="EH181" i="1"/>
  <c r="B118" i="1"/>
  <c r="AY118" i="1"/>
  <c r="D105" i="1"/>
  <c r="EG47" i="1"/>
  <c r="DZ47" i="1" s="1"/>
  <c r="BL47" i="1" s="1"/>
  <c r="C173" i="1"/>
  <c r="BS173" i="1"/>
  <c r="CU86" i="1"/>
  <c r="DN163" i="1"/>
  <c r="DV163" i="1" s="1"/>
  <c r="DJ163" i="1"/>
  <c r="EJ70" i="1"/>
  <c r="EC70" i="1" s="1"/>
  <c r="BO70" i="1" s="1"/>
  <c r="D91" i="1"/>
  <c r="C103" i="1"/>
  <c r="B128" i="1"/>
  <c r="AY128" i="1"/>
  <c r="D127" i="1"/>
  <c r="EH61" i="1"/>
  <c r="EA61" i="1" s="1"/>
  <c r="BM61" i="1" s="1"/>
  <c r="DN94" i="1"/>
  <c r="DV94" i="1" s="1"/>
  <c r="EG50" i="1"/>
  <c r="DZ50" i="1" s="1"/>
  <c r="BL50" i="1" s="1"/>
  <c r="D98" i="1"/>
  <c r="CS117" i="1"/>
  <c r="BH117" i="1"/>
  <c r="DN52" i="1"/>
  <c r="CS53" i="1"/>
  <c r="EN136" i="1"/>
  <c r="EG141" i="1"/>
  <c r="DZ141" i="1" s="1"/>
  <c r="BL141" i="1" s="1"/>
  <c r="BS141" i="1" s="1"/>
  <c r="DO130" i="1"/>
  <c r="DW130" i="1" s="1"/>
  <c r="CE84" i="1"/>
  <c r="C129" i="1"/>
  <c r="EI166" i="1"/>
  <c r="EB166" i="1" s="1"/>
  <c r="BN166" i="1" s="1"/>
  <c r="DO122" i="1"/>
  <c r="DW122" i="1" s="1"/>
  <c r="C101" i="1"/>
  <c r="DO96" i="1"/>
  <c r="DW96" i="1" s="1"/>
  <c r="EP44" i="1"/>
  <c r="EI45" i="1"/>
  <c r="EB45" i="1" s="1"/>
  <c r="BN45" i="1" s="1"/>
  <c r="D88" i="1"/>
  <c r="DO94" i="1"/>
  <c r="DW94" i="1" s="1"/>
  <c r="B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EJ158" i="1"/>
  <c r="EC158" i="1" s="1"/>
  <c r="BO158" i="1" s="1"/>
  <c r="EI186" i="1"/>
  <c r="EB186" i="1" s="1"/>
  <c r="BN186" i="1" s="1"/>
  <c r="DC84" i="1"/>
  <c r="DO117" i="1"/>
  <c r="DW117" i="1" s="1"/>
  <c r="EG157" i="1"/>
  <c r="DZ157" i="1" s="1"/>
  <c r="BL157" i="1" s="1"/>
  <c r="BS157" i="1" s="1"/>
  <c r="D64" i="1"/>
  <c r="CS88" i="1"/>
  <c r="DO115" i="1"/>
  <c r="DW115" i="1" s="1"/>
  <c r="DN98" i="1"/>
  <c r="DV98" i="1" s="1"/>
  <c r="DN102" i="1"/>
  <c r="DV102" i="1" s="1"/>
  <c r="EG145" i="1"/>
  <c r="DZ145" i="1" s="1"/>
  <c r="BL145" i="1" s="1"/>
  <c r="BS145" i="1" s="1"/>
  <c r="DN106" i="1"/>
  <c r="DV106" i="1" s="1"/>
  <c r="C117" i="1"/>
  <c r="CU119" i="1"/>
  <c r="EI181" i="1"/>
  <c r="EB181" i="1" s="1"/>
  <c r="BN181" i="1" s="1"/>
  <c r="AY104" i="1"/>
  <c r="B104" i="1"/>
  <c r="D162" i="1"/>
  <c r="CU124" i="1"/>
  <c r="EG76" i="1"/>
  <c r="DZ76" i="1" s="1"/>
  <c r="BL76" i="1" s="1"/>
  <c r="BH163" i="1"/>
  <c r="DU163" i="1"/>
  <c r="CQ163" i="1"/>
  <c r="EE51" i="1"/>
  <c r="DX51" i="1" s="1"/>
  <c r="D52" i="1"/>
  <c r="D184" i="1"/>
  <c r="EJ78" i="1"/>
  <c r="EC78" i="1" s="1"/>
  <c r="BO78" i="1" s="1"/>
  <c r="D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U50" i="1"/>
  <c r="DN118" i="1"/>
  <c r="DV118" i="1" s="1"/>
  <c r="BF84" i="1"/>
  <c r="BF132" i="1"/>
  <c r="D125" i="1"/>
  <c r="EJ58" i="1"/>
  <c r="EC58" i="1" s="1"/>
  <c r="BO58" i="1" s="1"/>
  <c r="EH185" i="1"/>
  <c r="EA185" i="1" s="1"/>
  <c r="BM185" i="1" s="1"/>
  <c r="BS185" i="1" s="1"/>
  <c r="AY53" i="1"/>
  <c r="B53" i="1"/>
  <c r="AX136" i="1"/>
  <c r="EJ180" i="1"/>
  <c r="EC180" i="1" s="1"/>
  <c r="BO180" i="1" s="1"/>
  <c r="EJ173" i="1"/>
  <c r="EC173" i="1" s="1"/>
  <c r="BO173" i="1" s="1"/>
  <c r="EE52" i="1"/>
  <c r="DX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D163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AY125" i="1"/>
  <c r="C56" i="1"/>
  <c r="EJ189" i="1"/>
  <c r="EC189" i="1" s="1"/>
  <c r="BO189" i="1" s="1"/>
  <c r="EI60" i="1"/>
  <c r="EB60" i="1" s="1"/>
  <c r="BN60" i="1" s="1"/>
  <c r="BS163" i="1"/>
  <c r="AY163" i="1"/>
  <c r="C163" i="1"/>
  <c r="D144" i="1"/>
  <c r="EI50" i="1"/>
  <c r="EB50" i="1" s="1"/>
  <c r="BN50" i="1" s="1"/>
  <c r="EJ149" i="1"/>
  <c r="EC149" i="1" s="1"/>
  <c r="BO149" i="1" s="1"/>
  <c r="DN107" i="1"/>
  <c r="DV107" i="1" s="1"/>
  <c r="D86" i="1"/>
  <c r="DN105" i="1"/>
  <c r="DV105" i="1" s="1"/>
  <c r="D126" i="1"/>
  <c r="DO111" i="1"/>
  <c r="DW111" i="1" s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B106" i="1"/>
  <c r="AY106" i="1"/>
  <c r="EG73" i="1"/>
  <c r="DZ73" i="1" s="1"/>
  <c r="BL73" i="1" s="1"/>
  <c r="EG62" i="1"/>
  <c r="DZ62" i="1" s="1"/>
  <c r="BL62" i="1" s="1"/>
  <c r="B126" i="1"/>
  <c r="AY126" i="1"/>
  <c r="EG151" i="1"/>
  <c r="DZ151" i="1" s="1"/>
  <c r="BL151" i="1" s="1"/>
  <c r="BS151" i="1" s="1"/>
  <c r="DO118" i="1"/>
  <c r="DW118" i="1" s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N124" i="1"/>
  <c r="DV124" i="1" s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DO129" i="1"/>
  <c r="DW129" i="1" s="1"/>
  <c r="CS101" i="1"/>
  <c r="BH101" i="1"/>
  <c r="DO125" i="1"/>
  <c r="DW125" i="1" s="1"/>
  <c r="CS56" i="1"/>
  <c r="DU53" i="1"/>
  <c r="DO53" i="1"/>
  <c r="DN86" i="1"/>
  <c r="C108" i="1"/>
  <c r="D102" i="1"/>
  <c r="D161" i="1"/>
  <c r="CU116" i="1"/>
  <c r="CU50" i="1"/>
  <c r="DN123" i="1"/>
  <c r="DV123" i="1" s="1"/>
  <c r="B98" i="1"/>
  <c r="AY98" i="1"/>
  <c r="EG149" i="1"/>
  <c r="DZ149" i="1" s="1"/>
  <c r="BL149" i="1" s="1"/>
  <c r="BS149" i="1" s="1"/>
  <c r="CU101" i="1"/>
  <c r="BS161" i="1"/>
  <c r="C161" i="1"/>
  <c r="DC44" i="1"/>
  <c r="CS64" i="1"/>
  <c r="DO95" i="1"/>
  <c r="DW95" i="1" s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N49" i="1"/>
  <c r="DU56" i="1"/>
  <c r="DO56" i="1"/>
  <c r="CS168" i="1"/>
  <c r="BZ168" i="1"/>
  <c r="EG146" i="1"/>
  <c r="DZ146" i="1" s="1"/>
  <c r="BL146" i="1" s="1"/>
  <c r="BS146" i="1" s="1"/>
  <c r="D94" i="1"/>
  <c r="CS104" i="1"/>
  <c r="BH104" i="1"/>
  <c r="B93" i="1"/>
  <c r="AY93" i="1"/>
  <c r="AY50" i="1"/>
  <c r="B50" i="1"/>
  <c r="BH112" i="1"/>
  <c r="CS112" i="1"/>
  <c r="D149" i="1"/>
  <c r="DO91" i="1"/>
  <c r="DW91" i="1" s="1"/>
  <c r="Y29" i="2"/>
  <c r="BG28" i="1" s="1"/>
  <c r="BH102" i="1"/>
  <c r="CS102" i="1"/>
  <c r="EI157" i="1"/>
  <c r="EB157" i="1" s="1"/>
  <c r="BN157" i="1" s="1"/>
  <c r="C118" i="1"/>
  <c r="EI172" i="1"/>
  <c r="EB172" i="1" s="1"/>
  <c r="BN172" i="1" s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EH139" i="1"/>
  <c r="EA139" i="1" s="1"/>
  <c r="BM139" i="1" s="1"/>
  <c r="B117" i="1"/>
  <c r="AY117" i="1"/>
  <c r="EG155" i="1"/>
  <c r="DZ155" i="1" s="1"/>
  <c r="BL155" i="1" s="1"/>
  <c r="BS155" i="1" s="1"/>
  <c r="DN112" i="1"/>
  <c r="DV112" i="1" s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U92" i="1"/>
  <c r="EH58" i="1"/>
  <c r="EA58" i="1" s="1"/>
  <c r="BM58" i="1" s="1"/>
  <c r="D175" i="1"/>
  <c r="DO106" i="1"/>
  <c r="DW106" i="1" s="1"/>
  <c r="D160" i="1"/>
  <c r="EI178" i="1"/>
  <c r="EB178" i="1" s="1"/>
  <c r="BN178" i="1" s="1"/>
  <c r="B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D120" i="1"/>
  <c r="EF56" i="1"/>
  <c r="DY56" i="1" s="1"/>
  <c r="BK56" i="1" s="1"/>
  <c r="DT91" i="1"/>
  <c r="BH91" i="1"/>
  <c r="CQ91" i="1"/>
  <c r="CU91" i="1"/>
  <c r="BH106" i="1"/>
  <c r="CS106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49" i="1"/>
  <c r="EG64" i="1"/>
  <c r="DZ64" i="1" s="1"/>
  <c r="BL64" i="1" s="1"/>
  <c r="EI174" i="1"/>
  <c r="EB174" i="1" s="1"/>
  <c r="BN174" i="1" s="1"/>
  <c r="D51" i="1"/>
  <c r="EH189" i="1"/>
  <c r="EA189" i="1" s="1"/>
  <c r="BM189" i="1" s="1"/>
  <c r="DO126" i="1"/>
  <c r="DW126" i="1" s="1"/>
  <c r="EI48" i="1"/>
  <c r="EB48" i="1" s="1"/>
  <c r="BN48" i="1" s="1"/>
  <c r="D117" i="1"/>
  <c r="CU102" i="1"/>
  <c r="C122" i="1"/>
  <c r="CU126" i="1"/>
  <c r="DD84" i="1"/>
  <c r="EE56" i="1"/>
  <c r="DX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AY56" i="1"/>
  <c r="C156" i="1"/>
  <c r="BH97" i="1"/>
  <c r="CS97" i="1"/>
  <c r="EH179" i="1"/>
  <c r="EA179" i="1" s="1"/>
  <c r="BM179" i="1" s="1"/>
  <c r="BS179" i="1" s="1"/>
  <c r="D85" i="1"/>
  <c r="AW84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S107" i="1"/>
  <c r="BH107" i="1"/>
  <c r="BH120" i="1"/>
  <c r="CS12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B52" i="1"/>
  <c r="AY52" i="1"/>
  <c r="EJ63" i="1"/>
  <c r="EC63" i="1" s="1"/>
  <c r="BO63" i="1" s="1"/>
  <c r="EH56" i="1"/>
  <c r="EA56" i="1" s="1"/>
  <c r="BM56" i="1" s="1"/>
  <c r="B123" i="1"/>
  <c r="AY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DN110" i="1"/>
  <c r="DV110" i="1" s="1"/>
  <c r="C180" i="1"/>
  <c r="DT88" i="1"/>
  <c r="BH88" i="1"/>
  <c r="CQ88" i="1"/>
  <c r="C88" i="1"/>
  <c r="EG75" i="1"/>
  <c r="DZ75" i="1" s="1"/>
  <c r="BL75" i="1" s="1"/>
  <c r="EI144" i="1"/>
  <c r="EB144" i="1" s="1"/>
  <c r="BN144" i="1" s="1"/>
  <c r="EE50" i="1"/>
  <c r="DX50" i="1" s="1"/>
  <c r="EI156" i="1"/>
  <c r="EB156" i="1" s="1"/>
  <c r="BN156" i="1" s="1"/>
  <c r="EH73" i="1"/>
  <c r="EA73" i="1" s="1"/>
  <c r="BM73" i="1" s="1"/>
  <c r="D116" i="1"/>
  <c r="CU118" i="1"/>
  <c r="C64" i="1"/>
  <c r="EG142" i="1"/>
  <c r="D140" i="1"/>
  <c r="EJ179" i="1"/>
  <c r="EC179" i="1" s="1"/>
  <c r="BO179" i="1" s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N119" i="1"/>
  <c r="DV119" i="1" s="1"/>
  <c r="C119" i="1"/>
  <c r="C107" i="1"/>
  <c r="EI146" i="1"/>
  <c r="EB146" i="1" s="1"/>
  <c r="BN146" i="1" s="1"/>
  <c r="BS169" i="1"/>
  <c r="C169" i="1"/>
  <c r="CU93" i="1"/>
  <c r="B91" i="1"/>
  <c r="AY91" i="1"/>
  <c r="C51" i="1"/>
  <c r="EH48" i="1"/>
  <c r="EA48" i="1" s="1"/>
  <c r="BM48" i="1" s="1"/>
  <c r="D157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U64" i="1"/>
  <c r="DO64" i="1"/>
  <c r="C144" i="1"/>
  <c r="BS164" i="1"/>
  <c r="C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AY120" i="1"/>
  <c r="B120" i="1"/>
  <c r="EG79" i="1"/>
  <c r="DZ79" i="1" s="1"/>
  <c r="BL79" i="1" s="1"/>
  <c r="C99" i="1"/>
  <c r="C50" i="1"/>
  <c r="CU106" i="1"/>
  <c r="D181" i="1"/>
  <c r="EH70" i="1"/>
  <c r="EA70" i="1" s="1"/>
  <c r="BM70" i="1" s="1"/>
  <c r="CU128" i="1"/>
  <c r="CS111" i="1"/>
  <c r="BH111" i="1"/>
  <c r="C52" i="1"/>
  <c r="EF52" i="1"/>
  <c r="DY52" i="1" s="1"/>
  <c r="BK52" i="1" s="1"/>
  <c r="BS168" i="1"/>
  <c r="AY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M33" i="2"/>
  <c r="W33" i="2"/>
  <c r="H33" i="2"/>
  <c r="I33" i="2"/>
  <c r="B33" i="2"/>
  <c r="F33" i="2"/>
  <c r="X33" i="2"/>
  <c r="Q33" i="2"/>
  <c r="P33" i="2"/>
  <c r="D33" i="2"/>
  <c r="R33" i="2"/>
  <c r="N33" i="2"/>
  <c r="T33" i="2"/>
  <c r="J33" i="2"/>
  <c r="V33" i="2"/>
  <c r="E33" i="2"/>
  <c r="C33" i="2"/>
  <c r="K33" i="2"/>
  <c r="G33" i="2"/>
  <c r="S33" i="2"/>
  <c r="L33" i="2"/>
  <c r="U33" i="2"/>
  <c r="O33" i="2"/>
  <c r="DL110" i="1" l="1"/>
  <c r="DL130" i="1"/>
  <c r="DM110" i="1"/>
  <c r="DL89" i="1"/>
  <c r="DL111" i="1"/>
  <c r="DM116" i="1"/>
  <c r="DL112" i="1"/>
  <c r="DL124" i="1"/>
  <c r="DM108" i="1"/>
  <c r="DL108" i="1"/>
  <c r="DL95" i="1"/>
  <c r="DM104" i="1"/>
  <c r="DL116" i="1"/>
  <c r="DL119" i="1"/>
  <c r="DM119" i="1"/>
  <c r="DM53" i="1"/>
  <c r="DM50" i="1"/>
  <c r="DL105" i="1"/>
  <c r="DL104" i="1"/>
  <c r="DM89" i="1"/>
  <c r="DM93" i="1"/>
  <c r="DM123" i="1"/>
  <c r="DL53" i="1"/>
  <c r="DM105" i="1"/>
  <c r="DM112" i="1"/>
  <c r="DM125" i="1"/>
  <c r="DM95" i="1"/>
  <c r="DM124" i="1"/>
  <c r="DL128" i="1"/>
  <c r="DM86" i="1"/>
  <c r="DL109" i="1"/>
  <c r="DM111" i="1"/>
  <c r="DM130" i="1"/>
  <c r="DM88" i="1"/>
  <c r="DM129" i="1"/>
  <c r="DM90" i="1"/>
  <c r="DL126" i="1"/>
  <c r="DL100" i="1"/>
  <c r="DL98" i="1"/>
  <c r="DL103" i="1"/>
  <c r="DM163" i="1"/>
  <c r="DM85" i="1"/>
  <c r="DM118" i="1"/>
  <c r="DM126" i="1"/>
  <c r="DM128" i="1"/>
  <c r="DL93" i="1"/>
  <c r="DL123" i="1"/>
  <c r="DM114" i="1"/>
  <c r="DM168" i="1"/>
  <c r="DL85" i="1"/>
  <c r="DL129" i="1"/>
  <c r="DL125" i="1"/>
  <c r="DM109" i="1"/>
  <c r="DL88" i="1"/>
  <c r="DL90" i="1"/>
  <c r="DL122" i="1"/>
  <c r="DL127" i="1"/>
  <c r="DL120" i="1"/>
  <c r="DM121" i="1"/>
  <c r="DM101" i="1"/>
  <c r="DM103" i="1"/>
  <c r="DM122" i="1"/>
  <c r="DM100" i="1"/>
  <c r="DM127" i="1"/>
  <c r="DM120" i="1"/>
  <c r="DL96" i="1"/>
  <c r="DL94" i="1"/>
  <c r="DL121" i="1"/>
  <c r="DL102" i="1"/>
  <c r="DL114" i="1"/>
  <c r="DL118" i="1"/>
  <c r="DL86" i="1"/>
  <c r="DL117" i="1"/>
  <c r="DM102" i="1"/>
  <c r="DM117" i="1"/>
  <c r="DM99" i="1"/>
  <c r="DM107" i="1"/>
  <c r="DM106" i="1"/>
  <c r="DM91" i="1"/>
  <c r="DM51" i="1"/>
  <c r="DL91" i="1"/>
  <c r="DL101" i="1"/>
  <c r="DL115" i="1"/>
  <c r="DL97" i="1"/>
  <c r="DM96" i="1"/>
  <c r="DM94" i="1"/>
  <c r="DL50" i="1"/>
  <c r="DM56" i="1"/>
  <c r="DL51" i="1"/>
  <c r="DM98" i="1"/>
  <c r="DM115" i="1"/>
  <c r="DM97" i="1"/>
  <c r="DL99" i="1"/>
  <c r="DL107" i="1"/>
  <c r="DL106" i="1"/>
  <c r="DL113" i="1"/>
  <c r="DM113" i="1"/>
  <c r="DL56" i="1"/>
  <c r="DL52" i="1"/>
  <c r="DL49" i="1"/>
  <c r="DM64" i="1"/>
  <c r="DL64" i="1"/>
  <c r="DM52" i="1"/>
  <c r="DM49" i="1"/>
  <c r="DL92" i="1"/>
  <c r="DL87" i="1"/>
  <c r="DM92" i="1"/>
  <c r="DM87" i="1"/>
  <c r="DL163" i="1"/>
  <c r="DL168" i="1"/>
  <c r="BJ56" i="1"/>
  <c r="DR56" i="1" s="1"/>
  <c r="BJ52" i="1"/>
  <c r="DR52" i="1" s="1"/>
  <c r="BJ51" i="1"/>
  <c r="BQ51" i="1" s="1"/>
  <c r="BJ50" i="1"/>
  <c r="BX50" i="1" s="1"/>
  <c r="BJ53" i="1"/>
  <c r="BQ53" i="1" s="1"/>
  <c r="BJ49" i="1"/>
  <c r="DR49" i="1" s="1"/>
  <c r="ED105" i="1"/>
  <c r="ED114" i="1"/>
  <c r="ED100" i="1"/>
  <c r="ED102" i="1"/>
  <c r="ED124" i="1"/>
  <c r="ED110" i="1"/>
  <c r="ED104" i="1"/>
  <c r="ED112" i="1"/>
  <c r="ED127" i="1"/>
  <c r="ED98" i="1"/>
  <c r="ED108" i="1"/>
  <c r="ED116" i="1"/>
  <c r="ED107" i="1"/>
  <c r="ED113" i="1"/>
  <c r="ED123" i="1"/>
  <c r="ED120" i="1"/>
  <c r="ED101" i="1"/>
  <c r="ED128" i="1"/>
  <c r="ED126" i="1"/>
  <c r="ED111" i="1"/>
  <c r="ED121" i="1"/>
  <c r="ED115" i="1"/>
  <c r="ED122" i="1"/>
  <c r="ED106" i="1"/>
  <c r="ED93" i="1"/>
  <c r="ED130" i="1"/>
  <c r="ED96" i="1"/>
  <c r="ED119" i="1"/>
  <c r="ED118" i="1"/>
  <c r="ED94" i="1"/>
  <c r="ED103" i="1"/>
  <c r="ED125" i="1"/>
  <c r="ED95" i="1"/>
  <c r="ED99" i="1"/>
  <c r="ED117" i="1"/>
  <c r="ED109" i="1"/>
  <c r="ED97" i="1"/>
  <c r="ED129" i="1"/>
  <c r="ED85" i="1"/>
  <c r="BT173" i="1"/>
  <c r="DQ114" i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S95" i="1"/>
  <c r="DQ115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DQ117" i="1"/>
  <c r="DQ163" i="1"/>
  <c r="DP90" i="1"/>
  <c r="DP130" i="1"/>
  <c r="CP86" i="1"/>
  <c r="CP50" i="1"/>
  <c r="DP106" i="1"/>
  <c r="BU187" i="1"/>
  <c r="DV86" i="1"/>
  <c r="ED86" i="1" s="1"/>
  <c r="C84" i="1"/>
  <c r="DV88" i="1"/>
  <c r="ED88" i="1" s="1"/>
  <c r="BU52" i="1"/>
  <c r="DH131" i="1"/>
  <c r="DI84" i="1"/>
  <c r="BU176" i="1"/>
  <c r="DV89" i="1"/>
  <c r="ED89" i="1" s="1"/>
  <c r="BU170" i="1"/>
  <c r="DI131" i="1"/>
  <c r="BU177" i="1"/>
  <c r="CP51" i="1"/>
  <c r="DI132" i="1"/>
  <c r="DQ110" i="1"/>
  <c r="DP105" i="1"/>
  <c r="DQ53" i="1"/>
  <c r="DP86" i="1"/>
  <c r="DP122" i="1"/>
  <c r="BI125" i="1"/>
  <c r="BU156" i="1"/>
  <c r="CP113" i="1"/>
  <c r="CP90" i="1"/>
  <c r="DV87" i="1"/>
  <c r="ED87" i="1" s="1"/>
  <c r="BU164" i="1"/>
  <c r="BV164" i="1" s="1"/>
  <c r="DS96" i="1"/>
  <c r="DQ93" i="1"/>
  <c r="DS93" i="1"/>
  <c r="DP104" i="1"/>
  <c r="DQ118" i="1"/>
  <c r="DH84" i="1"/>
  <c r="E89" i="1"/>
  <c r="BI96" i="1"/>
  <c r="E113" i="1"/>
  <c r="CP122" i="1"/>
  <c r="CP127" i="1"/>
  <c r="DQ120" i="1"/>
  <c r="BI128" i="1"/>
  <c r="DS97" i="1"/>
  <c r="DP85" i="1"/>
  <c r="CP89" i="1"/>
  <c r="E93" i="1"/>
  <c r="CP104" i="1"/>
  <c r="E108" i="1"/>
  <c r="CP100" i="1"/>
  <c r="DV91" i="1"/>
  <c r="ED91" i="1" s="1"/>
  <c r="DP125" i="1"/>
  <c r="DS127" i="1"/>
  <c r="CP53" i="1"/>
  <c r="E51" i="1"/>
  <c r="CP163" i="1"/>
  <c r="DV90" i="1"/>
  <c r="ED90" i="1" s="1"/>
  <c r="E87" i="1"/>
  <c r="DQ130" i="1"/>
  <c r="DS114" i="1"/>
  <c r="DP50" i="1"/>
  <c r="BI120" i="1"/>
  <c r="BS49" i="1"/>
  <c r="D136" i="1"/>
  <c r="DQ89" i="1"/>
  <c r="DS99" i="1"/>
  <c r="E119" i="1"/>
  <c r="DP113" i="1"/>
  <c r="DQ96" i="1"/>
  <c r="CP101" i="1"/>
  <c r="BI122" i="1"/>
  <c r="E110" i="1"/>
  <c r="DP89" i="1"/>
  <c r="DQ91" i="1"/>
  <c r="E105" i="1"/>
  <c r="DQ129" i="1"/>
  <c r="CP97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E114" i="1"/>
  <c r="DS109" i="1"/>
  <c r="DQ101" i="1"/>
  <c r="E100" i="1"/>
  <c r="CP119" i="1"/>
  <c r="BI109" i="1"/>
  <c r="CP87" i="1"/>
  <c r="E98" i="1"/>
  <c r="E106" i="1"/>
  <c r="DP102" i="1"/>
  <c r="E120" i="1"/>
  <c r="E116" i="1"/>
  <c r="DQ94" i="1"/>
  <c r="DS118" i="1"/>
  <c r="DP123" i="1"/>
  <c r="DS94" i="1"/>
  <c r="BI116" i="1"/>
  <c r="DV92" i="1"/>
  <c r="ED92" i="1" s="1"/>
  <c r="BI106" i="1"/>
  <c r="BS70" i="1"/>
  <c r="BT70" i="1" s="1"/>
  <c r="BU148" i="1"/>
  <c r="BU184" i="1"/>
  <c r="CB50" i="1"/>
  <c r="CB49" i="1"/>
  <c r="BI52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BI110" i="1"/>
  <c r="CP114" i="1"/>
  <c r="DS111" i="1"/>
  <c r="DP95" i="1"/>
  <c r="BU50" i="1"/>
  <c r="DQ99" i="1"/>
  <c r="DS106" i="1"/>
  <c r="DP96" i="1"/>
  <c r="BI121" i="1"/>
  <c r="DS91" i="1"/>
  <c r="BI92" i="1"/>
  <c r="CP88" i="1"/>
  <c r="CP118" i="1"/>
  <c r="DP114" i="1"/>
  <c r="DP92" i="1"/>
  <c r="BI126" i="1"/>
  <c r="CP128" i="1"/>
  <c r="DQ127" i="1"/>
  <c r="E126" i="1"/>
  <c r="DP101" i="1"/>
  <c r="BU158" i="1"/>
  <c r="DP64" i="1"/>
  <c r="BU162" i="1"/>
  <c r="BU141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BU142" i="1"/>
  <c r="DS87" i="1"/>
  <c r="DS112" i="1"/>
  <c r="DQ87" i="1"/>
  <c r="DS116" i="1"/>
  <c r="BZ51" i="1"/>
  <c r="DQ106" i="1"/>
  <c r="DQ126" i="1"/>
  <c r="DP127" i="1"/>
  <c r="DP129" i="1"/>
  <c r="DP93" i="1"/>
  <c r="DS121" i="1"/>
  <c r="DP87" i="1"/>
  <c r="DS168" i="1"/>
  <c r="DQ124" i="1"/>
  <c r="BU160" i="1"/>
  <c r="DQ50" i="1"/>
  <c r="DQ92" i="1"/>
  <c r="DK131" i="1"/>
  <c r="DQ97" i="1"/>
  <c r="DS122" i="1"/>
  <c r="DQ102" i="1"/>
  <c r="DQ98" i="1"/>
  <c r="DS107" i="1"/>
  <c r="DS98" i="1"/>
  <c r="BU157" i="1"/>
  <c r="CP56" i="1"/>
  <c r="DZ142" i="1"/>
  <c r="BL142" i="1" s="1"/>
  <c r="BS142" i="1" s="1"/>
  <c r="BT142" i="1" s="1"/>
  <c r="EG136" i="1"/>
  <c r="DS126" i="1"/>
  <c r="DP99" i="1"/>
  <c r="DS130" i="1"/>
  <c r="DK84" i="1"/>
  <c r="DS86" i="1"/>
  <c r="DQ86" i="1"/>
  <c r="DS100" i="1"/>
  <c r="DQ105" i="1"/>
  <c r="EA181" i="1"/>
  <c r="BM181" i="1" s="1"/>
  <c r="BS181" i="1" s="1"/>
  <c r="BT181" i="1" s="1"/>
  <c r="EH136" i="1"/>
  <c r="CP102" i="1"/>
  <c r="DP168" i="1"/>
  <c r="DJ84" i="1"/>
  <c r="BH131" i="1"/>
  <c r="BI129" i="1"/>
  <c r="BI97" i="1"/>
  <c r="BI98" i="1"/>
  <c r="BU165" i="1"/>
  <c r="CR82" i="1"/>
  <c r="DS117" i="1"/>
  <c r="DQ123" i="1"/>
  <c r="DS123" i="1"/>
  <c r="BI82" i="1"/>
  <c r="BI107" i="1"/>
  <c r="DK132" i="1"/>
  <c r="DP117" i="1"/>
  <c r="DS89" i="1"/>
  <c r="BI87" i="1"/>
  <c r="CS82" i="1"/>
  <c r="DQ125" i="1"/>
  <c r="DP110" i="1"/>
  <c r="DP97" i="1"/>
  <c r="DQ111" i="1"/>
  <c r="DP118" i="1"/>
  <c r="DP119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S113" i="1"/>
  <c r="DQ113" i="1"/>
  <c r="DP91" i="1"/>
  <c r="CP94" i="1"/>
  <c r="DQ104" i="1"/>
  <c r="E107" i="1"/>
  <c r="BI127" i="1"/>
  <c r="DH132" i="1"/>
  <c r="DS105" i="1"/>
  <c r="EI136" i="1"/>
  <c r="DS92" i="1"/>
  <c r="DP121" i="1"/>
  <c r="DQ100" i="1"/>
  <c r="DQ103" i="1"/>
  <c r="BI113" i="1"/>
  <c r="DQ121" i="1"/>
  <c r="DS124" i="1"/>
  <c r="DS108" i="1"/>
  <c r="DP100" i="1"/>
  <c r="BI111" i="1"/>
  <c r="BI100" i="1"/>
  <c r="DJ132" i="1"/>
  <c r="DP111" i="1"/>
  <c r="E168" i="1"/>
  <c r="CP99" i="1"/>
  <c r="BI124" i="1"/>
  <c r="BI101" i="1"/>
  <c r="E104" i="1"/>
  <c r="E124" i="1"/>
  <c r="BU168" i="1"/>
  <c r="BU149" i="1"/>
  <c r="BU181" i="1"/>
  <c r="BU146" i="1"/>
  <c r="E56" i="1"/>
  <c r="DS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BU153" i="1"/>
  <c r="DS56" i="1"/>
  <c r="DP51" i="1"/>
  <c r="DP52" i="1"/>
  <c r="BU166" i="1"/>
  <c r="EH44" i="1"/>
  <c r="DS51" i="1"/>
  <c r="DQ56" i="1"/>
  <c r="BZ49" i="1"/>
  <c r="CB168" i="1"/>
  <c r="BU155" i="1"/>
  <c r="DS49" i="1"/>
  <c r="EJ44" i="1"/>
  <c r="BZ56" i="1"/>
  <c r="CA56" i="1" s="1"/>
  <c r="EG44" i="1"/>
  <c r="BU185" i="1"/>
  <c r="BS50" i="1"/>
  <c r="BU154" i="1"/>
  <c r="CB64" i="1"/>
  <c r="CC65" i="1" s="1"/>
  <c r="BU143" i="1"/>
  <c r="BZ52" i="1"/>
  <c r="BZ64" i="1"/>
  <c r="CA65" i="1" s="1"/>
  <c r="DQ64" i="1"/>
  <c r="EI44" i="1"/>
  <c r="BL44" i="1"/>
  <c r="BO136" i="1"/>
  <c r="BZ53" i="1"/>
  <c r="CA54" i="1" s="1"/>
  <c r="BU186" i="1"/>
  <c r="BN136" i="1"/>
  <c r="BU174" i="1"/>
  <c r="BU189" i="1"/>
  <c r="BU64" i="1"/>
  <c r="BU159" i="1"/>
  <c r="BU169" i="1"/>
  <c r="CB53" i="1"/>
  <c r="CC54" i="1" s="1"/>
  <c r="BU150" i="1"/>
  <c r="BZ50" i="1"/>
  <c r="DS64" i="1"/>
  <c r="BM44" i="1"/>
  <c r="BU173" i="1"/>
  <c r="BU151" i="1"/>
  <c r="BU56" i="1"/>
  <c r="BS53" i="1"/>
  <c r="BN44" i="1"/>
  <c r="BU53" i="1"/>
  <c r="BS56" i="1"/>
  <c r="BT56" i="1" s="1"/>
  <c r="CB163" i="1"/>
  <c r="DQ85" i="1"/>
  <c r="E163" i="1"/>
  <c r="DP163" i="1"/>
  <c r="E95" i="1"/>
  <c r="DS50" i="1"/>
  <c r="BI118" i="1"/>
  <c r="DP103" i="1"/>
  <c r="E88" i="1"/>
  <c r="DS125" i="1"/>
  <c r="DS85" i="1"/>
  <c r="E112" i="1"/>
  <c r="CP112" i="1"/>
  <c r="DP116" i="1"/>
  <c r="DQ128" i="1"/>
  <c r="E129" i="1"/>
  <c r="E109" i="1"/>
  <c r="DP120" i="1"/>
  <c r="CP117" i="1"/>
  <c r="E96" i="1"/>
  <c r="E101" i="1"/>
  <c r="CP109" i="1"/>
  <c r="Y33" i="2"/>
  <c r="BG32" i="1" s="1"/>
  <c r="AZ33" i="1"/>
  <c r="A34" i="2"/>
  <c r="DG33" i="1"/>
  <c r="F33" i="1"/>
  <c r="A34" i="1"/>
  <c r="M34" i="2"/>
  <c r="O34" i="2"/>
  <c r="W34" i="2"/>
  <c r="R34" i="2"/>
  <c r="K34" i="2"/>
  <c r="F34" i="2"/>
  <c r="D34" i="2"/>
  <c r="S34" i="2"/>
  <c r="N34" i="2"/>
  <c r="U34" i="2"/>
  <c r="L34" i="2"/>
  <c r="E34" i="2"/>
  <c r="V34" i="2"/>
  <c r="G34" i="2"/>
  <c r="I34" i="2"/>
  <c r="Q34" i="2"/>
  <c r="P34" i="2"/>
  <c r="T34" i="2"/>
  <c r="X34" i="2"/>
  <c r="J34" i="2"/>
  <c r="C34" i="2"/>
  <c r="H34" i="2"/>
  <c r="B34" i="2"/>
  <c r="BX53" i="1" l="1"/>
  <c r="BY54" i="1" s="1"/>
  <c r="BX49" i="1"/>
  <c r="BY50" i="1" s="1"/>
  <c r="BQ52" i="1"/>
  <c r="EK56" i="1"/>
  <c r="BX52" i="1"/>
  <c r="BQ49" i="1"/>
  <c r="BX51" i="1"/>
  <c r="CY51" i="1" s="1"/>
  <c r="DR51" i="1"/>
  <c r="BX56" i="1"/>
  <c r="BY56" i="1" s="1"/>
  <c r="EK53" i="1"/>
  <c r="BQ56" i="1"/>
  <c r="DR53" i="1"/>
  <c r="EK50" i="1"/>
  <c r="EK49" i="1"/>
  <c r="EK52" i="1"/>
  <c r="EK51" i="1"/>
  <c r="BQ50" i="1"/>
  <c r="DR50" i="1"/>
  <c r="ED132" i="1"/>
  <c r="ED131" i="1"/>
  <c r="ED56" i="1"/>
  <c r="ED168" i="1"/>
  <c r="ED163" i="1"/>
  <c r="ED53" i="1"/>
  <c r="ED49" i="1"/>
  <c r="ED50" i="1"/>
  <c r="ED64" i="1"/>
  <c r="ED52" i="1"/>
  <c r="ED51" i="1"/>
  <c r="ES91" i="1"/>
  <c r="ES86" i="1"/>
  <c r="ES90" i="1"/>
  <c r="ES87" i="1"/>
  <c r="ES89" i="1"/>
  <c r="ES88" i="1"/>
  <c r="ES92" i="1"/>
  <c r="BV185" i="1"/>
  <c r="BV157" i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4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DP132" i="1"/>
  <c r="CO131" i="1"/>
  <c r="CC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CY50" i="1"/>
  <c r="DS84" i="1"/>
  <c r="DS131" i="1"/>
  <c r="DM84" i="1"/>
  <c r="CC53" i="1"/>
  <c r="CW53" i="1"/>
  <c r="CA50" i="1"/>
  <c r="CA51" i="1"/>
  <c r="CA53" i="1"/>
  <c r="BU136" i="1"/>
  <c r="BU191" i="1" s="1"/>
  <c r="Y34" i="2"/>
  <c r="BG33" i="1" s="1"/>
  <c r="AZ34" i="1"/>
  <c r="A35" i="2"/>
  <c r="DG34" i="1"/>
  <c r="F34" i="1"/>
  <c r="A35" i="1"/>
  <c r="V35" i="2"/>
  <c r="F35" i="2"/>
  <c r="J35" i="2"/>
  <c r="W35" i="2"/>
  <c r="T35" i="2"/>
  <c r="H35" i="2"/>
  <c r="O35" i="2"/>
  <c r="B35" i="2"/>
  <c r="N35" i="2"/>
  <c r="M35" i="2"/>
  <c r="Q35" i="2"/>
  <c r="R35" i="2"/>
  <c r="I35" i="2"/>
  <c r="C35" i="2"/>
  <c r="P35" i="2"/>
  <c r="D35" i="2"/>
  <c r="X35" i="2"/>
  <c r="U35" i="2"/>
  <c r="S35" i="2"/>
  <c r="E35" i="2"/>
  <c r="K35" i="2"/>
  <c r="G35" i="2"/>
  <c r="L35" i="2"/>
  <c r="BY53" i="1" l="1"/>
  <c r="CY53" i="1"/>
  <c r="CZ54" i="1" s="1"/>
  <c r="ET53" i="1"/>
  <c r="ET51" i="1"/>
  <c r="ET50" i="1"/>
  <c r="BR56" i="1"/>
  <c r="ET56" i="1"/>
  <c r="BR52" i="1"/>
  <c r="ET52" i="1"/>
  <c r="CW49" i="1"/>
  <c r="ET49" i="1"/>
  <c r="CY49" i="1"/>
  <c r="CZ50" i="1" s="1"/>
  <c r="BR53" i="1"/>
  <c r="CW52" i="1"/>
  <c r="CY52" i="1"/>
  <c r="BY52" i="1"/>
  <c r="BR50" i="1"/>
  <c r="BY51" i="1"/>
  <c r="CY56" i="1"/>
  <c r="CZ56" i="1" s="1"/>
  <c r="CW56" i="1"/>
  <c r="CW50" i="1"/>
  <c r="BR51" i="1"/>
  <c r="DN132" i="1"/>
  <c r="CZ51" i="1"/>
  <c r="BU190" i="1"/>
  <c r="Y35" i="2"/>
  <c r="BG34" i="1" s="1"/>
  <c r="AZ35" i="1"/>
  <c r="A36" i="2"/>
  <c r="DG35" i="1"/>
  <c r="F35" i="1"/>
  <c r="A36" i="1"/>
  <c r="N36" i="2"/>
  <c r="J36" i="2"/>
  <c r="Q36" i="2"/>
  <c r="D36" i="2"/>
  <c r="O36" i="2"/>
  <c r="T36" i="2"/>
  <c r="L36" i="2"/>
  <c r="V36" i="2"/>
  <c r="U36" i="2"/>
  <c r="X36" i="2"/>
  <c r="S36" i="2"/>
  <c r="F36" i="2"/>
  <c r="R36" i="2"/>
  <c r="W36" i="2"/>
  <c r="B36" i="2"/>
  <c r="K36" i="2"/>
  <c r="H36" i="2"/>
  <c r="G36" i="2"/>
  <c r="P36" i="2"/>
  <c r="M36" i="2"/>
  <c r="I36" i="2"/>
  <c r="E36" i="2"/>
  <c r="C36" i="2"/>
  <c r="CZ53" i="1" l="1"/>
  <c r="CZ52" i="1"/>
  <c r="Y36" i="2"/>
  <c r="BG35" i="1" s="1"/>
  <c r="AZ36" i="1"/>
  <c r="A37" i="2"/>
  <c r="DG36" i="1"/>
  <c r="F36" i="1"/>
  <c r="A37" i="1"/>
  <c r="L37" i="2"/>
  <c r="I37" i="2"/>
  <c r="F37" i="2"/>
  <c r="O37" i="2"/>
  <c r="P37" i="2"/>
  <c r="U37" i="2"/>
  <c r="M37" i="2"/>
  <c r="S37" i="2"/>
  <c r="G37" i="2"/>
  <c r="X37" i="2"/>
  <c r="K37" i="2"/>
  <c r="C37" i="2"/>
  <c r="H37" i="2"/>
  <c r="R37" i="2"/>
  <c r="V37" i="2"/>
  <c r="Q37" i="2"/>
  <c r="J37" i="2"/>
  <c r="E37" i="2"/>
  <c r="T37" i="2"/>
  <c r="D37" i="2"/>
  <c r="N37" i="2"/>
  <c r="W37" i="2"/>
  <c r="B37" i="2"/>
  <c r="Y37" i="2" l="1"/>
  <c r="BG36" i="1" s="1"/>
  <c r="AZ37" i="1"/>
  <c r="A38" i="2"/>
  <c r="DG37" i="1"/>
  <c r="F37" i="1"/>
  <c r="A38" i="1"/>
  <c r="H38" i="2"/>
  <c r="C38" i="2"/>
  <c r="T38" i="2"/>
  <c r="B38" i="2"/>
  <c r="E38" i="2"/>
  <c r="O38" i="2"/>
  <c r="M38" i="2"/>
  <c r="G38" i="2"/>
  <c r="D38" i="2"/>
  <c r="P38" i="2"/>
  <c r="V38" i="2"/>
  <c r="I38" i="2"/>
  <c r="R38" i="2"/>
  <c r="F38" i="2"/>
  <c r="Q38" i="2"/>
  <c r="L38" i="2"/>
  <c r="W38" i="2"/>
  <c r="S38" i="2"/>
  <c r="U38" i="2"/>
  <c r="J38" i="2"/>
  <c r="K38" i="2"/>
  <c r="N38" i="2"/>
  <c r="X38" i="2"/>
  <c r="Y38" i="2" l="1"/>
  <c r="BG37" i="1" s="1"/>
  <c r="AZ38" i="1"/>
  <c r="A39" i="2"/>
  <c r="DG38" i="1"/>
  <c r="F38" i="1"/>
  <c r="S39" i="2"/>
  <c r="D39" i="2"/>
  <c r="U39" i="2"/>
  <c r="N39" i="2"/>
  <c r="V39" i="2"/>
  <c r="P39" i="2"/>
  <c r="Q39" i="2"/>
  <c r="B39" i="2"/>
  <c r="T39" i="2"/>
  <c r="W39" i="2"/>
  <c r="C39" i="2"/>
  <c r="K39" i="2"/>
  <c r="J39" i="2"/>
  <c r="M39" i="2"/>
  <c r="G39" i="2"/>
  <c r="L39" i="2"/>
  <c r="H39" i="2"/>
  <c r="O39" i="2"/>
  <c r="E39" i="2"/>
  <c r="F39" i="2"/>
  <c r="R39" i="2"/>
  <c r="X39" i="2"/>
  <c r="I39" i="2"/>
  <c r="Y39" i="2" l="1"/>
  <c r="BG38" i="1" s="1"/>
  <c r="DT137" i="1"/>
  <c r="DN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P162" i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P161" i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P164" i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P165" i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BC179" i="1"/>
  <c r="EL159" i="1"/>
  <c r="CF179" i="1"/>
  <c r="CF180" i="1"/>
  <c r="BE159" i="1"/>
  <c r="BC180" i="1"/>
  <c r="BA161" i="1"/>
  <c r="BA167" i="1"/>
  <c r="EL167" i="1"/>
  <c r="CG152" i="1"/>
  <c r="CG157" i="1"/>
  <c r="BF171" i="1"/>
  <c r="BD149" i="1"/>
  <c r="BE158" i="1"/>
  <c r="EL168" i="1"/>
  <c r="CF183" i="1"/>
  <c r="CF184" i="1"/>
  <c r="BE155" i="1"/>
  <c r="CG156" i="1"/>
  <c r="BA165" i="1"/>
  <c r="BD153" i="1"/>
  <c r="BE160" i="1"/>
  <c r="BE157" i="1"/>
  <c r="BF174" i="1"/>
  <c r="EL160" i="1"/>
  <c r="BD156" i="1"/>
  <c r="CG149" i="1"/>
  <c r="BF175" i="1"/>
  <c r="BD155" i="1"/>
  <c r="BE156" i="1"/>
  <c r="BA164" i="1"/>
  <c r="EL166" i="1"/>
  <c r="BA162" i="1"/>
  <c r="EL161" i="1"/>
  <c r="CG150" i="1"/>
  <c r="BD157" i="1"/>
  <c r="CF181" i="1"/>
  <c r="CG151" i="1"/>
  <c r="CF182" i="1"/>
  <c r="BD154" i="1"/>
  <c r="BF176" i="1"/>
  <c r="CG153" i="1"/>
  <c r="BF170" i="1"/>
  <c r="EL165" i="1"/>
  <c r="EL163" i="1"/>
  <c r="BA166" i="1"/>
  <c r="CG154" i="1"/>
  <c r="BE154" i="1"/>
  <c r="BF169" i="1"/>
  <c r="BD151" i="1"/>
  <c r="CG155" i="1"/>
  <c r="EL164" i="1"/>
  <c r="EL162" i="1"/>
  <c r="BE153" i="1"/>
  <c r="BD152" i="1"/>
  <c r="BD150" i="1"/>
  <c r="BF173" i="1"/>
  <c r="DH166" i="1" l="1"/>
  <c r="DH164" i="1"/>
  <c r="DH162" i="1"/>
  <c r="DH165" i="1"/>
  <c r="DH167" i="1"/>
  <c r="DH161" i="1"/>
  <c r="EE165" i="1"/>
  <c r="DX165" i="1" s="1"/>
  <c r="EE168" i="1"/>
  <c r="DX168" i="1" s="1"/>
  <c r="EE167" i="1"/>
  <c r="DX167" i="1" s="1"/>
  <c r="DJ166" i="1"/>
  <c r="DT166" i="1"/>
  <c r="DN166" i="1"/>
  <c r="DN165" i="1"/>
  <c r="DJ165" i="1"/>
  <c r="DT165" i="1"/>
  <c r="EE163" i="1"/>
  <c r="DX163" i="1" s="1"/>
  <c r="DN167" i="1"/>
  <c r="DT167" i="1"/>
  <c r="DJ167" i="1"/>
  <c r="EE159" i="1"/>
  <c r="DX159" i="1" s="1"/>
  <c r="DJ162" i="1"/>
  <c r="DN162" i="1"/>
  <c r="DT162" i="1"/>
  <c r="DJ161" i="1"/>
  <c r="DT161" i="1"/>
  <c r="DN161" i="1"/>
  <c r="EE166" i="1"/>
  <c r="DX166" i="1" s="1"/>
  <c r="EE164" i="1"/>
  <c r="DX164" i="1" s="1"/>
  <c r="DJ164" i="1"/>
  <c r="DT164" i="1"/>
  <c r="DN164" i="1"/>
  <c r="EE160" i="1"/>
  <c r="DX160" i="1" s="1"/>
  <c r="EE161" i="1"/>
  <c r="DX161" i="1" s="1"/>
  <c r="EE162" i="1"/>
  <c r="DX162" i="1" s="1"/>
  <c r="EM139" i="1"/>
  <c r="EL182" i="1"/>
  <c r="BF189" i="1"/>
  <c r="EL144" i="1"/>
  <c r="EM142" i="1"/>
  <c r="BE151" i="1"/>
  <c r="BF161" i="1"/>
  <c r="EL183" i="1"/>
  <c r="BF162" i="1"/>
  <c r="BF172" i="1"/>
  <c r="EM182" i="1"/>
  <c r="BE174" i="1"/>
  <c r="BF152" i="1"/>
  <c r="BE149" i="1"/>
  <c r="BF151" i="1"/>
  <c r="BE152" i="1"/>
  <c r="EM137" i="1"/>
  <c r="EM180" i="1"/>
  <c r="BE169" i="1"/>
  <c r="BF164" i="1"/>
  <c r="BF150" i="1"/>
  <c r="BE162" i="1"/>
  <c r="EM144" i="1"/>
  <c r="BE150" i="1"/>
  <c r="EL179" i="1"/>
  <c r="EM184" i="1"/>
  <c r="EL140" i="1"/>
  <c r="EL184" i="1"/>
  <c r="BE161" i="1"/>
  <c r="EL177" i="1"/>
  <c r="EL178" i="1"/>
  <c r="BE165" i="1"/>
  <c r="EL180" i="1"/>
  <c r="EM181" i="1"/>
  <c r="BE172" i="1"/>
  <c r="EM179" i="1"/>
  <c r="EM177" i="1"/>
  <c r="EM178" i="1"/>
  <c r="BE171" i="1"/>
  <c r="BE166" i="1"/>
  <c r="EM140" i="1"/>
  <c r="EM143" i="1"/>
  <c r="BE173" i="1"/>
  <c r="BE175" i="1"/>
  <c r="BE164" i="1"/>
  <c r="BF165" i="1"/>
  <c r="EL181" i="1"/>
  <c r="EL139" i="1"/>
  <c r="BE167" i="1"/>
  <c r="EL143" i="1"/>
  <c r="EL138" i="1"/>
  <c r="EL137" i="1"/>
  <c r="BF149" i="1"/>
  <c r="BE189" i="1"/>
  <c r="BE170" i="1"/>
  <c r="EM138" i="1"/>
  <c r="EL141" i="1"/>
  <c r="BF167" i="1"/>
  <c r="EM141" i="1"/>
  <c r="BF166" i="1"/>
  <c r="BE176" i="1"/>
  <c r="EL142" i="1"/>
  <c r="EM183" i="1"/>
  <c r="BJ161" i="1" l="1"/>
  <c r="BJ160" i="1"/>
  <c r="BJ163" i="1"/>
  <c r="BJ164" i="1"/>
  <c r="BJ167" i="1"/>
  <c r="BJ162" i="1"/>
  <c r="BJ166" i="1"/>
  <c r="BJ168" i="1"/>
  <c r="BJ159" i="1"/>
  <c r="BJ165" i="1"/>
  <c r="EE138" i="1"/>
  <c r="DX138" i="1" s="1"/>
  <c r="CU165" i="1"/>
  <c r="CB165" i="1"/>
  <c r="CB162" i="1"/>
  <c r="CC163" i="1" s="1"/>
  <c r="CU162" i="1"/>
  <c r="EE144" i="1"/>
  <c r="DX144" i="1" s="1"/>
  <c r="EE137" i="1"/>
  <c r="DX137" i="1" s="1"/>
  <c r="EE181" i="1"/>
  <c r="DX181" i="1" s="1"/>
  <c r="CB170" i="1"/>
  <c r="CU170" i="1"/>
  <c r="CU161" i="1"/>
  <c r="CB161" i="1"/>
  <c r="EE182" i="1"/>
  <c r="DX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EE179" i="1"/>
  <c r="DX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EE183" i="1"/>
  <c r="DX183" i="1" s="1"/>
  <c r="EE139" i="1"/>
  <c r="DX139" i="1" s="1"/>
  <c r="EE141" i="1"/>
  <c r="DX141" i="1" s="1"/>
  <c r="EE140" i="1"/>
  <c r="DX140" i="1" s="1"/>
  <c r="CU175" i="1"/>
  <c r="CB175" i="1"/>
  <c r="CU173" i="1"/>
  <c r="CB173" i="1"/>
  <c r="CU167" i="1"/>
  <c r="CB167" i="1"/>
  <c r="CC168" i="1" s="1"/>
  <c r="EE178" i="1"/>
  <c r="DX178" i="1" s="1"/>
  <c r="EE177" i="1"/>
  <c r="DX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J177" i="1" l="1"/>
  <c r="BQ177" i="1" s="1"/>
  <c r="BJ179" i="1"/>
  <c r="BQ179" i="1" s="1"/>
  <c r="BJ144" i="1"/>
  <c r="BQ144" i="1" s="1"/>
  <c r="BJ141" i="1"/>
  <c r="BQ141" i="1" s="1"/>
  <c r="BJ180" i="1"/>
  <c r="BQ180" i="1" s="1"/>
  <c r="BJ138" i="1"/>
  <c r="BQ138" i="1" s="1"/>
  <c r="BJ139" i="1"/>
  <c r="BQ139" i="1" s="1"/>
  <c r="BJ184" i="1"/>
  <c r="BQ184" i="1" s="1"/>
  <c r="BJ181" i="1"/>
  <c r="BQ181" i="1" s="1"/>
  <c r="BJ140" i="1"/>
  <c r="BQ140" i="1" s="1"/>
  <c r="BJ178" i="1"/>
  <c r="BQ178" i="1" s="1"/>
  <c r="BJ182" i="1"/>
  <c r="BQ182" i="1" s="1"/>
  <c r="BJ183" i="1"/>
  <c r="BQ183" i="1" s="1"/>
  <c r="BJ143" i="1"/>
  <c r="BQ143" i="1" s="1"/>
  <c r="BJ142" i="1"/>
  <c r="BQ142" i="1" s="1"/>
  <c r="BJ137" i="1"/>
  <c r="CC175" i="1"/>
  <c r="CC171" i="1"/>
  <c r="CC166" i="1"/>
  <c r="CC152" i="1"/>
  <c r="CC150" i="1"/>
  <c r="CC170" i="1"/>
  <c r="CC162" i="1"/>
  <c r="CC172" i="1"/>
  <c r="DY137" i="1"/>
  <c r="BK137" i="1" s="1"/>
  <c r="CC174" i="1"/>
  <c r="CC176" i="1"/>
  <c r="CC151" i="1"/>
  <c r="CC164" i="1"/>
  <c r="CC165" i="1"/>
  <c r="CC167" i="1"/>
  <c r="CC173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l="1"/>
  <c r="BD170" i="1"/>
  <c r="CG170" i="1"/>
  <c r="CG185" i="1"/>
  <c r="BD172" i="1"/>
  <c r="CG171" i="1"/>
  <c r="BB158" i="1"/>
  <c r="CF170" i="1"/>
  <c r="EL157" i="1"/>
  <c r="EN21" i="1"/>
  <c r="BC162" i="1"/>
  <c r="BF27" i="1"/>
  <c r="BF35" i="1"/>
  <c r="EQ10" i="1"/>
  <c r="BC174" i="1"/>
  <c r="BC171" i="1"/>
  <c r="BD176" i="1"/>
  <c r="AX9" i="1"/>
  <c r="CF47" i="1"/>
  <c r="AX15" i="1"/>
  <c r="BC19" i="1"/>
  <c r="BC77" i="1"/>
  <c r="CF166" i="1"/>
  <c r="BD182" i="1"/>
  <c r="AU29" i="1"/>
  <c r="AX45" i="1"/>
  <c r="CI25" i="1"/>
  <c r="BE29" i="1"/>
  <c r="EQ105" i="1"/>
  <c r="EL158" i="1"/>
  <c r="CE158" i="1"/>
  <c r="EL154" i="1"/>
  <c r="CD158" i="1"/>
  <c r="EQ16" i="1"/>
  <c r="CG167" i="1"/>
  <c r="CH32" i="1"/>
  <c r="CF16" i="1"/>
  <c r="BF16" i="1"/>
  <c r="BC74" i="1"/>
  <c r="BC6" i="1"/>
  <c r="CF58" i="1"/>
  <c r="CF167" i="1"/>
  <c r="BF45" i="1"/>
  <c r="EQ111" i="1"/>
  <c r="BF79" i="1"/>
  <c r="BF14" i="1"/>
  <c r="CF9" i="1"/>
  <c r="CH34" i="1"/>
  <c r="AU62" i="1"/>
  <c r="EN22" i="1"/>
  <c r="BF12" i="1"/>
  <c r="EN29" i="1"/>
  <c r="AU9" i="1"/>
  <c r="BF62" i="1"/>
  <c r="AU76" i="1"/>
  <c r="AX62" i="1"/>
  <c r="BC165" i="1"/>
  <c r="BF61" i="1"/>
  <c r="AU60" i="1"/>
  <c r="BE30" i="1"/>
  <c r="EL155" i="1"/>
  <c r="EP35" i="1"/>
  <c r="BC26" i="1"/>
  <c r="CF11" i="1"/>
  <c r="AX11" i="1"/>
  <c r="EN37" i="1"/>
  <c r="EQ19" i="1"/>
  <c r="CI14" i="1"/>
  <c r="BF29" i="1"/>
  <c r="BC18" i="1"/>
  <c r="CI32" i="1"/>
  <c r="EQ12" i="1"/>
  <c r="BE26" i="1"/>
  <c r="BF34" i="1"/>
  <c r="CI23" i="1"/>
  <c r="CF20" i="1"/>
  <c r="EM150" i="1"/>
  <c r="EQ6" i="1"/>
  <c r="EN9" i="1"/>
  <c r="BC37" i="1"/>
  <c r="EQ101" i="1"/>
  <c r="AX5" i="1"/>
  <c r="AW32" i="1"/>
  <c r="AX12" i="1"/>
  <c r="AU48" i="1"/>
  <c r="AU5" i="1"/>
  <c r="AW35" i="1"/>
  <c r="BF37" i="1"/>
  <c r="CF38" i="1"/>
  <c r="EQ110" i="1"/>
  <c r="AX46" i="1"/>
  <c r="AU33" i="1"/>
  <c r="BF10" i="1"/>
  <c r="EQ9" i="1"/>
  <c r="EN30" i="1"/>
  <c r="BF20" i="1"/>
  <c r="EQ33" i="1"/>
  <c r="EN20" i="1"/>
  <c r="CF22" i="1"/>
  <c r="AX33" i="1"/>
  <c r="EQ37" i="1"/>
  <c r="BF25" i="1"/>
  <c r="EQ128" i="1"/>
  <c r="AU47" i="1"/>
  <c r="BF38" i="1"/>
  <c r="EM87" i="1"/>
  <c r="EL151" i="1"/>
  <c r="AU11" i="1"/>
  <c r="EQ20" i="1"/>
  <c r="BD180" i="1"/>
  <c r="CI58" i="1"/>
  <c r="BC27" i="1"/>
  <c r="EQ13" i="1"/>
  <c r="CF23" i="1"/>
  <c r="EN119" i="1"/>
  <c r="BC46" i="1"/>
  <c r="BC38" i="1"/>
  <c r="EQ21" i="1"/>
  <c r="CF17" i="1"/>
  <c r="AX79" i="1"/>
  <c r="CI57" i="1"/>
  <c r="EQ118" i="1"/>
  <c r="AU12" i="1"/>
  <c r="BC34" i="1"/>
  <c r="BF23" i="1"/>
  <c r="AX59" i="1"/>
  <c r="AU17" i="1"/>
  <c r="AU57" i="1"/>
  <c r="CG184" i="1"/>
  <c r="CF160" i="1"/>
  <c r="BD173" i="1"/>
  <c r="BD174" i="1"/>
  <c r="BD185" i="1"/>
  <c r="BC161" i="1"/>
  <c r="CF73" i="1"/>
  <c r="CG176" i="1"/>
  <c r="CI76" i="1"/>
  <c r="AU14" i="1"/>
  <c r="BF19" i="1"/>
  <c r="EN121" i="1"/>
  <c r="EN16" i="1"/>
  <c r="BE31" i="1"/>
  <c r="BC177" i="1"/>
  <c r="CE156" i="1"/>
  <c r="CF172" i="1"/>
  <c r="EQ27" i="1"/>
  <c r="CF176" i="1"/>
  <c r="EQ126" i="1"/>
  <c r="BC60" i="1"/>
  <c r="EM148" i="1"/>
  <c r="BD164" i="1"/>
  <c r="BD165" i="1"/>
  <c r="CG178" i="1"/>
  <c r="EN10" i="1"/>
  <c r="AX77" i="1"/>
  <c r="BC73" i="1"/>
  <c r="AU10" i="1"/>
  <c r="BA152" i="1"/>
  <c r="CI20" i="1"/>
  <c r="EM149" i="1"/>
  <c r="EM157" i="1"/>
  <c r="CH38" i="1"/>
  <c r="AX74" i="1"/>
  <c r="BE34" i="1"/>
  <c r="EN4" i="1"/>
  <c r="EQ5" i="1"/>
  <c r="EQ14" i="1"/>
  <c r="EQ116" i="1"/>
  <c r="BE35" i="1"/>
  <c r="EL152" i="1"/>
  <c r="BC29" i="1"/>
  <c r="BD178" i="1"/>
  <c r="AU38" i="1"/>
  <c r="CF61" i="1"/>
  <c r="AX76" i="1"/>
  <c r="BC8" i="1"/>
  <c r="CI75" i="1"/>
  <c r="EN122" i="1"/>
  <c r="EN11" i="1"/>
  <c r="EN27" i="1"/>
  <c r="AU36" i="1"/>
  <c r="CF12" i="1"/>
  <c r="CI19" i="1"/>
  <c r="EN19" i="1"/>
  <c r="EQ8" i="1"/>
  <c r="AU27" i="1"/>
  <c r="EQ7" i="1"/>
  <c r="BC71" i="1"/>
  <c r="CF175" i="1"/>
  <c r="EQ122" i="1"/>
  <c r="BF6" i="1"/>
  <c r="CF171" i="1"/>
  <c r="EN25" i="1"/>
  <c r="BC62" i="1"/>
  <c r="BC12" i="1"/>
  <c r="BF31" i="1"/>
  <c r="BC7" i="1"/>
  <c r="CF34" i="1"/>
  <c r="CI10" i="1"/>
  <c r="EQ94" i="1"/>
  <c r="CI45" i="1"/>
  <c r="AU6" i="1"/>
  <c r="BC47" i="1"/>
  <c r="BD167" i="1"/>
  <c r="EN118" i="1"/>
  <c r="AX60" i="1"/>
  <c r="CH159" i="1"/>
  <c r="CE148" i="1"/>
  <c r="BC175" i="1"/>
  <c r="BC17" i="1"/>
  <c r="EP38" i="1"/>
  <c r="CI5" i="1"/>
  <c r="AU25" i="1"/>
  <c r="CH36" i="1"/>
  <c r="BE27" i="1"/>
  <c r="AU15" i="1"/>
  <c r="CI31" i="1"/>
  <c r="BC72" i="1"/>
  <c r="CF48" i="1"/>
  <c r="CE157" i="1"/>
  <c r="BC172" i="1"/>
  <c r="AX27" i="1"/>
  <c r="AX18" i="1"/>
  <c r="BC79" i="1"/>
  <c r="EQ129" i="1"/>
  <c r="EN17" i="1"/>
  <c r="CI18" i="1"/>
  <c r="BC22" i="1"/>
  <c r="BA154" i="1"/>
  <c r="BF58" i="1"/>
  <c r="AX17" i="1"/>
  <c r="AX22" i="1"/>
  <c r="CD154" i="1"/>
  <c r="EQ28" i="1"/>
  <c r="EN116" i="1"/>
  <c r="BC20" i="1"/>
  <c r="BE32" i="1"/>
  <c r="AX24" i="1"/>
  <c r="CI36" i="1"/>
  <c r="EQ98" i="1"/>
  <c r="CG183" i="1"/>
  <c r="AX6" i="1"/>
  <c r="AU7" i="1"/>
  <c r="EN14" i="1"/>
  <c r="EN34" i="1"/>
  <c r="CI16" i="1"/>
  <c r="EM86" i="1"/>
  <c r="AX78" i="1"/>
  <c r="CH31" i="1"/>
  <c r="CG180" i="1"/>
  <c r="CF13" i="1"/>
  <c r="CI29" i="1"/>
  <c r="BC33" i="1"/>
  <c r="BF76" i="1"/>
  <c r="CI60" i="1"/>
  <c r="CF27" i="1"/>
  <c r="CG169" i="1"/>
  <c r="CG174" i="1"/>
  <c r="BD169" i="1"/>
  <c r="BC58" i="1"/>
  <c r="CI79" i="1"/>
  <c r="BE28" i="1"/>
  <c r="EP34" i="1"/>
  <c r="EL153" i="1"/>
  <c r="BC173" i="1"/>
  <c r="CI13" i="1"/>
  <c r="BF72" i="1"/>
  <c r="CF173" i="1"/>
  <c r="BC178" i="1"/>
  <c r="EP32" i="1"/>
  <c r="AU8" i="1"/>
  <c r="BC11" i="1"/>
  <c r="BC166" i="1"/>
  <c r="BB159" i="1"/>
  <c r="BC75" i="1"/>
  <c r="EN28" i="1"/>
  <c r="AU26" i="1"/>
  <c r="BA151" i="1"/>
  <c r="EN5" i="1"/>
  <c r="BC31" i="1"/>
  <c r="BC167" i="1"/>
  <c r="BF32" i="1"/>
  <c r="AU4" i="1"/>
  <c r="EQ120" i="1"/>
  <c r="AX25" i="1"/>
  <c r="EN36" i="1"/>
  <c r="BB148" i="1"/>
  <c r="CF4" i="1"/>
  <c r="CE149" i="1"/>
  <c r="AW29" i="1"/>
  <c r="BF15" i="1"/>
  <c r="BF18" i="1"/>
  <c r="BC70" i="1"/>
  <c r="BC36" i="1"/>
  <c r="CI34" i="1"/>
  <c r="CD148" i="1"/>
  <c r="CD159" i="1"/>
  <c r="BC10" i="1"/>
  <c r="EQ32" i="1"/>
  <c r="EN126" i="1"/>
  <c r="BC59" i="1"/>
  <c r="BC21" i="1"/>
  <c r="BC176" i="1"/>
  <c r="CI61" i="1"/>
  <c r="AX30" i="1"/>
  <c r="EN24" i="1"/>
  <c r="AW26" i="1"/>
  <c r="CI17" i="1"/>
  <c r="EQ107" i="1"/>
  <c r="BC4" i="1"/>
  <c r="AU61" i="1"/>
  <c r="AU78" i="1"/>
  <c r="EQ4" i="1"/>
  <c r="EQ99" i="1"/>
  <c r="BC5" i="1"/>
  <c r="EN32" i="1"/>
  <c r="BC24" i="1"/>
  <c r="EQ15" i="1"/>
  <c r="CI26" i="1"/>
  <c r="CI11" i="1"/>
  <c r="EN8" i="1"/>
  <c r="BE38" i="1"/>
  <c r="CI24" i="1"/>
  <c r="EP33" i="1"/>
  <c r="BF57" i="1"/>
  <c r="BB157" i="1"/>
  <c r="CF10" i="1"/>
  <c r="AX4" i="1"/>
  <c r="CF14" i="1"/>
  <c r="EN26" i="1"/>
  <c r="AX16" i="1"/>
  <c r="EQ30" i="1"/>
  <c r="EQ106" i="1"/>
  <c r="BE37" i="1"/>
  <c r="AU59" i="1"/>
  <c r="CD151" i="1"/>
  <c r="BF26" i="1"/>
  <c r="AX73" i="1"/>
  <c r="CF35" i="1"/>
  <c r="BF5" i="1"/>
  <c r="CI7" i="1"/>
  <c r="CI46" i="1"/>
  <c r="EQ112" i="1"/>
  <c r="AU77" i="1"/>
  <c r="EQ104" i="1"/>
  <c r="CI48" i="1"/>
  <c r="CH27" i="1"/>
  <c r="EN120" i="1"/>
  <c r="CF77" i="1"/>
  <c r="CI74" i="1"/>
  <c r="BC23" i="1"/>
  <c r="CF72" i="1"/>
  <c r="CG172" i="1"/>
  <c r="AX14" i="1"/>
  <c r="EQ25" i="1"/>
  <c r="BE36" i="1"/>
  <c r="CD156" i="1"/>
  <c r="AW33" i="1"/>
  <c r="EL149" i="1"/>
  <c r="AX61" i="1"/>
  <c r="CH29" i="1"/>
  <c r="CI37" i="1"/>
  <c r="AX7" i="1"/>
  <c r="AU71" i="1"/>
  <c r="EN117" i="1"/>
  <c r="BD177" i="1"/>
  <c r="CI72" i="1"/>
  <c r="EN18" i="1"/>
  <c r="EP29" i="1"/>
  <c r="EQ127" i="1"/>
  <c r="AU19" i="1"/>
  <c r="EQ124" i="1"/>
  <c r="BC61" i="1"/>
  <c r="CF21" i="1"/>
  <c r="AX21" i="1"/>
  <c r="BB151" i="1"/>
  <c r="CH28" i="1"/>
  <c r="BF13" i="1"/>
  <c r="EQ23" i="1"/>
  <c r="CI77" i="1"/>
  <c r="CF75" i="1"/>
  <c r="EN7" i="1"/>
  <c r="BF47" i="1"/>
  <c r="BC78" i="1"/>
  <c r="AU34" i="1"/>
  <c r="BF73" i="1"/>
  <c r="CF45" i="1"/>
  <c r="CF76" i="1"/>
  <c r="AU72" i="1"/>
  <c r="EP26" i="1"/>
  <c r="CF37" i="1"/>
  <c r="CI12" i="1"/>
  <c r="BC57" i="1"/>
  <c r="EM89" i="1"/>
  <c r="EP36" i="1"/>
  <c r="BB149" i="1"/>
  <c r="CI4" i="1"/>
  <c r="BD171" i="1"/>
  <c r="CG177" i="1"/>
  <c r="BF9" i="1"/>
  <c r="BD181" i="1"/>
  <c r="EM159" i="1"/>
  <c r="BF77" i="1"/>
  <c r="BC164" i="1"/>
  <c r="AX8" i="1"/>
  <c r="CI28" i="1"/>
  <c r="EN31" i="1"/>
  <c r="EN127" i="1"/>
  <c r="AX75" i="1"/>
  <c r="AU73" i="1"/>
  <c r="BA153" i="1"/>
  <c r="CI59" i="1"/>
  <c r="CF18" i="1"/>
  <c r="EN38" i="1"/>
  <c r="BC15" i="1"/>
  <c r="AU31" i="1"/>
  <c r="BC48" i="1"/>
  <c r="EN15" i="1"/>
  <c r="AU37" i="1"/>
  <c r="BC45" i="1"/>
  <c r="CF19" i="1"/>
  <c r="BF74" i="1"/>
  <c r="CI30" i="1"/>
  <c r="CF78" i="1"/>
  <c r="EM88" i="1"/>
  <c r="EQ38" i="1"/>
  <c r="CF74" i="1"/>
  <c r="BF70" i="1"/>
  <c r="AU46" i="1"/>
  <c r="AX37" i="1"/>
  <c r="EQ29" i="1"/>
  <c r="AU75" i="1"/>
  <c r="BC9" i="1"/>
  <c r="CF15" i="1"/>
  <c r="BF4" i="1"/>
  <c r="AX72" i="1"/>
  <c r="CE150" i="1"/>
  <c r="AU23" i="1"/>
  <c r="EN130" i="1"/>
  <c r="EN128" i="1"/>
  <c r="EQ119" i="1"/>
  <c r="BD184" i="1"/>
  <c r="CG173" i="1"/>
  <c r="BD175" i="1"/>
  <c r="CD157" i="1"/>
  <c r="CF8" i="1"/>
  <c r="CG182" i="1"/>
  <c r="CI47" i="1"/>
  <c r="BF33" i="1"/>
  <c r="BF71" i="1"/>
  <c r="AU22" i="1"/>
  <c r="BC76" i="1"/>
  <c r="CF174" i="1"/>
  <c r="BD183" i="1"/>
  <c r="BC25" i="1"/>
  <c r="CF79" i="1"/>
  <c r="BC169" i="1"/>
  <c r="CF169" i="1"/>
  <c r="EQ113" i="1"/>
  <c r="BF24" i="1"/>
  <c r="BF60" i="1"/>
  <c r="AU13" i="1"/>
  <c r="AX48" i="1"/>
  <c r="CH37" i="1"/>
  <c r="EQ17" i="1"/>
  <c r="CI21" i="1"/>
  <c r="BC32" i="1"/>
  <c r="EL156" i="1"/>
  <c r="AW38" i="1"/>
  <c r="BA149" i="1"/>
  <c r="CF33" i="1"/>
  <c r="EQ93" i="1"/>
  <c r="AX29" i="1"/>
  <c r="CF5" i="1"/>
  <c r="EQ115" i="1"/>
  <c r="CF31" i="1"/>
  <c r="CF57" i="1"/>
  <c r="AU35" i="1"/>
  <c r="CD153" i="1"/>
  <c r="BA148" i="1"/>
  <c r="AX23" i="1"/>
  <c r="BF30" i="1"/>
  <c r="AW31" i="1"/>
  <c r="CF6" i="1"/>
  <c r="CI73" i="1"/>
  <c r="CH30" i="1"/>
  <c r="AW37" i="1"/>
  <c r="BC63" i="1"/>
  <c r="AU24" i="1"/>
  <c r="EQ31" i="1"/>
  <c r="CG179" i="1"/>
  <c r="CF25" i="1"/>
  <c r="AX34" i="1"/>
  <c r="EQ11" i="1"/>
  <c r="BF78" i="1"/>
  <c r="AW27" i="1"/>
  <c r="AT85" i="1"/>
  <c r="EQ108" i="1"/>
  <c r="CH33" i="1"/>
  <c r="CI27" i="1"/>
  <c r="BF7" i="1"/>
  <c r="AX28" i="1"/>
  <c r="EP28" i="1"/>
  <c r="EQ130" i="1"/>
  <c r="AX57" i="1"/>
  <c r="AX10" i="1"/>
  <c r="EQ102" i="1"/>
  <c r="BC28" i="1"/>
  <c r="CI6" i="1"/>
  <c r="EQ97" i="1"/>
  <c r="BF21" i="1"/>
  <c r="AW28" i="1"/>
  <c r="EQ125" i="1"/>
  <c r="CD149" i="1"/>
  <c r="CG181" i="1"/>
  <c r="EQ121" i="1"/>
  <c r="AX71" i="1"/>
  <c r="AX20" i="1"/>
  <c r="BC30" i="1"/>
  <c r="EN23" i="1"/>
  <c r="AU21" i="1"/>
  <c r="EP37" i="1"/>
  <c r="EN124" i="1"/>
  <c r="CF60" i="1"/>
  <c r="CI33" i="1"/>
  <c r="EN125" i="1"/>
  <c r="BB150" i="1"/>
  <c r="CI8" i="1"/>
  <c r="AU32" i="1"/>
  <c r="AX36" i="1"/>
  <c r="CH35" i="1"/>
  <c r="EL150" i="1"/>
  <c r="EN12" i="1"/>
  <c r="EN129" i="1"/>
  <c r="EQ24" i="1"/>
  <c r="EQ117" i="1"/>
  <c r="BF11" i="1"/>
  <c r="BC160" i="1"/>
  <c r="EM158" i="1"/>
  <c r="CE159" i="1"/>
  <c r="EL148" i="1"/>
  <c r="BC170" i="1"/>
  <c r="CF59" i="1"/>
  <c r="EQ26" i="1"/>
  <c r="AW30" i="1"/>
  <c r="BD166" i="1"/>
  <c r="EM90" i="1"/>
  <c r="CG166" i="1"/>
  <c r="BF28" i="1"/>
  <c r="CE151" i="1"/>
  <c r="EQ96" i="1"/>
  <c r="AX13" i="1"/>
  <c r="EN35" i="1"/>
  <c r="CI15" i="1"/>
  <c r="EN13" i="1"/>
  <c r="CF32" i="1"/>
  <c r="EQ34" i="1"/>
  <c r="EM151" i="1"/>
  <c r="AX19" i="1"/>
  <c r="EP30" i="1"/>
  <c r="EQ18" i="1"/>
  <c r="EQ35" i="1"/>
  <c r="AX31" i="1"/>
  <c r="CF26" i="1"/>
  <c r="AU28" i="1"/>
  <c r="CD150" i="1"/>
  <c r="AX38" i="1"/>
  <c r="BA159" i="1"/>
  <c r="AX58" i="1"/>
  <c r="BF59" i="1"/>
  <c r="BA150" i="1"/>
  <c r="AX32" i="1"/>
  <c r="AU18" i="1"/>
  <c r="CI9" i="1"/>
  <c r="BE33" i="1"/>
  <c r="AU30" i="1"/>
  <c r="CF24" i="1"/>
  <c r="CI38" i="1"/>
  <c r="EM92" i="1"/>
  <c r="EM91" i="1"/>
  <c r="BB156" i="1"/>
  <c r="EQ123" i="1"/>
  <c r="CF46" i="1"/>
  <c r="EQ103" i="1"/>
  <c r="EQ95" i="1"/>
  <c r="EQ109" i="1"/>
  <c r="EQ36" i="1"/>
  <c r="CG175" i="1"/>
  <c r="CF177" i="1"/>
  <c r="AX26" i="1"/>
  <c r="CF178" i="1"/>
  <c r="EM85" i="1"/>
  <c r="BA156" i="1"/>
  <c r="BF8" i="1"/>
  <c r="AX47" i="1"/>
  <c r="BA155" i="1"/>
  <c r="CF7" i="1"/>
  <c r="AX35" i="1"/>
  <c r="CH26" i="1"/>
  <c r="CF28" i="1"/>
  <c r="EN33" i="1"/>
  <c r="CF29" i="1"/>
  <c r="AU79" i="1"/>
  <c r="EQ100" i="1"/>
  <c r="CF36" i="1"/>
  <c r="EP27" i="1"/>
  <c r="CI78" i="1"/>
  <c r="EM156" i="1"/>
  <c r="AU45" i="1"/>
  <c r="BF22" i="1"/>
  <c r="EQ114" i="1"/>
  <c r="AW36" i="1"/>
  <c r="EN123" i="1"/>
  <c r="BF17" i="1"/>
  <c r="BC14" i="1"/>
  <c r="EP31" i="1"/>
  <c r="BC35" i="1"/>
  <c r="CI22" i="1"/>
  <c r="CD152" i="1"/>
  <c r="BA157" i="1"/>
  <c r="BF63" i="1"/>
  <c r="AU74" i="1"/>
  <c r="AU16" i="1"/>
  <c r="AW34" i="1"/>
  <c r="BF75" i="1"/>
  <c r="EQ22" i="1"/>
  <c r="CF30" i="1"/>
  <c r="AU20" i="1"/>
  <c r="BF36" i="1"/>
  <c r="BF46" i="1"/>
  <c r="BF48" i="1"/>
  <c r="EN6" i="1"/>
  <c r="CD155" i="1"/>
  <c r="BC13" i="1"/>
  <c r="CI35" i="1"/>
  <c r="BD179" i="1"/>
  <c r="BC16" i="1"/>
  <c r="BA158" i="1"/>
  <c r="CE138" i="1"/>
  <c r="CE187" i="1"/>
  <c r="CE185" i="1"/>
  <c r="BB138" i="1"/>
  <c r="BA175" i="1"/>
  <c r="CE181" i="1"/>
  <c r="CE180" i="1"/>
  <c r="BA182" i="1"/>
  <c r="BD187" i="1"/>
  <c r="BC152" i="1"/>
  <c r="BE183" i="1"/>
  <c r="CE143" i="1"/>
  <c r="BD21" i="1"/>
  <c r="BD188" i="1"/>
  <c r="EM152" i="1"/>
  <c r="CF155" i="1"/>
  <c r="BD25" i="1"/>
  <c r="CD36" i="1"/>
  <c r="EP86" i="1"/>
  <c r="CG187" i="1"/>
  <c r="EO117" i="1"/>
  <c r="BB32" i="1"/>
  <c r="CI150" i="1"/>
  <c r="EM102" i="1"/>
  <c r="BE25" i="1"/>
  <c r="AU189" i="1"/>
  <c r="EO109" i="1"/>
  <c r="EO20" i="1"/>
  <c r="BD76" i="1"/>
  <c r="BF145" i="1"/>
  <c r="CD182" i="1"/>
  <c r="CG146" i="1"/>
  <c r="BE185" i="1"/>
  <c r="DD16" i="1"/>
  <c r="CD46" i="1"/>
  <c r="BC153" i="1"/>
  <c r="BE180" i="1"/>
  <c r="BC151" i="1"/>
  <c r="CF188" i="1"/>
  <c r="AV57" i="1"/>
  <c r="EP25" i="1"/>
  <c r="CD181" i="1"/>
  <c r="CE173" i="1"/>
  <c r="CG57" i="1"/>
  <c r="BE16" i="1"/>
  <c r="CD187" i="1"/>
  <c r="CG72" i="1"/>
  <c r="BB70" i="1"/>
  <c r="CF143" i="1"/>
  <c r="DC18" i="1"/>
  <c r="BA176" i="1"/>
  <c r="EO26" i="1"/>
  <c r="DC11" i="1"/>
  <c r="EO99" i="1"/>
  <c r="EM11" i="1"/>
  <c r="EM172" i="1"/>
  <c r="CE177" i="1"/>
  <c r="BF182" i="1"/>
  <c r="CE141" i="1"/>
  <c r="EO8" i="1"/>
  <c r="EM46" i="1"/>
  <c r="CF158" i="1"/>
  <c r="BD162" i="1"/>
  <c r="BE179" i="1"/>
  <c r="EP10" i="1"/>
  <c r="CF145" i="1"/>
  <c r="BC155" i="1"/>
  <c r="CD24" i="1"/>
  <c r="BA76" i="1"/>
  <c r="CF141" i="1"/>
  <c r="BE45" i="1"/>
  <c r="BA30" i="1"/>
  <c r="BD31" i="1"/>
  <c r="EP90" i="1"/>
  <c r="CE155" i="1"/>
  <c r="BC139" i="1"/>
  <c r="BC188" i="1"/>
  <c r="BD159" i="1"/>
  <c r="BE148" i="1"/>
  <c r="BD61" i="1"/>
  <c r="CD183" i="1"/>
  <c r="BD146" i="1"/>
  <c r="CG159" i="1"/>
  <c r="BF138" i="1"/>
  <c r="AT26" i="1"/>
  <c r="CH74" i="1"/>
  <c r="EM26" i="1"/>
  <c r="BA33" i="1"/>
  <c r="AS62" i="1"/>
  <c r="CH182" i="1"/>
  <c r="AU137" i="1"/>
  <c r="CH152" i="1"/>
  <c r="BA186" i="1"/>
  <c r="EM112" i="1"/>
  <c r="CH22" i="1"/>
  <c r="EL20" i="1"/>
  <c r="BB182" i="1"/>
  <c r="EL71" i="1"/>
  <c r="BF184" i="1"/>
  <c r="BC186" i="1"/>
  <c r="CE18" i="1"/>
  <c r="CD185" i="1"/>
  <c r="EL15" i="1"/>
  <c r="DB31" i="1"/>
  <c r="CD19" i="1"/>
  <c r="AV11" i="1"/>
  <c r="AT28" i="1"/>
  <c r="CH158" i="1"/>
  <c r="BB59" i="1"/>
  <c r="DC12" i="1"/>
  <c r="AS32" i="1"/>
  <c r="CD38" i="1"/>
  <c r="BD158" i="1"/>
  <c r="AS9" i="1"/>
  <c r="BA7" i="1"/>
  <c r="CG48" i="1"/>
  <c r="AW18" i="1"/>
  <c r="DB36" i="1"/>
  <c r="BA59" i="1"/>
  <c r="AT37" i="1"/>
  <c r="CH24" i="1"/>
  <c r="CH176" i="1"/>
  <c r="BD18" i="1"/>
  <c r="CI140" i="1"/>
  <c r="DD28" i="1"/>
  <c r="BB9" i="1"/>
  <c r="EL47" i="1"/>
  <c r="BE12" i="1"/>
  <c r="EN108" i="1"/>
  <c r="DC5" i="1"/>
  <c r="EM115" i="1"/>
  <c r="BB24" i="1"/>
  <c r="AV48" i="1"/>
  <c r="EM7" i="1"/>
  <c r="AW60" i="1"/>
  <c r="EL18" i="1"/>
  <c r="CE28" i="1"/>
  <c r="AW22" i="1"/>
  <c r="BB164" i="1"/>
  <c r="BB15" i="1"/>
  <c r="EM64" i="1"/>
  <c r="DC34" i="1"/>
  <c r="DE34" i="1"/>
  <c r="DB37" i="1"/>
  <c r="AV35" i="1"/>
  <c r="EL117" i="1"/>
  <c r="DE35" i="1"/>
  <c r="BE8" i="1"/>
  <c r="BD24" i="1"/>
  <c r="AV75" i="1"/>
  <c r="BA70" i="1"/>
  <c r="EM6" i="1"/>
  <c r="CF148" i="1"/>
  <c r="BD45" i="1"/>
  <c r="EN104" i="1"/>
  <c r="BB31" i="1"/>
  <c r="AS17" i="1"/>
  <c r="EM71" i="1"/>
  <c r="BE62" i="1"/>
  <c r="BA4" i="1"/>
  <c r="CI160" i="1"/>
  <c r="BE78" i="1"/>
  <c r="EM96" i="1"/>
  <c r="CI166" i="1"/>
  <c r="EL116" i="1"/>
  <c r="CD17" i="1"/>
  <c r="EM12" i="1"/>
  <c r="CG137" i="1"/>
  <c r="CE10" i="1"/>
  <c r="EL86" i="1"/>
  <c r="BE75" i="1"/>
  <c r="CD25" i="1"/>
  <c r="BA17" i="1"/>
  <c r="EO127" i="1"/>
  <c r="DC17" i="1"/>
  <c r="EL70" i="1"/>
  <c r="CH167" i="1"/>
  <c r="CH16" i="1"/>
  <c r="CE145" i="1"/>
  <c r="AS22" i="1"/>
  <c r="BC158" i="1"/>
  <c r="AV59" i="1"/>
  <c r="DE30" i="1"/>
  <c r="AV73" i="1"/>
  <c r="EQ85" i="1"/>
  <c r="EL101" i="1"/>
  <c r="CD180" i="1"/>
  <c r="CD79" i="1"/>
  <c r="EL93" i="1"/>
  <c r="DE38" i="1"/>
  <c r="EM59" i="1"/>
  <c r="AS34" i="1"/>
  <c r="CH160" i="1"/>
  <c r="DE19" i="1"/>
  <c r="CG34" i="1"/>
  <c r="BB171" i="1"/>
  <c r="CE46" i="1"/>
  <c r="BB142" i="1"/>
  <c r="BD189" i="1"/>
  <c r="EL124" i="1"/>
  <c r="AT4" i="1"/>
  <c r="EO9" i="1"/>
  <c r="EL99" i="1"/>
  <c r="EL121" i="1"/>
  <c r="DE18" i="1"/>
  <c r="AW70" i="1"/>
  <c r="EQ87" i="1"/>
  <c r="BB10" i="1"/>
  <c r="CH48" i="1"/>
  <c r="BB29" i="1"/>
  <c r="DB24" i="1"/>
  <c r="EN93" i="1"/>
  <c r="AT34" i="1"/>
  <c r="CG10" i="1"/>
  <c r="DA28" i="1"/>
  <c r="AW75" i="1"/>
  <c r="CE73" i="1"/>
  <c r="BE47" i="1"/>
  <c r="CH10" i="1"/>
  <c r="AV33" i="1"/>
  <c r="EM24" i="1"/>
  <c r="DF24" i="1"/>
  <c r="CG26" i="1"/>
  <c r="BA172" i="1"/>
  <c r="CI152" i="1"/>
  <c r="CG160" i="1"/>
  <c r="BA22" i="1"/>
  <c r="DD21" i="1"/>
  <c r="BD147" i="1"/>
  <c r="BC189" i="1"/>
  <c r="EP121" i="1"/>
  <c r="BD16" i="1"/>
  <c r="BA63" i="1"/>
  <c r="DF27" i="1"/>
  <c r="CG78" i="1"/>
  <c r="EO106" i="1"/>
  <c r="CI137" i="1"/>
  <c r="AW19" i="1"/>
  <c r="DE12" i="1"/>
  <c r="CG138" i="1"/>
  <c r="BC148" i="1"/>
  <c r="CH72" i="1"/>
  <c r="BA31" i="1"/>
  <c r="EO128" i="1"/>
  <c r="CE37" i="1"/>
  <c r="AW72" i="1"/>
  <c r="BB162" i="1"/>
  <c r="AT5" i="1"/>
  <c r="EL122" i="1"/>
  <c r="AV58" i="1"/>
  <c r="CI156" i="1"/>
  <c r="BA29" i="1"/>
  <c r="EM33" i="1"/>
  <c r="EL29" i="1"/>
  <c r="BA24" i="1"/>
  <c r="CH7" i="1"/>
  <c r="CG142" i="1"/>
  <c r="DF29" i="1"/>
  <c r="DE11" i="1"/>
  <c r="BB160" i="1"/>
  <c r="CH23" i="1"/>
  <c r="EL128" i="1"/>
  <c r="DD12" i="1"/>
  <c r="CD147" i="1"/>
  <c r="DC32" i="1"/>
  <c r="DD14" i="1"/>
  <c r="BB143" i="1"/>
  <c r="EO29" i="1"/>
  <c r="AV74" i="1"/>
  <c r="CE5" i="1"/>
  <c r="CI179" i="1"/>
  <c r="BB6" i="1"/>
  <c r="EM60" i="1"/>
  <c r="EP107" i="1"/>
  <c r="EM79" i="1"/>
  <c r="DC31" i="1"/>
  <c r="DE36" i="1"/>
  <c r="CI145" i="1"/>
  <c r="EL24" i="1"/>
  <c r="AT21" i="1"/>
  <c r="AV13" i="1"/>
  <c r="BB71" i="1"/>
  <c r="CG16" i="1"/>
  <c r="EL5" i="1"/>
  <c r="CD10" i="1"/>
  <c r="EO125" i="1"/>
  <c r="DA10" i="1"/>
  <c r="BB13" i="1"/>
  <c r="EO108" i="1"/>
  <c r="CG35" i="1"/>
  <c r="EP9" i="1"/>
  <c r="EP104" i="1"/>
  <c r="CH153" i="1"/>
  <c r="CI143" i="1"/>
  <c r="DB27" i="1"/>
  <c r="CG59" i="1"/>
  <c r="EL23" i="1"/>
  <c r="EM145" i="1"/>
  <c r="BD13" i="1"/>
  <c r="BA188" i="1"/>
  <c r="CH154" i="1"/>
  <c r="AT62" i="1"/>
  <c r="BE76" i="1"/>
  <c r="CD184" i="1"/>
  <c r="EM94" i="1"/>
  <c r="EP4" i="1"/>
  <c r="CH148" i="1"/>
  <c r="CH147" i="1"/>
  <c r="CI155" i="1"/>
  <c r="DD11" i="1"/>
  <c r="BE11" i="1"/>
  <c r="AS72" i="1"/>
  <c r="EM167" i="1"/>
  <c r="EP120" i="1"/>
  <c r="BB23" i="1"/>
  <c r="AT45" i="1"/>
  <c r="EL107" i="1"/>
  <c r="BD32" i="1"/>
  <c r="BB37" i="1"/>
  <c r="EL113" i="1"/>
  <c r="AV60" i="1"/>
  <c r="AT74" i="1"/>
  <c r="AS31" i="1"/>
  <c r="BA185" i="1"/>
  <c r="DE7" i="1"/>
  <c r="EO28" i="1"/>
  <c r="CE77" i="1"/>
  <c r="EM122" i="1"/>
  <c r="AS15" i="1"/>
  <c r="BD10" i="1"/>
  <c r="AS58" i="1"/>
  <c r="CD29" i="1"/>
  <c r="CD12" i="1"/>
  <c r="EO35" i="1"/>
  <c r="EL173" i="1"/>
  <c r="CE26" i="1"/>
  <c r="DC8" i="1"/>
  <c r="BA177" i="1"/>
  <c r="CD23" i="1"/>
  <c r="AV29" i="1"/>
  <c r="BA36" i="1"/>
  <c r="BA8" i="1"/>
  <c r="AS19" i="1"/>
  <c r="EM175" i="1"/>
  <c r="DC19" i="1"/>
  <c r="CH5" i="1"/>
  <c r="CH186" i="1"/>
  <c r="EP18" i="1"/>
  <c r="EM23" i="1"/>
  <c r="AS28" i="1"/>
  <c r="AT38" i="1"/>
  <c r="EL103" i="1"/>
  <c r="EO104" i="1"/>
  <c r="AS76" i="1"/>
  <c r="AS14" i="1"/>
  <c r="BA173" i="1"/>
  <c r="AV19" i="1"/>
  <c r="BD7" i="1"/>
  <c r="BE70" i="1"/>
  <c r="EP89" i="1"/>
  <c r="CG37" i="1"/>
  <c r="EM32" i="1"/>
  <c r="EP14" i="1"/>
  <c r="BA72" i="1"/>
  <c r="BA184" i="1"/>
  <c r="BB34" i="1"/>
  <c r="DE29" i="1"/>
  <c r="EL30" i="1"/>
  <c r="AW23" i="1"/>
  <c r="EL26" i="1"/>
  <c r="DC35" i="1"/>
  <c r="CH8" i="1"/>
  <c r="DD34" i="1"/>
  <c r="CH47" i="1"/>
  <c r="CH61" i="1"/>
  <c r="BE18" i="1"/>
  <c r="EO97" i="1"/>
  <c r="EM93" i="1"/>
  <c r="AV22" i="1"/>
  <c r="DE25" i="1"/>
  <c r="EO94" i="1"/>
  <c r="BB179" i="1"/>
  <c r="BB63" i="1"/>
  <c r="DE10" i="1"/>
  <c r="DB19" i="1"/>
  <c r="BB170" i="1"/>
  <c r="EO11" i="1"/>
  <c r="CE182" i="1"/>
  <c r="EP15" i="1"/>
  <c r="EM117" i="1"/>
  <c r="CG7" i="1"/>
  <c r="AW7" i="1"/>
  <c r="EL58" i="1"/>
  <c r="CG77" i="1"/>
  <c r="DF13" i="1"/>
  <c r="EM18" i="1"/>
  <c r="AT17" i="1"/>
  <c r="AV27" i="1"/>
  <c r="CI151" i="1"/>
  <c r="CH184" i="1"/>
  <c r="CD21" i="1"/>
  <c r="AS27" i="1"/>
  <c r="CE188" i="1"/>
  <c r="EM185" i="1"/>
  <c r="BE147" i="1"/>
  <c r="EM146" i="1"/>
  <c r="BB155" i="1"/>
  <c r="CF156" i="1"/>
  <c r="BC149" i="1"/>
  <c r="EP127" i="1"/>
  <c r="EM160" i="1"/>
  <c r="CD18" i="1"/>
  <c r="EL98" i="1"/>
  <c r="DF37" i="1"/>
  <c r="BC182" i="1"/>
  <c r="BC143" i="1"/>
  <c r="EP8" i="1"/>
  <c r="BF147" i="1"/>
  <c r="BD142" i="1"/>
  <c r="EO15" i="1"/>
  <c r="EO89" i="1"/>
  <c r="BE74" i="1"/>
  <c r="EP101" i="1"/>
  <c r="EO113" i="1"/>
  <c r="CD58" i="1"/>
  <c r="BC159" i="1"/>
  <c r="BE177" i="1"/>
  <c r="CH20" i="1"/>
  <c r="BC183" i="1"/>
  <c r="BB19" i="1"/>
  <c r="BC140" i="1"/>
  <c r="BA170" i="1"/>
  <c r="BB77" i="1"/>
  <c r="EL97" i="1"/>
  <c r="DF14" i="1"/>
  <c r="CD34" i="1"/>
  <c r="CF147" i="1"/>
  <c r="CF144" i="1"/>
  <c r="CH170" i="1"/>
  <c r="BE141" i="1"/>
  <c r="BC141" i="1"/>
  <c r="BA181" i="1"/>
  <c r="BC145" i="1"/>
  <c r="BB62" i="1"/>
  <c r="CG9" i="1"/>
  <c r="DA12" i="1"/>
  <c r="CD47" i="1"/>
  <c r="BB144" i="1"/>
  <c r="AT63" i="1"/>
  <c r="CG148" i="1"/>
  <c r="DC14" i="1"/>
  <c r="AS30" i="1"/>
  <c r="CG15" i="1"/>
  <c r="DA4" i="1"/>
  <c r="DA33" i="1"/>
  <c r="CD14" i="1"/>
  <c r="CG17" i="1"/>
  <c r="CE45" i="1"/>
  <c r="BD4" i="1"/>
  <c r="CH189" i="1"/>
  <c r="AW11" i="1"/>
  <c r="CE7" i="1"/>
  <c r="EL14" i="1"/>
  <c r="AW46" i="1"/>
  <c r="BE10" i="1"/>
  <c r="BE77" i="1"/>
  <c r="BA71" i="1"/>
  <c r="AS36" i="1"/>
  <c r="BD160" i="1"/>
  <c r="BB33" i="1"/>
  <c r="BA12" i="1"/>
  <c r="BE145" i="1"/>
  <c r="AW5" i="1"/>
  <c r="CG23" i="1"/>
  <c r="EM72" i="1"/>
  <c r="EP7" i="1"/>
  <c r="EM118" i="1"/>
  <c r="DC15" i="1"/>
  <c r="DE33" i="1"/>
  <c r="DD18" i="1"/>
  <c r="DA34" i="1"/>
  <c r="EN110" i="1"/>
  <c r="CE137" i="1"/>
  <c r="EM188" i="1"/>
  <c r="CD160" i="1"/>
  <c r="BB180" i="1"/>
  <c r="CE189" i="1"/>
  <c r="EM186" i="1"/>
  <c r="BB185" i="1"/>
  <c r="CD175" i="1"/>
  <c r="BB184" i="1"/>
  <c r="BB181" i="1"/>
  <c r="CF138" i="1"/>
  <c r="BB153" i="1"/>
  <c r="BC154" i="1"/>
  <c r="CD142" i="1"/>
  <c r="AV4" i="1"/>
  <c r="BF187" i="1"/>
  <c r="CE140" i="1"/>
  <c r="BE140" i="1"/>
  <c r="CD137" i="1"/>
  <c r="EM176" i="1"/>
  <c r="BF139" i="1"/>
  <c r="AV46" i="1"/>
  <c r="BC156" i="1"/>
  <c r="CF150" i="1"/>
  <c r="CE58" i="1"/>
  <c r="EO30" i="1"/>
  <c r="CE15" i="1"/>
  <c r="EL76" i="1"/>
  <c r="DF10" i="1"/>
  <c r="EM129" i="1"/>
  <c r="EO101" i="1"/>
  <c r="EL25" i="1"/>
  <c r="EM100" i="1"/>
  <c r="CE144" i="1"/>
  <c r="AS6" i="1"/>
  <c r="EL106" i="1"/>
  <c r="BE188" i="1"/>
  <c r="BB174" i="1"/>
  <c r="EL88" i="1"/>
  <c r="DD7" i="1"/>
  <c r="CF153" i="1"/>
  <c r="CE176" i="1"/>
  <c r="BB173" i="1"/>
  <c r="CG158" i="1"/>
  <c r="AT75" i="1"/>
  <c r="BA142" i="1"/>
  <c r="EM168" i="1"/>
  <c r="CH12" i="1"/>
  <c r="EQ89" i="1"/>
  <c r="EM127" i="1"/>
  <c r="CD61" i="1"/>
  <c r="AV17" i="1"/>
  <c r="BD36" i="1"/>
  <c r="EM75" i="1"/>
  <c r="CI146" i="1"/>
  <c r="DF28" i="1"/>
  <c r="AW78" i="1"/>
  <c r="BF154" i="1"/>
  <c r="BD148" i="1"/>
  <c r="CF146" i="1"/>
  <c r="CH188" i="1"/>
  <c r="AT18" i="1"/>
  <c r="BF157" i="1"/>
  <c r="BE138" i="1"/>
  <c r="CE178" i="1"/>
  <c r="BB140" i="1"/>
  <c r="BF148" i="1"/>
  <c r="BC138" i="1"/>
  <c r="EL89" i="1"/>
  <c r="EL60" i="1"/>
  <c r="CD176" i="1"/>
  <c r="CG189" i="1"/>
  <c r="BD9" i="1"/>
  <c r="BE57" i="1"/>
  <c r="EO96" i="1"/>
  <c r="EL28" i="1"/>
  <c r="CI154" i="1"/>
  <c r="EL38" i="1"/>
  <c r="DB9" i="1"/>
  <c r="AT31" i="1"/>
  <c r="DE8" i="1"/>
  <c r="AS85" i="1"/>
  <c r="EM29" i="1"/>
  <c r="BB17" i="1"/>
  <c r="CF157" i="1"/>
  <c r="EL171" i="1"/>
  <c r="BB172" i="1"/>
  <c r="BA140" i="1"/>
  <c r="CE179" i="1"/>
  <c r="BC185" i="1"/>
  <c r="EL170" i="1"/>
  <c r="DB17" i="1"/>
  <c r="EO22" i="1"/>
  <c r="AT32" i="1"/>
  <c r="BF137" i="1"/>
  <c r="BE182" i="1"/>
  <c r="EM15" i="1"/>
  <c r="EL8" i="1"/>
  <c r="EO31" i="1"/>
  <c r="BB57" i="1"/>
  <c r="DA38" i="1"/>
  <c r="CI177" i="1"/>
  <c r="AT24" i="1"/>
  <c r="DE9" i="1"/>
  <c r="CH4" i="1"/>
  <c r="BA20" i="1"/>
  <c r="CE147" i="1"/>
  <c r="BF153" i="1"/>
  <c r="BF144" i="1"/>
  <c r="AS73" i="1"/>
  <c r="BA146" i="1"/>
  <c r="CE31" i="1"/>
  <c r="EL112" i="1"/>
  <c r="EM62" i="1"/>
  <c r="DE23" i="1"/>
  <c r="CE152" i="1"/>
  <c r="EM21" i="1"/>
  <c r="EM147" i="1"/>
  <c r="BB175" i="1"/>
  <c r="EO124" i="1"/>
  <c r="CE25" i="1"/>
  <c r="CG4" i="1"/>
  <c r="BD77" i="1"/>
  <c r="AT77" i="1"/>
  <c r="CE11" i="1"/>
  <c r="CG188" i="1"/>
  <c r="AT22" i="1"/>
  <c r="BA189" i="1"/>
  <c r="CF137" i="1"/>
  <c r="EN85" i="1"/>
  <c r="AT46" i="1"/>
  <c r="CD31" i="1"/>
  <c r="EM4" i="1"/>
  <c r="CI170" i="1"/>
  <c r="DA27" i="1"/>
  <c r="EL11" i="1"/>
  <c r="EN96" i="1"/>
  <c r="BE13" i="1"/>
  <c r="CI139" i="1"/>
  <c r="AS16" i="1"/>
  <c r="DD38" i="1"/>
  <c r="EL36" i="1"/>
  <c r="EM30" i="1"/>
  <c r="CD59" i="1"/>
  <c r="AT12" i="1"/>
  <c r="BD12" i="1"/>
  <c r="EM107" i="1"/>
  <c r="EP85" i="1"/>
  <c r="CH181" i="1"/>
  <c r="AT20" i="1"/>
  <c r="AW79" i="1"/>
  <c r="EO10" i="1"/>
  <c r="DA19" i="1"/>
  <c r="EM166" i="1"/>
  <c r="CF159" i="1"/>
  <c r="CH146" i="1"/>
  <c r="EL57" i="1"/>
  <c r="EM113" i="1"/>
  <c r="AT36" i="1"/>
  <c r="EM16" i="1"/>
  <c r="DF8" i="1"/>
  <c r="AT19" i="1"/>
  <c r="EN106" i="1"/>
  <c r="CG76" i="1"/>
  <c r="AS60" i="1"/>
  <c r="BB146" i="1"/>
  <c r="EN95" i="1"/>
  <c r="CF142" i="1"/>
  <c r="CF151" i="1"/>
  <c r="BF185" i="1"/>
  <c r="EL125" i="1"/>
  <c r="CD22" i="1"/>
  <c r="BD19" i="1"/>
  <c r="BB78" i="1"/>
  <c r="CH150" i="1"/>
  <c r="BB22" i="1"/>
  <c r="BB45" i="1"/>
  <c r="CE23" i="1"/>
  <c r="DC36" i="1"/>
  <c r="CI158" i="1"/>
  <c r="DA6" i="1"/>
  <c r="EL64" i="1"/>
  <c r="DD31" i="1"/>
  <c r="AV72" i="1"/>
  <c r="EP23" i="1"/>
  <c r="BA180" i="1"/>
  <c r="BB183" i="1"/>
  <c r="BA11" i="1"/>
  <c r="DD17" i="1"/>
  <c r="CD45" i="1"/>
  <c r="DA14" i="1"/>
  <c r="EO110" i="1"/>
  <c r="CG61" i="1"/>
  <c r="CH18" i="1"/>
  <c r="EM105" i="1"/>
  <c r="AS48" i="1"/>
  <c r="CI175" i="1"/>
  <c r="CI171" i="1"/>
  <c r="EP118" i="1"/>
  <c r="AS7" i="1"/>
  <c r="EM154" i="1"/>
  <c r="CH57" i="1"/>
  <c r="EN113" i="1"/>
  <c r="EM114" i="1"/>
  <c r="EM101" i="1"/>
  <c r="EM103" i="1"/>
  <c r="BB30" i="1"/>
  <c r="AT6" i="1"/>
  <c r="EP5" i="1"/>
  <c r="EM14" i="1"/>
  <c r="BD23" i="1"/>
  <c r="CD32" i="1"/>
  <c r="AW77" i="1"/>
  <c r="CH187" i="1"/>
  <c r="DA22" i="1"/>
  <c r="CH174" i="1"/>
  <c r="CH175" i="1"/>
  <c r="CG139" i="1"/>
  <c r="CE72" i="1"/>
  <c r="EP103" i="1"/>
  <c r="DC4" i="1"/>
  <c r="CH180" i="1"/>
  <c r="CH155" i="1"/>
  <c r="AW6" i="1"/>
  <c r="CH166" i="1"/>
  <c r="DA15" i="1"/>
  <c r="CI182" i="1"/>
  <c r="EL90" i="1"/>
  <c r="BA25" i="1"/>
  <c r="CE4" i="1"/>
  <c r="CI157" i="1"/>
  <c r="CH13" i="1"/>
  <c r="EP11" i="1"/>
  <c r="CH60" i="1"/>
  <c r="CE172" i="1"/>
  <c r="BE5" i="1"/>
  <c r="EP13" i="1"/>
  <c r="EP130" i="1"/>
  <c r="EP111" i="1"/>
  <c r="BD37" i="1"/>
  <c r="EM164" i="1"/>
  <c r="EO32" i="1"/>
  <c r="CG28" i="1"/>
  <c r="CH45" i="1"/>
  <c r="AW71" i="1"/>
  <c r="BA74" i="1"/>
  <c r="DE4" i="1"/>
  <c r="AW25" i="1"/>
  <c r="CI149" i="1"/>
  <c r="EP126" i="1"/>
  <c r="BD145" i="1"/>
  <c r="EM174" i="1"/>
  <c r="CD33" i="1"/>
  <c r="AW16" i="1"/>
  <c r="AV5" i="1"/>
  <c r="DA29" i="1"/>
  <c r="CF152" i="1"/>
  <c r="EM73" i="1"/>
  <c r="BE20" i="1"/>
  <c r="EP20" i="1"/>
  <c r="EN91" i="1"/>
  <c r="EL111" i="1"/>
  <c r="DD24" i="1"/>
  <c r="AT8" i="1"/>
  <c r="CD13" i="1"/>
  <c r="CD28" i="1"/>
  <c r="CE160" i="1"/>
  <c r="DA9" i="1"/>
  <c r="AW20" i="1"/>
  <c r="CD8" i="1"/>
  <c r="DD10" i="1"/>
  <c r="DD25" i="1"/>
  <c r="CG14" i="1"/>
  <c r="BB38" i="1"/>
  <c r="CI138" i="1"/>
  <c r="AV61" i="1"/>
  <c r="EM35" i="1"/>
  <c r="EP112" i="1"/>
  <c r="EM109" i="1"/>
  <c r="AV18" i="1"/>
  <c r="EL114" i="1"/>
  <c r="AS46" i="1"/>
  <c r="EP6" i="1"/>
  <c r="EP116" i="1"/>
  <c r="BD20" i="1"/>
  <c r="EM38" i="1"/>
  <c r="DA20" i="1"/>
  <c r="EP108" i="1"/>
  <c r="EO115" i="1"/>
  <c r="DA13" i="1"/>
  <c r="EL85" i="1"/>
  <c r="CI174" i="1"/>
  <c r="BE15" i="1"/>
  <c r="CE61" i="1"/>
  <c r="EM95" i="1"/>
  <c r="CH139" i="1"/>
  <c r="DC37" i="1"/>
  <c r="AS57" i="1"/>
  <c r="EP129" i="1"/>
  <c r="EM36" i="1"/>
  <c r="BD6" i="1"/>
  <c r="CD77" i="1"/>
  <c r="EN94" i="1"/>
  <c r="CG18" i="1"/>
  <c r="EL72" i="1"/>
  <c r="EN89" i="1"/>
  <c r="BB48" i="1"/>
  <c r="BA171" i="1"/>
  <c r="AW45" i="1"/>
  <c r="AW17" i="1"/>
  <c r="EP87" i="1"/>
  <c r="DD19" i="1"/>
  <c r="CD26" i="1"/>
  <c r="CE48" i="1"/>
  <c r="BD8" i="1"/>
  <c r="EP98" i="1"/>
  <c r="AW10" i="1"/>
  <c r="EO33" i="1"/>
  <c r="EO114" i="1"/>
  <c r="AS29" i="1"/>
  <c r="BB47" i="1"/>
  <c r="EO27" i="1"/>
  <c r="BA58" i="1"/>
  <c r="CE78" i="1"/>
  <c r="EM173" i="1"/>
  <c r="BE14" i="1"/>
  <c r="EL104" i="1"/>
  <c r="EO90" i="1"/>
  <c r="BA73" i="1"/>
  <c r="EO88" i="1"/>
  <c r="EM120" i="1"/>
  <c r="EO37" i="1"/>
  <c r="BE63" i="1"/>
  <c r="CE34" i="1"/>
  <c r="BB178" i="1"/>
  <c r="EO86" i="1"/>
  <c r="BA62" i="1"/>
  <c r="BE6" i="1"/>
  <c r="CE146" i="1"/>
  <c r="EO103" i="1"/>
  <c r="EO119" i="1"/>
  <c r="CG6" i="1"/>
  <c r="BB60" i="1"/>
  <c r="BD26" i="1"/>
  <c r="AS45" i="1"/>
  <c r="AW48" i="1"/>
  <c r="BE9" i="1"/>
  <c r="AV34" i="1"/>
  <c r="CD170" i="1"/>
  <c r="EO14" i="1"/>
  <c r="DB12" i="1"/>
  <c r="DB11" i="1"/>
  <c r="DB16" i="1"/>
  <c r="DA8" i="1"/>
  <c r="BD17" i="1"/>
  <c r="CE9" i="1"/>
  <c r="CD37" i="1"/>
  <c r="BA79" i="1"/>
  <c r="BB147" i="1"/>
  <c r="CH77" i="1"/>
  <c r="CH142" i="1"/>
  <c r="EM8" i="1"/>
  <c r="CI187" i="1"/>
  <c r="DE6" i="1"/>
  <c r="EO13" i="1"/>
  <c r="EL118" i="1"/>
  <c r="AT78" i="1"/>
  <c r="DA36" i="1"/>
  <c r="CI173" i="1"/>
  <c r="AT33" i="1"/>
  <c r="EO21" i="1"/>
  <c r="CG38" i="1"/>
  <c r="DE27" i="1"/>
  <c r="EP110" i="1"/>
  <c r="BD22" i="1"/>
  <c r="BD58" i="1"/>
  <c r="CE183" i="1"/>
  <c r="BB5" i="1"/>
  <c r="CE27" i="1"/>
  <c r="BA27" i="1"/>
  <c r="EM108" i="1"/>
  <c r="DA11" i="1"/>
  <c r="CG21" i="1"/>
  <c r="EQ90" i="1"/>
  <c r="BE21" i="1"/>
  <c r="DB13" i="1"/>
  <c r="CH79" i="1"/>
  <c r="CI144" i="1"/>
  <c r="CG143" i="1"/>
  <c r="EL109" i="1"/>
  <c r="EL119" i="1"/>
  <c r="CH169" i="1"/>
  <c r="EO7" i="1"/>
  <c r="CD78" i="1"/>
  <c r="AV77" i="1"/>
  <c r="EM128" i="1"/>
  <c r="DE14" i="1"/>
  <c r="BB75" i="1"/>
  <c r="CH137" i="1"/>
  <c r="DF35" i="1"/>
  <c r="CG141" i="1"/>
  <c r="AW9" i="1"/>
  <c r="CH46" i="1"/>
  <c r="BA46" i="1"/>
  <c r="EM9" i="1"/>
  <c r="AV78" i="1"/>
  <c r="CD4" i="1"/>
  <c r="BB72" i="1"/>
  <c r="DC22" i="1"/>
  <c r="AS20" i="1"/>
  <c r="DD33" i="1"/>
  <c r="EL79" i="1"/>
  <c r="CH59" i="1"/>
  <c r="EM99" i="1"/>
  <c r="CG58" i="1"/>
  <c r="EP24" i="1"/>
  <c r="EL45" i="1"/>
  <c r="DD13" i="1"/>
  <c r="CH144" i="1"/>
  <c r="EM161" i="1"/>
  <c r="CE57" i="1"/>
  <c r="EP125" i="1"/>
  <c r="AV36" i="1"/>
  <c r="BD143" i="1"/>
  <c r="BB137" i="1"/>
  <c r="CD166" i="1"/>
  <c r="BB188" i="1"/>
  <c r="EM187" i="1"/>
  <c r="CE139" i="1"/>
  <c r="CD139" i="1"/>
  <c r="CH151" i="1"/>
  <c r="CG144" i="1"/>
  <c r="BC142" i="1"/>
  <c r="CD177" i="1"/>
  <c r="BB141" i="1"/>
  <c r="AW47" i="1"/>
  <c r="AT11" i="1"/>
  <c r="EM25" i="1"/>
  <c r="AV26" i="1"/>
  <c r="CG33" i="1"/>
  <c r="DC33" i="1"/>
  <c r="EM70" i="1"/>
  <c r="EL188" i="1"/>
  <c r="CG47" i="1"/>
  <c r="EL189" i="1"/>
  <c r="CD143" i="1"/>
  <c r="BA143" i="1"/>
  <c r="AT7" i="1"/>
  <c r="AW12" i="1"/>
  <c r="EL4" i="1"/>
  <c r="CH138" i="1"/>
  <c r="EO92" i="1"/>
  <c r="BB161" i="1"/>
  <c r="AV188" i="1"/>
  <c r="BF177" i="1"/>
  <c r="CI169" i="1"/>
  <c r="BD161" i="1"/>
  <c r="BE181" i="1"/>
  <c r="DF17" i="1"/>
  <c r="CG12" i="1"/>
  <c r="DA26" i="1"/>
  <c r="DE21" i="1"/>
  <c r="EM17" i="1"/>
  <c r="EN111" i="1"/>
  <c r="CE14" i="1"/>
  <c r="BD139" i="1"/>
  <c r="CD138" i="1"/>
  <c r="DF16" i="1"/>
  <c r="BF186" i="1"/>
  <c r="EM155" i="1"/>
  <c r="BD137" i="1"/>
  <c r="CD189" i="1"/>
  <c r="EM171" i="1"/>
  <c r="DD15" i="1"/>
  <c r="AT59" i="1"/>
  <c r="EL37" i="1"/>
  <c r="EN98" i="1"/>
  <c r="CH178" i="1"/>
  <c r="DE16" i="1"/>
  <c r="EL62" i="1"/>
  <c r="EL73" i="1"/>
  <c r="EM126" i="1"/>
  <c r="EL127" i="1"/>
  <c r="EO130" i="1"/>
  <c r="BE4" i="1"/>
  <c r="BE139" i="1"/>
  <c r="CI141" i="1"/>
  <c r="AS10" i="1"/>
  <c r="BF141" i="1"/>
  <c r="CG36" i="1"/>
  <c r="EL110" i="1"/>
  <c r="BA16" i="1"/>
  <c r="CE17" i="1"/>
  <c r="CG60" i="1"/>
  <c r="AT35" i="1"/>
  <c r="EM130" i="1"/>
  <c r="CH183" i="1"/>
  <c r="DA23" i="1"/>
  <c r="CI184" i="1"/>
  <c r="CH143" i="1"/>
  <c r="DB10" i="1"/>
  <c r="CF189" i="1"/>
  <c r="DF20" i="1"/>
  <c r="BD27" i="1"/>
  <c r="EP96" i="1"/>
  <c r="EL9" i="1"/>
  <c r="AS70" i="1"/>
  <c r="EQ92" i="1"/>
  <c r="CH76" i="1"/>
  <c r="AW74" i="1"/>
  <c r="AS78" i="1"/>
  <c r="BB139" i="1"/>
  <c r="BB186" i="1"/>
  <c r="BA160" i="1"/>
  <c r="BB187" i="1"/>
  <c r="BF160" i="1"/>
  <c r="BE58" i="1"/>
  <c r="CD141" i="1"/>
  <c r="BF146" i="1"/>
  <c r="EP19" i="1"/>
  <c r="DB26" i="1"/>
  <c r="BC147" i="1"/>
  <c r="BE146" i="1"/>
  <c r="BC187" i="1"/>
  <c r="CD188" i="1"/>
  <c r="CF139" i="1"/>
  <c r="AS25" i="1"/>
  <c r="DE5" i="1"/>
  <c r="EP106" i="1"/>
  <c r="CG145" i="1"/>
  <c r="BB14" i="1"/>
  <c r="EO120" i="1"/>
  <c r="EL91" i="1"/>
  <c r="EP88" i="1"/>
  <c r="BE178" i="1"/>
  <c r="EL187" i="1"/>
  <c r="CD57" i="1"/>
  <c r="BE17" i="1"/>
  <c r="EO23" i="1"/>
  <c r="EL130" i="1"/>
  <c r="BD71" i="1"/>
  <c r="CH157" i="1"/>
  <c r="DD9" i="1"/>
  <c r="EP12" i="1"/>
  <c r="AT79" i="1"/>
  <c r="DE37" i="1"/>
  <c r="AS12" i="1"/>
  <c r="DD23" i="1"/>
  <c r="DF31" i="1"/>
  <c r="DF33" i="1"/>
  <c r="CE21" i="1"/>
  <c r="BA61" i="1"/>
  <c r="CF187" i="1"/>
  <c r="BD47" i="1"/>
  <c r="EL74" i="1"/>
  <c r="BB16" i="1"/>
  <c r="AW58" i="1"/>
  <c r="BB165" i="1"/>
  <c r="CD11" i="1"/>
  <c r="AV15" i="1"/>
  <c r="BA147" i="1"/>
  <c r="AV24" i="1"/>
  <c r="AS24" i="1"/>
  <c r="CD16" i="1"/>
  <c r="EL176" i="1"/>
  <c r="EO111" i="1"/>
  <c r="BD75" i="1"/>
  <c r="CG25" i="1"/>
  <c r="EM153" i="1"/>
  <c r="AW21" i="1"/>
  <c r="BB4" i="1"/>
  <c r="BB26" i="1"/>
  <c r="DB18" i="1"/>
  <c r="DA32" i="1"/>
  <c r="CH171" i="1"/>
  <c r="BB79" i="1"/>
  <c r="EL31" i="1"/>
  <c r="EM123" i="1"/>
  <c r="DA35" i="1"/>
  <c r="AT16" i="1"/>
  <c r="DF18" i="1"/>
  <c r="AS37" i="1"/>
  <c r="EL147" i="1"/>
  <c r="EL95" i="1"/>
  <c r="EO112" i="1"/>
  <c r="CG32" i="1"/>
  <c r="CD75" i="1"/>
  <c r="DF34" i="1"/>
  <c r="BA47" i="1"/>
  <c r="CG186" i="1"/>
  <c r="CI186" i="1"/>
  <c r="AS8" i="1"/>
  <c r="EL34" i="1"/>
  <c r="CD15" i="1"/>
  <c r="EO24" i="1"/>
  <c r="AT48" i="1"/>
  <c r="CE20" i="1"/>
  <c r="DF15" i="1"/>
  <c r="AW14" i="1"/>
  <c r="CD173" i="1"/>
  <c r="DD30" i="1"/>
  <c r="AT29" i="1"/>
  <c r="EO85" i="1"/>
  <c r="EO98" i="1"/>
  <c r="CE16" i="1"/>
  <c r="BD70" i="1"/>
  <c r="EP21" i="1"/>
  <c r="CE60" i="1"/>
  <c r="CD169" i="1"/>
  <c r="DF38" i="1"/>
  <c r="CG22" i="1"/>
  <c r="DB20" i="1"/>
  <c r="EL7" i="1"/>
  <c r="BA37" i="1"/>
  <c r="CH58" i="1"/>
  <c r="EO87" i="1"/>
  <c r="CE47" i="1"/>
  <c r="CG20" i="1"/>
  <c r="EL59" i="1"/>
  <c r="EP97" i="1"/>
  <c r="DA25" i="1"/>
  <c r="CF149" i="1"/>
  <c r="EP117" i="1"/>
  <c r="BE19" i="1"/>
  <c r="CD30" i="1"/>
  <c r="BA178" i="1"/>
  <c r="CE33" i="1"/>
  <c r="BB145" i="1"/>
  <c r="BE184" i="1"/>
  <c r="CH14" i="1"/>
  <c r="EN100" i="1"/>
  <c r="CG11" i="1"/>
  <c r="AT60" i="1"/>
  <c r="AS35" i="1"/>
  <c r="DB30" i="1"/>
  <c r="CD6" i="1"/>
  <c r="CE22" i="1"/>
  <c r="AV20" i="1"/>
  <c r="EM10" i="1"/>
  <c r="AS23" i="1"/>
  <c r="BA179" i="1"/>
  <c r="EM20" i="1"/>
  <c r="AT13" i="1"/>
  <c r="AS38" i="1"/>
  <c r="EP22" i="1"/>
  <c r="CI185" i="1"/>
  <c r="DA7" i="1"/>
  <c r="AT47" i="1"/>
  <c r="EM63" i="1"/>
  <c r="AV7" i="1"/>
  <c r="CE35" i="1"/>
  <c r="AV10" i="1"/>
  <c r="DD22" i="1"/>
  <c r="AS71" i="1"/>
  <c r="AT9" i="1"/>
  <c r="EO5" i="1"/>
  <c r="AU138" i="1"/>
  <c r="EM27" i="1"/>
  <c r="EL77" i="1"/>
  <c r="EL129" i="1"/>
  <c r="CG79" i="1"/>
  <c r="CE38" i="1"/>
  <c r="EO4" i="1"/>
  <c r="AT14" i="1"/>
  <c r="AV21" i="1"/>
  <c r="DD8" i="1"/>
  <c r="BD33" i="1"/>
  <c r="EN115" i="1"/>
  <c r="EN88" i="1"/>
  <c r="AS11" i="1"/>
  <c r="BA34" i="1"/>
  <c r="BD28" i="1"/>
  <c r="DA24" i="1"/>
  <c r="AW57" i="1"/>
  <c r="AT73" i="1"/>
  <c r="DE17" i="1"/>
  <c r="AT30" i="1"/>
  <c r="BA138" i="1"/>
  <c r="CH15" i="1"/>
  <c r="CI159" i="1"/>
  <c r="AV25" i="1"/>
  <c r="BA6" i="1"/>
  <c r="AW8" i="1"/>
  <c r="DA21" i="1"/>
  <c r="CE142" i="1"/>
  <c r="EO38" i="1"/>
  <c r="BA78" i="1"/>
  <c r="CD174" i="1"/>
  <c r="CE167" i="1"/>
  <c r="BA14" i="1"/>
  <c r="EM5" i="1"/>
  <c r="BC146" i="1"/>
  <c r="EL32" i="1"/>
  <c r="DD26" i="1"/>
  <c r="BD73" i="1"/>
  <c r="BE186" i="1"/>
  <c r="CE175" i="1"/>
  <c r="DC24" i="1"/>
  <c r="EL146" i="1"/>
  <c r="EO100" i="1"/>
  <c r="AW63" i="1"/>
  <c r="BA35" i="1"/>
  <c r="DE26" i="1"/>
  <c r="DC7" i="1"/>
  <c r="BD57" i="1"/>
  <c r="CG8" i="1"/>
  <c r="CG75" i="1"/>
  <c r="EL174" i="1"/>
  <c r="CH141" i="1"/>
  <c r="AV16" i="1"/>
  <c r="BA144" i="1"/>
  <c r="BD30" i="1"/>
  <c r="BD59" i="1"/>
  <c r="DB29" i="1"/>
  <c r="CD146" i="1"/>
  <c r="EO6" i="1"/>
  <c r="AS74" i="1"/>
  <c r="BE24" i="1"/>
  <c r="CH21" i="1"/>
  <c r="AV28" i="1"/>
  <c r="DA31" i="1"/>
  <c r="EN105" i="1"/>
  <c r="BB25" i="1"/>
  <c r="CH185" i="1"/>
  <c r="BE23" i="1"/>
  <c r="BA45" i="1"/>
  <c r="BF155" i="1"/>
  <c r="EO118" i="1"/>
  <c r="BB27" i="1"/>
  <c r="CE170" i="1"/>
  <c r="EM48" i="1"/>
  <c r="EO122" i="1"/>
  <c r="EO105" i="1"/>
  <c r="DE28" i="1"/>
  <c r="DF7" i="1"/>
  <c r="DC26" i="1"/>
  <c r="AW62" i="1"/>
  <c r="AV6" i="1"/>
  <c r="DD37" i="1"/>
  <c r="CH75" i="1"/>
  <c r="BD60" i="1"/>
  <c r="DB25" i="1"/>
  <c r="AV38" i="1"/>
  <c r="BE142" i="1"/>
  <c r="BF181" i="1"/>
  <c r="EN87" i="1"/>
  <c r="BD78" i="1"/>
  <c r="EL186" i="1"/>
  <c r="CD179" i="1"/>
  <c r="BF142" i="1"/>
  <c r="CG19" i="1"/>
  <c r="CI188" i="1"/>
  <c r="EM170" i="1"/>
  <c r="BD186" i="1"/>
  <c r="EQ88" i="1"/>
  <c r="AS77" i="1"/>
  <c r="DA17" i="1"/>
  <c r="BB18" i="1"/>
  <c r="AV139" i="1"/>
  <c r="CD172" i="1"/>
  <c r="AT71" i="1"/>
  <c r="EM121" i="1"/>
  <c r="CE32" i="1"/>
  <c r="EO116" i="1"/>
  <c r="BA15" i="1"/>
  <c r="EP16" i="1"/>
  <c r="EL96" i="1"/>
  <c r="DC10" i="1"/>
  <c r="EM111" i="1"/>
  <c r="EL126" i="1"/>
  <c r="EM163" i="1"/>
  <c r="AW61" i="1"/>
  <c r="EP113" i="1"/>
  <c r="EO36" i="1"/>
  <c r="EL35" i="1"/>
  <c r="DF25" i="1"/>
  <c r="EP17" i="1"/>
  <c r="BE79" i="1"/>
  <c r="DB14" i="1"/>
  <c r="BF158" i="1"/>
  <c r="CE24" i="1"/>
  <c r="BB58" i="1"/>
  <c r="AT76" i="1"/>
  <c r="BD38" i="1"/>
  <c r="EL123" i="1"/>
  <c r="BA60" i="1"/>
  <c r="EL16" i="1"/>
  <c r="EL172" i="1"/>
  <c r="EM45" i="1"/>
  <c r="BB166" i="1"/>
  <c r="AS4" i="1"/>
  <c r="AV8" i="1"/>
  <c r="DE32" i="1"/>
  <c r="AV189" i="1"/>
  <c r="AV71" i="1"/>
  <c r="CE154" i="1"/>
  <c r="DC38" i="1"/>
  <c r="CE6" i="1"/>
  <c r="DC29" i="1"/>
  <c r="AS5" i="1"/>
  <c r="CI167" i="1"/>
  <c r="EN92" i="1"/>
  <c r="BA21" i="1"/>
  <c r="BA57" i="1"/>
  <c r="AT23" i="1"/>
  <c r="DC23" i="1"/>
  <c r="EM106" i="1"/>
  <c r="EP109" i="1"/>
  <c r="EL87" i="1"/>
  <c r="CG27" i="1"/>
  <c r="DB15" i="1"/>
  <c r="EL6" i="1"/>
  <c r="EM162" i="1"/>
  <c r="CI181" i="1"/>
  <c r="EM104" i="1"/>
  <c r="EM31" i="1"/>
  <c r="AS26" i="1"/>
  <c r="CH149" i="1"/>
  <c r="BA28" i="1"/>
  <c r="BB189" i="1"/>
  <c r="CE184" i="1"/>
  <c r="CE186" i="1"/>
  <c r="EL175" i="1"/>
  <c r="EL185" i="1"/>
  <c r="CG147" i="1"/>
  <c r="BD138" i="1"/>
  <c r="BB152" i="1"/>
  <c r="BA169" i="1"/>
  <c r="BA26" i="1"/>
  <c r="CG29" i="1"/>
  <c r="BB154" i="1"/>
  <c r="BD141" i="1"/>
  <c r="AV137" i="1"/>
  <c r="CH140" i="1"/>
  <c r="DF9" i="1"/>
  <c r="BF179" i="1"/>
  <c r="EP99" i="1"/>
  <c r="EL169" i="1"/>
  <c r="DC28" i="1"/>
  <c r="CD171" i="1"/>
  <c r="CH11" i="1"/>
  <c r="EL17" i="1"/>
  <c r="BC144" i="1"/>
  <c r="BF183" i="1"/>
  <c r="BB28" i="1"/>
  <c r="BF156" i="1"/>
  <c r="BA139" i="1"/>
  <c r="CF154" i="1"/>
  <c r="EQ91" i="1"/>
  <c r="CE76" i="1"/>
  <c r="BE187" i="1"/>
  <c r="EL63" i="1"/>
  <c r="CH145" i="1"/>
  <c r="DB22" i="1"/>
  <c r="DC13" i="1"/>
  <c r="CE174" i="1"/>
  <c r="EL92" i="1"/>
  <c r="EL61" i="1"/>
  <c r="AT57" i="1"/>
  <c r="DC25" i="1"/>
  <c r="DF23" i="1"/>
  <c r="DB8" i="1"/>
  <c r="CH172" i="1"/>
  <c r="EM165" i="1"/>
  <c r="BD48" i="1"/>
  <c r="BE144" i="1"/>
  <c r="BB20" i="1"/>
  <c r="AS59" i="1"/>
  <c r="BE7" i="1"/>
  <c r="BD46" i="1"/>
  <c r="DE22" i="1"/>
  <c r="EL13" i="1"/>
  <c r="CH177" i="1"/>
  <c r="CG46" i="1"/>
  <c r="DB35" i="1"/>
  <c r="AV23" i="1"/>
  <c r="EN99" i="1"/>
  <c r="DE31" i="1"/>
  <c r="CI178" i="1"/>
  <c r="EP92" i="1"/>
  <c r="EN107" i="1"/>
  <c r="CF140" i="1"/>
  <c r="AV37" i="1"/>
  <c r="AT61" i="1"/>
  <c r="BA19" i="1"/>
  <c r="CE8" i="1"/>
  <c r="EO25" i="1"/>
  <c r="BA48" i="1"/>
  <c r="BD74" i="1"/>
  <c r="AW15" i="1"/>
  <c r="CD9" i="1"/>
  <c r="BE72" i="1"/>
  <c r="BC137" i="1"/>
  <c r="AW73" i="1"/>
  <c r="CD35" i="1"/>
  <c r="BD35" i="1"/>
  <c r="BB61" i="1"/>
  <c r="AS47" i="1"/>
  <c r="BA9" i="1"/>
  <c r="BC150" i="1"/>
  <c r="CE29" i="1"/>
  <c r="EL46" i="1"/>
  <c r="AT27" i="1"/>
  <c r="AW59" i="1"/>
  <c r="BB169" i="1"/>
  <c r="EO107" i="1"/>
  <c r="EP122" i="1"/>
  <c r="BD79" i="1"/>
  <c r="AS61" i="1"/>
  <c r="BE22" i="1"/>
  <c r="EL75" i="1"/>
  <c r="BB73" i="1"/>
  <c r="AW76" i="1"/>
  <c r="BA5" i="1"/>
  <c r="BB12" i="1"/>
  <c r="EM28" i="1"/>
  <c r="CE19" i="1"/>
  <c r="CE36" i="1"/>
  <c r="CE79" i="1"/>
  <c r="EL102" i="1"/>
  <c r="BA13" i="1"/>
  <c r="BA174" i="1"/>
  <c r="AV32" i="1"/>
  <c r="BB46" i="1"/>
  <c r="BD72" i="1"/>
  <c r="EM78" i="1"/>
  <c r="DB28" i="1"/>
  <c r="DD35" i="1"/>
  <c r="CH6" i="1"/>
  <c r="AT15" i="1"/>
  <c r="DD32" i="1"/>
  <c r="EL120" i="1"/>
  <c r="CE59" i="1"/>
  <c r="CG45" i="1"/>
  <c r="CI147" i="1"/>
  <c r="CI189" i="1"/>
  <c r="EM58" i="1"/>
  <c r="AV76" i="1"/>
  <c r="EM97" i="1"/>
  <c r="EO123" i="1"/>
  <c r="CD5" i="1"/>
  <c r="CE75" i="1"/>
  <c r="EN101" i="1"/>
  <c r="AV62" i="1"/>
  <c r="CE153" i="1"/>
  <c r="DC30" i="1"/>
  <c r="AV45" i="1"/>
  <c r="AU188" i="1"/>
  <c r="DA18" i="1"/>
  <c r="CH78" i="1"/>
  <c r="BB35" i="1"/>
  <c r="EM22" i="1"/>
  <c r="CD7" i="1"/>
  <c r="BE46" i="1"/>
  <c r="BB76" i="1"/>
  <c r="DF11" i="1"/>
  <c r="CG30" i="1"/>
  <c r="EO16" i="1"/>
  <c r="EL12" i="1"/>
  <c r="EN97" i="1"/>
  <c r="BD5" i="1"/>
  <c r="EL100" i="1"/>
  <c r="EN103" i="1"/>
  <c r="AV31" i="1"/>
  <c r="CH73" i="1"/>
  <c r="DA30" i="1"/>
  <c r="EM37" i="1"/>
  <c r="DA16" i="1"/>
  <c r="CD186" i="1"/>
  <c r="DC27" i="1"/>
  <c r="AS18" i="1"/>
  <c r="EM76" i="1"/>
  <c r="EO126" i="1"/>
  <c r="EO91" i="1"/>
  <c r="BD15" i="1"/>
  <c r="AT58" i="1"/>
  <c r="BB11" i="1"/>
  <c r="EM57" i="1"/>
  <c r="EL22" i="1"/>
  <c r="CI153" i="1"/>
  <c r="BA10" i="1"/>
  <c r="EP123" i="1"/>
  <c r="EP105" i="1"/>
  <c r="EN102" i="1"/>
  <c r="CH19" i="1"/>
  <c r="CD167" i="1"/>
  <c r="EM189" i="1"/>
  <c r="BF180" i="1"/>
  <c r="BD62" i="1"/>
  <c r="CD178" i="1"/>
  <c r="BA141" i="1"/>
  <c r="CF185" i="1"/>
  <c r="DF22" i="1"/>
  <c r="DB32" i="1"/>
  <c r="CD60" i="1"/>
  <c r="AS21" i="1"/>
  <c r="EL21" i="1"/>
  <c r="CD48" i="1"/>
  <c r="BF159" i="1"/>
  <c r="CF186" i="1"/>
  <c r="BF140" i="1"/>
  <c r="BF178" i="1"/>
  <c r="EN90" i="1"/>
  <c r="EP102" i="1"/>
  <c r="BD144" i="1"/>
  <c r="AV12" i="1"/>
  <c r="EL48" i="1"/>
  <c r="BE73" i="1"/>
  <c r="EM47" i="1"/>
  <c r="EL19" i="1"/>
  <c r="DB38" i="1"/>
  <c r="EN86" i="1"/>
  <c r="EM116" i="1"/>
  <c r="BA75" i="1"/>
  <c r="BA187" i="1"/>
  <c r="EO102" i="1"/>
  <c r="EM119" i="1"/>
  <c r="EM19" i="1"/>
  <c r="EM61" i="1"/>
  <c r="DB7" i="1"/>
  <c r="CE30" i="1"/>
  <c r="EP93" i="1"/>
  <c r="CG31" i="1"/>
  <c r="CH173" i="1"/>
  <c r="BB167" i="1"/>
  <c r="DA5" i="1"/>
  <c r="EM110" i="1"/>
  <c r="CD73" i="1"/>
  <c r="EP91" i="1"/>
  <c r="BA183" i="1"/>
  <c r="DC20" i="1"/>
  <c r="DE24" i="1"/>
  <c r="EO121" i="1"/>
  <c r="EN112" i="1"/>
  <c r="BA23" i="1"/>
  <c r="BE143" i="1"/>
  <c r="EM125" i="1"/>
  <c r="BB176" i="1"/>
  <c r="EP100" i="1"/>
  <c r="BC157" i="1"/>
  <c r="DE20" i="1"/>
  <c r="AT10" i="1"/>
  <c r="EO34" i="1"/>
  <c r="DD36" i="1"/>
  <c r="BA18" i="1"/>
  <c r="BD63" i="1"/>
  <c r="AW24" i="1"/>
  <c r="AV79" i="1"/>
  <c r="EQ86" i="1"/>
  <c r="BD29" i="1"/>
  <c r="DB33" i="1"/>
  <c r="BE59" i="1"/>
  <c r="BB36" i="1"/>
  <c r="EL108" i="1"/>
  <c r="CD76" i="1"/>
  <c r="EO129" i="1"/>
  <c r="BD11" i="1"/>
  <c r="BA38" i="1"/>
  <c r="BE71" i="1"/>
  <c r="CE74" i="1"/>
  <c r="BD14" i="1"/>
  <c r="CH179" i="1"/>
  <c r="DE13" i="1"/>
  <c r="EO18" i="1"/>
  <c r="DF26" i="1"/>
  <c r="EL78" i="1"/>
  <c r="DC9" i="1"/>
  <c r="EO19" i="1"/>
  <c r="CI142" i="1"/>
  <c r="AS79" i="1"/>
  <c r="EO95" i="1"/>
  <c r="EP124" i="1"/>
  <c r="DA37" i="1"/>
  <c r="BB177" i="1"/>
  <c r="BA77" i="1"/>
  <c r="DB23" i="1"/>
  <c r="DF36" i="1"/>
  <c r="CH9" i="1"/>
  <c r="CE166" i="1"/>
  <c r="CI148" i="1"/>
  <c r="AT25" i="1"/>
  <c r="EP94" i="1"/>
  <c r="BC181" i="1"/>
  <c r="DD27" i="1"/>
  <c r="BE60" i="1"/>
  <c r="EP128" i="1"/>
  <c r="DF21" i="1"/>
  <c r="EM124" i="1"/>
  <c r="AT72" i="1"/>
  <c r="AV138" i="1"/>
  <c r="CI176" i="1"/>
  <c r="CG73" i="1"/>
  <c r="CG13" i="1"/>
  <c r="BF143" i="1"/>
  <c r="BF188" i="1"/>
  <c r="CD72" i="1"/>
  <c r="CD140" i="1"/>
  <c r="EO17" i="1"/>
  <c r="CE171" i="1"/>
  <c r="EP115" i="1"/>
  <c r="BD34" i="1"/>
  <c r="EL27" i="1"/>
  <c r="DF12" i="1"/>
  <c r="DC21" i="1"/>
  <c r="AV14" i="1"/>
  <c r="CD74" i="1"/>
  <c r="BA32" i="1"/>
  <c r="AS75" i="1"/>
  <c r="CG5" i="1"/>
  <c r="DC6" i="1"/>
  <c r="AS33" i="1"/>
  <c r="EP114" i="1"/>
  <c r="EL10" i="1"/>
  <c r="EM169" i="1"/>
  <c r="CG74" i="1"/>
  <c r="BB74" i="1"/>
  <c r="CD27" i="1"/>
  <c r="EL33" i="1"/>
  <c r="DD20" i="1"/>
  <c r="BB21" i="1"/>
  <c r="DF19" i="1"/>
  <c r="CG24" i="1"/>
  <c r="CE13" i="1"/>
  <c r="CH156" i="1"/>
  <c r="BC184" i="1"/>
  <c r="CE12" i="1"/>
  <c r="DF32" i="1"/>
  <c r="AV47" i="1"/>
  <c r="EM34" i="1"/>
  <c r="DC16" i="1"/>
  <c r="BD140" i="1"/>
  <c r="EM74" i="1"/>
  <c r="EO12" i="1"/>
  <c r="AV9" i="1"/>
  <c r="EM13" i="1"/>
  <c r="EL105" i="1"/>
  <c r="DE15" i="1"/>
  <c r="EM77" i="1"/>
  <c r="CH17" i="1"/>
  <c r="AW13" i="1"/>
  <c r="EN109" i="1"/>
  <c r="CD20" i="1"/>
  <c r="BE61" i="1"/>
  <c r="EP119" i="1"/>
  <c r="DD29" i="1"/>
  <c r="BB8" i="1"/>
  <c r="CE169" i="1"/>
  <c r="DF30" i="1"/>
  <c r="EO93" i="1"/>
  <c r="EL115" i="1"/>
  <c r="DB34" i="1"/>
  <c r="EP95" i="1"/>
  <c r="AS13" i="1"/>
  <c r="CI180" i="1"/>
  <c r="CD144" i="1"/>
  <c r="BE48" i="1"/>
  <c r="CG140" i="1"/>
  <c r="BB7" i="1"/>
  <c r="AW4" i="1"/>
  <c r="EL94" i="1"/>
  <c r="CI172" i="1"/>
  <c r="CI183" i="1"/>
  <c r="DB21" i="1"/>
  <c r="EM98" i="1"/>
  <c r="CH25" i="1"/>
  <c r="AV30" i="1"/>
  <c r="CD145" i="1"/>
  <c r="BA145" i="1"/>
  <c r="EL145" i="1"/>
  <c r="EN114" i="1"/>
  <c r="CK138" i="1" l="1"/>
  <c r="CM181" i="1"/>
  <c r="CM188" i="1"/>
  <c r="CM180" i="1"/>
  <c r="CM183" i="1"/>
  <c r="CM179" i="1"/>
  <c r="CM171" i="1"/>
  <c r="CM175" i="1"/>
  <c r="CM187" i="1"/>
  <c r="CM167" i="1"/>
  <c r="CM169" i="1"/>
  <c r="CM174" i="1"/>
  <c r="CM173" i="1"/>
  <c r="CM166" i="1"/>
  <c r="CM186" i="1"/>
  <c r="CM176" i="1"/>
  <c r="CM172" i="1"/>
  <c r="CM178" i="1"/>
  <c r="CM189" i="1"/>
  <c r="CM182" i="1"/>
  <c r="CM170" i="1"/>
  <c r="CM177" i="1"/>
  <c r="CM184" i="1"/>
  <c r="CO184" i="1"/>
  <c r="CO151" i="1"/>
  <c r="CO148" i="1"/>
  <c r="CO159" i="1"/>
  <c r="CO153" i="1"/>
  <c r="CO169" i="1"/>
  <c r="CO144" i="1"/>
  <c r="CO142" i="1"/>
  <c r="CM138" i="1"/>
  <c r="CO186" i="1"/>
  <c r="CO185" i="1"/>
  <c r="CO179" i="1"/>
  <c r="CO155" i="1"/>
  <c r="CO147" i="1"/>
  <c r="CO143" i="1"/>
  <c r="CM149" i="1"/>
  <c r="CO145" i="1"/>
  <c r="CO138" i="1"/>
  <c r="CO156" i="1"/>
  <c r="CM152" i="1"/>
  <c r="CO149" i="1"/>
  <c r="CO137" i="1"/>
  <c r="CM160" i="1"/>
  <c r="CO152" i="1"/>
  <c r="CO157" i="1"/>
  <c r="CO166" i="1"/>
  <c r="CO180" i="1"/>
  <c r="CO175" i="1"/>
  <c r="CO174" i="1"/>
  <c r="CO187" i="1"/>
  <c r="CO171" i="1"/>
  <c r="CO160" i="1"/>
  <c r="CM140" i="1"/>
  <c r="CO167" i="1"/>
  <c r="CO177" i="1"/>
  <c r="CO173" i="1"/>
  <c r="CO158" i="1"/>
  <c r="CM148" i="1"/>
  <c r="CM151" i="1"/>
  <c r="CM142" i="1"/>
  <c r="CO172" i="1"/>
  <c r="CM159" i="1"/>
  <c r="CO181" i="1"/>
  <c r="CO183" i="1"/>
  <c r="CO139" i="1"/>
  <c r="CO140" i="1"/>
  <c r="CO176" i="1"/>
  <c r="CO189" i="1"/>
  <c r="CO141" i="1"/>
  <c r="CO178" i="1"/>
  <c r="CO182" i="1"/>
  <c r="CM154" i="1"/>
  <c r="CO170" i="1"/>
  <c r="CM144" i="1"/>
  <c r="CM157" i="1"/>
  <c r="CM147" i="1"/>
  <c r="CM141" i="1"/>
  <c r="CO154" i="1"/>
  <c r="CM145" i="1"/>
  <c r="CM158" i="1"/>
  <c r="CO188" i="1"/>
  <c r="CM146" i="1"/>
  <c r="CO146" i="1"/>
  <c r="CM143" i="1"/>
  <c r="CM139" i="1"/>
  <c r="CM153" i="1"/>
  <c r="CM185" i="1"/>
  <c r="CO150" i="1"/>
  <c r="CM150" i="1"/>
  <c r="CM155" i="1"/>
  <c r="CM156" i="1"/>
  <c r="CK155" i="1"/>
  <c r="CK186" i="1"/>
  <c r="CK151" i="1"/>
  <c r="CK144" i="1"/>
  <c r="CK149" i="1"/>
  <c r="CK170" i="1"/>
  <c r="CK184" i="1"/>
  <c r="CK146" i="1"/>
  <c r="CK152" i="1"/>
  <c r="CK169" i="1"/>
  <c r="CK147" i="1"/>
  <c r="CK150" i="1"/>
  <c r="CK173" i="1"/>
  <c r="CK154" i="1"/>
  <c r="CK159" i="1"/>
  <c r="CK148" i="1"/>
  <c r="CK180" i="1"/>
  <c r="CK153" i="1"/>
  <c r="CK174" i="1"/>
  <c r="CK172" i="1"/>
  <c r="CK185" i="1"/>
  <c r="CK140" i="1"/>
  <c r="CM137" i="1"/>
  <c r="CK189" i="1"/>
  <c r="CK158" i="1"/>
  <c r="CK183" i="1"/>
  <c r="CK145" i="1"/>
  <c r="CK171" i="1"/>
  <c r="CK176" i="1"/>
  <c r="CK156" i="1"/>
  <c r="CK187" i="1"/>
  <c r="CK181" i="1"/>
  <c r="CK179" i="1"/>
  <c r="CK188" i="1"/>
  <c r="CK143" i="1"/>
  <c r="CK182" i="1"/>
  <c r="CK178" i="1"/>
  <c r="CK177" i="1"/>
  <c r="CK137" i="1"/>
  <c r="CK141" i="1"/>
  <c r="CK157" i="1"/>
  <c r="CK142" i="1"/>
  <c r="CK139" i="1"/>
  <c r="CK175" i="1"/>
  <c r="CK166" i="1"/>
  <c r="CK160" i="1"/>
  <c r="CK167" i="1"/>
  <c r="CK85" i="1"/>
  <c r="CO62" i="1"/>
  <c r="CO57" i="1"/>
  <c r="CO48" i="1"/>
  <c r="CO76" i="1"/>
  <c r="CO59" i="1"/>
  <c r="CO72" i="1"/>
  <c r="CO71" i="1"/>
  <c r="CO63" i="1"/>
  <c r="CO73" i="1"/>
  <c r="CO75" i="1"/>
  <c r="CO70" i="1"/>
  <c r="CO77" i="1"/>
  <c r="CO61" i="1"/>
  <c r="CO58" i="1"/>
  <c r="CO74" i="1"/>
  <c r="CO79" i="1"/>
  <c r="CO60" i="1"/>
  <c r="CO46" i="1"/>
  <c r="CO78" i="1"/>
  <c r="CO47" i="1"/>
  <c r="CO45" i="1"/>
  <c r="CM77" i="1"/>
  <c r="CM72" i="1"/>
  <c r="CM59" i="1"/>
  <c r="CM75" i="1"/>
  <c r="CM46" i="1"/>
  <c r="CM74" i="1"/>
  <c r="CM57" i="1"/>
  <c r="CM78" i="1"/>
  <c r="CM61" i="1"/>
  <c r="CM47" i="1"/>
  <c r="CM48" i="1"/>
  <c r="CM60" i="1"/>
  <c r="CM79" i="1"/>
  <c r="CM73" i="1"/>
  <c r="CM76" i="1"/>
  <c r="CM71" i="1"/>
  <c r="CM62" i="1"/>
  <c r="CM58" i="1"/>
  <c r="CM45" i="1"/>
  <c r="CK79" i="1"/>
  <c r="CK76" i="1"/>
  <c r="CK71" i="1"/>
  <c r="CK58" i="1"/>
  <c r="CK72" i="1"/>
  <c r="CK74" i="1"/>
  <c r="CK57" i="1"/>
  <c r="CK46" i="1"/>
  <c r="CK61" i="1"/>
  <c r="CK47" i="1"/>
  <c r="CK48" i="1"/>
  <c r="CK75" i="1"/>
  <c r="CK59" i="1"/>
  <c r="CK78" i="1"/>
  <c r="CK70" i="1"/>
  <c r="CK60" i="1"/>
  <c r="CK73" i="1"/>
  <c r="CK63" i="1"/>
  <c r="CK77" i="1"/>
  <c r="CK62" i="1"/>
  <c r="CK45" i="1"/>
  <c r="CO6" i="1"/>
  <c r="CO5" i="1"/>
  <c r="CO36" i="1"/>
  <c r="CO20" i="1"/>
  <c r="CO16" i="1"/>
  <c r="CO37" i="1"/>
  <c r="CO32" i="1"/>
  <c r="CO10" i="1"/>
  <c r="CO28" i="1"/>
  <c r="CO38" i="1"/>
  <c r="CO24" i="1"/>
  <c r="CO22" i="1"/>
  <c r="CO34" i="1"/>
  <c r="CO17" i="1"/>
  <c r="CO21" i="1"/>
  <c r="CO33" i="1"/>
  <c r="CO30" i="1"/>
  <c r="CO18" i="1"/>
  <c r="CO31" i="1"/>
  <c r="CO27" i="1"/>
  <c r="CO12" i="1"/>
  <c r="CO19" i="1"/>
  <c r="CO23" i="1"/>
  <c r="CO11" i="1"/>
  <c r="CO29" i="1"/>
  <c r="CO25" i="1"/>
  <c r="CO13" i="1"/>
  <c r="CO7" i="1"/>
  <c r="CO35" i="1"/>
  <c r="CO8" i="1"/>
  <c r="CO15" i="1"/>
  <c r="CO9" i="1"/>
  <c r="CO26" i="1"/>
  <c r="CO14" i="1"/>
  <c r="CO4" i="1"/>
  <c r="CM23" i="1"/>
  <c r="CM32" i="1"/>
  <c r="CM21" i="1"/>
  <c r="CM20" i="1"/>
  <c r="CM30" i="1"/>
  <c r="CM34" i="1"/>
  <c r="CM16" i="1"/>
  <c r="CM18" i="1"/>
  <c r="CM17" i="1"/>
  <c r="CM12" i="1"/>
  <c r="CM7" i="1"/>
  <c r="CM11" i="1"/>
  <c r="CM28" i="1"/>
  <c r="CM24" i="1"/>
  <c r="CM37" i="1"/>
  <c r="CM33" i="1"/>
  <c r="CM15" i="1"/>
  <c r="CM5" i="1"/>
  <c r="CM25" i="1"/>
  <c r="CM31" i="1"/>
  <c r="CM19" i="1"/>
  <c r="CM6" i="1"/>
  <c r="CM35" i="1"/>
  <c r="CM27" i="1"/>
  <c r="CM36" i="1"/>
  <c r="CM9" i="1"/>
  <c r="CM38" i="1"/>
  <c r="CM13" i="1"/>
  <c r="CM26" i="1"/>
  <c r="CM8" i="1"/>
  <c r="CM10" i="1"/>
  <c r="CM29" i="1"/>
  <c r="CM22" i="1"/>
  <c r="CM14" i="1"/>
  <c r="CM4" i="1"/>
  <c r="CK27" i="1"/>
  <c r="CK26" i="1"/>
  <c r="CK20" i="1"/>
  <c r="CK18" i="1"/>
  <c r="CK11" i="1"/>
  <c r="CK14" i="1"/>
  <c r="CK28" i="1"/>
  <c r="CK13" i="1"/>
  <c r="CK19" i="1"/>
  <c r="CK38" i="1"/>
  <c r="CK15" i="1"/>
  <c r="CK5" i="1"/>
  <c r="CK31" i="1"/>
  <c r="CK23" i="1"/>
  <c r="CK35" i="1"/>
  <c r="CK29" i="1"/>
  <c r="CK8" i="1"/>
  <c r="CK37" i="1"/>
  <c r="CK34" i="1"/>
  <c r="CK7" i="1"/>
  <c r="CK33" i="1"/>
  <c r="CK22" i="1"/>
  <c r="CK24" i="1"/>
  <c r="CK17" i="1"/>
  <c r="CK36" i="1"/>
  <c r="CK16" i="1"/>
  <c r="CK10" i="1"/>
  <c r="CK12" i="1"/>
  <c r="CK9" i="1"/>
  <c r="CK32" i="1"/>
  <c r="CK30" i="1"/>
  <c r="CK21" i="1"/>
  <c r="CK25" i="1"/>
  <c r="CK6" i="1"/>
  <c r="CK4" i="1"/>
  <c r="DK48" i="1"/>
  <c r="DK63" i="1"/>
  <c r="DJ77" i="1"/>
  <c r="DJ159" i="1"/>
  <c r="DJ73" i="1"/>
  <c r="DK166" i="1"/>
  <c r="DM166" i="1" s="1"/>
  <c r="DJ79" i="1"/>
  <c r="DJ60" i="1"/>
  <c r="DJ74" i="1"/>
  <c r="DK185" i="1"/>
  <c r="DK58" i="1"/>
  <c r="DK57" i="1"/>
  <c r="DJ63" i="1"/>
  <c r="EG103" i="1"/>
  <c r="DZ103" i="1" s="1"/>
  <c r="BL103" i="1" s="1"/>
  <c r="EE100" i="1"/>
  <c r="DX100" i="1" s="1"/>
  <c r="BJ100" i="1" s="1"/>
  <c r="EE110" i="1"/>
  <c r="DX110" i="1" s="1"/>
  <c r="BJ110" i="1" s="1"/>
  <c r="EE61" i="1"/>
  <c r="DX61" i="1" s="1"/>
  <c r="BJ61" i="1" s="1"/>
  <c r="EH106" i="1"/>
  <c r="EA106" i="1" s="1"/>
  <c r="BM106" i="1" s="1"/>
  <c r="EE97" i="1"/>
  <c r="DX97" i="1" s="1"/>
  <c r="BJ97" i="1" s="1"/>
  <c r="EG112" i="1"/>
  <c r="DZ112" i="1" s="1"/>
  <c r="BL112" i="1" s="1"/>
  <c r="AT84" i="1"/>
  <c r="EH95" i="1"/>
  <c r="EA95" i="1" s="1"/>
  <c r="BM95" i="1" s="1"/>
  <c r="DK33" i="1"/>
  <c r="DO33" i="1"/>
  <c r="DI33" i="1"/>
  <c r="EE59" i="1"/>
  <c r="DX59" i="1" s="1"/>
  <c r="BJ59" i="1" s="1"/>
  <c r="EG98" i="1"/>
  <c r="DZ98" i="1" s="1"/>
  <c r="BL98" i="1" s="1"/>
  <c r="EE113" i="1"/>
  <c r="DX113" i="1" s="1"/>
  <c r="BJ113" i="1" s="1"/>
  <c r="CU8" i="1"/>
  <c r="EF87" i="1"/>
  <c r="DY87" i="1" s="1"/>
  <c r="BK87" i="1" s="1"/>
  <c r="CS158" i="1"/>
  <c r="BZ158" i="1"/>
  <c r="DN34" i="1"/>
  <c r="DJ34" i="1"/>
  <c r="DH34" i="1"/>
  <c r="EJ114" i="1"/>
  <c r="EC114" i="1" s="1"/>
  <c r="BO114" i="1" s="1"/>
  <c r="BZ62" i="1"/>
  <c r="CS62" i="1"/>
  <c r="DO76" i="1"/>
  <c r="DU76" i="1"/>
  <c r="DK76" i="1"/>
  <c r="DI76" i="1"/>
  <c r="DU34" i="1"/>
  <c r="C32" i="1"/>
  <c r="EF4" i="1"/>
  <c r="DY4" i="1" s="1"/>
  <c r="BK4" i="1" s="1"/>
  <c r="EM3" i="1"/>
  <c r="CU62" i="1"/>
  <c r="CB62" i="1"/>
  <c r="C72" i="1"/>
  <c r="BS72" i="1"/>
  <c r="EH98" i="1"/>
  <c r="EA98" i="1" s="1"/>
  <c r="BM98" i="1" s="1"/>
  <c r="EG28" i="1"/>
  <c r="DZ28" i="1" s="1"/>
  <c r="BL28" i="1" s="1"/>
  <c r="B58" i="1"/>
  <c r="AY58" i="1"/>
  <c r="EJ102" i="1"/>
  <c r="EC102" i="1" s="1"/>
  <c r="BO102" i="1" s="1"/>
  <c r="EE187" i="1"/>
  <c r="DX187" i="1" s="1"/>
  <c r="BJ187" i="1" s="1"/>
  <c r="CU25" i="1"/>
  <c r="EE26" i="1"/>
  <c r="DX26" i="1" s="1"/>
  <c r="BJ26" i="1" s="1"/>
  <c r="AY13" i="1"/>
  <c r="B13" i="1"/>
  <c r="B34" i="1"/>
  <c r="AY34" i="1"/>
  <c r="EG122" i="1"/>
  <c r="DZ122" i="1" s="1"/>
  <c r="BL122" i="1" s="1"/>
  <c r="BS57" i="1"/>
  <c r="BT57" i="1" s="1"/>
  <c r="C57" i="1"/>
  <c r="EI104" i="1"/>
  <c r="EB104" i="1" s="1"/>
  <c r="BN104" i="1" s="1"/>
  <c r="EJ128" i="1"/>
  <c r="EC128" i="1" s="1"/>
  <c r="BO128" i="1" s="1"/>
  <c r="D31" i="1"/>
  <c r="EG27" i="1"/>
  <c r="DZ27" i="1" s="1"/>
  <c r="BL27" i="1" s="1"/>
  <c r="CU24" i="1"/>
  <c r="DI58" i="1"/>
  <c r="DU58" i="1"/>
  <c r="DO58" i="1"/>
  <c r="EJ112" i="1"/>
  <c r="EC112" i="1" s="1"/>
  <c r="BO112" i="1" s="1"/>
  <c r="D24" i="1"/>
  <c r="EF106" i="1"/>
  <c r="DY106" i="1" s="1"/>
  <c r="BK106" i="1" s="1"/>
  <c r="DJ38" i="1"/>
  <c r="DN38" i="1"/>
  <c r="DH38" i="1"/>
  <c r="EF116" i="1"/>
  <c r="DY116" i="1" s="1"/>
  <c r="BK116" i="1" s="1"/>
  <c r="D37" i="1"/>
  <c r="EJ85" i="1"/>
  <c r="EC85" i="1" s="1"/>
  <c r="BO85" i="1" s="1"/>
  <c r="EQ84" i="1"/>
  <c r="DO28" i="1"/>
  <c r="DK28" i="1"/>
  <c r="DI28" i="1"/>
  <c r="C13" i="1"/>
  <c r="EI129" i="1"/>
  <c r="EB129" i="1" s="1"/>
  <c r="BN129" i="1" s="1"/>
  <c r="EF70" i="1"/>
  <c r="DY70" i="1" s="1"/>
  <c r="BK70" i="1" s="1"/>
  <c r="EF37" i="1"/>
  <c r="DY37" i="1" s="1"/>
  <c r="BK37" i="1" s="1"/>
  <c r="EE70" i="1"/>
  <c r="DX70" i="1" s="1"/>
  <c r="BJ70" i="1" s="1"/>
  <c r="BZ48" i="1"/>
  <c r="CA49" i="1" s="1"/>
  <c r="CS48" i="1"/>
  <c r="EE38" i="1"/>
  <c r="DX38" i="1" s="1"/>
  <c r="BJ38" i="1" s="1"/>
  <c r="C25" i="1"/>
  <c r="EE128" i="1"/>
  <c r="DX128" i="1" s="1"/>
  <c r="BJ128" i="1" s="1"/>
  <c r="EI126" i="1"/>
  <c r="EB126" i="1" s="1"/>
  <c r="BN126" i="1" s="1"/>
  <c r="EJ111" i="1"/>
  <c r="EC111" i="1" s="1"/>
  <c r="BO111" i="1" s="1"/>
  <c r="EF47" i="1"/>
  <c r="DY47" i="1" s="1"/>
  <c r="BK47" i="1" s="1"/>
  <c r="EH116" i="1"/>
  <c r="EA116" i="1" s="1"/>
  <c r="BM116" i="1" s="1"/>
  <c r="DU35" i="1"/>
  <c r="DT15" i="1"/>
  <c r="CQ15" i="1"/>
  <c r="BH15" i="1"/>
  <c r="EI9" i="1"/>
  <c r="EB9" i="1" s="1"/>
  <c r="BN9" i="1" s="1"/>
  <c r="DI70" i="1"/>
  <c r="DU70" i="1"/>
  <c r="DK70" i="1"/>
  <c r="DO70" i="1"/>
  <c r="CU22" i="1"/>
  <c r="EI15" i="1"/>
  <c r="EB15" i="1" s="1"/>
  <c r="BN15" i="1" s="1"/>
  <c r="D38" i="1"/>
  <c r="CB46" i="1"/>
  <c r="CU46" i="1"/>
  <c r="EF14" i="1"/>
  <c r="DY14" i="1" s="1"/>
  <c r="BK14" i="1" s="1"/>
  <c r="CB153" i="1"/>
  <c r="CC153" i="1" s="1"/>
  <c r="CU153" i="1"/>
  <c r="DI175" i="1"/>
  <c r="DU175" i="1"/>
  <c r="DO175" i="1"/>
  <c r="DK175" i="1"/>
  <c r="EF175" i="1"/>
  <c r="DY175" i="1" s="1"/>
  <c r="BK175" i="1" s="1"/>
  <c r="DI183" i="1"/>
  <c r="DK183" i="1"/>
  <c r="DO183" i="1"/>
  <c r="DU183" i="1"/>
  <c r="DU165" i="1"/>
  <c r="BH165" i="1"/>
  <c r="DK165" i="1"/>
  <c r="DS165" i="1" s="1"/>
  <c r="DO165" i="1"/>
  <c r="CQ165" i="1"/>
  <c r="DI165" i="1"/>
  <c r="DP165" i="1" s="1"/>
  <c r="EJ14" i="1"/>
  <c r="EC14" i="1" s="1"/>
  <c r="BO14" i="1" s="1"/>
  <c r="EE148" i="1"/>
  <c r="DX148" i="1" s="1"/>
  <c r="BJ148" i="1" s="1"/>
  <c r="EJ29" i="1"/>
  <c r="EC29" i="1" s="1"/>
  <c r="BO29" i="1" s="1"/>
  <c r="EF189" i="1"/>
  <c r="DY189" i="1" s="1"/>
  <c r="BK189" i="1" s="1"/>
  <c r="BC3" i="1"/>
  <c r="CS4" i="1"/>
  <c r="AX3" i="1"/>
  <c r="C138" i="1"/>
  <c r="E138" i="1" s="1"/>
  <c r="BS138" i="1"/>
  <c r="CW138" i="1" s="1"/>
  <c r="AY138" i="1"/>
  <c r="EF122" i="1"/>
  <c r="DY122" i="1" s="1"/>
  <c r="BK122" i="1" s="1"/>
  <c r="EE153" i="1"/>
  <c r="DX153" i="1" s="1"/>
  <c r="BJ153" i="1" s="1"/>
  <c r="DO176" i="1"/>
  <c r="DK176" i="1"/>
  <c r="DU176" i="1"/>
  <c r="DI176" i="1"/>
  <c r="DN185" i="1"/>
  <c r="DV185" i="1" s="1"/>
  <c r="CQ185" i="1"/>
  <c r="DH185" i="1"/>
  <c r="DJ185" i="1"/>
  <c r="BH185" i="1"/>
  <c r="DT185" i="1"/>
  <c r="EF88" i="1"/>
  <c r="DY88" i="1" s="1"/>
  <c r="BK88" i="1" s="1"/>
  <c r="BS137" i="1"/>
  <c r="CW137" i="1" s="1"/>
  <c r="AY137" i="1"/>
  <c r="C137" i="1"/>
  <c r="E137" i="1" s="1"/>
  <c r="AU136" i="1"/>
  <c r="DH15" i="1"/>
  <c r="DJ15" i="1"/>
  <c r="DN15" i="1"/>
  <c r="DJ33" i="1"/>
  <c r="DN33" i="1"/>
  <c r="DH33" i="1"/>
  <c r="EE122" i="1"/>
  <c r="DX122" i="1" s="1"/>
  <c r="BJ122" i="1" s="1"/>
  <c r="EG109" i="1"/>
  <c r="DZ109" i="1" s="1"/>
  <c r="BL109" i="1" s="1"/>
  <c r="CS156" i="1"/>
  <c r="BZ156" i="1"/>
  <c r="CS26" i="1"/>
  <c r="CU26" i="1"/>
  <c r="EE106" i="1"/>
  <c r="DX106" i="1" s="1"/>
  <c r="BJ106" i="1" s="1"/>
  <c r="EG107" i="1"/>
  <c r="DZ107" i="1" s="1"/>
  <c r="BL107" i="1" s="1"/>
  <c r="EF89" i="1"/>
  <c r="DY89" i="1" s="1"/>
  <c r="BK89" i="1" s="1"/>
  <c r="EF119" i="1"/>
  <c r="DY119" i="1" s="1"/>
  <c r="BK119" i="1" s="1"/>
  <c r="EE47" i="1"/>
  <c r="DX47" i="1" s="1"/>
  <c r="BJ47" i="1" s="1"/>
  <c r="CS25" i="1"/>
  <c r="EE109" i="1"/>
  <c r="DX109" i="1" s="1"/>
  <c r="BJ109" i="1" s="1"/>
  <c r="EJ103" i="1"/>
  <c r="EC103" i="1" s="1"/>
  <c r="BO103" i="1" s="1"/>
  <c r="CS61" i="1"/>
  <c r="BZ61" i="1"/>
  <c r="DN77" i="1"/>
  <c r="BH77" i="1"/>
  <c r="DT77" i="1"/>
  <c r="DH77" i="1"/>
  <c r="CQ77" i="1"/>
  <c r="CE44" i="1"/>
  <c r="CD44" i="1"/>
  <c r="EJ115" i="1"/>
  <c r="EC115" i="1" s="1"/>
  <c r="BO115" i="1" s="1"/>
  <c r="EG35" i="1"/>
  <c r="DZ35" i="1" s="1"/>
  <c r="BL35" i="1" s="1"/>
  <c r="BH10" i="1"/>
  <c r="DT10" i="1"/>
  <c r="CQ10" i="1"/>
  <c r="EF174" i="1"/>
  <c r="DY174" i="1" s="1"/>
  <c r="BK174" i="1" s="1"/>
  <c r="EE116" i="1"/>
  <c r="DX116" i="1" s="1"/>
  <c r="BJ116" i="1" s="1"/>
  <c r="EE22" i="1"/>
  <c r="DX22" i="1" s="1"/>
  <c r="BJ22" i="1" s="1"/>
  <c r="EF109" i="1"/>
  <c r="DY109" i="1" s="1"/>
  <c r="EH111" i="1"/>
  <c r="EA111" i="1" s="1"/>
  <c r="BM111" i="1" s="1"/>
  <c r="D15" i="1"/>
  <c r="CS8" i="1"/>
  <c r="EJ101" i="1"/>
  <c r="EC101" i="1" s="1"/>
  <c r="BO101" i="1" s="1"/>
  <c r="D72" i="1"/>
  <c r="BU72" i="1"/>
  <c r="CF44" i="1"/>
  <c r="C8" i="1"/>
  <c r="B31" i="1"/>
  <c r="AY31" i="1"/>
  <c r="EF34" i="1"/>
  <c r="DY34" i="1" s="1"/>
  <c r="BK34" i="1" s="1"/>
  <c r="AY11" i="1"/>
  <c r="B11" i="1"/>
  <c r="CQ73" i="1"/>
  <c r="BH73" i="1"/>
  <c r="DH73" i="1"/>
  <c r="DN73" i="1"/>
  <c r="DT73" i="1"/>
  <c r="CS14" i="1"/>
  <c r="EE33" i="1"/>
  <c r="DX33" i="1" s="1"/>
  <c r="BJ33" i="1" s="1"/>
  <c r="EG12" i="1"/>
  <c r="DZ12" i="1" s="1"/>
  <c r="BL12" i="1" s="1"/>
  <c r="DJ31" i="1"/>
  <c r="DH31" i="1"/>
  <c r="DN31" i="1"/>
  <c r="EF6" i="1"/>
  <c r="DY6" i="1" s="1"/>
  <c r="BK6" i="1" s="1"/>
  <c r="BZ77" i="1"/>
  <c r="CS77" i="1"/>
  <c r="EG30" i="1"/>
  <c r="DZ30" i="1" s="1"/>
  <c r="BL30" i="1" s="1"/>
  <c r="EI37" i="1"/>
  <c r="EB37" i="1" s="1"/>
  <c r="BN37" i="1" s="1"/>
  <c r="CU34" i="1"/>
  <c r="EJ123" i="1"/>
  <c r="EC123" i="1" s="1"/>
  <c r="BO123" i="1" s="1"/>
  <c r="CS36" i="1"/>
  <c r="EH36" i="1"/>
  <c r="EA36" i="1" s="1"/>
  <c r="BM36" i="1" s="1"/>
  <c r="EJ98" i="1"/>
  <c r="EC98" i="1" s="1"/>
  <c r="BO98" i="1" s="1"/>
  <c r="C26" i="1"/>
  <c r="EJ100" i="1"/>
  <c r="EC100" i="1" s="1"/>
  <c r="BO100" i="1" s="1"/>
  <c r="EF101" i="1"/>
  <c r="DY101" i="1" s="1"/>
  <c r="BK101" i="1" s="1"/>
  <c r="EI32" i="1"/>
  <c r="EB32" i="1" s="1"/>
  <c r="BN32" i="1" s="1"/>
  <c r="EH93" i="1"/>
  <c r="EA93" i="1" s="1"/>
  <c r="BM93" i="1" s="1"/>
  <c r="C36" i="1"/>
  <c r="BS48" i="1"/>
  <c r="BT49" i="1" s="1"/>
  <c r="C48" i="1"/>
  <c r="CS30" i="1"/>
  <c r="EF5" i="1"/>
  <c r="DY5" i="1" s="1"/>
  <c r="BK5" i="1" s="1"/>
  <c r="CS45" i="1"/>
  <c r="BC44" i="1"/>
  <c r="BZ45" i="1"/>
  <c r="EF18" i="1"/>
  <c r="DY18" i="1" s="1"/>
  <c r="BK18" i="1" s="1"/>
  <c r="CU142" i="1"/>
  <c r="CB142" i="1"/>
  <c r="EF16" i="1"/>
  <c r="DY16" i="1" s="1"/>
  <c r="BK16" i="1" s="1"/>
  <c r="CS160" i="1"/>
  <c r="BZ160" i="1"/>
  <c r="CU74" i="1"/>
  <c r="CB74" i="1"/>
  <c r="CU138" i="1"/>
  <c r="BE136" i="1"/>
  <c r="CB138" i="1"/>
  <c r="DU172" i="1"/>
  <c r="DI172" i="1"/>
  <c r="DO172" i="1"/>
  <c r="DK172" i="1"/>
  <c r="DO15" i="1"/>
  <c r="DK15" i="1"/>
  <c r="DI15" i="1"/>
  <c r="EE156" i="1"/>
  <c r="DX156" i="1" s="1"/>
  <c r="BJ156" i="1" s="1"/>
  <c r="EH17" i="1"/>
  <c r="EA17" i="1" s="1"/>
  <c r="BM17" i="1" s="1"/>
  <c r="EE170" i="1"/>
  <c r="DX170" i="1" s="1"/>
  <c r="BJ170" i="1" s="1"/>
  <c r="BZ142" i="1"/>
  <c r="CS142" i="1"/>
  <c r="DO18" i="1"/>
  <c r="DK18" i="1"/>
  <c r="DI18" i="1"/>
  <c r="EF165" i="1"/>
  <c r="DY165" i="1" s="1"/>
  <c r="BK165" i="1" s="1"/>
  <c r="BQ165" i="1" s="1"/>
  <c r="CW165" i="1" s="1"/>
  <c r="EH21" i="1"/>
  <c r="EA21" i="1" s="1"/>
  <c r="BM21" i="1" s="1"/>
  <c r="EI90" i="1"/>
  <c r="EB90" i="1" s="1"/>
  <c r="BN90" i="1" s="1"/>
  <c r="EE96" i="1"/>
  <c r="DX96" i="1" s="1"/>
  <c r="BJ96" i="1" s="1"/>
  <c r="EG100" i="1"/>
  <c r="DZ100" i="1" s="1"/>
  <c r="BL100" i="1" s="1"/>
  <c r="DI72" i="1"/>
  <c r="DU72" i="1"/>
  <c r="DK72" i="1"/>
  <c r="DO72" i="1"/>
  <c r="CS18" i="1"/>
  <c r="CS10" i="1"/>
  <c r="EI87" i="1"/>
  <c r="EB87" i="1" s="1"/>
  <c r="BN87" i="1" s="1"/>
  <c r="EG110" i="1"/>
  <c r="DZ110" i="1" s="1"/>
  <c r="BL110" i="1" s="1"/>
  <c r="DU21" i="1"/>
  <c r="CQ8" i="1"/>
  <c r="DT8" i="1"/>
  <c r="BH8" i="1"/>
  <c r="BZ71" i="1"/>
  <c r="CS71" i="1"/>
  <c r="EG115" i="1"/>
  <c r="DZ115" i="1" s="1"/>
  <c r="BL115" i="1" s="1"/>
  <c r="EH87" i="1"/>
  <c r="EA87" i="1" s="1"/>
  <c r="BM87" i="1" s="1"/>
  <c r="EH99" i="1"/>
  <c r="EA99" i="1" s="1"/>
  <c r="BM99" i="1" s="1"/>
  <c r="DH12" i="1"/>
  <c r="DN12" i="1"/>
  <c r="DJ12" i="1"/>
  <c r="EI94" i="1"/>
  <c r="EB94" i="1" s="1"/>
  <c r="BN94" i="1" s="1"/>
  <c r="EE104" i="1"/>
  <c r="DX104" i="1" s="1"/>
  <c r="BJ104" i="1" s="1"/>
  <c r="EJ118" i="1"/>
  <c r="EC118" i="1" s="1"/>
  <c r="BO118" i="1" s="1"/>
  <c r="EI117" i="1"/>
  <c r="EB117" i="1" s="1"/>
  <c r="BN117" i="1" s="1"/>
  <c r="EE119" i="1"/>
  <c r="DX119" i="1" s="1"/>
  <c r="BJ119" i="1" s="1"/>
  <c r="DU22" i="1"/>
  <c r="CS33" i="1"/>
  <c r="EF71" i="1"/>
  <c r="DY71" i="1" s="1"/>
  <c r="BK71" i="1" s="1"/>
  <c r="EF98" i="1"/>
  <c r="DY98" i="1" s="1"/>
  <c r="BK98" i="1" s="1"/>
  <c r="EM44" i="1"/>
  <c r="EF45" i="1"/>
  <c r="DY45" i="1" s="1"/>
  <c r="BK45" i="1" s="1"/>
  <c r="EG9" i="1"/>
  <c r="DZ9" i="1" s="1"/>
  <c r="BL9" i="1" s="1"/>
  <c r="DU27" i="1"/>
  <c r="DJ25" i="1"/>
  <c r="DN25" i="1"/>
  <c r="DH25" i="1"/>
  <c r="EE27" i="1"/>
  <c r="DX27" i="1" s="1"/>
  <c r="BJ27" i="1" s="1"/>
  <c r="EH115" i="1"/>
  <c r="EA115" i="1" s="1"/>
  <c r="BM115" i="1" s="1"/>
  <c r="EE29" i="1"/>
  <c r="DX29" i="1" s="1"/>
  <c r="BJ29" i="1" s="1"/>
  <c r="D18" i="1"/>
  <c r="DI30" i="1"/>
  <c r="DO30" i="1"/>
  <c r="DK30" i="1"/>
  <c r="EE20" i="1"/>
  <c r="DX20" i="1" s="1"/>
  <c r="BJ20" i="1" s="1"/>
  <c r="EF27" i="1"/>
  <c r="DY27" i="1" s="1"/>
  <c r="BK27" i="1" s="1"/>
  <c r="EE35" i="1"/>
  <c r="DX35" i="1" s="1"/>
  <c r="BJ35" i="1" s="1"/>
  <c r="BZ78" i="1"/>
  <c r="CS78" i="1"/>
  <c r="D13" i="1"/>
  <c r="C20" i="1"/>
  <c r="C71" i="1"/>
  <c r="BS71" i="1"/>
  <c r="BT71" i="1" s="1"/>
  <c r="C45" i="1"/>
  <c r="AU44" i="1"/>
  <c r="BS45" i="1"/>
  <c r="CS5" i="1"/>
  <c r="EE6" i="1"/>
  <c r="DX6" i="1" s="1"/>
  <c r="BJ6" i="1" s="1"/>
  <c r="C10" i="1"/>
  <c r="EE127" i="1"/>
  <c r="DX127" i="1" s="1"/>
  <c r="BJ127" i="1" s="1"/>
  <c r="B38" i="1"/>
  <c r="AY38" i="1"/>
  <c r="CS20" i="1"/>
  <c r="EF102" i="1"/>
  <c r="DY102" i="1" s="1"/>
  <c r="BK102" i="1" s="1"/>
  <c r="EG130" i="1"/>
  <c r="DZ130" i="1" s="1"/>
  <c r="BL130" i="1" s="1"/>
  <c r="EE9" i="1"/>
  <c r="DX9" i="1" s="1"/>
  <c r="BJ9" i="1" s="1"/>
  <c r="EF57" i="1"/>
  <c r="DY57" i="1" s="1"/>
  <c r="BK57" i="1" s="1"/>
  <c r="EI106" i="1"/>
  <c r="EB106" i="1" s="1"/>
  <c r="BN106" i="1" s="1"/>
  <c r="CS21" i="1"/>
  <c r="AY46" i="1"/>
  <c r="B46" i="1"/>
  <c r="CS47" i="1"/>
  <c r="BZ47" i="1"/>
  <c r="EG5" i="1"/>
  <c r="DZ5" i="1" s="1"/>
  <c r="BL5" i="1" s="1"/>
  <c r="EF169" i="1"/>
  <c r="DY169" i="1" s="1"/>
  <c r="BK169" i="1" s="1"/>
  <c r="DK181" i="1"/>
  <c r="DU181" i="1"/>
  <c r="DO181" i="1"/>
  <c r="DI181" i="1"/>
  <c r="DU16" i="1"/>
  <c r="EJ25" i="1"/>
  <c r="EC25" i="1" s="1"/>
  <c r="BO25" i="1" s="1"/>
  <c r="EF163" i="1"/>
  <c r="DY163" i="1" s="1"/>
  <c r="BK163" i="1" s="1"/>
  <c r="BX163" i="1" s="1"/>
  <c r="CY163" i="1" s="1"/>
  <c r="EH18" i="1"/>
  <c r="EA18" i="1" s="1"/>
  <c r="BM18" i="1" s="1"/>
  <c r="EJ18" i="1"/>
  <c r="EC18" i="1" s="1"/>
  <c r="BO18" i="1" s="1"/>
  <c r="CI136" i="1"/>
  <c r="EF123" i="1"/>
  <c r="DY123" i="1" s="1"/>
  <c r="BK123" i="1" s="1"/>
  <c r="EJ13" i="1"/>
  <c r="EC13" i="1" s="1"/>
  <c r="BO13" i="1" s="1"/>
  <c r="DK13" i="1"/>
  <c r="DO13" i="1"/>
  <c r="DI13" i="1"/>
  <c r="CU180" i="1"/>
  <c r="CB180" i="1"/>
  <c r="DO8" i="1"/>
  <c r="DK8" i="1"/>
  <c r="DI8" i="1"/>
  <c r="CQ173" i="1"/>
  <c r="DT173" i="1"/>
  <c r="BH173" i="1"/>
  <c r="DN173" i="1"/>
  <c r="DV173" i="1" s="1"/>
  <c r="DH173" i="1"/>
  <c r="DJ173" i="1"/>
  <c r="BH143" i="1"/>
  <c r="CQ143" i="1"/>
  <c r="DT143" i="1"/>
  <c r="DN143" i="1"/>
  <c r="BX143" i="1"/>
  <c r="DJ143" i="1"/>
  <c r="DH143" i="1"/>
  <c r="D79" i="1"/>
  <c r="BU79" i="1"/>
  <c r="CS153" i="1"/>
  <c r="BZ153" i="1"/>
  <c r="EE102" i="1"/>
  <c r="DX102" i="1" s="1"/>
  <c r="BJ102" i="1" s="1"/>
  <c r="EE111" i="1"/>
  <c r="DX111" i="1" s="1"/>
  <c r="BJ111" i="1" s="1"/>
  <c r="CS22" i="1"/>
  <c r="EE112" i="1"/>
  <c r="DX112" i="1" s="1"/>
  <c r="BJ112" i="1" s="1"/>
  <c r="CU9" i="1"/>
  <c r="DO48" i="1"/>
  <c r="DI48" i="1"/>
  <c r="DU48" i="1"/>
  <c r="EI128" i="1"/>
  <c r="EB128" i="1" s="1"/>
  <c r="BN128" i="1" s="1"/>
  <c r="EH90" i="1"/>
  <c r="EA90" i="1" s="1"/>
  <c r="BM90" i="1" s="1"/>
  <c r="EG116" i="1"/>
  <c r="DZ116" i="1" s="1"/>
  <c r="BL116" i="1" s="1"/>
  <c r="DI6" i="1"/>
  <c r="DO6" i="1"/>
  <c r="DK6" i="1"/>
  <c r="DU6" i="1"/>
  <c r="EG95" i="1"/>
  <c r="DZ95" i="1" s="1"/>
  <c r="BL95" i="1" s="1"/>
  <c r="BZ159" i="1"/>
  <c r="CS159" i="1"/>
  <c r="BZ46" i="1"/>
  <c r="CS46" i="1"/>
  <c r="DH22" i="1"/>
  <c r="DN22" i="1"/>
  <c r="DJ22" i="1"/>
  <c r="EF79" i="1"/>
  <c r="DY79" i="1" s="1"/>
  <c r="BK79" i="1" s="1"/>
  <c r="C37" i="1"/>
  <c r="CS24" i="1"/>
  <c r="D10" i="1"/>
  <c r="EJ113" i="1"/>
  <c r="EC113" i="1" s="1"/>
  <c r="BO113" i="1" s="1"/>
  <c r="EF33" i="1"/>
  <c r="DY33" i="1" s="1"/>
  <c r="BK33" i="1" s="1"/>
  <c r="EG6" i="1"/>
  <c r="DZ6" i="1" s="1"/>
  <c r="BL6" i="1" s="1"/>
  <c r="EH107" i="1"/>
  <c r="EA107" i="1" s="1"/>
  <c r="BM107" i="1" s="1"/>
  <c r="EE146" i="1"/>
  <c r="DX146" i="1" s="1"/>
  <c r="BJ146" i="1" s="1"/>
  <c r="AY6" i="1"/>
  <c r="B6" i="1"/>
  <c r="CU38" i="1"/>
  <c r="EG11" i="1"/>
  <c r="DZ11" i="1" s="1"/>
  <c r="BL11" i="1" s="1"/>
  <c r="CS15" i="1"/>
  <c r="C5" i="1"/>
  <c r="EI23" i="1"/>
  <c r="EB23" i="1" s="1"/>
  <c r="BN23" i="1" s="1"/>
  <c r="DO22" i="1"/>
  <c r="DK22" i="1"/>
  <c r="DI22" i="1"/>
  <c r="BH76" i="1"/>
  <c r="CQ76" i="1"/>
  <c r="DJ76" i="1"/>
  <c r="DH76" i="1"/>
  <c r="DT76" i="1"/>
  <c r="DN76" i="1"/>
  <c r="CS28" i="1"/>
  <c r="CB77" i="1"/>
  <c r="CU77" i="1"/>
  <c r="EG17" i="1"/>
  <c r="DZ17" i="1" s="1"/>
  <c r="BL17" i="1" s="1"/>
  <c r="EF31" i="1"/>
  <c r="DY31" i="1" s="1"/>
  <c r="BK31" i="1" s="1"/>
  <c r="B10" i="1"/>
  <c r="AY10" i="1"/>
  <c r="CU21" i="1"/>
  <c r="BH46" i="1"/>
  <c r="DH46" i="1"/>
  <c r="DT46" i="1"/>
  <c r="DJ46" i="1"/>
  <c r="CQ46" i="1"/>
  <c r="DN46" i="1"/>
  <c r="EE114" i="1"/>
  <c r="DX114" i="1" s="1"/>
  <c r="BJ114" i="1" s="1"/>
  <c r="EH27" i="1"/>
  <c r="EA27" i="1" s="1"/>
  <c r="BM27" i="1" s="1"/>
  <c r="C6" i="1"/>
  <c r="DK71" i="1"/>
  <c r="DU71" i="1"/>
  <c r="DO71" i="1"/>
  <c r="DI71" i="1"/>
  <c r="EF29" i="1"/>
  <c r="DY29" i="1" s="1"/>
  <c r="BK29" i="1" s="1"/>
  <c r="EI111" i="1"/>
  <c r="EB111" i="1" s="1"/>
  <c r="BN111" i="1" s="1"/>
  <c r="EF22" i="1"/>
  <c r="DY22" i="1" s="1"/>
  <c r="BK22" i="1" s="1"/>
  <c r="DI31" i="1"/>
  <c r="DK31" i="1"/>
  <c r="DO31" i="1"/>
  <c r="EG37" i="1"/>
  <c r="DZ37" i="1" s="1"/>
  <c r="BL37" i="1" s="1"/>
  <c r="EF25" i="1"/>
  <c r="DY25" i="1" s="1"/>
  <c r="BK25" i="1" s="1"/>
  <c r="EG128" i="1"/>
  <c r="DZ128" i="1" s="1"/>
  <c r="BL128" i="1" s="1"/>
  <c r="EF104" i="1"/>
  <c r="DY104" i="1" s="1"/>
  <c r="BK104" i="1" s="1"/>
  <c r="DN70" i="1"/>
  <c r="BH70" i="1"/>
  <c r="BI70" i="1" s="1"/>
  <c r="DJ70" i="1"/>
  <c r="CQ70" i="1"/>
  <c r="DH70" i="1"/>
  <c r="DT70" i="1"/>
  <c r="DU23" i="1"/>
  <c r="EF95" i="1"/>
  <c r="DY95" i="1" s="1"/>
  <c r="BK95" i="1" s="1"/>
  <c r="CS76" i="1"/>
  <c r="BZ76" i="1"/>
  <c r="EE121" i="1"/>
  <c r="DX121" i="1" s="1"/>
  <c r="BJ121" i="1" s="1"/>
  <c r="BH38" i="1"/>
  <c r="DT38" i="1"/>
  <c r="CQ38" i="1"/>
  <c r="DN79" i="1"/>
  <c r="CQ79" i="1"/>
  <c r="DT79" i="1"/>
  <c r="BH79" i="1"/>
  <c r="DH79" i="1"/>
  <c r="BZ148" i="1"/>
  <c r="CS148" i="1"/>
  <c r="CH44" i="1"/>
  <c r="BZ141" i="1"/>
  <c r="CS141" i="1"/>
  <c r="EF153" i="1"/>
  <c r="DY153" i="1" s="1"/>
  <c r="BK153" i="1" s="1"/>
  <c r="EH23" i="1"/>
  <c r="EA23" i="1" s="1"/>
  <c r="BM23" i="1" s="1"/>
  <c r="EE129" i="1"/>
  <c r="DX129" i="1" s="1"/>
  <c r="BJ129" i="1" s="1"/>
  <c r="EH19" i="1"/>
  <c r="EA19" i="1" s="1"/>
  <c r="BM19" i="1" s="1"/>
  <c r="CU4" i="1"/>
  <c r="BE3" i="1"/>
  <c r="EH7" i="1"/>
  <c r="EA7" i="1" s="1"/>
  <c r="BM7" i="1" s="1"/>
  <c r="BZ166" i="1"/>
  <c r="CS166" i="1"/>
  <c r="EJ20" i="1"/>
  <c r="EC20" i="1" s="1"/>
  <c r="BO20" i="1" s="1"/>
  <c r="EF130" i="1"/>
  <c r="DY130" i="1" s="1"/>
  <c r="BK130" i="1" s="1"/>
  <c r="EH20" i="1"/>
  <c r="EA20" i="1" s="1"/>
  <c r="BM20" i="1" s="1"/>
  <c r="EF114" i="1"/>
  <c r="DY114" i="1" s="1"/>
  <c r="BK114" i="1" s="1"/>
  <c r="DT187" i="1"/>
  <c r="DJ187" i="1"/>
  <c r="DN187" i="1"/>
  <c r="DV187" i="1" s="1"/>
  <c r="BH187" i="1"/>
  <c r="DH187" i="1"/>
  <c r="CQ187" i="1"/>
  <c r="CS149" i="1"/>
  <c r="BZ149" i="1"/>
  <c r="EJ17" i="1"/>
  <c r="EC17" i="1" s="1"/>
  <c r="BO17" i="1" s="1"/>
  <c r="DN179" i="1"/>
  <c r="CQ179" i="1"/>
  <c r="DH179" i="1"/>
  <c r="DT179" i="1"/>
  <c r="DJ179" i="1"/>
  <c r="BH179" i="1"/>
  <c r="BX179" i="1"/>
  <c r="DT151" i="1"/>
  <c r="BH151" i="1"/>
  <c r="CQ151" i="1"/>
  <c r="DN151" i="1"/>
  <c r="DH151" i="1"/>
  <c r="DJ151" i="1"/>
  <c r="EG20" i="1"/>
  <c r="DZ20" i="1" s="1"/>
  <c r="BL20" i="1" s="1"/>
  <c r="C27" i="1"/>
  <c r="EG89" i="1"/>
  <c r="DZ89" i="1" s="1"/>
  <c r="BL89" i="1" s="1"/>
  <c r="DT20" i="1"/>
  <c r="BH20" i="1"/>
  <c r="CQ20" i="1"/>
  <c r="AY25" i="1"/>
  <c r="B25" i="1"/>
  <c r="BS77" i="1"/>
  <c r="C77" i="1"/>
  <c r="EH119" i="1"/>
  <c r="EA119" i="1" s="1"/>
  <c r="BM119" i="1" s="1"/>
  <c r="EF108" i="1"/>
  <c r="DY108" i="1" s="1"/>
  <c r="BK108" i="1" s="1"/>
  <c r="DT29" i="1"/>
  <c r="CQ29" i="1"/>
  <c r="BH29" i="1"/>
  <c r="EJ120" i="1"/>
  <c r="EC120" i="1" s="1"/>
  <c r="BO120" i="1" s="1"/>
  <c r="EF63" i="1"/>
  <c r="DY63" i="1" s="1"/>
  <c r="BK63" i="1" s="1"/>
  <c r="DT19" i="1"/>
  <c r="BH19" i="1"/>
  <c r="CQ19" i="1"/>
  <c r="EE19" i="1"/>
  <c r="DX19" i="1" s="1"/>
  <c r="BJ19" i="1" s="1"/>
  <c r="EJ105" i="1"/>
  <c r="EC105" i="1" s="1"/>
  <c r="BO105" i="1" s="1"/>
  <c r="EG121" i="1"/>
  <c r="DZ121" i="1" s="1"/>
  <c r="BL121" i="1" s="1"/>
  <c r="BS47" i="1"/>
  <c r="C47" i="1"/>
  <c r="BZ57" i="1"/>
  <c r="CA57" i="1" s="1"/>
  <c r="CS57" i="1"/>
  <c r="AY75" i="1"/>
  <c r="B75" i="1"/>
  <c r="EF96" i="1"/>
  <c r="DY96" i="1" s="1"/>
  <c r="BK96" i="1" s="1"/>
  <c r="EI38" i="1"/>
  <c r="EB38" i="1" s="1"/>
  <c r="BN38" i="1" s="1"/>
  <c r="EI21" i="1"/>
  <c r="EB21" i="1" s="1"/>
  <c r="BN21" i="1" s="1"/>
  <c r="CU30" i="1"/>
  <c r="DT28" i="1"/>
  <c r="BH28" i="1"/>
  <c r="CQ28" i="1"/>
  <c r="EE37" i="1"/>
  <c r="DX37" i="1" s="1"/>
  <c r="BJ37" i="1" s="1"/>
  <c r="EH114" i="1"/>
  <c r="EA114" i="1" s="1"/>
  <c r="BM114" i="1" s="1"/>
  <c r="EF93" i="1"/>
  <c r="DY93" i="1" s="1"/>
  <c r="BK93" i="1" s="1"/>
  <c r="AY29" i="1"/>
  <c r="B29" i="1"/>
  <c r="AY17" i="1"/>
  <c r="B17" i="1"/>
  <c r="EI130" i="1"/>
  <c r="EB130" i="1" s="1"/>
  <c r="BN130" i="1" s="1"/>
  <c r="DU73" i="1"/>
  <c r="DK73" i="1"/>
  <c r="DO73" i="1"/>
  <c r="DI73" i="1"/>
  <c r="EF21" i="1"/>
  <c r="DY21" i="1" s="1"/>
  <c r="BK21" i="1" s="1"/>
  <c r="EF59" i="1"/>
  <c r="DY59" i="1" s="1"/>
  <c r="BK59" i="1" s="1"/>
  <c r="EJ90" i="1"/>
  <c r="EC90" i="1" s="1"/>
  <c r="BO90" i="1" s="1"/>
  <c r="DO77" i="1"/>
  <c r="DK77" i="1"/>
  <c r="DI77" i="1"/>
  <c r="DU77" i="1"/>
  <c r="DI74" i="1"/>
  <c r="DO74" i="1"/>
  <c r="DU74" i="1"/>
  <c r="DK74" i="1"/>
  <c r="EG34" i="1"/>
  <c r="DZ34" i="1" s="1"/>
  <c r="BL34" i="1" s="1"/>
  <c r="CU13" i="1"/>
  <c r="EI22" i="1"/>
  <c r="EB22" i="1" s="1"/>
  <c r="BN22" i="1" s="1"/>
  <c r="D11" i="1"/>
  <c r="CS9" i="1"/>
  <c r="EE117" i="1"/>
  <c r="DX117" i="1" s="1"/>
  <c r="BJ117" i="1" s="1"/>
  <c r="EI24" i="1"/>
  <c r="EB24" i="1" s="1"/>
  <c r="BN24" i="1" s="1"/>
  <c r="EL3" i="1"/>
  <c r="EE4" i="1"/>
  <c r="DX4" i="1" s="1"/>
  <c r="BJ4" i="1" s="1"/>
  <c r="EG92" i="1"/>
  <c r="DZ92" i="1" s="1"/>
  <c r="BL92" i="1" s="1"/>
  <c r="EJ124" i="1"/>
  <c r="EC124" i="1" s="1"/>
  <c r="BO124" i="1" s="1"/>
  <c r="C12" i="1"/>
  <c r="DU26" i="1"/>
  <c r="B30" i="1"/>
  <c r="AY30" i="1"/>
  <c r="EF30" i="1"/>
  <c r="DY30" i="1" s="1"/>
  <c r="BK30" i="1" s="1"/>
  <c r="EJ130" i="1"/>
  <c r="EC130" i="1" s="1"/>
  <c r="BO130" i="1" s="1"/>
  <c r="EE17" i="1"/>
  <c r="DX17" i="1" s="1"/>
  <c r="BJ17" i="1" s="1"/>
  <c r="EE64" i="1"/>
  <c r="DX64" i="1" s="1"/>
  <c r="BJ64" i="1" s="1"/>
  <c r="EF23" i="1"/>
  <c r="DY23" i="1" s="1"/>
  <c r="BK23" i="1" s="1"/>
  <c r="C11" i="1"/>
  <c r="DH27" i="1"/>
  <c r="DJ27" i="1"/>
  <c r="DN27" i="1"/>
  <c r="EE77" i="1"/>
  <c r="DX77" i="1" s="1"/>
  <c r="BJ77" i="1" s="1"/>
  <c r="D32" i="1"/>
  <c r="EJ108" i="1"/>
  <c r="EC108" i="1" s="1"/>
  <c r="BO108" i="1" s="1"/>
  <c r="EI7" i="1"/>
  <c r="EB7" i="1" s="1"/>
  <c r="BN7" i="1" s="1"/>
  <c r="DT35" i="1"/>
  <c r="BH35" i="1"/>
  <c r="CQ35" i="1"/>
  <c r="DN75" i="1"/>
  <c r="DT75" i="1"/>
  <c r="DH75" i="1"/>
  <c r="CQ75" i="1"/>
  <c r="DJ75" i="1"/>
  <c r="BH75" i="1"/>
  <c r="EI119" i="1"/>
  <c r="EB119" i="1" s="1"/>
  <c r="BN119" i="1" s="1"/>
  <c r="EE21" i="1"/>
  <c r="DX21" i="1" s="1"/>
  <c r="BJ21" i="1" s="1"/>
  <c r="DI57" i="1"/>
  <c r="DO57" i="1"/>
  <c r="DU57" i="1"/>
  <c r="D23" i="1"/>
  <c r="B5" i="1"/>
  <c r="AY5" i="1"/>
  <c r="C38" i="1"/>
  <c r="EI97" i="1"/>
  <c r="EB97" i="1" s="1"/>
  <c r="BN97" i="1" s="1"/>
  <c r="EG38" i="1"/>
  <c r="DZ38" i="1" s="1"/>
  <c r="BL38" i="1" s="1"/>
  <c r="DT78" i="1"/>
  <c r="BH78" i="1"/>
  <c r="CQ78" i="1"/>
  <c r="DJ78" i="1"/>
  <c r="DH78" i="1"/>
  <c r="DN78" i="1"/>
  <c r="CE3" i="1"/>
  <c r="B32" i="1"/>
  <c r="AY32" i="1"/>
  <c r="EJ127" i="1"/>
  <c r="EC127" i="1" s="1"/>
  <c r="BO127" i="1" s="1"/>
  <c r="EG7" i="1"/>
  <c r="DZ7" i="1" s="1"/>
  <c r="BL7" i="1" s="1"/>
  <c r="C59" i="1"/>
  <c r="BS59" i="1"/>
  <c r="CH136" i="1"/>
  <c r="C15" i="1"/>
  <c r="EH126" i="1"/>
  <c r="EA126" i="1" s="1"/>
  <c r="BM126" i="1" s="1"/>
  <c r="EH5" i="1"/>
  <c r="EA5" i="1" s="1"/>
  <c r="BM5" i="1" s="1"/>
  <c r="EJ31" i="1"/>
  <c r="EC31" i="1" s="1"/>
  <c r="BO31" i="1" s="1"/>
  <c r="BZ180" i="1"/>
  <c r="CS180" i="1"/>
  <c r="CB73" i="1"/>
  <c r="CU73" i="1"/>
  <c r="DU184" i="1"/>
  <c r="DI184" i="1"/>
  <c r="DO184" i="1"/>
  <c r="DK184" i="1"/>
  <c r="BZ152" i="1"/>
  <c r="CS152" i="1"/>
  <c r="EF168" i="1"/>
  <c r="DY168" i="1" s="1"/>
  <c r="DU166" i="1"/>
  <c r="BH166" i="1"/>
  <c r="DI166" i="1"/>
  <c r="DL166" i="1" s="1"/>
  <c r="CQ166" i="1"/>
  <c r="DO166" i="1"/>
  <c r="DK157" i="1"/>
  <c r="DO157" i="1"/>
  <c r="DI157" i="1"/>
  <c r="DU157" i="1"/>
  <c r="CU63" i="1"/>
  <c r="CB63" i="1"/>
  <c r="CC64" i="1" s="1"/>
  <c r="EF127" i="1"/>
  <c r="DY127" i="1" s="1"/>
  <c r="BK127" i="1" s="1"/>
  <c r="DI154" i="1"/>
  <c r="DK154" i="1"/>
  <c r="DO154" i="1"/>
  <c r="DU154" i="1"/>
  <c r="CS138" i="1"/>
  <c r="BZ138" i="1"/>
  <c r="CD136" i="1"/>
  <c r="EF185" i="1"/>
  <c r="DY185" i="1" s="1"/>
  <c r="BK185" i="1" s="1"/>
  <c r="DH155" i="1"/>
  <c r="DN155" i="1"/>
  <c r="DT155" i="1"/>
  <c r="BH155" i="1"/>
  <c r="DJ155" i="1"/>
  <c r="CQ155" i="1"/>
  <c r="EI5" i="1"/>
  <c r="EB5" i="1" s="1"/>
  <c r="BN5" i="1" s="1"/>
  <c r="EE173" i="1"/>
  <c r="DX173" i="1" s="1"/>
  <c r="BJ173" i="1" s="1"/>
  <c r="AV44" i="1"/>
  <c r="BZ187" i="1"/>
  <c r="CS187" i="1"/>
  <c r="DU187" i="1"/>
  <c r="DK187" i="1"/>
  <c r="DO187" i="1"/>
  <c r="DI187" i="1"/>
  <c r="CS184" i="1"/>
  <c r="BZ184" i="1"/>
  <c r="D76" i="1"/>
  <c r="BU76" i="1"/>
  <c r="EE79" i="1"/>
  <c r="DX79" i="1" s="1"/>
  <c r="BJ79" i="1" s="1"/>
  <c r="DI146" i="1"/>
  <c r="DK146" i="1"/>
  <c r="DU146" i="1"/>
  <c r="DO146" i="1"/>
  <c r="DU179" i="1"/>
  <c r="DK179" i="1"/>
  <c r="DI179" i="1"/>
  <c r="DO179" i="1"/>
  <c r="BH161" i="1"/>
  <c r="DO161" i="1"/>
  <c r="DU161" i="1"/>
  <c r="CQ161" i="1"/>
  <c r="DK161" i="1"/>
  <c r="DQ161" i="1" s="1"/>
  <c r="DI161" i="1"/>
  <c r="DL161" i="1" s="1"/>
  <c r="DH140" i="1"/>
  <c r="CQ140" i="1"/>
  <c r="DN140" i="1"/>
  <c r="BX140" i="1"/>
  <c r="BH140" i="1"/>
  <c r="DJ140" i="1"/>
  <c r="DT140" i="1"/>
  <c r="EI4" i="1"/>
  <c r="EB4" i="1" s="1"/>
  <c r="BN4" i="1" s="1"/>
  <c r="EP3" i="1"/>
  <c r="EH24" i="1"/>
  <c r="EA24" i="1" s="1"/>
  <c r="BM24" i="1" s="1"/>
  <c r="EF12" i="1"/>
  <c r="DY12" i="1" s="1"/>
  <c r="BK12" i="1" s="1"/>
  <c r="DI149" i="1"/>
  <c r="DO149" i="1"/>
  <c r="DU149" i="1"/>
  <c r="DK149" i="1"/>
  <c r="EE175" i="1"/>
  <c r="DX175" i="1" s="1"/>
  <c r="BJ175" i="1" s="1"/>
  <c r="DN172" i="1"/>
  <c r="DV172" i="1" s="1"/>
  <c r="DJ172" i="1"/>
  <c r="CQ172" i="1"/>
  <c r="DH172" i="1"/>
  <c r="DT172" i="1"/>
  <c r="BH172" i="1"/>
  <c r="DK143" i="1"/>
  <c r="DO143" i="1"/>
  <c r="DI143" i="1"/>
  <c r="DU143" i="1"/>
  <c r="BH153" i="1"/>
  <c r="DJ153" i="1"/>
  <c r="DT153" i="1"/>
  <c r="DH153" i="1"/>
  <c r="DN153" i="1"/>
  <c r="CQ153" i="1"/>
  <c r="CS181" i="1"/>
  <c r="BZ181" i="1"/>
  <c r="DK138" i="1"/>
  <c r="DU138" i="1"/>
  <c r="DO138" i="1"/>
  <c r="DW138" i="1" s="1"/>
  <c r="DI138" i="1"/>
  <c r="EE90" i="1"/>
  <c r="DX90" i="1" s="1"/>
  <c r="BJ90" i="1" s="1"/>
  <c r="BH149" i="1"/>
  <c r="DN149" i="1"/>
  <c r="DJ149" i="1"/>
  <c r="CQ149" i="1"/>
  <c r="DT149" i="1"/>
  <c r="DH149" i="1"/>
  <c r="EF120" i="1"/>
  <c r="DY120" i="1" s="1"/>
  <c r="EE171" i="1"/>
  <c r="DX171" i="1" s="1"/>
  <c r="BJ171" i="1" s="1"/>
  <c r="EF111" i="1"/>
  <c r="DY111" i="1" s="1"/>
  <c r="BK111" i="1" s="1"/>
  <c r="DO144" i="1"/>
  <c r="DI144" i="1"/>
  <c r="DU144" i="1"/>
  <c r="DK144" i="1"/>
  <c r="BZ151" i="1"/>
  <c r="CS151" i="1"/>
  <c r="EF173" i="1"/>
  <c r="DY173" i="1" s="1"/>
  <c r="BK173" i="1" s="1"/>
  <c r="EJ21" i="1"/>
  <c r="EC21" i="1" s="1"/>
  <c r="BO21" i="1" s="1"/>
  <c r="DN144" i="1"/>
  <c r="DT144" i="1"/>
  <c r="DJ144" i="1"/>
  <c r="CQ144" i="1"/>
  <c r="BH144" i="1"/>
  <c r="BX144" i="1"/>
  <c r="DH144" i="1"/>
  <c r="BF3" i="1"/>
  <c r="EH128" i="1"/>
  <c r="EA128" i="1" s="1"/>
  <c r="BM128" i="1" s="1"/>
  <c r="EE169" i="1"/>
  <c r="DX169" i="1" s="1"/>
  <c r="BJ169" i="1" s="1"/>
  <c r="DI137" i="1"/>
  <c r="BB136" i="1"/>
  <c r="DO137" i="1"/>
  <c r="BH137" i="1"/>
  <c r="DK137" i="1"/>
  <c r="DU137" i="1"/>
  <c r="CQ137" i="1"/>
  <c r="BX137" i="1"/>
  <c r="CQ188" i="1"/>
  <c r="DN188" i="1"/>
  <c r="DV188" i="1" s="1"/>
  <c r="DT188" i="1"/>
  <c r="DH188" i="1"/>
  <c r="DJ188" i="1"/>
  <c r="BH188" i="1"/>
  <c r="BZ147" i="1"/>
  <c r="CS147" i="1"/>
  <c r="EF160" i="1"/>
  <c r="DY160" i="1" s="1"/>
  <c r="BK160" i="1" s="1"/>
  <c r="DJ158" i="1"/>
  <c r="CQ158" i="1"/>
  <c r="DN158" i="1"/>
  <c r="DT158" i="1"/>
  <c r="DH158" i="1"/>
  <c r="BH158" i="1"/>
  <c r="BZ186" i="1"/>
  <c r="CS186" i="1"/>
  <c r="D46" i="1"/>
  <c r="BU46" i="1"/>
  <c r="EG114" i="1"/>
  <c r="DZ114" i="1" s="1"/>
  <c r="BL114" i="1" s="1"/>
  <c r="EG111" i="1"/>
  <c r="DZ111" i="1" s="1"/>
  <c r="BL111" i="1" s="1"/>
  <c r="EE107" i="1"/>
  <c r="DX107" i="1" s="1"/>
  <c r="BJ107" i="1" s="1"/>
  <c r="EO84" i="1"/>
  <c r="EH85" i="1"/>
  <c r="EA85" i="1" s="1"/>
  <c r="BM85" i="1" s="1"/>
  <c r="BZ157" i="1"/>
  <c r="CS157" i="1"/>
  <c r="EH97" i="1"/>
  <c r="EA97" i="1" s="1"/>
  <c r="BM97" i="1" s="1"/>
  <c r="CU20" i="1"/>
  <c r="CB47" i="1"/>
  <c r="CU47" i="1"/>
  <c r="EE99" i="1"/>
  <c r="DX99" i="1" s="1"/>
  <c r="EP84" i="1"/>
  <c r="EI85" i="1"/>
  <c r="EB85" i="1" s="1"/>
  <c r="BN85" i="1" s="1"/>
  <c r="EE94" i="1"/>
  <c r="DX94" i="1" s="1"/>
  <c r="EF117" i="1"/>
  <c r="DY117" i="1" s="1"/>
  <c r="BK117" i="1" s="1"/>
  <c r="DH37" i="1"/>
  <c r="DJ37" i="1"/>
  <c r="DN37" i="1"/>
  <c r="DO23" i="1"/>
  <c r="DI23" i="1"/>
  <c r="DK23" i="1"/>
  <c r="DH14" i="1"/>
  <c r="DN14" i="1"/>
  <c r="DJ14" i="1"/>
  <c r="DU36" i="1"/>
  <c r="EJ88" i="1"/>
  <c r="EC88" i="1" s="1"/>
  <c r="BO88" i="1" s="1"/>
  <c r="EH88" i="1"/>
  <c r="EA88" i="1" s="1"/>
  <c r="BM88" i="1" s="1"/>
  <c r="EG108" i="1"/>
  <c r="DZ108" i="1" s="1"/>
  <c r="BL108" i="1" s="1"/>
  <c r="EG99" i="1"/>
  <c r="DZ99" i="1" s="1"/>
  <c r="BL99" i="1" s="1"/>
  <c r="BX180" i="1"/>
  <c r="DH180" i="1"/>
  <c r="DT180" i="1"/>
  <c r="DJ180" i="1"/>
  <c r="BH180" i="1"/>
  <c r="DN180" i="1"/>
  <c r="CQ180" i="1"/>
  <c r="DH4" i="1"/>
  <c r="DJ4" i="1"/>
  <c r="DA3" i="1"/>
  <c r="DN4" i="1"/>
  <c r="BH16" i="1"/>
  <c r="DT16" i="1"/>
  <c r="CQ16" i="1"/>
  <c r="DH57" i="1"/>
  <c r="BH57" i="1"/>
  <c r="BI57" i="1" s="1"/>
  <c r="DT57" i="1"/>
  <c r="CQ57" i="1"/>
  <c r="DN57" i="1"/>
  <c r="DJ57" i="1"/>
  <c r="CU31" i="1"/>
  <c r="DO78" i="1"/>
  <c r="DU78" i="1"/>
  <c r="DI78" i="1"/>
  <c r="DK78" i="1"/>
  <c r="EI89" i="1"/>
  <c r="EB89" i="1" s="1"/>
  <c r="BN89" i="1" s="1"/>
  <c r="EE95" i="1"/>
  <c r="DX95" i="1" s="1"/>
  <c r="BJ95" i="1" s="1"/>
  <c r="EG113" i="1"/>
  <c r="DZ113" i="1" s="1"/>
  <c r="BL113" i="1" s="1"/>
  <c r="EG124" i="1"/>
  <c r="DZ124" i="1" s="1"/>
  <c r="BL124" i="1" s="1"/>
  <c r="DH16" i="1"/>
  <c r="DN16" i="1"/>
  <c r="DJ16" i="1"/>
  <c r="DO24" i="1"/>
  <c r="DI24" i="1"/>
  <c r="DK24" i="1"/>
  <c r="EG90" i="1"/>
  <c r="DZ90" i="1" s="1"/>
  <c r="BL90" i="1" s="1"/>
  <c r="CQ18" i="1"/>
  <c r="BH18" i="1"/>
  <c r="DT18" i="1"/>
  <c r="EJ129" i="1"/>
  <c r="EC129" i="1" s="1"/>
  <c r="BO129" i="1" s="1"/>
  <c r="DJ7" i="1"/>
  <c r="DN7" i="1"/>
  <c r="DH7" i="1"/>
  <c r="DU38" i="1"/>
  <c r="CS75" i="1"/>
  <c r="BZ75" i="1"/>
  <c r="EE24" i="1"/>
  <c r="DX24" i="1" s="1"/>
  <c r="BJ24" i="1" s="1"/>
  <c r="EF36" i="1"/>
  <c r="DY36" i="1" s="1"/>
  <c r="BK36" i="1" s="1"/>
  <c r="DN60" i="1"/>
  <c r="DH60" i="1"/>
  <c r="BH60" i="1"/>
  <c r="DT60" i="1"/>
  <c r="CQ60" i="1"/>
  <c r="EI110" i="1"/>
  <c r="EB110" i="1" s="1"/>
  <c r="BN110" i="1" s="1"/>
  <c r="BS76" i="1"/>
  <c r="C76" i="1"/>
  <c r="EJ126" i="1"/>
  <c r="EC126" i="1" s="1"/>
  <c r="BO126" i="1" s="1"/>
  <c r="D9" i="1"/>
  <c r="AY20" i="1"/>
  <c r="B20" i="1"/>
  <c r="AY61" i="1"/>
  <c r="B61" i="1"/>
  <c r="EE46" i="1"/>
  <c r="DX46" i="1" s="1"/>
  <c r="BJ46" i="1" s="1"/>
  <c r="CU23" i="1"/>
  <c r="B72" i="1"/>
  <c r="AY72" i="1"/>
  <c r="B28" i="1"/>
  <c r="AY28" i="1"/>
  <c r="DU37" i="1"/>
  <c r="EE76" i="1"/>
  <c r="DX76" i="1" s="1"/>
  <c r="BJ76" i="1" s="1"/>
  <c r="B18" i="1"/>
  <c r="AY18" i="1"/>
  <c r="CQ22" i="1"/>
  <c r="BH22" i="1"/>
  <c r="DT22" i="1"/>
  <c r="EE74" i="1"/>
  <c r="DX74" i="1" s="1"/>
  <c r="BJ74" i="1" s="1"/>
  <c r="EI27" i="1"/>
  <c r="EB27" i="1" s="1"/>
  <c r="BN27" i="1" s="1"/>
  <c r="EI113" i="1"/>
  <c r="EB113" i="1" s="1"/>
  <c r="BN113" i="1" s="1"/>
  <c r="D8" i="1"/>
  <c r="EI120" i="1"/>
  <c r="EB120" i="1" s="1"/>
  <c r="BN120" i="1" s="1"/>
  <c r="DN63" i="1"/>
  <c r="BH63" i="1"/>
  <c r="BI64" i="1" s="1"/>
  <c r="DT63" i="1"/>
  <c r="DH63" i="1"/>
  <c r="CQ63" i="1"/>
  <c r="EF24" i="1"/>
  <c r="DY24" i="1" s="1"/>
  <c r="BK24" i="1" s="1"/>
  <c r="EH105" i="1"/>
  <c r="EA105" i="1" s="1"/>
  <c r="BM105" i="1" s="1"/>
  <c r="DU24" i="1"/>
  <c r="CU35" i="1"/>
  <c r="EJ121" i="1"/>
  <c r="EC121" i="1" s="1"/>
  <c r="BO121" i="1" s="1"/>
  <c r="BH26" i="1"/>
  <c r="CQ26" i="1"/>
  <c r="DT26" i="1"/>
  <c r="DU31" i="1"/>
  <c r="AY45" i="1"/>
  <c r="B45" i="1"/>
  <c r="AS44" i="1"/>
  <c r="EF77" i="1"/>
  <c r="DY77" i="1" s="1"/>
  <c r="BK77" i="1" s="1"/>
  <c r="DH59" i="1"/>
  <c r="DJ59" i="1"/>
  <c r="DN59" i="1"/>
  <c r="BH59" i="1"/>
  <c r="CQ59" i="1"/>
  <c r="DT59" i="1"/>
  <c r="EE14" i="1"/>
  <c r="DX14" i="1" s="1"/>
  <c r="BJ14" i="1" s="1"/>
  <c r="EI100" i="1"/>
  <c r="EB100" i="1" s="1"/>
  <c r="BN100" i="1" s="1"/>
  <c r="CQ13" i="1"/>
  <c r="BH13" i="1"/>
  <c r="DT13" i="1"/>
  <c r="EF112" i="1"/>
  <c r="DY112" i="1" s="1"/>
  <c r="BK112" i="1" s="1"/>
  <c r="CQ7" i="1"/>
  <c r="DT7" i="1"/>
  <c r="BH7" i="1"/>
  <c r="D62" i="1"/>
  <c r="BU62" i="1"/>
  <c r="D34" i="1"/>
  <c r="CS23" i="1"/>
  <c r="EH127" i="1"/>
  <c r="EA127" i="1" s="1"/>
  <c r="BM127" i="1" s="1"/>
  <c r="DJ28" i="1"/>
  <c r="DN28" i="1"/>
  <c r="DH28" i="1"/>
  <c r="BH21" i="1"/>
  <c r="CQ21" i="1"/>
  <c r="DT21" i="1"/>
  <c r="D12" i="1"/>
  <c r="CU7" i="1"/>
  <c r="EF32" i="1"/>
  <c r="DY32" i="1" s="1"/>
  <c r="BK32" i="1" s="1"/>
  <c r="EE34" i="1"/>
  <c r="DX34" i="1" s="1"/>
  <c r="BJ34" i="1" s="1"/>
  <c r="EF99" i="1"/>
  <c r="DY99" i="1" s="1"/>
  <c r="BK99" i="1" s="1"/>
  <c r="DJ24" i="1"/>
  <c r="DN24" i="1"/>
  <c r="DH24" i="1"/>
  <c r="DH9" i="1"/>
  <c r="DJ9" i="1"/>
  <c r="DN9" i="1"/>
  <c r="EE15" i="1"/>
  <c r="DX15" i="1" s="1"/>
  <c r="BJ15" i="1" s="1"/>
  <c r="C30" i="1"/>
  <c r="DO29" i="1"/>
  <c r="DK29" i="1"/>
  <c r="DI29" i="1"/>
  <c r="C28" i="1"/>
  <c r="DU32" i="1"/>
  <c r="EE115" i="1"/>
  <c r="DX115" i="1" s="1"/>
  <c r="BJ115" i="1" s="1"/>
  <c r="EE18" i="1"/>
  <c r="DX18" i="1" s="1"/>
  <c r="BJ18" i="1" s="1"/>
  <c r="EF72" i="1"/>
  <c r="DY72" i="1" s="1"/>
  <c r="BK72" i="1" s="1"/>
  <c r="EG22" i="1"/>
  <c r="DZ22" i="1" s="1"/>
  <c r="BL22" i="1" s="1"/>
  <c r="CS60" i="1"/>
  <c r="BZ60" i="1"/>
  <c r="C31" i="1"/>
  <c r="DU60" i="1"/>
  <c r="DK60" i="1"/>
  <c r="DI60" i="1"/>
  <c r="DO60" i="1"/>
  <c r="EG29" i="1"/>
  <c r="DZ29" i="1" s="1"/>
  <c r="BL29" i="1" s="1"/>
  <c r="EH31" i="1"/>
  <c r="EA31" i="1" s="1"/>
  <c r="BM31" i="1" s="1"/>
  <c r="EF176" i="1"/>
  <c r="DY176" i="1" s="1"/>
  <c r="BK176" i="1" s="1"/>
  <c r="CS31" i="1"/>
  <c r="C17" i="1"/>
  <c r="EJ122" i="1"/>
  <c r="EC122" i="1" s="1"/>
  <c r="BO122" i="1" s="1"/>
  <c r="C61" i="1"/>
  <c r="BS61" i="1"/>
  <c r="DI34" i="1"/>
  <c r="DO34" i="1"/>
  <c r="DK34" i="1"/>
  <c r="EI17" i="1"/>
  <c r="EB17" i="1" s="1"/>
  <c r="BN17" i="1" s="1"/>
  <c r="EJ6" i="1"/>
  <c r="EC6" i="1" s="1"/>
  <c r="BO6" i="1" s="1"/>
  <c r="EE28" i="1"/>
  <c r="DX28" i="1" s="1"/>
  <c r="BJ28" i="1" s="1"/>
  <c r="EE120" i="1"/>
  <c r="DX120" i="1" s="1"/>
  <c r="BJ120" i="1" s="1"/>
  <c r="EF35" i="1"/>
  <c r="DY35" i="1" s="1"/>
  <c r="BK35" i="1" s="1"/>
  <c r="D25" i="1"/>
  <c r="BS46" i="1"/>
  <c r="C46" i="1"/>
  <c r="DN21" i="1"/>
  <c r="DJ21" i="1"/>
  <c r="DH21" i="1"/>
  <c r="B12" i="1"/>
  <c r="AY12" i="1"/>
  <c r="EJ95" i="1"/>
  <c r="EC95" i="1" s="1"/>
  <c r="BO95" i="1" s="1"/>
  <c r="EI109" i="1"/>
  <c r="EB109" i="1" s="1"/>
  <c r="BN109" i="1" s="1"/>
  <c r="D29" i="1"/>
  <c r="EJ89" i="1"/>
  <c r="EC89" i="1" s="1"/>
  <c r="BO89" i="1" s="1"/>
  <c r="D17" i="1"/>
  <c r="EI123" i="1"/>
  <c r="EB123" i="1" s="1"/>
  <c r="BN123" i="1" s="1"/>
  <c r="CS37" i="1"/>
  <c r="EG91" i="1"/>
  <c r="DZ91" i="1" s="1"/>
  <c r="BL91" i="1" s="1"/>
  <c r="D16" i="1"/>
  <c r="EI95" i="1"/>
  <c r="EB95" i="1" s="1"/>
  <c r="BN95" i="1" s="1"/>
  <c r="CS34" i="1"/>
  <c r="EE13" i="1"/>
  <c r="DX13" i="1" s="1"/>
  <c r="BJ13" i="1" s="1"/>
  <c r="EE63" i="1"/>
  <c r="DX63" i="1" s="1"/>
  <c r="BJ63" i="1" s="1"/>
  <c r="EI26" i="1"/>
  <c r="EB26" i="1" s="1"/>
  <c r="BN26" i="1" s="1"/>
  <c r="B71" i="1"/>
  <c r="AY71" i="1"/>
  <c r="EI19" i="1"/>
  <c r="EB19" i="1" s="1"/>
  <c r="BN19" i="1" s="1"/>
  <c r="CU76" i="1"/>
  <c r="CB76" i="1"/>
  <c r="EH112" i="1"/>
  <c r="EA112" i="1" s="1"/>
  <c r="BM112" i="1" s="1"/>
  <c r="B60" i="1"/>
  <c r="AY60" i="1"/>
  <c r="C16" i="1"/>
  <c r="CS19" i="1"/>
  <c r="C19" i="1"/>
  <c r="AY74" i="1"/>
  <c r="B74" i="1"/>
  <c r="CU19" i="1"/>
  <c r="B4" i="1"/>
  <c r="AS3" i="1"/>
  <c r="AY4" i="1"/>
  <c r="CS59" i="1"/>
  <c r="BZ59" i="1"/>
  <c r="B62" i="1"/>
  <c r="AY62" i="1"/>
  <c r="EF100" i="1"/>
  <c r="DY100" i="1" s="1"/>
  <c r="BK100" i="1" s="1"/>
  <c r="DO20" i="1"/>
  <c r="DK20" i="1"/>
  <c r="DI20" i="1"/>
  <c r="EG33" i="1"/>
  <c r="DZ33" i="1" s="1"/>
  <c r="BL33" i="1" s="1"/>
  <c r="EE32" i="1"/>
  <c r="DX32" i="1" s="1"/>
  <c r="BJ32" i="1" s="1"/>
  <c r="C9" i="1"/>
  <c r="EI115" i="1"/>
  <c r="EB115" i="1" s="1"/>
  <c r="BN115" i="1" s="1"/>
  <c r="D33" i="1"/>
  <c r="CU27" i="1"/>
  <c r="CS70" i="1"/>
  <c r="BZ70" i="1"/>
  <c r="CA70" i="1" s="1"/>
  <c r="CU71" i="1"/>
  <c r="CB71" i="1"/>
  <c r="DK10" i="1"/>
  <c r="DI10" i="1"/>
  <c r="DO10" i="1"/>
  <c r="BZ176" i="1"/>
  <c r="CS176" i="1"/>
  <c r="EE172" i="1"/>
  <c r="DX172" i="1" s="1"/>
  <c r="BJ172" i="1" s="1"/>
  <c r="DI171" i="1"/>
  <c r="DK171" i="1"/>
  <c r="DU171" i="1"/>
  <c r="DO171" i="1"/>
  <c r="EH14" i="1"/>
  <c r="EA14" i="1" s="1"/>
  <c r="BM14" i="1" s="1"/>
  <c r="EF126" i="1"/>
  <c r="DY126" i="1" s="1"/>
  <c r="BK126" i="1" s="1"/>
  <c r="EF162" i="1"/>
  <c r="DY162" i="1" s="1"/>
  <c r="BK162" i="1" s="1"/>
  <c r="BX162" i="1" s="1"/>
  <c r="BZ162" i="1"/>
  <c r="CA163" i="1" s="1"/>
  <c r="CS162" i="1"/>
  <c r="BH150" i="1"/>
  <c r="DN150" i="1"/>
  <c r="DH150" i="1"/>
  <c r="DT150" i="1"/>
  <c r="DJ150" i="1"/>
  <c r="CQ150" i="1"/>
  <c r="EG36" i="1"/>
  <c r="DZ36" i="1" s="1"/>
  <c r="BL36" i="1" s="1"/>
  <c r="EH9" i="1"/>
  <c r="EA9" i="1" s="1"/>
  <c r="BM9" i="1" s="1"/>
  <c r="DN174" i="1"/>
  <c r="DV174" i="1" s="1"/>
  <c r="DT174" i="1"/>
  <c r="DJ174" i="1"/>
  <c r="DH174" i="1"/>
  <c r="BH174" i="1"/>
  <c r="CQ174" i="1"/>
  <c r="CQ141" i="1"/>
  <c r="DN141" i="1"/>
  <c r="BX141" i="1"/>
  <c r="BH141" i="1"/>
  <c r="DJ141" i="1"/>
  <c r="DT141" i="1"/>
  <c r="DH141" i="1"/>
  <c r="CS140" i="1"/>
  <c r="BZ140" i="1"/>
  <c r="DU10" i="1"/>
  <c r="CU154" i="1"/>
  <c r="CB154" i="1"/>
  <c r="CU186" i="1"/>
  <c r="CB186" i="1"/>
  <c r="DU11" i="1"/>
  <c r="EJ10" i="1"/>
  <c r="EC10" i="1" s="1"/>
  <c r="BO10" i="1" s="1"/>
  <c r="CQ148" i="1"/>
  <c r="DT148" i="1"/>
  <c r="DJ148" i="1"/>
  <c r="DN148" i="1"/>
  <c r="BH148" i="1"/>
  <c r="DH148" i="1"/>
  <c r="EF10" i="1"/>
  <c r="DY10" i="1" s="1"/>
  <c r="BK10" i="1" s="1"/>
  <c r="DK12" i="1"/>
  <c r="DO12" i="1"/>
  <c r="DI12" i="1"/>
  <c r="EF166" i="1"/>
  <c r="DY166" i="1" s="1"/>
  <c r="BK166" i="1" s="1"/>
  <c r="EH11" i="1"/>
  <c r="EA11" i="1" s="1"/>
  <c r="BM11" i="1" s="1"/>
  <c r="CG3" i="1"/>
  <c r="CF136" i="1"/>
  <c r="DK160" i="1"/>
  <c r="DO160" i="1"/>
  <c r="DU160" i="1"/>
  <c r="DI160" i="1"/>
  <c r="EJ33" i="1"/>
  <c r="EC33" i="1" s="1"/>
  <c r="BO33" i="1" s="1"/>
  <c r="EF149" i="1"/>
  <c r="DY149" i="1" s="1"/>
  <c r="BK149" i="1" s="1"/>
  <c r="CH3" i="1"/>
  <c r="EJ11" i="1"/>
  <c r="EC11" i="1" s="1"/>
  <c r="BO11" i="1" s="1"/>
  <c r="CB48" i="1"/>
  <c r="CC49" i="1" s="1"/>
  <c r="CU48" i="1"/>
  <c r="DI178" i="1"/>
  <c r="DO178" i="1"/>
  <c r="DU178" i="1"/>
  <c r="DK178" i="1"/>
  <c r="DI180" i="1"/>
  <c r="DO180" i="1"/>
  <c r="DK180" i="1"/>
  <c r="DU180" i="1"/>
  <c r="DI164" i="1"/>
  <c r="BH164" i="1"/>
  <c r="BI164" i="1" s="1"/>
  <c r="DU164" i="1"/>
  <c r="DK164" i="1"/>
  <c r="DS164" i="1" s="1"/>
  <c r="DO164" i="1"/>
  <c r="CQ164" i="1"/>
  <c r="DJ146" i="1"/>
  <c r="CQ146" i="1"/>
  <c r="DN146" i="1"/>
  <c r="DH146" i="1"/>
  <c r="BH146" i="1"/>
  <c r="DT146" i="1"/>
  <c r="EF186" i="1"/>
  <c r="DY186" i="1" s="1"/>
  <c r="BK186" i="1" s="1"/>
  <c r="EJ23" i="1"/>
  <c r="EC23" i="1" s="1"/>
  <c r="BO23" i="1" s="1"/>
  <c r="CU160" i="1"/>
  <c r="CB160" i="1"/>
  <c r="CC161" i="1" s="1"/>
  <c r="D61" i="1"/>
  <c r="BU61" i="1"/>
  <c r="DK152" i="1"/>
  <c r="DU152" i="1"/>
  <c r="DI152" i="1"/>
  <c r="DO152" i="1"/>
  <c r="AS84" i="1"/>
  <c r="B85" i="1"/>
  <c r="E85" i="1" s="1"/>
  <c r="AY85" i="1"/>
  <c r="AY84" i="1" s="1"/>
  <c r="CP85" i="1"/>
  <c r="CP131" i="1" s="1"/>
  <c r="EF167" i="1"/>
  <c r="DY167" i="1" s="1"/>
  <c r="CS182" i="1"/>
  <c r="BZ182" i="1"/>
  <c r="CS189" i="1"/>
  <c r="BZ189" i="1"/>
  <c r="BX178" i="1"/>
  <c r="DJ178" i="1"/>
  <c r="CQ178" i="1"/>
  <c r="DT178" i="1"/>
  <c r="DH178" i="1"/>
  <c r="BH178" i="1"/>
  <c r="DN178" i="1"/>
  <c r="DV178" i="1" s="1"/>
  <c r="CB78" i="1"/>
  <c r="CU78" i="1"/>
  <c r="EJ9" i="1"/>
  <c r="EC9" i="1" s="1"/>
  <c r="BO9" i="1" s="1"/>
  <c r="DO140" i="1"/>
  <c r="DU140" i="1"/>
  <c r="DI140" i="1"/>
  <c r="DK140" i="1"/>
  <c r="EE87" i="1"/>
  <c r="DX87" i="1" s="1"/>
  <c r="DO7" i="1"/>
  <c r="DK7" i="1"/>
  <c r="DB3" i="1"/>
  <c r="DI7" i="1"/>
  <c r="EH129" i="1"/>
  <c r="EA129" i="1" s="1"/>
  <c r="BM129" i="1" s="1"/>
  <c r="EH26" i="1"/>
  <c r="EA26" i="1" s="1"/>
  <c r="BM26" i="1" s="1"/>
  <c r="D74" i="1"/>
  <c r="BU74" i="1"/>
  <c r="BH142" i="1"/>
  <c r="DH142" i="1"/>
  <c r="DT142" i="1"/>
  <c r="BX142" i="1"/>
  <c r="DJ142" i="1"/>
  <c r="CQ142" i="1"/>
  <c r="DN142" i="1"/>
  <c r="EF13" i="1"/>
  <c r="DY13" i="1" s="1"/>
  <c r="BK13" i="1" s="1"/>
  <c r="EH91" i="1"/>
  <c r="EA91" i="1" s="1"/>
  <c r="BM91" i="1" s="1"/>
  <c r="EG104" i="1"/>
  <c r="DZ104" i="1" s="1"/>
  <c r="BL104" i="1" s="1"/>
  <c r="EG97" i="1"/>
  <c r="DZ97" i="1" s="1"/>
  <c r="BL97" i="1" s="1"/>
  <c r="EE93" i="1"/>
  <c r="DX93" i="1" s="1"/>
  <c r="BJ93" i="1" s="1"/>
  <c r="DJ20" i="1"/>
  <c r="DN20" i="1"/>
  <c r="DH20" i="1"/>
  <c r="DJ26" i="1"/>
  <c r="DN26" i="1"/>
  <c r="DH26" i="1"/>
  <c r="DT23" i="1"/>
  <c r="BH23" i="1"/>
  <c r="CQ23" i="1"/>
  <c r="CU14" i="1"/>
  <c r="EE105" i="1"/>
  <c r="DX105" i="1" s="1"/>
  <c r="EG96" i="1"/>
  <c r="DZ96" i="1" s="1"/>
  <c r="BL96" i="1" s="1"/>
  <c r="BH160" i="1"/>
  <c r="DJ160" i="1"/>
  <c r="CQ160" i="1"/>
  <c r="DT160" i="1"/>
  <c r="DN160" i="1"/>
  <c r="DH160" i="1"/>
  <c r="CQ34" i="1"/>
  <c r="DT34" i="1"/>
  <c r="BH34" i="1"/>
  <c r="CS29" i="1"/>
  <c r="DK35" i="1"/>
  <c r="DI35" i="1"/>
  <c r="DO35" i="1"/>
  <c r="DT47" i="1"/>
  <c r="DN47" i="1"/>
  <c r="DJ47" i="1"/>
  <c r="BH47" i="1"/>
  <c r="DH47" i="1"/>
  <c r="CQ47" i="1"/>
  <c r="EF113" i="1"/>
  <c r="DY113" i="1" s="1"/>
  <c r="BK113" i="1" s="1"/>
  <c r="EG105" i="1"/>
  <c r="DZ105" i="1" s="1"/>
  <c r="BL105" i="1" s="1"/>
  <c r="DJ181" i="1"/>
  <c r="DH181" i="1"/>
  <c r="BH181" i="1"/>
  <c r="DN181" i="1"/>
  <c r="DV181" i="1" s="1"/>
  <c r="BX181" i="1"/>
  <c r="DT181" i="1"/>
  <c r="CQ181" i="1"/>
  <c r="BH186" i="1"/>
  <c r="DT186" i="1"/>
  <c r="DH186" i="1"/>
  <c r="DJ186" i="1"/>
  <c r="CQ186" i="1"/>
  <c r="DN186" i="1"/>
  <c r="DV186" i="1" s="1"/>
  <c r="EH89" i="1"/>
  <c r="EA89" i="1" s="1"/>
  <c r="BM89" i="1" s="1"/>
  <c r="EG102" i="1"/>
  <c r="DZ102" i="1" s="1"/>
  <c r="BL102" i="1" s="1"/>
  <c r="DH19" i="1"/>
  <c r="DN19" i="1"/>
  <c r="DJ19" i="1"/>
  <c r="DH30" i="1"/>
  <c r="DN30" i="1"/>
  <c r="DJ30" i="1"/>
  <c r="CS35" i="1"/>
  <c r="EJ119" i="1"/>
  <c r="EC119" i="1" s="1"/>
  <c r="BO119" i="1" s="1"/>
  <c r="EJ97" i="1"/>
  <c r="EC97" i="1" s="1"/>
  <c r="BO97" i="1" s="1"/>
  <c r="EI91" i="1"/>
  <c r="EB91" i="1" s="1"/>
  <c r="BN91" i="1" s="1"/>
  <c r="EE108" i="1"/>
  <c r="DX108" i="1" s="1"/>
  <c r="BJ108" i="1" s="1"/>
  <c r="EF121" i="1"/>
  <c r="DY121" i="1" s="1"/>
  <c r="CQ30" i="1"/>
  <c r="BH30" i="1"/>
  <c r="DT30" i="1"/>
  <c r="EH117" i="1"/>
  <c r="EA117" i="1" s="1"/>
  <c r="BM117" i="1" s="1"/>
  <c r="DK75" i="1"/>
  <c r="DI75" i="1"/>
  <c r="DO75" i="1"/>
  <c r="DU75" i="1"/>
  <c r="DJ6" i="1"/>
  <c r="DN6" i="1"/>
  <c r="DH6" i="1"/>
  <c r="EE123" i="1"/>
  <c r="DX123" i="1" s="1"/>
  <c r="EH102" i="1"/>
  <c r="EA102" i="1" s="1"/>
  <c r="BM102" i="1" s="1"/>
  <c r="EJ109" i="1"/>
  <c r="EC109" i="1" s="1"/>
  <c r="BO109" i="1" s="1"/>
  <c r="EI122" i="1"/>
  <c r="EB122" i="1" s="1"/>
  <c r="BN122" i="1" s="1"/>
  <c r="CS17" i="1"/>
  <c r="DH23" i="1"/>
  <c r="DJ23" i="1"/>
  <c r="DN23" i="1"/>
  <c r="EF78" i="1"/>
  <c r="DY78" i="1" s="1"/>
  <c r="BK78" i="1" s="1"/>
  <c r="EI96" i="1"/>
  <c r="EB96" i="1" s="1"/>
  <c r="BN96" i="1" s="1"/>
  <c r="AY26" i="1"/>
  <c r="B26" i="1"/>
  <c r="B21" i="1"/>
  <c r="AY21" i="1"/>
  <c r="EE8" i="1"/>
  <c r="EH33" i="1"/>
  <c r="EA33" i="1" s="1"/>
  <c r="BM33" i="1" s="1"/>
  <c r="DO36" i="1"/>
  <c r="DI36" i="1"/>
  <c r="DK36" i="1"/>
  <c r="B15" i="1"/>
  <c r="AY15" i="1"/>
  <c r="EH118" i="1"/>
  <c r="EA118" i="1" s="1"/>
  <c r="BM118" i="1" s="1"/>
  <c r="EI35" i="1"/>
  <c r="EB35" i="1" s="1"/>
  <c r="BN35" i="1" s="1"/>
  <c r="CS32" i="1"/>
  <c r="EI116" i="1"/>
  <c r="EB116" i="1" s="1"/>
  <c r="BN116" i="1" s="1"/>
  <c r="DI4" i="1"/>
  <c r="BB3" i="1"/>
  <c r="DU4" i="1"/>
  <c r="DK4" i="1"/>
  <c r="DO4" i="1"/>
  <c r="C23" i="1"/>
  <c r="C34" i="1"/>
  <c r="DI59" i="1"/>
  <c r="DK59" i="1"/>
  <c r="DO59" i="1"/>
  <c r="DU59" i="1"/>
  <c r="EH96" i="1"/>
  <c r="EA96" i="1" s="1"/>
  <c r="BM96" i="1" s="1"/>
  <c r="EG86" i="1"/>
  <c r="DZ86" i="1" s="1"/>
  <c r="BL86" i="1" s="1"/>
  <c r="EI29" i="1"/>
  <c r="EB29" i="1" s="1"/>
  <c r="BN29" i="1" s="1"/>
  <c r="DC3" i="1"/>
  <c r="DO37" i="1"/>
  <c r="DK37" i="1"/>
  <c r="DI37" i="1"/>
  <c r="CU33" i="1"/>
  <c r="B23" i="1"/>
  <c r="AY23" i="1"/>
  <c r="EG123" i="1"/>
  <c r="DZ123" i="1" s="1"/>
  <c r="BL123" i="1" s="1"/>
  <c r="C22" i="1"/>
  <c r="EH125" i="1"/>
  <c r="EA125" i="1" s="1"/>
  <c r="BM125" i="1" s="1"/>
  <c r="EF58" i="1"/>
  <c r="DY58" i="1" s="1"/>
  <c r="BK58" i="1" s="1"/>
  <c r="AY77" i="1"/>
  <c r="B77" i="1"/>
  <c r="EI124" i="1"/>
  <c r="EB124" i="1" s="1"/>
  <c r="BN124" i="1" s="1"/>
  <c r="BS78" i="1"/>
  <c r="C78" i="1"/>
  <c r="EI16" i="1"/>
  <c r="EB16" i="1" s="1"/>
  <c r="BN16" i="1" s="1"/>
  <c r="EI12" i="1"/>
  <c r="EB12" i="1" s="1"/>
  <c r="BN12" i="1" s="1"/>
  <c r="EG87" i="1"/>
  <c r="DZ87" i="1" s="1"/>
  <c r="BL87" i="1" s="1"/>
  <c r="EH34" i="1"/>
  <c r="EA34" i="1" s="1"/>
  <c r="BM34" i="1" s="1"/>
  <c r="EI102" i="1"/>
  <c r="EB102" i="1" s="1"/>
  <c r="BN102" i="1" s="1"/>
  <c r="AY57" i="1"/>
  <c r="B57" i="1"/>
  <c r="CS7" i="1"/>
  <c r="D77" i="1"/>
  <c r="BU77" i="1"/>
  <c r="EE62" i="1"/>
  <c r="DX62" i="1" s="1"/>
  <c r="BJ62" i="1" s="1"/>
  <c r="AT44" i="1"/>
  <c r="DU20" i="1"/>
  <c r="BH33" i="1"/>
  <c r="CQ33" i="1"/>
  <c r="DT33" i="1"/>
  <c r="EH113" i="1"/>
  <c r="EA113" i="1" s="1"/>
  <c r="BM113" i="1" s="1"/>
  <c r="EE12" i="1"/>
  <c r="DX12" i="1" s="1"/>
  <c r="BJ12" i="1" s="1"/>
  <c r="EJ92" i="1"/>
  <c r="EC92" i="1" s="1"/>
  <c r="BO92" i="1" s="1"/>
  <c r="EF128" i="1"/>
  <c r="DY128" i="1" s="1"/>
  <c r="BK128" i="1" s="1"/>
  <c r="EI114" i="1"/>
  <c r="EB114" i="1" s="1"/>
  <c r="BN114" i="1" s="1"/>
  <c r="EG26" i="1"/>
  <c r="DZ26" i="1" s="1"/>
  <c r="BL26" i="1" s="1"/>
  <c r="EI107" i="1"/>
  <c r="EB107" i="1" s="1"/>
  <c r="BN107" i="1" s="1"/>
  <c r="DK38" i="1"/>
  <c r="DI38" i="1"/>
  <c r="DO38" i="1"/>
  <c r="EG10" i="1"/>
  <c r="EI118" i="1"/>
  <c r="EB118" i="1" s="1"/>
  <c r="BN118" i="1" s="1"/>
  <c r="C7" i="1"/>
  <c r="EE25" i="1"/>
  <c r="DX25" i="1" s="1"/>
  <c r="BJ25" i="1" s="1"/>
  <c r="DN11" i="1"/>
  <c r="DJ11" i="1"/>
  <c r="DH11" i="1"/>
  <c r="EG14" i="1"/>
  <c r="DZ14" i="1" s="1"/>
  <c r="BL14" i="1" s="1"/>
  <c r="EJ96" i="1"/>
  <c r="EC96" i="1" s="1"/>
  <c r="BO96" i="1" s="1"/>
  <c r="AY47" i="1"/>
  <c r="B47" i="1"/>
  <c r="DJ71" i="1"/>
  <c r="BH71" i="1"/>
  <c r="DH71" i="1"/>
  <c r="DN71" i="1"/>
  <c r="DT71" i="1"/>
  <c r="CQ71" i="1"/>
  <c r="DJ72" i="1"/>
  <c r="CQ72" i="1"/>
  <c r="DH72" i="1"/>
  <c r="DT72" i="1"/>
  <c r="DN72" i="1"/>
  <c r="BH72" i="1"/>
  <c r="EI14" i="1"/>
  <c r="EB14" i="1" s="1"/>
  <c r="BN14" i="1" s="1"/>
  <c r="CU16" i="1"/>
  <c r="EI13" i="1"/>
  <c r="EB13" i="1" s="1"/>
  <c r="BN13" i="1" s="1"/>
  <c r="EH108" i="1"/>
  <c r="EA108" i="1" s="1"/>
  <c r="BM108" i="1" s="1"/>
  <c r="C35" i="1"/>
  <c r="EF97" i="1"/>
  <c r="DY97" i="1" s="1"/>
  <c r="EJ104" i="1"/>
  <c r="EC104" i="1" s="1"/>
  <c r="BO104" i="1" s="1"/>
  <c r="CQ31" i="1"/>
  <c r="DT31" i="1"/>
  <c r="BH31" i="1"/>
  <c r="D6" i="1"/>
  <c r="C62" i="1"/>
  <c r="BS62" i="1"/>
  <c r="EI112" i="1"/>
  <c r="EB112" i="1" s="1"/>
  <c r="BN112" i="1" s="1"/>
  <c r="EG32" i="1"/>
  <c r="DZ32" i="1" s="1"/>
  <c r="BL32" i="1" s="1"/>
  <c r="CU18" i="1"/>
  <c r="EI127" i="1"/>
  <c r="EB127" i="1" s="1"/>
  <c r="BN127" i="1" s="1"/>
  <c r="EF20" i="1"/>
  <c r="DY20" i="1" s="1"/>
  <c r="BK20" i="1" s="1"/>
  <c r="DI25" i="1"/>
  <c r="DO25" i="1"/>
  <c r="DK25" i="1"/>
  <c r="D30" i="1"/>
  <c r="CB72" i="1"/>
  <c r="CU72" i="1"/>
  <c r="CS72" i="1"/>
  <c r="BZ72" i="1"/>
  <c r="EF107" i="1"/>
  <c r="DY107" i="1" s="1"/>
  <c r="BK107" i="1" s="1"/>
  <c r="AT3" i="1"/>
  <c r="AY7" i="1"/>
  <c r="B7" i="1"/>
  <c r="EJ117" i="1"/>
  <c r="EC117" i="1" s="1"/>
  <c r="BO117" i="1" s="1"/>
  <c r="EF73" i="1"/>
  <c r="DY73" i="1" s="1"/>
  <c r="BK73" i="1" s="1"/>
  <c r="EH32" i="1"/>
  <c r="EA32" i="1" s="1"/>
  <c r="BM32" i="1" s="1"/>
  <c r="D35" i="1"/>
  <c r="EJ91" i="1"/>
  <c r="EC91" i="1" s="1"/>
  <c r="BO91" i="1" s="1"/>
  <c r="EF64" i="1"/>
  <c r="DY64" i="1" s="1"/>
  <c r="C18" i="1"/>
  <c r="EF75" i="1"/>
  <c r="DY75" i="1" s="1"/>
  <c r="BK75" i="1" s="1"/>
  <c r="EI30" i="1"/>
  <c r="EB30" i="1" s="1"/>
  <c r="BN30" i="1" s="1"/>
  <c r="EG129" i="1"/>
  <c r="DZ129" i="1" s="1"/>
  <c r="BL129" i="1" s="1"/>
  <c r="B24" i="1"/>
  <c r="AY24" i="1"/>
  <c r="BH36" i="1"/>
  <c r="CQ36" i="1"/>
  <c r="DT36" i="1"/>
  <c r="AY33" i="1"/>
  <c r="B33" i="1"/>
  <c r="D28" i="1"/>
  <c r="EJ116" i="1"/>
  <c r="EC116" i="1" s="1"/>
  <c r="BO116" i="1" s="1"/>
  <c r="EG25" i="1"/>
  <c r="DZ25" i="1" s="1"/>
  <c r="BL25" i="1" s="1"/>
  <c r="CD3" i="1"/>
  <c r="AY14" i="1"/>
  <c r="B14" i="1"/>
  <c r="EG120" i="1"/>
  <c r="DZ120" i="1" s="1"/>
  <c r="BL120" i="1" s="1"/>
  <c r="BS73" i="1"/>
  <c r="C73" i="1"/>
  <c r="EE16" i="1"/>
  <c r="DX16" i="1" s="1"/>
  <c r="BJ16" i="1" s="1"/>
  <c r="DU29" i="1"/>
  <c r="DU13" i="1"/>
  <c r="DN10" i="1"/>
  <c r="DH10" i="1"/>
  <c r="DJ10" i="1"/>
  <c r="CS79" i="1"/>
  <c r="BZ79" i="1"/>
  <c r="EI6" i="1"/>
  <c r="EB6" i="1" s="1"/>
  <c r="BN6" i="1" s="1"/>
  <c r="DO21" i="1"/>
  <c r="DK21" i="1"/>
  <c r="DI21" i="1"/>
  <c r="B8" i="1"/>
  <c r="AY8" i="1"/>
  <c r="EE30" i="1"/>
  <c r="DX30" i="1" s="1"/>
  <c r="BJ30" i="1" s="1"/>
  <c r="EJ107" i="1"/>
  <c r="EC107" i="1" s="1"/>
  <c r="BO107" i="1" s="1"/>
  <c r="DU33" i="1"/>
  <c r="AY73" i="1"/>
  <c r="B73" i="1"/>
  <c r="DI63" i="1"/>
  <c r="DO63" i="1"/>
  <c r="DU63" i="1"/>
  <c r="CU11" i="1"/>
  <c r="AY16" i="1"/>
  <c r="B16" i="1"/>
  <c r="EH104" i="1"/>
  <c r="EA104" i="1" s="1"/>
  <c r="BM104" i="1" s="1"/>
  <c r="EH30" i="1"/>
  <c r="EA30" i="1" s="1"/>
  <c r="BM30" i="1" s="1"/>
  <c r="EE158" i="1"/>
  <c r="DX158" i="1" s="1"/>
  <c r="BJ158" i="1" s="1"/>
  <c r="CU75" i="1"/>
  <c r="CB75" i="1"/>
  <c r="EF161" i="1"/>
  <c r="DY161" i="1" s="1"/>
  <c r="BK161" i="1" s="1"/>
  <c r="B78" i="1"/>
  <c r="AY78" i="1"/>
  <c r="CQ147" i="1"/>
  <c r="DT147" i="1"/>
  <c r="DJ147" i="1"/>
  <c r="DH147" i="1"/>
  <c r="DN147" i="1"/>
  <c r="BH147" i="1"/>
  <c r="EF147" i="1"/>
  <c r="DY147" i="1" s="1"/>
  <c r="BK147" i="1" s="1"/>
  <c r="EF158" i="1"/>
  <c r="DY158" i="1" s="1"/>
  <c r="BK158" i="1" s="1"/>
  <c r="CQ176" i="1"/>
  <c r="DH176" i="1"/>
  <c r="DJ176" i="1"/>
  <c r="BH176" i="1"/>
  <c r="DT176" i="1"/>
  <c r="DN176" i="1"/>
  <c r="DV176" i="1" s="1"/>
  <c r="BZ145" i="1"/>
  <c r="CS145" i="1"/>
  <c r="AV136" i="1"/>
  <c r="DJ171" i="1"/>
  <c r="DH171" i="1"/>
  <c r="BH171" i="1"/>
  <c r="CQ171" i="1"/>
  <c r="DN171" i="1"/>
  <c r="DT171" i="1"/>
  <c r="DU189" i="1"/>
  <c r="DK189" i="1"/>
  <c r="DO189" i="1"/>
  <c r="DI189" i="1"/>
  <c r="EJ5" i="1"/>
  <c r="EC5" i="1" s="1"/>
  <c r="BO5" i="1" s="1"/>
  <c r="CU146" i="1"/>
  <c r="CB146" i="1"/>
  <c r="CS177" i="1"/>
  <c r="BZ177" i="1"/>
  <c r="BZ155" i="1"/>
  <c r="CS155" i="1"/>
  <c r="CQ159" i="1"/>
  <c r="DH159" i="1"/>
  <c r="DN159" i="1"/>
  <c r="DT159" i="1"/>
  <c r="BH159" i="1"/>
  <c r="EF159" i="1"/>
  <c r="DY159" i="1" s="1"/>
  <c r="BK159" i="1" s="1"/>
  <c r="BD44" i="1"/>
  <c r="DT169" i="1"/>
  <c r="DJ169" i="1"/>
  <c r="DH169" i="1"/>
  <c r="BH169" i="1"/>
  <c r="BI169" i="1" s="1"/>
  <c r="DN169" i="1"/>
  <c r="DV169" i="1" s="1"/>
  <c r="CQ169" i="1"/>
  <c r="CI44" i="1"/>
  <c r="DT157" i="1"/>
  <c r="DH157" i="1"/>
  <c r="DN157" i="1"/>
  <c r="DV157" i="1" s="1"/>
  <c r="BH157" i="1"/>
  <c r="DJ157" i="1"/>
  <c r="CQ157" i="1"/>
  <c r="DT170" i="1"/>
  <c r="DH170" i="1"/>
  <c r="DJ170" i="1"/>
  <c r="CQ170" i="1"/>
  <c r="BH170" i="1"/>
  <c r="DN170" i="1"/>
  <c r="DV170" i="1" s="1"/>
  <c r="EM136" i="1"/>
  <c r="EF145" i="1"/>
  <c r="DO16" i="1"/>
  <c r="DI16" i="1"/>
  <c r="DK16" i="1"/>
  <c r="CU145" i="1"/>
  <c r="CB145" i="1"/>
  <c r="BZ139" i="1"/>
  <c r="CS139" i="1"/>
  <c r="BF44" i="1"/>
  <c r="DO11" i="1"/>
  <c r="DK11" i="1"/>
  <c r="DI11" i="1"/>
  <c r="EG4" i="1"/>
  <c r="DZ4" i="1" s="1"/>
  <c r="BL4" i="1" s="1"/>
  <c r="EN3" i="1"/>
  <c r="DT175" i="1"/>
  <c r="DJ175" i="1"/>
  <c r="BH175" i="1"/>
  <c r="CQ175" i="1"/>
  <c r="DH175" i="1"/>
  <c r="DN175" i="1"/>
  <c r="DV175" i="1" s="1"/>
  <c r="DK145" i="1"/>
  <c r="DO145" i="1"/>
  <c r="DI145" i="1"/>
  <c r="DU145" i="1"/>
  <c r="EI33" i="1"/>
  <c r="EB33" i="1" s="1"/>
  <c r="BN33" i="1" s="1"/>
  <c r="CG44" i="1"/>
  <c r="BX177" i="1"/>
  <c r="BH177" i="1"/>
  <c r="CQ177" i="1"/>
  <c r="DT177" i="1"/>
  <c r="DH177" i="1"/>
  <c r="DN177" i="1"/>
  <c r="DV177" i="1" s="1"/>
  <c r="DJ177" i="1"/>
  <c r="DI170" i="1"/>
  <c r="DU170" i="1"/>
  <c r="DK170" i="1"/>
  <c r="DO170" i="1"/>
  <c r="EF152" i="1"/>
  <c r="DY152" i="1" s="1"/>
  <c r="BK152" i="1" s="1"/>
  <c r="DF3" i="1"/>
  <c r="DU12" i="1"/>
  <c r="EG126" i="1"/>
  <c r="DZ126" i="1" s="1"/>
  <c r="BL126" i="1" s="1"/>
  <c r="CB45" i="1"/>
  <c r="CU45" i="1"/>
  <c r="BE44" i="1"/>
  <c r="BU60" i="1"/>
  <c r="D60" i="1"/>
  <c r="BZ172" i="1"/>
  <c r="CS172" i="1"/>
  <c r="C139" i="1"/>
  <c r="E139" i="1" s="1"/>
  <c r="AY139" i="1"/>
  <c r="BS139" i="1"/>
  <c r="CW139" i="1" s="1"/>
  <c r="C58" i="1"/>
  <c r="BS58" i="1"/>
  <c r="EH4" i="1"/>
  <c r="EA4" i="1" s="1"/>
  <c r="BM4" i="1" s="1"/>
  <c r="EO3" i="1"/>
  <c r="EJ7" i="1"/>
  <c r="BZ175" i="1"/>
  <c r="CS175" i="1"/>
  <c r="BZ143" i="1"/>
  <c r="CS143" i="1"/>
  <c r="EE188" i="1"/>
  <c r="DX188" i="1" s="1"/>
  <c r="BJ188" i="1" s="1"/>
  <c r="EF125" i="1"/>
  <c r="DY125" i="1" s="1"/>
  <c r="BK125" i="1" s="1"/>
  <c r="EE189" i="1"/>
  <c r="DX189" i="1" s="1"/>
  <c r="BJ189" i="1" s="1"/>
  <c r="EF15" i="1"/>
  <c r="DY15" i="1" s="1"/>
  <c r="BK15" i="1" s="1"/>
  <c r="BZ165" i="1"/>
  <c r="CS165" i="1"/>
  <c r="CB61" i="1"/>
  <c r="CU61" i="1"/>
  <c r="EF172" i="1"/>
  <c r="DY172" i="1" s="1"/>
  <c r="BK172" i="1" s="1"/>
  <c r="CU144" i="1"/>
  <c r="CB144" i="1"/>
  <c r="BZ185" i="1"/>
  <c r="CS185" i="1"/>
  <c r="EJ34" i="1"/>
  <c r="EC34" i="1" s="1"/>
  <c r="BO34" i="1" s="1"/>
  <c r="EF157" i="1"/>
  <c r="DY157" i="1" s="1"/>
  <c r="BK157" i="1" s="1"/>
  <c r="EF9" i="1"/>
  <c r="DY9" i="1" s="1"/>
  <c r="BK9" i="1" s="1"/>
  <c r="CB187" i="1"/>
  <c r="CU187" i="1"/>
  <c r="DU147" i="1"/>
  <c r="DO147" i="1"/>
  <c r="DI147" i="1"/>
  <c r="DK147" i="1"/>
  <c r="EE98" i="1"/>
  <c r="DX98" i="1" s="1"/>
  <c r="BJ98" i="1" s="1"/>
  <c r="EI92" i="1"/>
  <c r="EB92" i="1" s="1"/>
  <c r="BN92" i="1" s="1"/>
  <c r="EE101" i="1"/>
  <c r="DX101" i="1" s="1"/>
  <c r="EG101" i="1"/>
  <c r="DZ101" i="1" s="1"/>
  <c r="BL101" i="1" s="1"/>
  <c r="BC136" i="1"/>
  <c r="CS137" i="1"/>
  <c r="BZ137" i="1"/>
  <c r="EF85" i="1"/>
  <c r="DY85" i="1" s="1"/>
  <c r="BK85" i="1" s="1"/>
  <c r="EM84" i="1"/>
  <c r="CS179" i="1"/>
  <c r="BZ179" i="1"/>
  <c r="DN48" i="1"/>
  <c r="BH48" i="1"/>
  <c r="BI49" i="1" s="1"/>
  <c r="DT48" i="1"/>
  <c r="DJ48" i="1"/>
  <c r="CQ48" i="1"/>
  <c r="DH48" i="1"/>
  <c r="CU57" i="1"/>
  <c r="CB57" i="1"/>
  <c r="CC57" i="1" s="1"/>
  <c r="EI125" i="1"/>
  <c r="EB125" i="1" s="1"/>
  <c r="BN125" i="1" s="1"/>
  <c r="DE3" i="1"/>
  <c r="EI108" i="1"/>
  <c r="EB108" i="1" s="1"/>
  <c r="BN108" i="1" s="1"/>
  <c r="CU32" i="1"/>
  <c r="EG93" i="1"/>
  <c r="DZ93" i="1" s="1"/>
  <c r="BL93" i="1" s="1"/>
  <c r="EF92" i="1"/>
  <c r="DY92" i="1" s="1"/>
  <c r="BK92" i="1" s="1"/>
  <c r="EI86" i="1"/>
  <c r="EB86" i="1" s="1"/>
  <c r="BN86" i="1" s="1"/>
  <c r="EE103" i="1"/>
  <c r="DX103" i="1" s="1"/>
  <c r="BJ103" i="1" s="1"/>
  <c r="EH86" i="1"/>
  <c r="EA86" i="1" s="1"/>
  <c r="BM86" i="1" s="1"/>
  <c r="EE57" i="1"/>
  <c r="DX57" i="1" s="1"/>
  <c r="BJ57" i="1" s="1"/>
  <c r="CU6" i="1"/>
  <c r="EH123" i="1"/>
  <c r="EA123" i="1" s="1"/>
  <c r="BM123" i="1" s="1"/>
  <c r="EG117" i="1"/>
  <c r="DZ117" i="1" s="1"/>
  <c r="BL117" i="1" s="1"/>
  <c r="DU30" i="1"/>
  <c r="DH8" i="1"/>
  <c r="DJ8" i="1"/>
  <c r="DN8" i="1"/>
  <c r="EJ94" i="1"/>
  <c r="EC94" i="1" s="1"/>
  <c r="BO94" i="1" s="1"/>
  <c r="EF86" i="1"/>
  <c r="DY86" i="1" s="1"/>
  <c r="BK86" i="1" s="1"/>
  <c r="EF90" i="1"/>
  <c r="DY90" i="1" s="1"/>
  <c r="BK90" i="1" s="1"/>
  <c r="EG94" i="1"/>
  <c r="DZ94" i="1" s="1"/>
  <c r="BL94" i="1" s="1"/>
  <c r="EE186" i="1"/>
  <c r="DX186" i="1" s="1"/>
  <c r="BJ186" i="1" s="1"/>
  <c r="EI88" i="1"/>
  <c r="EB88" i="1" s="1"/>
  <c r="BN88" i="1" s="1"/>
  <c r="EE58" i="1"/>
  <c r="DX58" i="1" s="1"/>
  <c r="BJ58" i="1" s="1"/>
  <c r="EH100" i="1"/>
  <c r="EA100" i="1" s="1"/>
  <c r="BM100" i="1" s="1"/>
  <c r="DT14" i="1"/>
  <c r="CQ14" i="1"/>
  <c r="BH14" i="1"/>
  <c r="DJ17" i="1"/>
  <c r="DN17" i="1"/>
  <c r="DH17" i="1"/>
  <c r="DH61" i="1"/>
  <c r="DT61" i="1"/>
  <c r="CQ61" i="1"/>
  <c r="DN61" i="1"/>
  <c r="DJ61" i="1"/>
  <c r="BH61" i="1"/>
  <c r="CS12" i="1"/>
  <c r="DU45" i="1"/>
  <c r="DO45" i="1"/>
  <c r="DI45" i="1"/>
  <c r="DK45" i="1"/>
  <c r="BB44" i="1"/>
  <c r="CU28" i="1"/>
  <c r="DH36" i="1"/>
  <c r="DJ36" i="1"/>
  <c r="DN36" i="1"/>
  <c r="EG106" i="1"/>
  <c r="DZ106" i="1" s="1"/>
  <c r="BL106" i="1" s="1"/>
  <c r="EE185" i="1"/>
  <c r="DX185" i="1" s="1"/>
  <c r="BJ185" i="1" s="1"/>
  <c r="EF91" i="1"/>
  <c r="DY91" i="1" s="1"/>
  <c r="BK91" i="1" s="1"/>
  <c r="DJ184" i="1"/>
  <c r="DT184" i="1"/>
  <c r="CQ184" i="1"/>
  <c r="BH184" i="1"/>
  <c r="BX184" i="1"/>
  <c r="DH184" i="1"/>
  <c r="DN184" i="1"/>
  <c r="DV184" i="1" s="1"/>
  <c r="EH92" i="1"/>
  <c r="EA92" i="1" s="1"/>
  <c r="BM92" i="1" s="1"/>
  <c r="EE72" i="1"/>
  <c r="DX72" i="1" s="1"/>
  <c r="BJ72" i="1" s="1"/>
  <c r="BH11" i="1"/>
  <c r="DT11" i="1"/>
  <c r="CQ11" i="1"/>
  <c r="EJ86" i="1"/>
  <c r="EC86" i="1" s="1"/>
  <c r="BO86" i="1" s="1"/>
  <c r="DT24" i="1"/>
  <c r="BH24" i="1"/>
  <c r="CQ24" i="1"/>
  <c r="DT37" i="1"/>
  <c r="CQ37" i="1"/>
  <c r="BH37" i="1"/>
  <c r="EI98" i="1"/>
  <c r="EB98" i="1" s="1"/>
  <c r="BN98" i="1" s="1"/>
  <c r="EE71" i="1"/>
  <c r="DX71" i="1" s="1"/>
  <c r="BJ71" i="1" s="1"/>
  <c r="CS6" i="1"/>
  <c r="DT9" i="1"/>
  <c r="BH9" i="1"/>
  <c r="CQ9" i="1"/>
  <c r="EG119" i="1"/>
  <c r="DZ119" i="1" s="1"/>
  <c r="BL119" i="1" s="1"/>
  <c r="DK47" i="1"/>
  <c r="DI47" i="1"/>
  <c r="DU47" i="1"/>
  <c r="DO47" i="1"/>
  <c r="EH101" i="1"/>
  <c r="EA101" i="1" s="1"/>
  <c r="BM101" i="1" s="1"/>
  <c r="B22" i="1"/>
  <c r="AY22" i="1"/>
  <c r="EI93" i="1"/>
  <c r="EB93" i="1" s="1"/>
  <c r="BN93" i="1" s="1"/>
  <c r="CU10" i="1"/>
  <c r="EF26" i="1"/>
  <c r="DY26" i="1" s="1"/>
  <c r="BK26" i="1" s="1"/>
  <c r="CU37" i="1"/>
  <c r="EF48" i="1"/>
  <c r="DY48" i="1" s="1"/>
  <c r="BK48" i="1" s="1"/>
  <c r="D26" i="1"/>
  <c r="EJ125" i="1"/>
  <c r="EC125" i="1" s="1"/>
  <c r="BO125" i="1" s="1"/>
  <c r="D19" i="1"/>
  <c r="B70" i="1"/>
  <c r="AY70" i="1"/>
  <c r="EL44" i="1"/>
  <c r="EE45" i="1"/>
  <c r="C14" i="1"/>
  <c r="EE118" i="1"/>
  <c r="DX118" i="1" s="1"/>
  <c r="BJ118" i="1" s="1"/>
  <c r="EE7" i="1"/>
  <c r="DX7" i="1" s="1"/>
  <c r="BJ7" i="1" s="1"/>
  <c r="D21" i="1"/>
  <c r="EJ110" i="1"/>
  <c r="EC110" i="1" s="1"/>
  <c r="BO110" i="1" s="1"/>
  <c r="EH29" i="1"/>
  <c r="EA29" i="1" s="1"/>
  <c r="BM29" i="1" s="1"/>
  <c r="EF76" i="1"/>
  <c r="DY76" i="1" s="1"/>
  <c r="BK76" i="1" s="1"/>
  <c r="BZ73" i="1"/>
  <c r="CS73" i="1"/>
  <c r="EF19" i="1"/>
  <c r="DY19" i="1" s="1"/>
  <c r="BK19" i="1" s="1"/>
  <c r="CU12" i="1"/>
  <c r="EG31" i="1"/>
  <c r="DZ31" i="1" s="1"/>
  <c r="BL31" i="1" s="1"/>
  <c r="DU25" i="1"/>
  <c r="EN84" i="1"/>
  <c r="EG85" i="1"/>
  <c r="C60" i="1"/>
  <c r="BS60" i="1"/>
  <c r="EG127" i="1"/>
  <c r="DZ127" i="1" s="1"/>
  <c r="BL127" i="1" s="1"/>
  <c r="EI10" i="1"/>
  <c r="EB10" i="1" s="1"/>
  <c r="BN10" i="1" s="1"/>
  <c r="DO19" i="1"/>
  <c r="DI19" i="1"/>
  <c r="DK19" i="1"/>
  <c r="EF105" i="1"/>
  <c r="DY105" i="1" s="1"/>
  <c r="BK105" i="1" s="1"/>
  <c r="EH94" i="1"/>
  <c r="EA94" i="1" s="1"/>
  <c r="BM94" i="1" s="1"/>
  <c r="DI5" i="1"/>
  <c r="DK5" i="1"/>
  <c r="DO5" i="1"/>
  <c r="DU5" i="1"/>
  <c r="B48" i="1"/>
  <c r="AY48" i="1"/>
  <c r="EG24" i="1"/>
  <c r="DZ24" i="1" s="1"/>
  <c r="BL24" i="1" s="1"/>
  <c r="EH130" i="1"/>
  <c r="EA130" i="1" s="1"/>
  <c r="BM130" i="1" s="1"/>
  <c r="EE73" i="1"/>
  <c r="DX73" i="1" s="1"/>
  <c r="BJ73" i="1" s="1"/>
  <c r="EJ106" i="1"/>
  <c r="EC106" i="1" s="1"/>
  <c r="BO106" i="1" s="1"/>
  <c r="DT62" i="1"/>
  <c r="CQ62" i="1"/>
  <c r="DH62" i="1"/>
  <c r="DJ62" i="1"/>
  <c r="DN62" i="1"/>
  <c r="BH62" i="1"/>
  <c r="EH109" i="1"/>
  <c r="EA109" i="1" s="1"/>
  <c r="BM109" i="1" s="1"/>
  <c r="EI25" i="1"/>
  <c r="EB25" i="1" s="1"/>
  <c r="BN25" i="1" s="1"/>
  <c r="EF74" i="1"/>
  <c r="DY74" i="1" s="1"/>
  <c r="BK74" i="1" s="1"/>
  <c r="EI11" i="1"/>
  <c r="EB11" i="1" s="1"/>
  <c r="BN11" i="1" s="1"/>
  <c r="BU47" i="1"/>
  <c r="D47" i="1"/>
  <c r="EH122" i="1"/>
  <c r="EA122" i="1" s="1"/>
  <c r="BM122" i="1" s="1"/>
  <c r="CS27" i="1"/>
  <c r="EE31" i="1"/>
  <c r="DX31" i="1" s="1"/>
  <c r="BJ31" i="1" s="1"/>
  <c r="EF46" i="1"/>
  <c r="DY46" i="1" s="1"/>
  <c r="BK46" i="1" s="1"/>
  <c r="D20" i="1"/>
  <c r="C24" i="1"/>
  <c r="DT45" i="1"/>
  <c r="BA44" i="1"/>
  <c r="DJ45" i="1"/>
  <c r="CQ45" i="1"/>
  <c r="BH45" i="1"/>
  <c r="DH45" i="1"/>
  <c r="DN45" i="1"/>
  <c r="BH27" i="1"/>
  <c r="CQ27" i="1"/>
  <c r="DT27" i="1"/>
  <c r="EG21" i="1"/>
  <c r="DZ21" i="1" s="1"/>
  <c r="BL21" i="1" s="1"/>
  <c r="BH6" i="1"/>
  <c r="CQ6" i="1"/>
  <c r="DT6" i="1"/>
  <c r="EI20" i="1"/>
  <c r="EB20" i="1" s="1"/>
  <c r="BN20" i="1" s="1"/>
  <c r="EG8" i="1"/>
  <c r="DZ8" i="1" s="1"/>
  <c r="BL8" i="1" s="1"/>
  <c r="EE124" i="1"/>
  <c r="DX124" i="1" s="1"/>
  <c r="BJ124" i="1" s="1"/>
  <c r="D22" i="1"/>
  <c r="EI28" i="1"/>
  <c r="EB28" i="1" s="1"/>
  <c r="BN28" i="1" s="1"/>
  <c r="EG19" i="1"/>
  <c r="DZ19" i="1" s="1"/>
  <c r="BL19" i="1" s="1"/>
  <c r="CS63" i="1"/>
  <c r="BZ63" i="1"/>
  <c r="CA64" i="1" s="1"/>
  <c r="CU15" i="1"/>
  <c r="DO61" i="1"/>
  <c r="DI61" i="1"/>
  <c r="DU61" i="1"/>
  <c r="DK61" i="1"/>
  <c r="EE10" i="1"/>
  <c r="DX10" i="1" s="1"/>
  <c r="BJ10" i="1" s="1"/>
  <c r="CU17" i="1"/>
  <c r="B37" i="1"/>
  <c r="AY37" i="1"/>
  <c r="BZ58" i="1"/>
  <c r="CS58" i="1"/>
  <c r="EE126" i="1"/>
  <c r="DX126" i="1" s="1"/>
  <c r="BJ126" i="1" s="1"/>
  <c r="EE23" i="1"/>
  <c r="DX23" i="1" s="1"/>
  <c r="BJ23" i="1" s="1"/>
  <c r="DK79" i="1"/>
  <c r="DI79" i="1"/>
  <c r="DO79" i="1"/>
  <c r="DU79" i="1"/>
  <c r="CS16" i="1"/>
  <c r="EH38" i="1"/>
  <c r="EA38" i="1" s="1"/>
  <c r="BM38" i="1" s="1"/>
  <c r="C29" i="1"/>
  <c r="EH121" i="1"/>
  <c r="EA121" i="1" s="1"/>
  <c r="BM121" i="1" s="1"/>
  <c r="EE75" i="1"/>
  <c r="DX75" i="1" s="1"/>
  <c r="BJ75" i="1" s="1"/>
  <c r="EE125" i="1"/>
  <c r="DX125" i="1" s="1"/>
  <c r="BJ125" i="1" s="1"/>
  <c r="DJ13" i="1"/>
  <c r="DN13" i="1"/>
  <c r="DH13" i="1"/>
  <c r="EF38" i="1"/>
  <c r="DY38" i="1" s="1"/>
  <c r="BK38" i="1" s="1"/>
  <c r="D57" i="1"/>
  <c r="BU57" i="1"/>
  <c r="CS11" i="1"/>
  <c r="EI18" i="1"/>
  <c r="EB18" i="1" s="1"/>
  <c r="BN18" i="1" s="1"/>
  <c r="EG118" i="1"/>
  <c r="DZ118" i="1" s="1"/>
  <c r="BL118" i="1" s="1"/>
  <c r="DN5" i="1"/>
  <c r="DH5" i="1"/>
  <c r="DJ5" i="1"/>
  <c r="DH35" i="1"/>
  <c r="DN35" i="1"/>
  <c r="DJ35" i="1"/>
  <c r="EI34" i="1"/>
  <c r="EB34" i="1" s="1"/>
  <c r="BN34" i="1" s="1"/>
  <c r="EH120" i="1"/>
  <c r="EA120" i="1" s="1"/>
  <c r="BM120" i="1" s="1"/>
  <c r="EG18" i="1"/>
  <c r="DZ18" i="1" s="1"/>
  <c r="BL18" i="1" s="1"/>
  <c r="EE11" i="1"/>
  <c r="DX11" i="1" s="1"/>
  <c r="EI99" i="1"/>
  <c r="EB99" i="1" s="1"/>
  <c r="BN99" i="1" s="1"/>
  <c r="EI36" i="1"/>
  <c r="EB36" i="1" s="1"/>
  <c r="BN36" i="1" s="1"/>
  <c r="C74" i="1"/>
  <c r="BS74" i="1"/>
  <c r="EH103" i="1"/>
  <c r="EA103" i="1" s="1"/>
  <c r="BM103" i="1" s="1"/>
  <c r="DH18" i="1"/>
  <c r="DN18" i="1"/>
  <c r="DJ18" i="1"/>
  <c r="AY35" i="1"/>
  <c r="B35" i="1"/>
  <c r="DT12" i="1"/>
  <c r="BH12" i="1"/>
  <c r="CQ12" i="1"/>
  <c r="EH124" i="1"/>
  <c r="EA124" i="1" s="1"/>
  <c r="BM124" i="1" s="1"/>
  <c r="EE36" i="1"/>
  <c r="DX36" i="1" s="1"/>
  <c r="BJ36" i="1" s="1"/>
  <c r="EG125" i="1"/>
  <c r="DZ125" i="1" s="1"/>
  <c r="BL125" i="1" s="1"/>
  <c r="DO26" i="1"/>
  <c r="DK26" i="1"/>
  <c r="DI26" i="1"/>
  <c r="D36" i="1"/>
  <c r="EF61" i="1"/>
  <c r="DY61" i="1" s="1"/>
  <c r="BK61" i="1" s="1"/>
  <c r="CS13" i="1"/>
  <c r="B36" i="1"/>
  <c r="AY36" i="1"/>
  <c r="CQ17" i="1"/>
  <c r="BH17" i="1"/>
  <c r="DT17" i="1"/>
  <c r="D7" i="1"/>
  <c r="CU29" i="1"/>
  <c r="DO32" i="1"/>
  <c r="DI32" i="1"/>
  <c r="DK32" i="1"/>
  <c r="BH5" i="1"/>
  <c r="DT5" i="1"/>
  <c r="CQ5" i="1"/>
  <c r="AY59" i="1"/>
  <c r="B59" i="1"/>
  <c r="EG15" i="1"/>
  <c r="DZ15" i="1" s="1"/>
  <c r="BL15" i="1" s="1"/>
  <c r="B76" i="1"/>
  <c r="AY76" i="1"/>
  <c r="BS79" i="1"/>
  <c r="C79" i="1"/>
  <c r="DU19" i="1"/>
  <c r="EH37" i="1"/>
  <c r="EA37" i="1" s="1"/>
  <c r="BM37" i="1" s="1"/>
  <c r="C75" i="1"/>
  <c r="BS75" i="1"/>
  <c r="AY19" i="1"/>
  <c r="B19" i="1"/>
  <c r="EJ99" i="1"/>
  <c r="EC99" i="1" s="1"/>
  <c r="BO99" i="1" s="1"/>
  <c r="DU28" i="1"/>
  <c r="DT25" i="1"/>
  <c r="BH25" i="1"/>
  <c r="CQ25" i="1"/>
  <c r="BZ74" i="1"/>
  <c r="CS74" i="1"/>
  <c r="CS38" i="1"/>
  <c r="D27" i="1"/>
  <c r="CU36" i="1"/>
  <c r="EG88" i="1"/>
  <c r="DZ88" i="1" s="1"/>
  <c r="BL88" i="1" s="1"/>
  <c r="EH28" i="1"/>
  <c r="EA28" i="1" s="1"/>
  <c r="BM28" i="1" s="1"/>
  <c r="EG16" i="1"/>
  <c r="DZ16" i="1" s="1"/>
  <c r="BL16" i="1" s="1"/>
  <c r="EI31" i="1"/>
  <c r="EB31" i="1" s="1"/>
  <c r="BN31" i="1" s="1"/>
  <c r="EE92" i="1"/>
  <c r="DX92" i="1" s="1"/>
  <c r="B27" i="1"/>
  <c r="AY27" i="1"/>
  <c r="EJ87" i="1"/>
  <c r="EC87" i="1" s="1"/>
  <c r="BO87" i="1" s="1"/>
  <c r="DT32" i="1"/>
  <c r="BH32" i="1"/>
  <c r="CQ32" i="1"/>
  <c r="DK27" i="1"/>
  <c r="DO27" i="1"/>
  <c r="DI27" i="1"/>
  <c r="EE5" i="1"/>
  <c r="DX5" i="1" s="1"/>
  <c r="BJ5" i="1" s="1"/>
  <c r="DH74" i="1"/>
  <c r="BH74" i="1"/>
  <c r="DN74" i="1"/>
  <c r="CQ74" i="1"/>
  <c r="DT74" i="1"/>
  <c r="EE48" i="1"/>
  <c r="DX48" i="1" s="1"/>
  <c r="BJ48" i="1" s="1"/>
  <c r="DH32" i="1"/>
  <c r="DN32" i="1"/>
  <c r="DJ32" i="1"/>
  <c r="EF28" i="1"/>
  <c r="DY28" i="1" s="1"/>
  <c r="BK28" i="1" s="1"/>
  <c r="BH58" i="1"/>
  <c r="DH58" i="1"/>
  <c r="CQ58" i="1"/>
  <c r="DN58" i="1"/>
  <c r="DJ58" i="1"/>
  <c r="DT58" i="1"/>
  <c r="EI103" i="1"/>
  <c r="EB103" i="1" s="1"/>
  <c r="BN103" i="1" s="1"/>
  <c r="EI8" i="1"/>
  <c r="EB8" i="1" s="1"/>
  <c r="BN8" i="1" s="1"/>
  <c r="EI121" i="1"/>
  <c r="EB121" i="1" s="1"/>
  <c r="BN121" i="1" s="1"/>
  <c r="C33" i="1"/>
  <c r="EF103" i="1"/>
  <c r="DY103" i="1" s="1"/>
  <c r="BK103" i="1" s="1"/>
  <c r="EI105" i="1"/>
  <c r="EB105" i="1" s="1"/>
  <c r="BN105" i="1" s="1"/>
  <c r="C21" i="1"/>
  <c r="DU62" i="1"/>
  <c r="DK62" i="1"/>
  <c r="DI62" i="1"/>
  <c r="DO62" i="1"/>
  <c r="D14" i="1"/>
  <c r="EH110" i="1"/>
  <c r="EA110" i="1" s="1"/>
  <c r="BM110" i="1" s="1"/>
  <c r="DT4" i="1"/>
  <c r="CQ4" i="1"/>
  <c r="BA3" i="1"/>
  <c r="BH4" i="1"/>
  <c r="EG23" i="1"/>
  <c r="DZ23" i="1" s="1"/>
  <c r="BL23" i="1" s="1"/>
  <c r="EE60" i="1"/>
  <c r="DX60" i="1" s="1"/>
  <c r="BJ60" i="1" s="1"/>
  <c r="EI101" i="1"/>
  <c r="EB101" i="1" s="1"/>
  <c r="BN101" i="1" s="1"/>
  <c r="EJ93" i="1"/>
  <c r="EC93" i="1" s="1"/>
  <c r="BO93" i="1" s="1"/>
  <c r="EF60" i="1"/>
  <c r="DY60" i="1" s="1"/>
  <c r="BK60" i="1" s="1"/>
  <c r="B63" i="1"/>
  <c r="AY63" i="1"/>
  <c r="EF150" i="1"/>
  <c r="DY150" i="1" s="1"/>
  <c r="BK150" i="1" s="1"/>
  <c r="EE176" i="1"/>
  <c r="DX176" i="1" s="1"/>
  <c r="BJ176" i="1" s="1"/>
  <c r="EJ27" i="1"/>
  <c r="EC27" i="1" s="1"/>
  <c r="BO27" i="1" s="1"/>
  <c r="EH6" i="1"/>
  <c r="CS174" i="1"/>
  <c r="BZ174" i="1"/>
  <c r="EJ19" i="1"/>
  <c r="EC19" i="1" s="1"/>
  <c r="BO19" i="1" s="1"/>
  <c r="DU18" i="1"/>
  <c r="EF129" i="1"/>
  <c r="DY129" i="1" s="1"/>
  <c r="BK129" i="1" s="1"/>
  <c r="CS161" i="1"/>
  <c r="BZ161" i="1"/>
  <c r="EE149" i="1"/>
  <c r="DX149" i="1" s="1"/>
  <c r="BJ149" i="1" s="1"/>
  <c r="CB158" i="1"/>
  <c r="CU158" i="1"/>
  <c r="BH152" i="1"/>
  <c r="DT152" i="1"/>
  <c r="DH152" i="1"/>
  <c r="DN152" i="1"/>
  <c r="CQ152" i="1"/>
  <c r="DJ152" i="1"/>
  <c r="EL84" i="1"/>
  <c r="EE85" i="1"/>
  <c r="DX85" i="1" s="1"/>
  <c r="BJ85" i="1" s="1"/>
  <c r="BZ188" i="1"/>
  <c r="CS188" i="1"/>
  <c r="CU178" i="1"/>
  <c r="CB178" i="1"/>
  <c r="CS150" i="1"/>
  <c r="BZ150" i="1"/>
  <c r="AY9" i="1"/>
  <c r="B9" i="1"/>
  <c r="D58" i="1"/>
  <c r="BU58" i="1"/>
  <c r="DD3" i="1"/>
  <c r="EJ35" i="1"/>
  <c r="EC35" i="1" s="1"/>
  <c r="BO35" i="1" s="1"/>
  <c r="D5" i="1"/>
  <c r="EE151" i="1"/>
  <c r="DX151" i="1" s="1"/>
  <c r="BJ151" i="1" s="1"/>
  <c r="CI3" i="1"/>
  <c r="EF17" i="1"/>
  <c r="DY17" i="1" s="1"/>
  <c r="BK17" i="1" s="1"/>
  <c r="EH22" i="1"/>
  <c r="EA22" i="1" s="1"/>
  <c r="BM22" i="1" s="1"/>
  <c r="EE78" i="1"/>
  <c r="DX78" i="1" s="1"/>
  <c r="BJ78" i="1" s="1"/>
  <c r="D73" i="1"/>
  <c r="BU73" i="1"/>
  <c r="EH13" i="1"/>
  <c r="EA13" i="1" s="1"/>
  <c r="BM13" i="1" s="1"/>
  <c r="DK141" i="1"/>
  <c r="DU141" i="1"/>
  <c r="DO141" i="1"/>
  <c r="DI141" i="1"/>
  <c r="EE174" i="1"/>
  <c r="DX174" i="1" s="1"/>
  <c r="BJ174" i="1" s="1"/>
  <c r="BD136" i="1"/>
  <c r="EH15" i="1"/>
  <c r="EA15" i="1" s="1"/>
  <c r="BM15" i="1" s="1"/>
  <c r="EJ32" i="1"/>
  <c r="EC32" i="1" s="1"/>
  <c r="BO32" i="1" s="1"/>
  <c r="CU159" i="1"/>
  <c r="CB159" i="1"/>
  <c r="DK158" i="1"/>
  <c r="DI158" i="1"/>
  <c r="DU158" i="1"/>
  <c r="DO158" i="1"/>
  <c r="D48" i="1"/>
  <c r="BU48" i="1"/>
  <c r="EF94" i="1"/>
  <c r="DY94" i="1" s="1"/>
  <c r="BK94" i="1" s="1"/>
  <c r="EJ37" i="1"/>
  <c r="EC37" i="1" s="1"/>
  <c r="BO37" i="1" s="1"/>
  <c r="BZ164" i="1"/>
  <c r="CA164" i="1" s="1"/>
  <c r="CS164" i="1"/>
  <c r="BH183" i="1"/>
  <c r="DJ183" i="1"/>
  <c r="DH183" i="1"/>
  <c r="CQ183" i="1"/>
  <c r="BX183" i="1"/>
  <c r="DT183" i="1"/>
  <c r="DN183" i="1"/>
  <c r="DV183" i="1" s="1"/>
  <c r="DU17" i="1"/>
  <c r="EH10" i="1"/>
  <c r="EA10" i="1" s="1"/>
  <c r="BM10" i="1" s="1"/>
  <c r="DO142" i="1"/>
  <c r="DI142" i="1"/>
  <c r="DK142" i="1"/>
  <c r="DU142" i="1"/>
  <c r="BS189" i="1"/>
  <c r="AY189" i="1"/>
  <c r="C189" i="1"/>
  <c r="E189" i="1" s="1"/>
  <c r="EF146" i="1"/>
  <c r="DY146" i="1" s="1"/>
  <c r="BK146" i="1" s="1"/>
  <c r="DU9" i="1"/>
  <c r="EH8" i="1"/>
  <c r="EA8" i="1" s="1"/>
  <c r="BM8" i="1" s="1"/>
  <c r="CU182" i="1"/>
  <c r="CB182" i="1"/>
  <c r="DK188" i="1"/>
  <c r="DO188" i="1"/>
  <c r="DW188" i="1" s="1"/>
  <c r="DU188" i="1"/>
  <c r="DI188" i="1"/>
  <c r="EH12" i="1"/>
  <c r="EA12" i="1" s="1"/>
  <c r="BM12" i="1" s="1"/>
  <c r="CU188" i="1"/>
  <c r="CB188" i="1"/>
  <c r="DH189" i="1"/>
  <c r="CQ189" i="1"/>
  <c r="DJ189" i="1"/>
  <c r="DT189" i="1"/>
  <c r="DN189" i="1"/>
  <c r="DV189" i="1" s="1"/>
  <c r="BH189" i="1"/>
  <c r="D78" i="1"/>
  <c r="BU78" i="1"/>
  <c r="EF164" i="1"/>
  <c r="DY164" i="1" s="1"/>
  <c r="BK164" i="1" s="1"/>
  <c r="BQ164" i="1" s="1"/>
  <c r="EJ16" i="1"/>
  <c r="EC16" i="1" s="1"/>
  <c r="BO16" i="1" s="1"/>
  <c r="DO159" i="1"/>
  <c r="DU159" i="1"/>
  <c r="DI159" i="1"/>
  <c r="DK159" i="1"/>
  <c r="EF156" i="1"/>
  <c r="DY156" i="1" s="1"/>
  <c r="BK156" i="1" s="1"/>
  <c r="DK9" i="1"/>
  <c r="DO9" i="1"/>
  <c r="DI9" i="1"/>
  <c r="EJ36" i="1"/>
  <c r="EC36" i="1" s="1"/>
  <c r="BO36" i="1" s="1"/>
  <c r="CU70" i="1"/>
  <c r="CB70" i="1"/>
  <c r="CC70" i="1" s="1"/>
  <c r="EJ22" i="1"/>
  <c r="EC22" i="1" s="1"/>
  <c r="BO22" i="1" s="1"/>
  <c r="DU185" i="1"/>
  <c r="DO185" i="1"/>
  <c r="DI185" i="1"/>
  <c r="EQ3" i="1"/>
  <c r="EJ4" i="1"/>
  <c r="EC4" i="1" s="1"/>
  <c r="BO4" i="1" s="1"/>
  <c r="DO148" i="1"/>
  <c r="DI148" i="1"/>
  <c r="DU148" i="1"/>
  <c r="DK148" i="1"/>
  <c r="C188" i="1"/>
  <c r="E188" i="1" s="1"/>
  <c r="BS188" i="1"/>
  <c r="BT188" i="1" s="1"/>
  <c r="AY188" i="1"/>
  <c r="EE154" i="1"/>
  <c r="DX154" i="1" s="1"/>
  <c r="BJ154" i="1" s="1"/>
  <c r="CE136" i="1"/>
  <c r="CB183" i="1"/>
  <c r="CU183" i="1"/>
  <c r="CB147" i="1"/>
  <c r="CU147" i="1"/>
  <c r="DI153" i="1"/>
  <c r="DO153" i="1"/>
  <c r="DK153" i="1"/>
  <c r="DU153" i="1"/>
  <c r="DN29" i="1"/>
  <c r="DV29" i="1" s="1"/>
  <c r="DJ29" i="1"/>
  <c r="DH29" i="1"/>
  <c r="EF110" i="1"/>
  <c r="DY110" i="1" s="1"/>
  <c r="BK110" i="1" s="1"/>
  <c r="EG13" i="1"/>
  <c r="DZ13" i="1" s="1"/>
  <c r="BL13" i="1" s="1"/>
  <c r="DI46" i="1"/>
  <c r="DK46" i="1"/>
  <c r="DO46" i="1"/>
  <c r="DU46" i="1"/>
  <c r="EF62" i="1"/>
  <c r="DY62" i="1" s="1"/>
  <c r="BK62" i="1" s="1"/>
  <c r="EF187" i="1"/>
  <c r="DY187" i="1" s="1"/>
  <c r="BK187" i="1" s="1"/>
  <c r="EH35" i="1"/>
  <c r="EA35" i="1" s="1"/>
  <c r="BM35" i="1" s="1"/>
  <c r="EF124" i="1"/>
  <c r="DY124" i="1" s="1"/>
  <c r="BK124" i="1" s="1"/>
  <c r="EJ24" i="1"/>
  <c r="EC24" i="1" s="1"/>
  <c r="BO24" i="1" s="1"/>
  <c r="CB179" i="1"/>
  <c r="CU179" i="1"/>
  <c r="D4" i="1"/>
  <c r="AW3" i="1"/>
  <c r="DU150" i="1"/>
  <c r="DI150" i="1"/>
  <c r="DK150" i="1"/>
  <c r="DO150" i="1"/>
  <c r="DU14" i="1"/>
  <c r="BZ167" i="1"/>
  <c r="CS167" i="1"/>
  <c r="BF136" i="1"/>
  <c r="CB137" i="1"/>
  <c r="CU137" i="1"/>
  <c r="DO186" i="1"/>
  <c r="DW186" i="1" s="1"/>
  <c r="DK186" i="1"/>
  <c r="DU186" i="1"/>
  <c r="DI186" i="1"/>
  <c r="EF7" i="1"/>
  <c r="DY7" i="1" s="1"/>
  <c r="BK7" i="1" s="1"/>
  <c r="EF115" i="1"/>
  <c r="DY115" i="1" s="1"/>
  <c r="BK115" i="1" s="1"/>
  <c r="DU156" i="1"/>
  <c r="DK156" i="1"/>
  <c r="DO156" i="1"/>
  <c r="DI156" i="1"/>
  <c r="BH139" i="1"/>
  <c r="CQ139" i="1"/>
  <c r="DJ139" i="1"/>
  <c r="BX139" i="1"/>
  <c r="DT139" i="1"/>
  <c r="DN139" i="1"/>
  <c r="DH139" i="1"/>
  <c r="AY79" i="1"/>
  <c r="B79" i="1"/>
  <c r="EH16" i="1"/>
  <c r="EA16" i="1" s="1"/>
  <c r="BM16" i="1" s="1"/>
  <c r="CU58" i="1"/>
  <c r="CB58" i="1"/>
  <c r="BZ183" i="1"/>
  <c r="CS183" i="1"/>
  <c r="BX138" i="1"/>
  <c r="DJ138" i="1"/>
  <c r="CQ138" i="1"/>
  <c r="BA136" i="1"/>
  <c r="BH138" i="1"/>
  <c r="DN138" i="1"/>
  <c r="DV138" i="1" s="1"/>
  <c r="DT138" i="1"/>
  <c r="DH138" i="1"/>
  <c r="BU45" i="1"/>
  <c r="AW44" i="1"/>
  <c r="D45" i="1"/>
  <c r="BD3" i="1"/>
  <c r="EE157" i="1"/>
  <c r="DX157" i="1" s="1"/>
  <c r="BJ157" i="1" s="1"/>
  <c r="EF154" i="1"/>
  <c r="DY154" i="1" s="1"/>
  <c r="BK154" i="1" s="1"/>
  <c r="EJ30" i="1"/>
  <c r="EC30" i="1" s="1"/>
  <c r="BO30" i="1" s="1"/>
  <c r="CB184" i="1"/>
  <c r="CU184" i="1"/>
  <c r="EJ26" i="1"/>
  <c r="EC26" i="1" s="1"/>
  <c r="BO26" i="1" s="1"/>
  <c r="DI139" i="1"/>
  <c r="DO139" i="1"/>
  <c r="DU139" i="1"/>
  <c r="DK139" i="1"/>
  <c r="BH182" i="1"/>
  <c r="DJ182" i="1"/>
  <c r="DH182" i="1"/>
  <c r="DT182" i="1"/>
  <c r="CQ182" i="1"/>
  <c r="BX182" i="1"/>
  <c r="DN182" i="1"/>
  <c r="DV182" i="1" s="1"/>
  <c r="CG136" i="1"/>
  <c r="CB79" i="1"/>
  <c r="CU79" i="1"/>
  <c r="DT156" i="1"/>
  <c r="CQ156" i="1"/>
  <c r="BH156" i="1"/>
  <c r="DJ156" i="1"/>
  <c r="DH156" i="1"/>
  <c r="DN156" i="1"/>
  <c r="DV156" i="1" s="1"/>
  <c r="EF170" i="1"/>
  <c r="DY170" i="1" s="1"/>
  <c r="BK170" i="1" s="1"/>
  <c r="EJ38" i="1"/>
  <c r="EC38" i="1" s="1"/>
  <c r="BO38" i="1" s="1"/>
  <c r="DH154" i="1"/>
  <c r="DN154" i="1"/>
  <c r="BH154" i="1"/>
  <c r="DT154" i="1"/>
  <c r="DJ154" i="1"/>
  <c r="CQ154" i="1"/>
  <c r="EJ28" i="1"/>
  <c r="EC28" i="1" s="1"/>
  <c r="BO28" i="1" s="1"/>
  <c r="CB148" i="1"/>
  <c r="CC149" i="1" s="1"/>
  <c r="CU148" i="1"/>
  <c r="BZ178" i="1"/>
  <c r="CS178" i="1"/>
  <c r="CU59" i="1"/>
  <c r="CB59" i="1"/>
  <c r="DO162" i="1"/>
  <c r="CQ162" i="1"/>
  <c r="BH162" i="1"/>
  <c r="BI163" i="1" s="1"/>
  <c r="DK162" i="1"/>
  <c r="DM162" i="1" s="1"/>
  <c r="DI162" i="1"/>
  <c r="DU162" i="1"/>
  <c r="CU60" i="1"/>
  <c r="CB60" i="1"/>
  <c r="EJ15" i="1"/>
  <c r="EC15" i="1" s="1"/>
  <c r="BO15" i="1" s="1"/>
  <c r="CU181" i="1"/>
  <c r="CB181" i="1"/>
  <c r="DI173" i="1"/>
  <c r="DU173" i="1"/>
  <c r="DO173" i="1"/>
  <c r="DK173" i="1"/>
  <c r="DS173" i="1" s="1"/>
  <c r="CB157" i="1"/>
  <c r="CU157" i="1"/>
  <c r="EE147" i="1"/>
  <c r="DX147" i="1" s="1"/>
  <c r="BJ147" i="1" s="1"/>
  <c r="EE152" i="1"/>
  <c r="DX152" i="1" s="1"/>
  <c r="BJ152" i="1" s="1"/>
  <c r="DK14" i="1"/>
  <c r="DO14" i="1"/>
  <c r="DI14" i="1"/>
  <c r="EE150" i="1"/>
  <c r="DX150" i="1" s="1"/>
  <c r="BJ150" i="1" s="1"/>
  <c r="BZ171" i="1"/>
  <c r="CS171" i="1"/>
  <c r="D75" i="1"/>
  <c r="BU75" i="1"/>
  <c r="BU70" i="1"/>
  <c r="D70" i="1"/>
  <c r="CU177" i="1"/>
  <c r="CB177" i="1"/>
  <c r="CC177" i="1" s="1"/>
  <c r="D71" i="1"/>
  <c r="BU71" i="1"/>
  <c r="EE145" i="1"/>
  <c r="DX145" i="1" s="1"/>
  <c r="BJ145" i="1" s="1"/>
  <c r="EL136" i="1"/>
  <c r="CU5" i="1"/>
  <c r="EE130" i="1"/>
  <c r="DX130" i="1" s="1"/>
  <c r="CS146" i="1"/>
  <c r="BZ146" i="1"/>
  <c r="BU63" i="1"/>
  <c r="D63" i="1"/>
  <c r="CU139" i="1"/>
  <c r="CB139" i="1"/>
  <c r="CU143" i="1"/>
  <c r="CB143" i="1"/>
  <c r="CS170" i="1"/>
  <c r="BZ170" i="1"/>
  <c r="EE155" i="1"/>
  <c r="DX155" i="1" s="1"/>
  <c r="BJ155" i="1" s="1"/>
  <c r="CF3" i="1"/>
  <c r="DK174" i="1"/>
  <c r="DI174" i="1"/>
  <c r="DO174" i="1"/>
  <c r="DW174" i="1" s="1"/>
  <c r="DU174" i="1"/>
  <c r="DO155" i="1"/>
  <c r="DK155" i="1"/>
  <c r="DI155" i="1"/>
  <c r="DU155" i="1"/>
  <c r="EF11" i="1"/>
  <c r="DY11" i="1" s="1"/>
  <c r="BK11" i="1" s="1"/>
  <c r="CB185" i="1"/>
  <c r="CU185" i="1"/>
  <c r="DU8" i="1"/>
  <c r="EF148" i="1"/>
  <c r="DY148" i="1" s="1"/>
  <c r="BK148" i="1" s="1"/>
  <c r="DU15" i="1"/>
  <c r="DI169" i="1"/>
  <c r="DK169" i="1"/>
  <c r="DU169" i="1"/>
  <c r="DO169" i="1"/>
  <c r="CB155" i="1"/>
  <c r="CU155" i="1"/>
  <c r="CU156" i="1"/>
  <c r="CB156" i="1"/>
  <c r="EE89" i="1"/>
  <c r="DX89" i="1" s="1"/>
  <c r="BH167" i="1"/>
  <c r="BI168" i="1" s="1"/>
  <c r="CQ167" i="1"/>
  <c r="DU167" i="1"/>
  <c r="DK167" i="1"/>
  <c r="DS167" i="1" s="1"/>
  <c r="DO167" i="1"/>
  <c r="DI167" i="1"/>
  <c r="DP167" i="1" s="1"/>
  <c r="BZ173" i="1"/>
  <c r="CS173" i="1"/>
  <c r="EF118" i="1"/>
  <c r="DY118" i="1" s="1"/>
  <c r="BK118" i="1" s="1"/>
  <c r="EF171" i="1"/>
  <c r="DY171" i="1" s="1"/>
  <c r="BK171" i="1" s="1"/>
  <c r="EE91" i="1"/>
  <c r="DX91" i="1" s="1"/>
  <c r="BJ91" i="1" s="1"/>
  <c r="CU140" i="1"/>
  <c r="CB140" i="1"/>
  <c r="DK151" i="1"/>
  <c r="DI151" i="1"/>
  <c r="DO151" i="1"/>
  <c r="DU151" i="1"/>
  <c r="CS154" i="1"/>
  <c r="BZ154" i="1"/>
  <c r="EJ12" i="1"/>
  <c r="EC12" i="1" s="1"/>
  <c r="BO12" i="1" s="1"/>
  <c r="AX44" i="1"/>
  <c r="CU141" i="1"/>
  <c r="CB141" i="1"/>
  <c r="EF188" i="1"/>
  <c r="DY188" i="1" s="1"/>
  <c r="BK188" i="1" s="1"/>
  <c r="AU3" i="1"/>
  <c r="C4" i="1"/>
  <c r="BH145" i="1"/>
  <c r="DJ145" i="1"/>
  <c r="DH145" i="1"/>
  <c r="DN145" i="1"/>
  <c r="DT145" i="1"/>
  <c r="CQ145" i="1"/>
  <c r="D59" i="1"/>
  <c r="BU59" i="1"/>
  <c r="DU7" i="1"/>
  <c r="EE88" i="1"/>
  <c r="DX88" i="1" s="1"/>
  <c r="BJ88" i="1" s="1"/>
  <c r="DK177" i="1"/>
  <c r="DI177" i="1"/>
  <c r="DO177" i="1"/>
  <c r="DU177" i="1"/>
  <c r="EE86" i="1"/>
  <c r="DX86" i="1" s="1"/>
  <c r="BJ86" i="1" s="1"/>
  <c r="EJ8" i="1"/>
  <c r="EC8" i="1" s="1"/>
  <c r="BO8" i="1" s="1"/>
  <c r="EF8" i="1"/>
  <c r="DY8" i="1" s="1"/>
  <c r="BK8" i="1" s="1"/>
  <c r="DK17" i="1"/>
  <c r="DO17" i="1"/>
  <c r="DI17" i="1"/>
  <c r="EF155" i="1"/>
  <c r="DY155" i="1" s="1"/>
  <c r="BK155" i="1" s="1"/>
  <c r="EF151" i="1"/>
  <c r="DY151" i="1" s="1"/>
  <c r="BK151" i="1" s="1"/>
  <c r="CS144" i="1"/>
  <c r="BZ144" i="1"/>
  <c r="DK182" i="1"/>
  <c r="DI182" i="1"/>
  <c r="DO182" i="1"/>
  <c r="DU182" i="1"/>
  <c r="CS169" i="1"/>
  <c r="BZ169" i="1"/>
  <c r="CA169" i="1" s="1"/>
  <c r="EH25" i="1"/>
  <c r="EA25" i="1" s="1"/>
  <c r="BM25" i="1" s="1"/>
  <c r="AV3" i="1"/>
  <c r="DS166" i="1"/>
  <c r="DV15" i="1" l="1"/>
  <c r="DV35" i="1"/>
  <c r="DV180" i="1"/>
  <c r="DQ185" i="1"/>
  <c r="DV179" i="1"/>
  <c r="DS181" i="1"/>
  <c r="DQ79" i="1"/>
  <c r="DW36" i="1"/>
  <c r="DS12" i="1"/>
  <c r="CP150" i="1"/>
  <c r="BZ28" i="1"/>
  <c r="DS34" i="1"/>
  <c r="DQ48" i="1"/>
  <c r="BY180" i="1"/>
  <c r="DS185" i="1"/>
  <c r="DL140" i="1"/>
  <c r="BS95" i="1"/>
  <c r="BI23" i="1"/>
  <c r="DQ7" i="1"/>
  <c r="BI141" i="1"/>
  <c r="CA48" i="1"/>
  <c r="DW176" i="1"/>
  <c r="ES176" i="1" s="1"/>
  <c r="DV154" i="1"/>
  <c r="DV171" i="1"/>
  <c r="DV158" i="1"/>
  <c r="DP5" i="1"/>
  <c r="DW184" i="1"/>
  <c r="EK184" i="1" s="1"/>
  <c r="BI30" i="1"/>
  <c r="DW38" i="1"/>
  <c r="DW16" i="1"/>
  <c r="BZ111" i="1"/>
  <c r="CC142" i="1"/>
  <c r="BZ30" i="1"/>
  <c r="DQ74" i="1"/>
  <c r="DV33" i="1"/>
  <c r="BY184" i="1"/>
  <c r="DW166" i="1"/>
  <c r="ED166" i="1" s="1"/>
  <c r="CC138" i="1"/>
  <c r="DM140" i="1"/>
  <c r="BX4" i="1"/>
  <c r="DW170" i="1"/>
  <c r="ES170" i="1" s="1"/>
  <c r="DV160" i="1"/>
  <c r="DV28" i="1"/>
  <c r="EK138" i="1"/>
  <c r="CB85" i="1"/>
  <c r="DW46" i="1"/>
  <c r="DV8" i="1"/>
  <c r="DV142" i="1"/>
  <c r="DV10" i="1"/>
  <c r="CA154" i="1"/>
  <c r="BU119" i="1"/>
  <c r="DV13" i="1"/>
  <c r="DV78" i="1"/>
  <c r="DW189" i="1"/>
  <c r="ED189" i="1" s="1"/>
  <c r="DW182" i="1"/>
  <c r="ED182" i="1" s="1"/>
  <c r="DW142" i="1"/>
  <c r="DV37" i="1"/>
  <c r="BI47" i="1"/>
  <c r="DW140" i="1"/>
  <c r="DW146" i="1"/>
  <c r="BZ36" i="1"/>
  <c r="DV79" i="1"/>
  <c r="DP149" i="1"/>
  <c r="DV76" i="1"/>
  <c r="BI142" i="1"/>
  <c r="DW154" i="1"/>
  <c r="CP149" i="1"/>
  <c r="DL32" i="1"/>
  <c r="DP183" i="1"/>
  <c r="DS155" i="1"/>
  <c r="DW148" i="1"/>
  <c r="E58" i="1"/>
  <c r="DV62" i="1"/>
  <c r="DW137" i="1"/>
  <c r="ED137" i="1" s="1"/>
  <c r="DW139" i="1"/>
  <c r="DW32" i="1"/>
  <c r="DW35" i="1"/>
  <c r="BQ169" i="1"/>
  <c r="CW169" i="1" s="1"/>
  <c r="DM73" i="1"/>
  <c r="BU15" i="1"/>
  <c r="BU34" i="1"/>
  <c r="DV38" i="1"/>
  <c r="DW5" i="1"/>
  <c r="DW158" i="1"/>
  <c r="DV32" i="1"/>
  <c r="DV146" i="1"/>
  <c r="DW160" i="1"/>
  <c r="DW187" i="1"/>
  <c r="EK187" i="1" s="1"/>
  <c r="CP137" i="1"/>
  <c r="DV71" i="1"/>
  <c r="DW47" i="1"/>
  <c r="DW45" i="1"/>
  <c r="DV36" i="1"/>
  <c r="DW179" i="1"/>
  <c r="DW143" i="1"/>
  <c r="DW150" i="1"/>
  <c r="DW177" i="1"/>
  <c r="ES177" i="1" s="1"/>
  <c r="DV34" i="1"/>
  <c r="DW149" i="1"/>
  <c r="DW165" i="1"/>
  <c r="ED165" i="1" s="1"/>
  <c r="DW151" i="1"/>
  <c r="DV151" i="1"/>
  <c r="DV150" i="1"/>
  <c r="DV77" i="1"/>
  <c r="DV155" i="1"/>
  <c r="DV30" i="1"/>
  <c r="DV73" i="1"/>
  <c r="DW141" i="1"/>
  <c r="DW181" i="1"/>
  <c r="EK181" i="1" s="1"/>
  <c r="DW178" i="1"/>
  <c r="EK178" i="1" s="1"/>
  <c r="DV140" i="1"/>
  <c r="DV159" i="1"/>
  <c r="DW4" i="1"/>
  <c r="DW175" i="1"/>
  <c r="ES175" i="1" s="1"/>
  <c r="DW58" i="1"/>
  <c r="DW185" i="1"/>
  <c r="EK185" i="1" s="1"/>
  <c r="DW167" i="1"/>
  <c r="ES167" i="1" s="1"/>
  <c r="DW169" i="1"/>
  <c r="EK169" i="1" s="1"/>
  <c r="DW183" i="1"/>
  <c r="ES183" i="1" s="1"/>
  <c r="DV70" i="1"/>
  <c r="DV152" i="1"/>
  <c r="DW48" i="1"/>
  <c r="DW147" i="1"/>
  <c r="DV25" i="1"/>
  <c r="DW173" i="1"/>
  <c r="ES173" i="1" s="1"/>
  <c r="DW156" i="1"/>
  <c r="ES156" i="1" s="1"/>
  <c r="DW164" i="1"/>
  <c r="EK164" i="1" s="1"/>
  <c r="DV31" i="1"/>
  <c r="DW162" i="1"/>
  <c r="EK162" i="1" s="1"/>
  <c r="DV23" i="1"/>
  <c r="DV75" i="1"/>
  <c r="DV141" i="1"/>
  <c r="DV147" i="1"/>
  <c r="DV148" i="1"/>
  <c r="DV27" i="1"/>
  <c r="DW159" i="1"/>
  <c r="DW180" i="1"/>
  <c r="DV149" i="1"/>
  <c r="DW155" i="1"/>
  <c r="DW157" i="1"/>
  <c r="ED157" i="1" s="1"/>
  <c r="DW37" i="1"/>
  <c r="DW152" i="1"/>
  <c r="DV153" i="1"/>
  <c r="DW161" i="1"/>
  <c r="ED161" i="1" s="1"/>
  <c r="DW153" i="1"/>
  <c r="DW145" i="1"/>
  <c r="DV145" i="1"/>
  <c r="DW27" i="1"/>
  <c r="DW26" i="1"/>
  <c r="DW11" i="1"/>
  <c r="DW21" i="1"/>
  <c r="DV139" i="1"/>
  <c r="DW34" i="1"/>
  <c r="DV18" i="1"/>
  <c r="DV72" i="1"/>
  <c r="DW22" i="1"/>
  <c r="DW172" i="1"/>
  <c r="ED172" i="1" s="1"/>
  <c r="DV143" i="1"/>
  <c r="DW60" i="1"/>
  <c r="DW78" i="1"/>
  <c r="DV144" i="1"/>
  <c r="DW171" i="1"/>
  <c r="DW144" i="1"/>
  <c r="DV24" i="1"/>
  <c r="DW71" i="1"/>
  <c r="DW8" i="1"/>
  <c r="DV74" i="1"/>
  <c r="DV45" i="1"/>
  <c r="DV17" i="1"/>
  <c r="DW79" i="1"/>
  <c r="DV63" i="1"/>
  <c r="DV60" i="1"/>
  <c r="DW74" i="1"/>
  <c r="DV21" i="1"/>
  <c r="DV46" i="1"/>
  <c r="DW28" i="1"/>
  <c r="DW75" i="1"/>
  <c r="DV20" i="1"/>
  <c r="DW10" i="1"/>
  <c r="DW29" i="1"/>
  <c r="EK29" i="1" s="1"/>
  <c r="DV57" i="1"/>
  <c r="DW73" i="1"/>
  <c r="DW70" i="1"/>
  <c r="DV26" i="1"/>
  <c r="DV59" i="1"/>
  <c r="DV58" i="1"/>
  <c r="DV61" i="1"/>
  <c r="DW62" i="1"/>
  <c r="DV11" i="1"/>
  <c r="DW59" i="1"/>
  <c r="DV19" i="1"/>
  <c r="DW63" i="1"/>
  <c r="DW12" i="1"/>
  <c r="DW6" i="1"/>
  <c r="DW76" i="1"/>
  <c r="DW14" i="1"/>
  <c r="DW9" i="1"/>
  <c r="DW57" i="1"/>
  <c r="DW72" i="1"/>
  <c r="DW7" i="1"/>
  <c r="DW77" i="1"/>
  <c r="DW30" i="1"/>
  <c r="DV16" i="1"/>
  <c r="DV5" i="1"/>
  <c r="DW19" i="1"/>
  <c r="DV9" i="1"/>
  <c r="DV4" i="1"/>
  <c r="DV22" i="1"/>
  <c r="DW61" i="1"/>
  <c r="DW25" i="1"/>
  <c r="DV6" i="1"/>
  <c r="DW20" i="1"/>
  <c r="DV7" i="1"/>
  <c r="DW31" i="1"/>
  <c r="DW18" i="1"/>
  <c r="DW17" i="1"/>
  <c r="DV48" i="1"/>
  <c r="DV47" i="1"/>
  <c r="DW24" i="1"/>
  <c r="DV14" i="1"/>
  <c r="DW13" i="1"/>
  <c r="DW15" i="1"/>
  <c r="DV12" i="1"/>
  <c r="BZ33" i="1"/>
  <c r="DM58" i="1"/>
  <c r="DQ144" i="1"/>
  <c r="DM185" i="1"/>
  <c r="CC78" i="1"/>
  <c r="BU106" i="1"/>
  <c r="DL165" i="1"/>
  <c r="DQ174" i="1"/>
  <c r="DP140" i="1"/>
  <c r="DL179" i="1"/>
  <c r="DQ5" i="1"/>
  <c r="DQ166" i="1"/>
  <c r="BX7" i="1"/>
  <c r="DQ18" i="1"/>
  <c r="DL75" i="1"/>
  <c r="BQ37" i="1"/>
  <c r="DP179" i="1"/>
  <c r="DM63" i="1"/>
  <c r="DL173" i="1"/>
  <c r="ED188" i="1"/>
  <c r="DP176" i="1"/>
  <c r="DR166" i="1"/>
  <c r="DS63" i="1"/>
  <c r="DQ12" i="1"/>
  <c r="DQ63" i="1"/>
  <c r="BS103" i="1"/>
  <c r="BS109" i="1"/>
  <c r="DQ77" i="1"/>
  <c r="DS60" i="1"/>
  <c r="DM77" i="1"/>
  <c r="DQ57" i="1"/>
  <c r="DL176" i="1"/>
  <c r="DQ141" i="1"/>
  <c r="DL145" i="1"/>
  <c r="DP142" i="1"/>
  <c r="DM147" i="1"/>
  <c r="BS106" i="1"/>
  <c r="BU95" i="1"/>
  <c r="E31" i="1"/>
  <c r="DP7" i="1"/>
  <c r="BU93" i="1"/>
  <c r="DL172" i="1"/>
  <c r="DM153" i="1"/>
  <c r="DP20" i="1"/>
  <c r="BI33" i="1"/>
  <c r="DP31" i="1"/>
  <c r="CB122" i="1"/>
  <c r="BS8" i="1"/>
  <c r="CP38" i="1"/>
  <c r="CP172" i="1"/>
  <c r="BX165" i="1"/>
  <c r="CY165" i="1" s="1"/>
  <c r="DL186" i="1"/>
  <c r="DQ142" i="1"/>
  <c r="DP152" i="1"/>
  <c r="DM34" i="1"/>
  <c r="DM12" i="1"/>
  <c r="DP189" i="1"/>
  <c r="BX34" i="1"/>
  <c r="DS171" i="1"/>
  <c r="CP166" i="1"/>
  <c r="DR179" i="1"/>
  <c r="DM146" i="1"/>
  <c r="DQ146" i="1"/>
  <c r="E24" i="1"/>
  <c r="DP58" i="1"/>
  <c r="DS77" i="1"/>
  <c r="DM165" i="1"/>
  <c r="CP144" i="1"/>
  <c r="DQ25" i="1"/>
  <c r="CV26" i="1"/>
  <c r="CV22" i="1"/>
  <c r="BU90" i="1"/>
  <c r="BQ4" i="1"/>
  <c r="BS111" i="1"/>
  <c r="BZ95" i="1"/>
  <c r="BQ156" i="1"/>
  <c r="CW156" i="1" s="1"/>
  <c r="BX174" i="1"/>
  <c r="CY174" i="1" s="1"/>
  <c r="BZ110" i="1"/>
  <c r="CB101" i="1"/>
  <c r="CB102" i="1"/>
  <c r="DR140" i="1"/>
  <c r="DQ165" i="1"/>
  <c r="BZ105" i="1"/>
  <c r="BU17" i="1"/>
  <c r="BX129" i="1"/>
  <c r="CB25" i="1"/>
  <c r="EK130" i="1"/>
  <c r="DQ178" i="1"/>
  <c r="DM28" i="1"/>
  <c r="DP157" i="1"/>
  <c r="BQ75" i="1"/>
  <c r="CW75" i="1" s="1"/>
  <c r="CP140" i="1"/>
  <c r="DL188" i="1"/>
  <c r="BI22" i="1"/>
  <c r="BI189" i="1"/>
  <c r="BZ88" i="1"/>
  <c r="DL79" i="1"/>
  <c r="BS87" i="1"/>
  <c r="BU129" i="1"/>
  <c r="BS100" i="1"/>
  <c r="CA79" i="1"/>
  <c r="D3" i="1"/>
  <c r="CP8" i="1"/>
  <c r="DL38" i="1"/>
  <c r="DM7" i="1"/>
  <c r="DQ34" i="1"/>
  <c r="DS7" i="1"/>
  <c r="BI140" i="1"/>
  <c r="DP29" i="1"/>
  <c r="E76" i="1"/>
  <c r="DL6" i="1"/>
  <c r="DP9" i="1"/>
  <c r="CB105" i="1"/>
  <c r="DL27" i="1"/>
  <c r="BU89" i="1"/>
  <c r="DL72" i="1"/>
  <c r="CC143" i="1"/>
  <c r="CA167" i="1"/>
  <c r="DM46" i="1"/>
  <c r="BS12" i="1"/>
  <c r="BS121" i="1"/>
  <c r="CA58" i="1"/>
  <c r="BZ21" i="1"/>
  <c r="DR31" i="1"/>
  <c r="CB94" i="1"/>
  <c r="BX57" i="1"/>
  <c r="BY57" i="1" s="1"/>
  <c r="BX171" i="1"/>
  <c r="CC139" i="1"/>
  <c r="BI155" i="1"/>
  <c r="BI156" i="1"/>
  <c r="BI182" i="1"/>
  <c r="CA162" i="1"/>
  <c r="BU19" i="1"/>
  <c r="BZ19" i="1"/>
  <c r="DR98" i="1"/>
  <c r="CA72" i="1"/>
  <c r="BI13" i="1"/>
  <c r="DM71" i="1"/>
  <c r="DQ36" i="1"/>
  <c r="CA176" i="1"/>
  <c r="AY136" i="1"/>
  <c r="CP158" i="1"/>
  <c r="CP188" i="1"/>
  <c r="DQ147" i="1"/>
  <c r="DR187" i="1"/>
  <c r="DL177" i="1"/>
  <c r="BU91" i="1"/>
  <c r="DR146" i="1"/>
  <c r="CB13" i="1"/>
  <c r="BI160" i="1"/>
  <c r="DQ71" i="1"/>
  <c r="BI73" i="1"/>
  <c r="BS4" i="1"/>
  <c r="DS33" i="1"/>
  <c r="BI38" i="1"/>
  <c r="DL28" i="1"/>
  <c r="BI11" i="1"/>
  <c r="BI15" i="1"/>
  <c r="BI186" i="1"/>
  <c r="DL34" i="1"/>
  <c r="CP31" i="1"/>
  <c r="BX175" i="1"/>
  <c r="CY175" i="1" s="1"/>
  <c r="CC186" i="1"/>
  <c r="DS147" i="1"/>
  <c r="DM171" i="1"/>
  <c r="DS158" i="1"/>
  <c r="BX9" i="1"/>
  <c r="DP73" i="1"/>
  <c r="DP76" i="1"/>
  <c r="DS142" i="1"/>
  <c r="DQ171" i="1"/>
  <c r="CP148" i="1"/>
  <c r="DQ35" i="1"/>
  <c r="CP182" i="1"/>
  <c r="BQ25" i="1"/>
  <c r="BQ108" i="1"/>
  <c r="DP186" i="1"/>
  <c r="DQ60" i="1"/>
  <c r="BX106" i="1"/>
  <c r="CA78" i="1"/>
  <c r="BS128" i="1"/>
  <c r="CA144" i="1"/>
  <c r="BQ176" i="1"/>
  <c r="CW176" i="1" s="1"/>
  <c r="E33" i="1"/>
  <c r="BI61" i="1"/>
  <c r="BI174" i="1"/>
  <c r="DQ172" i="1"/>
  <c r="DS153" i="1"/>
  <c r="EK93" i="1"/>
  <c r="DQ140" i="1"/>
  <c r="EK127" i="1"/>
  <c r="DS28" i="1"/>
  <c r="BI166" i="1"/>
  <c r="BX59" i="1"/>
  <c r="CY59" i="1" s="1"/>
  <c r="DQ158" i="1"/>
  <c r="BT74" i="1"/>
  <c r="CM82" i="1"/>
  <c r="DQ28" i="1"/>
  <c r="CP146" i="1"/>
  <c r="DL144" i="1"/>
  <c r="ES188" i="1"/>
  <c r="CP183" i="1"/>
  <c r="CC60" i="1"/>
  <c r="DM178" i="1"/>
  <c r="BX100" i="1"/>
  <c r="CB100" i="1"/>
  <c r="DP15" i="1"/>
  <c r="CB22" i="1"/>
  <c r="E5" i="1"/>
  <c r="CA75" i="1"/>
  <c r="DQ10" i="1"/>
  <c r="C44" i="1"/>
  <c r="CP141" i="1"/>
  <c r="CP147" i="1"/>
  <c r="DR178" i="1"/>
  <c r="CP156" i="1"/>
  <c r="DL181" i="1"/>
  <c r="DM176" i="1"/>
  <c r="DS178" i="1"/>
  <c r="DS140" i="1"/>
  <c r="DS146" i="1"/>
  <c r="BQ125" i="1"/>
  <c r="DR111" i="1"/>
  <c r="BX6" i="1"/>
  <c r="DM26" i="1"/>
  <c r="BZ124" i="1"/>
  <c r="BS127" i="1"/>
  <c r="BZ9" i="1"/>
  <c r="BZ87" i="1"/>
  <c r="BI146" i="1"/>
  <c r="CA188" i="1"/>
  <c r="BI75" i="1"/>
  <c r="CV15" i="1"/>
  <c r="E20" i="1"/>
  <c r="CV9" i="1"/>
  <c r="BQ71" i="1"/>
  <c r="CW71" i="1" s="1"/>
  <c r="BZ93" i="1"/>
  <c r="BQ9" i="1"/>
  <c r="DL25" i="1"/>
  <c r="BT46" i="1"/>
  <c r="BI8" i="1"/>
  <c r="BX117" i="1"/>
  <c r="DQ170" i="1"/>
  <c r="DL157" i="1"/>
  <c r="BQ5" i="1"/>
  <c r="BQ117" i="1"/>
  <c r="DL149" i="1"/>
  <c r="CP159" i="1"/>
  <c r="DM170" i="1"/>
  <c r="DS139" i="1"/>
  <c r="DR165" i="1"/>
  <c r="BU85" i="1"/>
  <c r="BX173" i="1"/>
  <c r="CY173" i="1" s="1"/>
  <c r="CB95" i="1"/>
  <c r="EK117" i="1"/>
  <c r="BT138" i="1"/>
  <c r="DP23" i="1"/>
  <c r="BI19" i="1"/>
  <c r="BX20" i="1"/>
  <c r="DM70" i="1"/>
  <c r="BX128" i="1"/>
  <c r="CY162" i="1"/>
  <c r="CZ163" i="1" s="1"/>
  <c r="BS36" i="1"/>
  <c r="EK119" i="1"/>
  <c r="DQ6" i="1"/>
  <c r="BZ32" i="1"/>
  <c r="DL23" i="1"/>
  <c r="BI149" i="1"/>
  <c r="BS5" i="1"/>
  <c r="DP72" i="1"/>
  <c r="BS17" i="1"/>
  <c r="DQ173" i="1"/>
  <c r="BS102" i="1"/>
  <c r="CB6" i="1"/>
  <c r="CV35" i="1"/>
  <c r="DP22" i="1"/>
  <c r="CB113" i="1"/>
  <c r="E38" i="1"/>
  <c r="CA158" i="1"/>
  <c r="DL16" i="1"/>
  <c r="BZ17" i="1"/>
  <c r="DQ70" i="1"/>
  <c r="CB89" i="1"/>
  <c r="BQ173" i="1"/>
  <c r="CW173" i="1" s="1"/>
  <c r="BQ116" i="1"/>
  <c r="DP38" i="1"/>
  <c r="EK100" i="1"/>
  <c r="CK84" i="1"/>
  <c r="CK131" i="1" s="1"/>
  <c r="CJ131" i="1" s="1"/>
  <c r="BY144" i="1"/>
  <c r="BI20" i="1"/>
  <c r="CA71" i="1"/>
  <c r="CP72" i="1"/>
  <c r="BQ59" i="1"/>
  <c r="CW59" i="1" s="1"/>
  <c r="DS70" i="1"/>
  <c r="BI21" i="1"/>
  <c r="CL82" i="1"/>
  <c r="DS73" i="1"/>
  <c r="DM60" i="1"/>
  <c r="DM74" i="1"/>
  <c r="BU113" i="1"/>
  <c r="EK163" i="1"/>
  <c r="BQ163" i="1"/>
  <c r="CW163" i="1" s="1"/>
  <c r="DR163" i="1"/>
  <c r="BS93" i="1"/>
  <c r="DS10" i="1"/>
  <c r="DQ73" i="1"/>
  <c r="DQ14" i="1"/>
  <c r="DM27" i="1"/>
  <c r="DL13" i="1"/>
  <c r="CV30" i="1"/>
  <c r="BZ7" i="1"/>
  <c r="BX47" i="1"/>
  <c r="CV20" i="1"/>
  <c r="E13" i="1"/>
  <c r="BS27" i="1"/>
  <c r="DL7" i="1"/>
  <c r="DR37" i="1"/>
  <c r="DL76" i="1"/>
  <c r="DQ11" i="1"/>
  <c r="DM21" i="1"/>
  <c r="DM23" i="1"/>
  <c r="DS37" i="1"/>
  <c r="DL12" i="1"/>
  <c r="DQ15" i="1"/>
  <c r="DQ78" i="1"/>
  <c r="DM6" i="1"/>
  <c r="BQ22" i="1"/>
  <c r="BQ14" i="1"/>
  <c r="DR158" i="1"/>
  <c r="BS105" i="1"/>
  <c r="BQ106" i="1"/>
  <c r="BZ128" i="1"/>
  <c r="E8" i="1"/>
  <c r="DP156" i="1"/>
  <c r="DL141" i="1"/>
  <c r="DP188" i="1"/>
  <c r="DL153" i="1"/>
  <c r="DP177" i="1"/>
  <c r="DR95" i="1"/>
  <c r="BX24" i="1"/>
  <c r="CC154" i="1"/>
  <c r="DL142" i="1"/>
  <c r="DS177" i="1"/>
  <c r="ED138" i="1"/>
  <c r="DS58" i="1"/>
  <c r="DM144" i="1"/>
  <c r="BQ21" i="1"/>
  <c r="DL22" i="1"/>
  <c r="DL15" i="1"/>
  <c r="DM33" i="1"/>
  <c r="DM20" i="1"/>
  <c r="BS91" i="1"/>
  <c r="DS24" i="1"/>
  <c r="DQ8" i="1"/>
  <c r="BQ27" i="1"/>
  <c r="DP30" i="1"/>
  <c r="DS31" i="1"/>
  <c r="DM15" i="1"/>
  <c r="DR116" i="1"/>
  <c r="CB109" i="1"/>
  <c r="CP34" i="1"/>
  <c r="BI60" i="1"/>
  <c r="BI188" i="1"/>
  <c r="DS6" i="1"/>
  <c r="CA153" i="1"/>
  <c r="BI143" i="1"/>
  <c r="BI173" i="1"/>
  <c r="E46" i="1"/>
  <c r="DR6" i="1"/>
  <c r="CC74" i="1"/>
  <c r="BX22" i="1"/>
  <c r="BU9" i="1"/>
  <c r="BU126" i="1"/>
  <c r="BZ27" i="1"/>
  <c r="CB114" i="1"/>
  <c r="CA159" i="1"/>
  <c r="BS112" i="1"/>
  <c r="DP34" i="1"/>
  <c r="BX21" i="1"/>
  <c r="BX37" i="1"/>
  <c r="DS74" i="1"/>
  <c r="EK106" i="1"/>
  <c r="DR106" i="1"/>
  <c r="BS9" i="1"/>
  <c r="EK111" i="1"/>
  <c r="EK102" i="1"/>
  <c r="BX116" i="1"/>
  <c r="DR170" i="1"/>
  <c r="BQ38" i="1"/>
  <c r="BS122" i="1"/>
  <c r="DM8" i="1"/>
  <c r="DW33" i="1"/>
  <c r="BT73" i="1"/>
  <c r="BU114" i="1"/>
  <c r="DL30" i="1"/>
  <c r="CB9" i="1"/>
  <c r="BX14" i="1"/>
  <c r="E72" i="1"/>
  <c r="CB126" i="1"/>
  <c r="BQ6" i="1"/>
  <c r="EK114" i="1"/>
  <c r="EK112" i="1"/>
  <c r="EK116" i="1"/>
  <c r="DR110" i="1"/>
  <c r="BS30" i="1"/>
  <c r="DM36" i="1"/>
  <c r="CP18" i="1"/>
  <c r="BS90" i="1"/>
  <c r="DP173" i="1"/>
  <c r="DQ177" i="1"/>
  <c r="BQ114" i="1"/>
  <c r="BX32" i="1"/>
  <c r="DS35" i="1"/>
  <c r="DR47" i="1"/>
  <c r="CC73" i="1"/>
  <c r="BX38" i="1"/>
  <c r="DP16" i="1"/>
  <c r="DM78" i="1"/>
  <c r="CB124" i="1"/>
  <c r="BI144" i="1"/>
  <c r="CB19" i="1"/>
  <c r="DP60" i="1"/>
  <c r="CC48" i="1"/>
  <c r="BT60" i="1"/>
  <c r="CB119" i="1"/>
  <c r="DR117" i="1"/>
  <c r="BI29" i="1"/>
  <c r="BS20" i="1"/>
  <c r="CA148" i="1"/>
  <c r="BQ111" i="1"/>
  <c r="BY163" i="1"/>
  <c r="BZ5" i="1"/>
  <c r="BX169" i="1"/>
  <c r="CY169" i="1" s="1"/>
  <c r="DR114" i="1"/>
  <c r="BX114" i="1"/>
  <c r="EK95" i="1"/>
  <c r="EK108" i="1"/>
  <c r="EK104" i="1"/>
  <c r="CB90" i="1"/>
  <c r="DP6" i="1"/>
  <c r="BZ20" i="1"/>
  <c r="CA147" i="1"/>
  <c r="CP71" i="1"/>
  <c r="E45" i="1"/>
  <c r="E79" i="1"/>
  <c r="BU103" i="1"/>
  <c r="E36" i="1"/>
  <c r="BS18" i="1"/>
  <c r="CP37" i="1"/>
  <c r="BI10" i="1"/>
  <c r="BS92" i="1"/>
  <c r="BI185" i="1"/>
  <c r="CA166" i="1"/>
  <c r="CC75" i="1"/>
  <c r="BQ16" i="1"/>
  <c r="BQ20" i="1"/>
  <c r="CB14" i="1"/>
  <c r="BZ112" i="1"/>
  <c r="BI78" i="1"/>
  <c r="DP13" i="1"/>
  <c r="CA141" i="1"/>
  <c r="E25" i="1"/>
  <c r="BS26" i="1"/>
  <c r="BQ112" i="1"/>
  <c r="DR183" i="1"/>
  <c r="CP152" i="1"/>
  <c r="BX158" i="1"/>
  <c r="BQ172" i="1"/>
  <c r="CW172" i="1" s="1"/>
  <c r="DR24" i="1"/>
  <c r="BZ18" i="1"/>
  <c r="BZ127" i="1"/>
  <c r="BU100" i="1"/>
  <c r="BI46" i="1"/>
  <c r="BS29" i="1"/>
  <c r="E15" i="1"/>
  <c r="BI181" i="1"/>
  <c r="BI48" i="1"/>
  <c r="CC160" i="1"/>
  <c r="BI26" i="1"/>
  <c r="BT76" i="1"/>
  <c r="BQ46" i="1"/>
  <c r="CW46" i="1" s="1"/>
  <c r="BQ74" i="1"/>
  <c r="CW74" i="1" s="1"/>
  <c r="DQ27" i="1"/>
  <c r="DS27" i="1"/>
  <c r="DR172" i="1"/>
  <c r="DR173" i="1"/>
  <c r="DQ179" i="1"/>
  <c r="DM172" i="1"/>
  <c r="DS172" i="1"/>
  <c r="DQ153" i="1"/>
  <c r="DL152" i="1"/>
  <c r="DL189" i="1"/>
  <c r="DS179" i="1"/>
  <c r="DM173" i="1"/>
  <c r="DM183" i="1"/>
  <c r="DR162" i="1"/>
  <c r="DM141" i="1"/>
  <c r="DL62" i="1"/>
  <c r="CB120" i="1"/>
  <c r="BI32" i="1"/>
  <c r="CC188" i="1"/>
  <c r="BQ72" i="1"/>
  <c r="CW72" i="1" s="1"/>
  <c r="BU33" i="1"/>
  <c r="BU6" i="1"/>
  <c r="BU124" i="1"/>
  <c r="DP10" i="1"/>
  <c r="BZ4" i="1"/>
  <c r="DS36" i="1"/>
  <c r="DS72" i="1"/>
  <c r="DP79" i="1"/>
  <c r="BI9" i="1"/>
  <c r="BZ92" i="1"/>
  <c r="CP60" i="1"/>
  <c r="CP23" i="1"/>
  <c r="BX146" i="1"/>
  <c r="CY146" i="1" s="1"/>
  <c r="CB34" i="1"/>
  <c r="BZ109" i="1"/>
  <c r="CV10" i="1"/>
  <c r="DL73" i="1"/>
  <c r="DP77" i="1"/>
  <c r="DR14" i="1"/>
  <c r="DS162" i="1"/>
  <c r="DR153" i="1"/>
  <c r="DS14" i="1"/>
  <c r="CB103" i="1"/>
  <c r="DR27" i="1"/>
  <c r="DL183" i="1"/>
  <c r="DP182" i="1"/>
  <c r="DS11" i="1"/>
  <c r="DL10" i="1"/>
  <c r="BX98" i="1"/>
  <c r="DS8" i="1"/>
  <c r="DP27" i="1"/>
  <c r="EK125" i="1"/>
  <c r="BU26" i="1"/>
  <c r="DI3" i="1"/>
  <c r="DI40" i="1" s="1"/>
  <c r="BI7" i="1"/>
  <c r="BT61" i="1"/>
  <c r="BU110" i="1"/>
  <c r="BS104" i="1"/>
  <c r="BQ29" i="1"/>
  <c r="CB118" i="1"/>
  <c r="CV14" i="1"/>
  <c r="DM61" i="1"/>
  <c r="DR171" i="1"/>
  <c r="DP160" i="1"/>
  <c r="BZ91" i="1"/>
  <c r="CV6" i="1"/>
  <c r="CP26" i="1"/>
  <c r="BZ123" i="1"/>
  <c r="BU96" i="1"/>
  <c r="BZ102" i="1"/>
  <c r="CB91" i="1"/>
  <c r="BS33" i="1"/>
  <c r="EK103" i="1"/>
  <c r="CB110" i="1"/>
  <c r="BU14" i="1"/>
  <c r="BX16" i="1"/>
  <c r="CB96" i="1"/>
  <c r="CA183" i="1"/>
  <c r="BS120" i="1"/>
  <c r="BS118" i="1"/>
  <c r="BU10" i="1"/>
  <c r="BI24" i="1"/>
  <c r="BS88" i="1"/>
  <c r="BZ103" i="1"/>
  <c r="BQ162" i="1"/>
  <c r="CW162" i="1" s="1"/>
  <c r="ET182" i="1"/>
  <c r="EK86" i="1"/>
  <c r="CC58" i="1"/>
  <c r="BS123" i="1"/>
  <c r="BI178" i="1"/>
  <c r="CA171" i="1"/>
  <c r="CC183" i="1"/>
  <c r="BU99" i="1"/>
  <c r="BU86" i="1"/>
  <c r="BS32" i="1"/>
  <c r="BU35" i="1"/>
  <c r="DL5" i="1"/>
  <c r="BQ98" i="1"/>
  <c r="CA161" i="1"/>
  <c r="EK124" i="1"/>
  <c r="DQ61" i="1"/>
  <c r="DM10" i="1"/>
  <c r="DR71" i="1"/>
  <c r="E59" i="1"/>
  <c r="CP70" i="1"/>
  <c r="CP75" i="1"/>
  <c r="E48" i="1"/>
  <c r="DR36" i="1"/>
  <c r="DP35" i="1"/>
  <c r="CV16" i="1"/>
  <c r="CP47" i="1"/>
  <c r="BZ31" i="1"/>
  <c r="CA73" i="1"/>
  <c r="BX185" i="1"/>
  <c r="CY185" i="1" s="1"/>
  <c r="CP16" i="1"/>
  <c r="CV33" i="1"/>
  <c r="B44" i="1"/>
  <c r="CP15" i="1"/>
  <c r="BI150" i="1"/>
  <c r="CP17" i="1"/>
  <c r="BX79" i="1"/>
  <c r="CY79" i="1" s="1"/>
  <c r="BZ116" i="1"/>
  <c r="BT140" i="1"/>
  <c r="BT139" i="1"/>
  <c r="DM14" i="1"/>
  <c r="DM35" i="1"/>
  <c r="BZ122" i="1"/>
  <c r="BX71" i="1"/>
  <c r="CY71" i="1" s="1"/>
  <c r="BX75" i="1"/>
  <c r="ET75" i="1" s="1"/>
  <c r="DP17" i="1"/>
  <c r="DJ3" i="1"/>
  <c r="E57" i="1"/>
  <c r="BX23" i="1"/>
  <c r="BZ119" i="1"/>
  <c r="CV28" i="1"/>
  <c r="CC187" i="1"/>
  <c r="E18" i="1"/>
  <c r="CV18" i="1"/>
  <c r="BX12" i="1"/>
  <c r="BQ95" i="1"/>
  <c r="BS99" i="1"/>
  <c r="BX111" i="1"/>
  <c r="BQ171" i="1"/>
  <c r="CW171" i="1" s="1"/>
  <c r="DP144" i="1"/>
  <c r="DM45" i="1"/>
  <c r="DM72" i="1"/>
  <c r="BS107" i="1"/>
  <c r="DQ72" i="1"/>
  <c r="CP11" i="1"/>
  <c r="DS32" i="1"/>
  <c r="CP36" i="1"/>
  <c r="CV12" i="1"/>
  <c r="CB99" i="1"/>
  <c r="BQ146" i="1"/>
  <c r="CW146" i="1" s="1"/>
  <c r="DQ58" i="1"/>
  <c r="E63" i="1"/>
  <c r="DS17" i="1"/>
  <c r="DQ29" i="1"/>
  <c r="E11" i="1"/>
  <c r="DQ22" i="1"/>
  <c r="DP8" i="1"/>
  <c r="CP29" i="1"/>
  <c r="BU118" i="1"/>
  <c r="DL77" i="1"/>
  <c r="CA157" i="1"/>
  <c r="DR26" i="1"/>
  <c r="DM32" i="1"/>
  <c r="CV25" i="1"/>
  <c r="BS21" i="1"/>
  <c r="DM18" i="1"/>
  <c r="BT72" i="1"/>
  <c r="BU87" i="1"/>
  <c r="DL74" i="1"/>
  <c r="DL60" i="1"/>
  <c r="DS79" i="1"/>
  <c r="BU94" i="1"/>
  <c r="BX187" i="1"/>
  <c r="BQ31" i="1"/>
  <c r="BS28" i="1"/>
  <c r="CP61" i="1"/>
  <c r="BU36" i="1"/>
  <c r="DR62" i="1"/>
  <c r="DR63" i="1"/>
  <c r="CB23" i="1"/>
  <c r="BQ33" i="1"/>
  <c r="DR5" i="1"/>
  <c r="DJ80" i="1"/>
  <c r="BZ118" i="1"/>
  <c r="DQ62" i="1"/>
  <c r="E75" i="1"/>
  <c r="CP48" i="1"/>
  <c r="E9" i="1"/>
  <c r="DM62" i="1"/>
  <c r="CP19" i="1"/>
  <c r="DP45" i="1"/>
  <c r="DP71" i="1"/>
  <c r="BZ26" i="1"/>
  <c r="DM79" i="1"/>
  <c r="DS45" i="1"/>
  <c r="DR46" i="1"/>
  <c r="DL29" i="1"/>
  <c r="DL31" i="1"/>
  <c r="DQ45" i="1"/>
  <c r="BZ12" i="1"/>
  <c r="BQ57" i="1"/>
  <c r="BR57" i="1" s="1"/>
  <c r="CB106" i="1"/>
  <c r="DP28" i="1"/>
  <c r="DS18" i="1"/>
  <c r="BS23" i="1"/>
  <c r="E27" i="1"/>
  <c r="DM11" i="1"/>
  <c r="BQ60" i="1"/>
  <c r="CW60" i="1" s="1"/>
  <c r="EK85" i="1"/>
  <c r="CB26" i="1"/>
  <c r="CA146" i="1"/>
  <c r="EK115" i="1"/>
  <c r="BQ188" i="1"/>
  <c r="CW188" i="1" s="1"/>
  <c r="DR118" i="1"/>
  <c r="BQ152" i="1"/>
  <c r="CW152" i="1" s="1"/>
  <c r="CC147" i="1"/>
  <c r="CA175" i="1"/>
  <c r="BZ120" i="1"/>
  <c r="DR164" i="1"/>
  <c r="BZ8" i="1"/>
  <c r="EK110" i="1"/>
  <c r="CL1" i="1"/>
  <c r="BX91" i="1"/>
  <c r="BQ147" i="1"/>
  <c r="CW147" i="1" s="1"/>
  <c r="BT79" i="1"/>
  <c r="E17" i="1"/>
  <c r="BX164" i="1"/>
  <c r="BY164" i="1" s="1"/>
  <c r="BQ110" i="1"/>
  <c r="BX151" i="1"/>
  <c r="CY151" i="1" s="1"/>
  <c r="BU28" i="1"/>
  <c r="BU101" i="1"/>
  <c r="CC189" i="1"/>
  <c r="BQ129" i="1"/>
  <c r="EK188" i="1"/>
  <c r="D44" i="1"/>
  <c r="CC157" i="1"/>
  <c r="BI5" i="1"/>
  <c r="BZ101" i="1"/>
  <c r="CA60" i="1"/>
  <c r="CB21" i="1"/>
  <c r="EK109" i="1"/>
  <c r="CC179" i="1"/>
  <c r="BI31" i="1"/>
  <c r="CA187" i="1"/>
  <c r="BS7" i="1"/>
  <c r="BQ47" i="1"/>
  <c r="CW47" i="1" s="1"/>
  <c r="BI162" i="1"/>
  <c r="BU105" i="1"/>
  <c r="CC141" i="1"/>
  <c r="DQ46" i="1"/>
  <c r="CP59" i="1"/>
  <c r="CP176" i="1"/>
  <c r="BI170" i="1"/>
  <c r="CP186" i="1"/>
  <c r="CP169" i="1"/>
  <c r="CP167" i="1"/>
  <c r="DQ149" i="1"/>
  <c r="CP154" i="1"/>
  <c r="CP174" i="1"/>
  <c r="CP138" i="1"/>
  <c r="CP160" i="1"/>
  <c r="CP179" i="1"/>
  <c r="CP187" i="1"/>
  <c r="CP171" i="1"/>
  <c r="CP181" i="1"/>
  <c r="CP153" i="1"/>
  <c r="BY139" i="1"/>
  <c r="CC158" i="1"/>
  <c r="CB36" i="1"/>
  <c r="CB93" i="1"/>
  <c r="DR186" i="1"/>
  <c r="DQ189" i="1"/>
  <c r="DQ148" i="1"/>
  <c r="DP141" i="1"/>
  <c r="BQ13" i="1"/>
  <c r="BQ28" i="1"/>
  <c r="DS188" i="1"/>
  <c r="BI154" i="1"/>
  <c r="ET184" i="1"/>
  <c r="DS154" i="1"/>
  <c r="CA181" i="1"/>
  <c r="BX77" i="1"/>
  <c r="CY77" i="1" s="1"/>
  <c r="DS151" i="1"/>
  <c r="BI79" i="1"/>
  <c r="DR29" i="1"/>
  <c r="BS115" i="1"/>
  <c r="CB87" i="1"/>
  <c r="CA142" i="1"/>
  <c r="DR18" i="1"/>
  <c r="BU32" i="1"/>
  <c r="BU123" i="1"/>
  <c r="BU115" i="1"/>
  <c r="CA61" i="1"/>
  <c r="BZ107" i="1"/>
  <c r="CA156" i="1"/>
  <c r="DL185" i="1"/>
  <c r="DQ183" i="1"/>
  <c r="CC47" i="1"/>
  <c r="DL156" i="1"/>
  <c r="DP145" i="1"/>
  <c r="DR169" i="1"/>
  <c r="DL174" i="1"/>
  <c r="DQ155" i="1"/>
  <c r="DQ162" i="1"/>
  <c r="DS46" i="1"/>
  <c r="DL182" i="1"/>
  <c r="BQ187" i="1"/>
  <c r="DR129" i="1"/>
  <c r="BX18" i="1"/>
  <c r="BU25" i="1"/>
  <c r="BX118" i="1"/>
  <c r="DR185" i="1"/>
  <c r="BQ185" i="1"/>
  <c r="CW185" i="1" s="1"/>
  <c r="BQ18" i="1"/>
  <c r="CA155" i="1"/>
  <c r="BZ90" i="1"/>
  <c r="BX29" i="1"/>
  <c r="BX31" i="1"/>
  <c r="CB123" i="1"/>
  <c r="CC155" i="1"/>
  <c r="CB32" i="1"/>
  <c r="CA74" i="1"/>
  <c r="DR10" i="1"/>
  <c r="BZ97" i="1"/>
  <c r="BX5" i="1"/>
  <c r="EK129" i="1"/>
  <c r="BS110" i="1"/>
  <c r="BK109" i="1"/>
  <c r="BQ109" i="1" s="1"/>
  <c r="CA168" i="1"/>
  <c r="CB115" i="1"/>
  <c r="BZ100" i="1"/>
  <c r="BZ121" i="1"/>
  <c r="CA174" i="1"/>
  <c r="CY138" i="1"/>
  <c r="BI74" i="1"/>
  <c r="BS130" i="1"/>
  <c r="BX188" i="1"/>
  <c r="BI175" i="1"/>
  <c r="EK118" i="1"/>
  <c r="BZ115" i="1"/>
  <c r="BS101" i="1"/>
  <c r="BI25" i="1"/>
  <c r="EK91" i="1"/>
  <c r="BS98" i="1"/>
  <c r="DL17" i="1"/>
  <c r="CB28" i="1"/>
  <c r="CB15" i="1"/>
  <c r="BQ155" i="1"/>
  <c r="CW155" i="1" s="1"/>
  <c r="BX150" i="1"/>
  <c r="CY150" i="1" s="1"/>
  <c r="CB44" i="1"/>
  <c r="CB81" i="1" s="1"/>
  <c r="BX154" i="1"/>
  <c r="CY154" i="1" s="1"/>
  <c r="BZ14" i="1"/>
  <c r="DL24" i="1"/>
  <c r="BX70" i="1"/>
  <c r="BY70" i="1" s="1"/>
  <c r="BY140" i="1"/>
  <c r="BH190" i="1"/>
  <c r="BX152" i="1"/>
  <c r="CY152" i="1" s="1"/>
  <c r="DR155" i="1"/>
  <c r="BX156" i="1"/>
  <c r="BI167" i="1"/>
  <c r="CA165" i="1"/>
  <c r="DL58" i="1"/>
  <c r="C3" i="1"/>
  <c r="E10" i="1"/>
  <c r="DR188" i="1"/>
  <c r="BQ154" i="1"/>
  <c r="ET143" i="1"/>
  <c r="BX155" i="1"/>
  <c r="BQ174" i="1"/>
  <c r="CW174" i="1" s="1"/>
  <c r="CP10" i="1"/>
  <c r="BQ151" i="1"/>
  <c r="CW151" i="1" s="1"/>
  <c r="ET139" i="1"/>
  <c r="BS13" i="1"/>
  <c r="DS61" i="1"/>
  <c r="BQ24" i="1"/>
  <c r="E32" i="1"/>
  <c r="BX27" i="1"/>
  <c r="E4" i="1"/>
  <c r="BQ91" i="1"/>
  <c r="DL11" i="1"/>
  <c r="CA152" i="1"/>
  <c r="CA149" i="1"/>
  <c r="DM22" i="1"/>
  <c r="CB107" i="1"/>
  <c r="BU130" i="1"/>
  <c r="CY139" i="1"/>
  <c r="BZ13" i="1"/>
  <c r="BI176" i="1"/>
  <c r="CY137" i="1"/>
  <c r="CU44" i="1"/>
  <c r="E78" i="1"/>
  <c r="E14" i="1"/>
  <c r="BS25" i="1"/>
  <c r="CP33" i="1"/>
  <c r="CV36" i="1"/>
  <c r="CP24" i="1"/>
  <c r="CM3" i="1"/>
  <c r="CM40" i="1" s="1"/>
  <c r="CP35" i="1"/>
  <c r="E47" i="1"/>
  <c r="BU92" i="1"/>
  <c r="CP57" i="1"/>
  <c r="E77" i="1"/>
  <c r="E26" i="1"/>
  <c r="CV17" i="1"/>
  <c r="BX186" i="1"/>
  <c r="CY186" i="1" s="1"/>
  <c r="BU11" i="1"/>
  <c r="BX149" i="1"/>
  <c r="CY149" i="1" s="1"/>
  <c r="CA140" i="1"/>
  <c r="ET141" i="1"/>
  <c r="CC71" i="1"/>
  <c r="CA59" i="1"/>
  <c r="E74" i="1"/>
  <c r="CC76" i="1"/>
  <c r="E71" i="1"/>
  <c r="E29" i="1"/>
  <c r="BX28" i="1"/>
  <c r="CV31" i="1"/>
  <c r="BS22" i="1"/>
  <c r="CV23" i="1"/>
  <c r="CV7" i="1"/>
  <c r="CV13" i="1"/>
  <c r="DL63" i="1"/>
  <c r="BU27" i="1"/>
  <c r="E28" i="1"/>
  <c r="DS16" i="1"/>
  <c r="DJ81" i="1"/>
  <c r="BH3" i="1"/>
  <c r="DP4" i="1"/>
  <c r="CB88" i="1"/>
  <c r="DL14" i="1"/>
  <c r="BS97" i="1"/>
  <c r="EK120" i="1"/>
  <c r="DR79" i="1"/>
  <c r="DL78" i="1"/>
  <c r="BQ77" i="1"/>
  <c r="CW77" i="1" s="1"/>
  <c r="E30" i="1"/>
  <c r="BZ34" i="1"/>
  <c r="DR19" i="1"/>
  <c r="BX63" i="1"/>
  <c r="BI152" i="1"/>
  <c r="BI179" i="1"/>
  <c r="CV38" i="1"/>
  <c r="CA76" i="1"/>
  <c r="E6" i="1"/>
  <c r="DP46" i="1"/>
  <c r="BU23" i="1"/>
  <c r="CP79" i="1"/>
  <c r="CC181" i="1"/>
  <c r="CV21" i="1"/>
  <c r="BQ88" i="1"/>
  <c r="BX122" i="1"/>
  <c r="BQ148" i="1"/>
  <c r="CW148" i="1" s="1"/>
  <c r="CC46" i="1"/>
  <c r="DL70" i="1"/>
  <c r="BU111" i="1"/>
  <c r="CP25" i="1"/>
  <c r="CP13" i="1"/>
  <c r="DS38" i="1"/>
  <c r="CB112" i="1"/>
  <c r="CB128" i="1"/>
  <c r="BX26" i="1"/>
  <c r="CP58" i="1"/>
  <c r="CP32" i="1"/>
  <c r="DQ76" i="1"/>
  <c r="CA62" i="1"/>
  <c r="DP33" i="1"/>
  <c r="B84" i="1"/>
  <c r="CC185" i="1"/>
  <c r="CC182" i="1"/>
  <c r="BQ150" i="1"/>
  <c r="CW150" i="1" s="1"/>
  <c r="CP63" i="1"/>
  <c r="CV5" i="1"/>
  <c r="BV42" i="1"/>
  <c r="DP62" i="1"/>
  <c r="E21" i="1"/>
  <c r="E70" i="1"/>
  <c r="CV37" i="1"/>
  <c r="DH3" i="1"/>
  <c r="DH39" i="1" s="1"/>
  <c r="CC61" i="1"/>
  <c r="CY143" i="1"/>
  <c r="E60" i="1"/>
  <c r="BQ158" i="1"/>
  <c r="CW158" i="1" s="1"/>
  <c r="E73" i="1"/>
  <c r="E7" i="1"/>
  <c r="BX62" i="1"/>
  <c r="CB16" i="1"/>
  <c r="CV32" i="1"/>
  <c r="CP21" i="1"/>
  <c r="DL26" i="1"/>
  <c r="CA189" i="1"/>
  <c r="CB33" i="1"/>
  <c r="BX172" i="1"/>
  <c r="CY172" i="1" s="1"/>
  <c r="DR20" i="1"/>
  <c r="CS44" i="1"/>
  <c r="CV34" i="1"/>
  <c r="BU109" i="1"/>
  <c r="E12" i="1"/>
  <c r="BX176" i="1"/>
  <c r="CP28" i="1"/>
  <c r="BQ32" i="1"/>
  <c r="DR74" i="1"/>
  <c r="BX46" i="1"/>
  <c r="CY46" i="1" s="1"/>
  <c r="DM24" i="1"/>
  <c r="DQ23" i="1"/>
  <c r="CP46" i="1"/>
  <c r="CA182" i="1"/>
  <c r="CB4" i="1"/>
  <c r="DS78" i="1"/>
  <c r="BU108" i="1"/>
  <c r="CP30" i="1"/>
  <c r="CP5" i="1"/>
  <c r="CA170" i="1"/>
  <c r="BU44" i="1"/>
  <c r="BU80" i="1" s="1"/>
  <c r="BI139" i="1"/>
  <c r="CC59" i="1"/>
  <c r="CY183" i="1"/>
  <c r="BX48" i="1"/>
  <c r="BY49" i="1" s="1"/>
  <c r="CB86" i="1"/>
  <c r="CA145" i="1"/>
  <c r="DL35" i="1"/>
  <c r="BZ104" i="1"/>
  <c r="BS31" i="1"/>
  <c r="DS15" i="1"/>
  <c r="CC159" i="1"/>
  <c r="DQ32" i="1"/>
  <c r="BQ118" i="1"/>
  <c r="E22" i="1"/>
  <c r="CA179" i="1"/>
  <c r="ET179" i="1"/>
  <c r="CY179" i="1"/>
  <c r="BJ101" i="1"/>
  <c r="EK101" i="1"/>
  <c r="DL147" i="1"/>
  <c r="DP147" i="1"/>
  <c r="CC144" i="1"/>
  <c r="ET144" i="1"/>
  <c r="CY144" i="1"/>
  <c r="BS126" i="1"/>
  <c r="BZ126" i="1"/>
  <c r="DP170" i="1"/>
  <c r="DL170" i="1"/>
  <c r="DS175" i="1"/>
  <c r="DM175" i="1"/>
  <c r="DQ175" i="1"/>
  <c r="CC146" i="1"/>
  <c r="CC145" i="1"/>
  <c r="BQ159" i="1"/>
  <c r="CW159" i="1" s="1"/>
  <c r="DR159" i="1"/>
  <c r="DP159" i="1"/>
  <c r="DL159" i="1"/>
  <c r="CA177" i="1"/>
  <c r="CY177" i="1"/>
  <c r="ET177" i="1"/>
  <c r="CA178" i="1"/>
  <c r="DR30" i="1"/>
  <c r="BX30" i="1"/>
  <c r="BQ30" i="1"/>
  <c r="BT63" i="1"/>
  <c r="BT62" i="1"/>
  <c r="BU104" i="1"/>
  <c r="CB104" i="1"/>
  <c r="BU12" i="1"/>
  <c r="CB12" i="1"/>
  <c r="DP37" i="1"/>
  <c r="DL37" i="1"/>
  <c r="DQ4" i="1"/>
  <c r="DS4" i="1"/>
  <c r="DM4" i="1"/>
  <c r="DK39" i="1"/>
  <c r="DR4" i="1"/>
  <c r="BJ123" i="1"/>
  <c r="EK123" i="1"/>
  <c r="BK121" i="1"/>
  <c r="EK121" i="1"/>
  <c r="DQ30" i="1"/>
  <c r="DM30" i="1"/>
  <c r="BJ105" i="1"/>
  <c r="EK105" i="1"/>
  <c r="BK3" i="1"/>
  <c r="CA138" i="1"/>
  <c r="AY3" i="1"/>
  <c r="CQ136" i="1"/>
  <c r="BI72" i="1"/>
  <c r="BZ117" i="1"/>
  <c r="BM84" i="1"/>
  <c r="CS136" i="1"/>
  <c r="CP73" i="1"/>
  <c r="BZ136" i="1"/>
  <c r="BZ191" i="1" s="1"/>
  <c r="BQ157" i="1"/>
  <c r="CW157" i="1" s="1"/>
  <c r="BX157" i="1"/>
  <c r="DR157" i="1"/>
  <c r="EC7" i="1"/>
  <c r="BO7" i="1" s="1"/>
  <c r="CB7" i="1" s="1"/>
  <c r="EJ3" i="1"/>
  <c r="BT58" i="1"/>
  <c r="BT59" i="1"/>
  <c r="BI157" i="1"/>
  <c r="BI158" i="1"/>
  <c r="DL169" i="1"/>
  <c r="DP169" i="1"/>
  <c r="CU136" i="1"/>
  <c r="BI148" i="1"/>
  <c r="BI147" i="1"/>
  <c r="DP21" i="1"/>
  <c r="DL21" i="1"/>
  <c r="BU117" i="1"/>
  <c r="CB117" i="1"/>
  <c r="CB127" i="1"/>
  <c r="BU127" i="1"/>
  <c r="BS108" i="1"/>
  <c r="BZ108" i="1"/>
  <c r="DZ10" i="1"/>
  <c r="BL10" i="1" s="1"/>
  <c r="EG3" i="1"/>
  <c r="BS125" i="1"/>
  <c r="BZ125" i="1"/>
  <c r="BU29" i="1"/>
  <c r="CB29" i="1"/>
  <c r="CB116" i="1"/>
  <c r="BU116" i="1"/>
  <c r="DL36" i="1"/>
  <c r="DP36" i="1"/>
  <c r="DX8" i="1"/>
  <c r="EE3" i="1"/>
  <c r="BY181" i="1"/>
  <c r="ET181" i="1"/>
  <c r="DP47" i="1"/>
  <c r="DL47" i="1"/>
  <c r="DM160" i="1"/>
  <c r="DS160" i="1"/>
  <c r="BY142" i="1"/>
  <c r="ET142" i="1"/>
  <c r="CY142" i="1"/>
  <c r="BY143" i="1"/>
  <c r="DP178" i="1"/>
  <c r="DL178" i="1"/>
  <c r="ET178" i="1"/>
  <c r="BY179" i="1"/>
  <c r="CY178" i="1"/>
  <c r="DL146" i="1"/>
  <c r="DP146" i="1"/>
  <c r="DR13" i="1"/>
  <c r="E61" i="1"/>
  <c r="CR42" i="1"/>
  <c r="CM42" i="1"/>
  <c r="CS3" i="1"/>
  <c r="BQ61" i="1"/>
  <c r="CW61" i="1" s="1"/>
  <c r="DR61" i="1"/>
  <c r="BX61" i="1"/>
  <c r="DI136" i="1"/>
  <c r="DI191" i="1" s="1"/>
  <c r="DL20" i="1"/>
  <c r="DM25" i="1"/>
  <c r="DS30" i="1"/>
  <c r="EJ84" i="1"/>
  <c r="DQ160" i="1"/>
  <c r="CO3" i="1"/>
  <c r="CO40" i="1" s="1"/>
  <c r="DR160" i="1"/>
  <c r="DK40" i="1"/>
  <c r="DJ190" i="1"/>
  <c r="CK3" i="1"/>
  <c r="CK40" i="1" s="1"/>
  <c r="DR25" i="1"/>
  <c r="EI3" i="1"/>
  <c r="BX25" i="1"/>
  <c r="CO136" i="1"/>
  <c r="CO191" i="1" s="1"/>
  <c r="BX159" i="1"/>
  <c r="CY159" i="1" s="1"/>
  <c r="BH44" i="1"/>
  <c r="CB11" i="1"/>
  <c r="DK190" i="1"/>
  <c r="CY181" i="1"/>
  <c r="CM1" i="1"/>
  <c r="BI165" i="1"/>
  <c r="BX166" i="1"/>
  <c r="BQ166" i="1"/>
  <c r="CW166" i="1" s="1"/>
  <c r="B3" i="1"/>
  <c r="DR76" i="1"/>
  <c r="BX76" i="1"/>
  <c r="BS113" i="1"/>
  <c r="BZ113" i="1"/>
  <c r="DM180" i="1"/>
  <c r="DR180" i="1"/>
  <c r="BX160" i="1"/>
  <c r="BQ160" i="1"/>
  <c r="CW160" i="1" s="1"/>
  <c r="BX90" i="1"/>
  <c r="BQ90" i="1"/>
  <c r="CY140" i="1"/>
  <c r="DM157" i="1"/>
  <c r="DS157" i="1"/>
  <c r="DQ157" i="1"/>
  <c r="CY180" i="1"/>
  <c r="ET180" i="1"/>
  <c r="DR17" i="1"/>
  <c r="BQ17" i="1"/>
  <c r="BT77" i="1"/>
  <c r="BT78" i="1"/>
  <c r="BZ11" i="1"/>
  <c r="BS11" i="1"/>
  <c r="DR143" i="1"/>
  <c r="DQ143" i="1"/>
  <c r="DS143" i="1"/>
  <c r="C136" i="1"/>
  <c r="CQ44" i="1"/>
  <c r="DK81" i="1"/>
  <c r="BN3" i="1"/>
  <c r="DR149" i="1"/>
  <c r="BS34" i="1"/>
  <c r="BQ79" i="1"/>
  <c r="CW79" i="1" s="1"/>
  <c r="BK120" i="1"/>
  <c r="DR120" i="1" s="1"/>
  <c r="BQ19" i="1"/>
  <c r="BH80" i="1"/>
  <c r="DM151" i="1"/>
  <c r="EE136" i="1"/>
  <c r="CM136" i="1"/>
  <c r="CM191" i="1" s="1"/>
  <c r="DM148" i="1"/>
  <c r="CC77" i="1"/>
  <c r="BU38" i="1"/>
  <c r="CB38" i="1"/>
  <c r="BY182" i="1"/>
  <c r="CB136" i="1"/>
  <c r="CB190" i="1" s="1"/>
  <c r="DS159" i="1"/>
  <c r="DM159" i="1"/>
  <c r="BQ149" i="1"/>
  <c r="CW149" i="1" s="1"/>
  <c r="CB121" i="1"/>
  <c r="BU121" i="1"/>
  <c r="BZ16" i="1"/>
  <c r="CP74" i="1"/>
  <c r="BU18" i="1"/>
  <c r="CM134" i="1"/>
  <c r="CK136" i="1"/>
  <c r="CK191" i="1" s="1"/>
  <c r="CP139" i="1"/>
  <c r="DR73" i="1"/>
  <c r="BX73" i="1"/>
  <c r="DL184" i="1"/>
  <c r="DP184" i="1"/>
  <c r="DL61" i="1"/>
  <c r="DP61" i="1"/>
  <c r="DY145" i="1"/>
  <c r="BK145" i="1" s="1"/>
  <c r="DR145" i="1" s="1"/>
  <c r="EF136" i="1"/>
  <c r="BI172" i="1"/>
  <c r="BI171" i="1"/>
  <c r="BI36" i="1"/>
  <c r="BI37" i="1"/>
  <c r="CC72" i="1"/>
  <c r="E62" i="1"/>
  <c r="DP11" i="1"/>
  <c r="E23" i="1"/>
  <c r="DQ59" i="1"/>
  <c r="DS59" i="1"/>
  <c r="DK80" i="1"/>
  <c r="CB97" i="1"/>
  <c r="BU97" i="1"/>
  <c r="DP19" i="1"/>
  <c r="DL19" i="1"/>
  <c r="BI34" i="1"/>
  <c r="BJ87" i="1"/>
  <c r="EK87" i="1"/>
  <c r="BK167" i="1"/>
  <c r="DR167" i="1" s="1"/>
  <c r="DP164" i="1"/>
  <c r="DL164" i="1"/>
  <c r="DL180" i="1"/>
  <c r="DP180" i="1"/>
  <c r="DL148" i="1"/>
  <c r="DP148" i="1"/>
  <c r="CP9" i="1"/>
  <c r="CP4" i="1"/>
  <c r="DR112" i="1"/>
  <c r="BX112" i="1"/>
  <c r="BI59" i="1"/>
  <c r="AY44" i="1"/>
  <c r="CP20" i="1"/>
  <c r="DP57" i="1"/>
  <c r="DL57" i="1"/>
  <c r="DM37" i="1"/>
  <c r="DQ37" i="1"/>
  <c r="BJ94" i="1"/>
  <c r="EK94" i="1"/>
  <c r="ET137" i="1"/>
  <c r="BH134" i="1"/>
  <c r="BI134" i="1"/>
  <c r="DR144" i="1"/>
  <c r="DS144" i="1"/>
  <c r="DP153" i="1"/>
  <c r="CP177" i="1"/>
  <c r="BQ175" i="1"/>
  <c r="CW175" i="1" s="1"/>
  <c r="DR175" i="1"/>
  <c r="DS161" i="1"/>
  <c r="DM161" i="1"/>
  <c r="CP145" i="1"/>
  <c r="DL155" i="1"/>
  <c r="DP155" i="1"/>
  <c r="BU31" i="1"/>
  <c r="CB31" i="1"/>
  <c r="BS38" i="1"/>
  <c r="BZ38" i="1"/>
  <c r="CB130" i="1"/>
  <c r="BU24" i="1"/>
  <c r="CB24" i="1"/>
  <c r="BT47" i="1"/>
  <c r="BT43" i="1"/>
  <c r="CV19" i="1"/>
  <c r="DL151" i="1"/>
  <c r="DM179" i="1"/>
  <c r="BI187" i="1"/>
  <c r="CU3" i="1"/>
  <c r="BX153" i="1"/>
  <c r="BQ153" i="1"/>
  <c r="CW153" i="1" s="1"/>
  <c r="CP6" i="1"/>
  <c r="DS25" i="1"/>
  <c r="DQ150" i="1"/>
  <c r="DS150" i="1"/>
  <c r="BQ36" i="1"/>
  <c r="BX36" i="1"/>
  <c r="BJ99" i="1"/>
  <c r="EK99" i="1"/>
  <c r="DM187" i="1"/>
  <c r="DQ187" i="1"/>
  <c r="EK168" i="1"/>
  <c r="BK168" i="1"/>
  <c r="BQ168" i="1" s="1"/>
  <c r="CP12" i="1"/>
  <c r="CB20" i="1"/>
  <c r="BU20" i="1"/>
  <c r="E34" i="1"/>
  <c r="BI80" i="1"/>
  <c r="EF3" i="1"/>
  <c r="CA139" i="1"/>
  <c r="DJ39" i="1"/>
  <c r="DJ44" i="1"/>
  <c r="CA77" i="1"/>
  <c r="DM57" i="1"/>
  <c r="DR77" i="1"/>
  <c r="EK126" i="1"/>
  <c r="DL33" i="1"/>
  <c r="BQ63" i="1"/>
  <c r="CW63" i="1" s="1"/>
  <c r="BX148" i="1"/>
  <c r="CY148" i="1" s="1"/>
  <c r="BX19" i="1"/>
  <c r="BZ25" i="1"/>
  <c r="DM167" i="1"/>
  <c r="DQ167" i="1"/>
  <c r="BX147" i="1"/>
  <c r="DR147" i="1"/>
  <c r="DS156" i="1"/>
  <c r="DM156" i="1"/>
  <c r="DR156" i="1"/>
  <c r="DM182" i="1"/>
  <c r="DQ182" i="1"/>
  <c r="DS182" i="1"/>
  <c r="CO44" i="1"/>
  <c r="CO80" i="1" s="1"/>
  <c r="DM29" i="1"/>
  <c r="DS29" i="1"/>
  <c r="DS183" i="1"/>
  <c r="DQ152" i="1"/>
  <c r="DS152" i="1"/>
  <c r="DM152" i="1"/>
  <c r="DR152" i="1"/>
  <c r="DQ26" i="1"/>
  <c r="DS26" i="1"/>
  <c r="DJ40" i="1"/>
  <c r="DS5" i="1"/>
  <c r="DM5" i="1"/>
  <c r="DS13" i="1"/>
  <c r="DQ13" i="1"/>
  <c r="CP22" i="1"/>
  <c r="BQ58" i="1"/>
  <c r="CW58" i="1" s="1"/>
  <c r="BX58" i="1"/>
  <c r="CB92" i="1"/>
  <c r="BX189" i="1"/>
  <c r="CY189" i="1" s="1"/>
  <c r="BQ189" i="1"/>
  <c r="CW189" i="1" s="1"/>
  <c r="BS129" i="1"/>
  <c r="BZ86" i="1"/>
  <c r="BU88" i="1"/>
  <c r="CY141" i="1"/>
  <c r="BU22" i="1"/>
  <c r="CC180" i="1"/>
  <c r="DR58" i="1"/>
  <c r="DR23" i="1"/>
  <c r="BQ62" i="1"/>
  <c r="CW62" i="1" s="1"/>
  <c r="DR28" i="1"/>
  <c r="DP70" i="1"/>
  <c r="BI180" i="1"/>
  <c r="DK44" i="1"/>
  <c r="BI35" i="1"/>
  <c r="CB111" i="1"/>
  <c r="BI1" i="1"/>
  <c r="BS117" i="1"/>
  <c r="DM76" i="1"/>
  <c r="BZ129" i="1"/>
  <c r="DR151" i="1"/>
  <c r="CY182" i="1"/>
  <c r="DR12" i="1"/>
  <c r="DS22" i="1"/>
  <c r="CB27" i="1"/>
  <c r="DQ188" i="1"/>
  <c r="CL134" i="1"/>
  <c r="DM149" i="1"/>
  <c r="DQ156" i="1"/>
  <c r="DQ154" i="1"/>
  <c r="DM154" i="1"/>
  <c r="DP161" i="1"/>
  <c r="BI177" i="1"/>
  <c r="ES138" i="1"/>
  <c r="DM143" i="1"/>
  <c r="CP155" i="1"/>
  <c r="CA173" i="1"/>
  <c r="CC156" i="1"/>
  <c r="BX170" i="1"/>
  <c r="BQ170" i="1"/>
  <c r="BU30" i="1"/>
  <c r="CB30" i="1"/>
  <c r="DQ139" i="1"/>
  <c r="DR139" i="1"/>
  <c r="DM189" i="1"/>
  <c r="DS189" i="1"/>
  <c r="CP157" i="1"/>
  <c r="BX60" i="1"/>
  <c r="CY60" i="1" s="1"/>
  <c r="DR60" i="1"/>
  <c r="CV4" i="1"/>
  <c r="CR1" i="1"/>
  <c r="CP14" i="1"/>
  <c r="CB8" i="1"/>
  <c r="CP27" i="1"/>
  <c r="CP76" i="1"/>
  <c r="E35" i="1"/>
  <c r="DP18" i="1"/>
  <c r="DL18" i="1"/>
  <c r="BJ11" i="1"/>
  <c r="E37" i="1"/>
  <c r="CV27" i="1"/>
  <c r="BI62" i="1"/>
  <c r="BI63" i="1"/>
  <c r="DR7" i="1"/>
  <c r="BQ7" i="1"/>
  <c r="DX45" i="1"/>
  <c r="EE44" i="1"/>
  <c r="CY184" i="1"/>
  <c r="DR184" i="1"/>
  <c r="DQ184" i="1"/>
  <c r="DS184" i="1"/>
  <c r="BU125" i="1"/>
  <c r="CB125" i="1"/>
  <c r="CP78" i="1"/>
  <c r="BI71" i="1"/>
  <c r="BX13" i="1"/>
  <c r="BQ15" i="1"/>
  <c r="DR15" i="1"/>
  <c r="CK44" i="1"/>
  <c r="CK80" i="1" s="1"/>
  <c r="BS114" i="1"/>
  <c r="BZ114" i="1"/>
  <c r="DR137" i="1"/>
  <c r="DS137" i="1"/>
  <c r="DM137" i="1"/>
  <c r="DQ137" i="1"/>
  <c r="DP137" i="1"/>
  <c r="DL137" i="1"/>
  <c r="DL143" i="1"/>
  <c r="DP143" i="1"/>
  <c r="CA184" i="1"/>
  <c r="CA185" i="1"/>
  <c r="DM75" i="1"/>
  <c r="DS75" i="1"/>
  <c r="CM44" i="1"/>
  <c r="CM81" i="1" s="1"/>
  <c r="BZ89" i="1"/>
  <c r="BS89" i="1"/>
  <c r="BI151" i="1"/>
  <c r="DL187" i="1"/>
  <c r="DP187" i="1"/>
  <c r="BI76" i="1"/>
  <c r="BI77" i="1"/>
  <c r="CA46" i="1"/>
  <c r="CA47" i="1"/>
  <c r="CC63" i="1"/>
  <c r="CC62" i="1"/>
  <c r="BS44" i="1"/>
  <c r="BS81" i="1" s="1"/>
  <c r="DQ151" i="1"/>
  <c r="DJ136" i="1"/>
  <c r="BU112" i="1"/>
  <c r="EF44" i="1"/>
  <c r="DR16" i="1"/>
  <c r="DS76" i="1"/>
  <c r="DR150" i="1"/>
  <c r="CR134" i="1"/>
  <c r="BQ34" i="1"/>
  <c r="DM188" i="1"/>
  <c r="BX33" i="1"/>
  <c r="DM145" i="1"/>
  <c r="DQ145" i="1"/>
  <c r="BJ89" i="1"/>
  <c r="EK89" i="1"/>
  <c r="DS174" i="1"/>
  <c r="DR174" i="1"/>
  <c r="BJ136" i="1"/>
  <c r="DR138" i="1"/>
  <c r="DQ138" i="1"/>
  <c r="DS138" i="1"/>
  <c r="DJ191" i="1"/>
  <c r="DL46" i="1"/>
  <c r="DI44" i="1"/>
  <c r="DI80" i="1" s="1"/>
  <c r="CB37" i="1"/>
  <c r="BU37" i="1"/>
  <c r="DP158" i="1"/>
  <c r="DL158" i="1"/>
  <c r="BQ78" i="1"/>
  <c r="CW78" i="1" s="1"/>
  <c r="DR78" i="1"/>
  <c r="BI58" i="1"/>
  <c r="BS15" i="1"/>
  <c r="BZ15" i="1"/>
  <c r="DS19" i="1"/>
  <c r="DQ19" i="1"/>
  <c r="DM19" i="1"/>
  <c r="DZ85" i="1"/>
  <c r="BL85" i="1" s="1"/>
  <c r="EG84" i="1"/>
  <c r="BS94" i="1"/>
  <c r="BZ94" i="1"/>
  <c r="CP184" i="1"/>
  <c r="DP48" i="1"/>
  <c r="DR177" i="1"/>
  <c r="DM177" i="1"/>
  <c r="DL175" i="1"/>
  <c r="DP175" i="1"/>
  <c r="DQ169" i="1"/>
  <c r="DM169" i="1"/>
  <c r="BX161" i="1"/>
  <c r="DR161" i="1"/>
  <c r="E16" i="1"/>
  <c r="DS21" i="1"/>
  <c r="DQ21" i="1"/>
  <c r="BK97" i="1"/>
  <c r="EK97" i="1"/>
  <c r="BO84" i="1"/>
  <c r="BU21" i="1"/>
  <c r="BV43" i="1"/>
  <c r="ET138" i="1"/>
  <c r="BU16" i="1"/>
  <c r="BT42" i="1"/>
  <c r="BQ12" i="1"/>
  <c r="DK136" i="1"/>
  <c r="BY141" i="1"/>
  <c r="BN84" i="1"/>
  <c r="BS116" i="1"/>
  <c r="BQ23" i="1"/>
  <c r="DP24" i="1"/>
  <c r="DQ16" i="1"/>
  <c r="DH44" i="1"/>
  <c r="DH80" i="1" s="1"/>
  <c r="BQ76" i="1"/>
  <c r="CW76" i="1" s="1"/>
  <c r="BI42" i="1"/>
  <c r="DR148" i="1"/>
  <c r="BU128" i="1"/>
  <c r="DR34" i="1"/>
  <c r="BX15" i="1"/>
  <c r="BS16" i="1"/>
  <c r="BJ130" i="1"/>
  <c r="BX130" i="1" s="1"/>
  <c r="DS62" i="1"/>
  <c r="DR22" i="1"/>
  <c r="DL71" i="1"/>
  <c r="CA150" i="1"/>
  <c r="BQ10" i="1"/>
  <c r="EH84" i="1"/>
  <c r="CA151" i="1"/>
  <c r="EK186" i="1"/>
  <c r="DS57" i="1"/>
  <c r="DK191" i="1"/>
  <c r="EK88" i="1"/>
  <c r="DL9" i="1"/>
  <c r="EK90" i="1"/>
  <c r="DM59" i="1"/>
  <c r="BS124" i="1"/>
  <c r="DR182" i="1"/>
  <c r="CC79" i="1"/>
  <c r="DP139" i="1"/>
  <c r="DP185" i="1"/>
  <c r="EA6" i="1"/>
  <c r="BM6" i="1" s="1"/>
  <c r="EH3" i="1"/>
  <c r="CC148" i="1"/>
  <c r="DP174" i="1"/>
  <c r="EK122" i="1"/>
  <c r="BY183" i="1"/>
  <c r="BS136" i="1"/>
  <c r="BS191" i="1" s="1"/>
  <c r="BH136" i="1"/>
  <c r="DR189" i="1"/>
  <c r="CC178" i="1"/>
  <c r="ET183" i="1"/>
  <c r="BH42" i="1"/>
  <c r="ET140" i="1"/>
  <c r="CC184" i="1"/>
  <c r="BI190" i="1"/>
  <c r="CS1" i="1"/>
  <c r="BU8" i="1"/>
  <c r="DR32" i="1"/>
  <c r="BI145" i="1"/>
  <c r="CA180" i="1"/>
  <c r="DR38" i="1"/>
  <c r="BX17" i="1"/>
  <c r="DL45" i="1"/>
  <c r="CB18" i="1"/>
  <c r="DR21" i="1"/>
  <c r="BX74" i="1"/>
  <c r="DR70" i="1"/>
  <c r="BZ99" i="1"/>
  <c r="DP63" i="1"/>
  <c r="DL48" i="1"/>
  <c r="DS23" i="1"/>
  <c r="DR57" i="1"/>
  <c r="DR35" i="1"/>
  <c r="DR59" i="1"/>
  <c r="EK107" i="1"/>
  <c r="BX95" i="1"/>
  <c r="BH39" i="1"/>
  <c r="BY138" i="1"/>
  <c r="BZ106" i="1"/>
  <c r="BX10" i="1"/>
  <c r="BZ44" i="1"/>
  <c r="BZ80" i="1" s="1"/>
  <c r="BU4" i="1"/>
  <c r="BQ26" i="1"/>
  <c r="EK96" i="1"/>
  <c r="CQ3" i="1"/>
  <c r="BZ22" i="1"/>
  <c r="DQ24" i="1"/>
  <c r="BS119" i="1"/>
  <c r="CL42" i="1"/>
  <c r="DP14" i="1"/>
  <c r="BI159" i="1"/>
  <c r="BZ130" i="1"/>
  <c r="BQ122" i="1"/>
  <c r="BZ98" i="1"/>
  <c r="EI84" i="1"/>
  <c r="EF84" i="1"/>
  <c r="BQ161" i="1"/>
  <c r="CW161" i="1" s="1"/>
  <c r="DR154" i="1"/>
  <c r="DR48" i="1"/>
  <c r="DS149" i="1"/>
  <c r="BX78" i="1"/>
  <c r="EE84" i="1"/>
  <c r="DR72" i="1"/>
  <c r="DR91" i="1"/>
  <c r="CB129" i="1"/>
  <c r="DP172" i="1"/>
  <c r="DS20" i="1"/>
  <c r="DM150" i="1"/>
  <c r="DP166" i="1"/>
  <c r="DP151" i="1"/>
  <c r="DM184" i="1"/>
  <c r="DP32" i="1"/>
  <c r="DQ159" i="1"/>
  <c r="DL139" i="1"/>
  <c r="DM139" i="1"/>
  <c r="DS180" i="1"/>
  <c r="BQ73" i="1"/>
  <c r="CW73" i="1" s="1"/>
  <c r="BU102" i="1"/>
  <c r="CP45" i="1"/>
  <c r="DM155" i="1"/>
  <c r="BQ48" i="1"/>
  <c r="BR49" i="1" s="1"/>
  <c r="DP26" i="1"/>
  <c r="BU122" i="1"/>
  <c r="BU120" i="1"/>
  <c r="DQ75" i="1"/>
  <c r="ES174" i="1"/>
  <c r="CP173" i="1"/>
  <c r="BZ23" i="1"/>
  <c r="E19" i="1"/>
  <c r="BT75" i="1"/>
  <c r="BH1" i="1"/>
  <c r="BI12" i="1"/>
  <c r="CS42" i="1"/>
  <c r="BI184" i="1"/>
  <c r="CP180" i="1"/>
  <c r="DM17" i="1"/>
  <c r="DQ17" i="1"/>
  <c r="CP178" i="1"/>
  <c r="CP189" i="1"/>
  <c r="DL162" i="1"/>
  <c r="DP162" i="1"/>
  <c r="DP138" i="1"/>
  <c r="DM9" i="1"/>
  <c r="DS9" i="1"/>
  <c r="DQ9" i="1"/>
  <c r="CP143" i="1"/>
  <c r="DP74" i="1"/>
  <c r="BJ92" i="1"/>
  <c r="EK92" i="1"/>
  <c r="CV29" i="1"/>
  <c r="BI18" i="1"/>
  <c r="BI17" i="1"/>
  <c r="BI6" i="1"/>
  <c r="BI27" i="1"/>
  <c r="BI28" i="1"/>
  <c r="BZ24" i="1"/>
  <c r="BS24" i="1"/>
  <c r="CB98" i="1"/>
  <c r="BU98" i="1"/>
  <c r="CV24" i="1"/>
  <c r="CV11" i="1"/>
  <c r="DM48" i="1"/>
  <c r="DS48" i="1"/>
  <c r="DM16" i="1"/>
  <c r="DS170" i="1"/>
  <c r="DP171" i="1"/>
  <c r="DL171" i="1"/>
  <c r="DS176" i="1"/>
  <c r="DR176" i="1"/>
  <c r="BK64" i="1"/>
  <c r="EK64" i="1"/>
  <c r="CP7" i="1"/>
  <c r="CP170" i="1"/>
  <c r="CP77" i="1"/>
  <c r="CB35" i="1"/>
  <c r="CP185" i="1"/>
  <c r="BS96" i="1"/>
  <c r="DR88" i="1"/>
  <c r="CS134" i="1"/>
  <c r="CP175" i="1"/>
  <c r="BZ35" i="1"/>
  <c r="BS35" i="1"/>
  <c r="DS148" i="1"/>
  <c r="BX110" i="1"/>
  <c r="DK3" i="1"/>
  <c r="DM142" i="1"/>
  <c r="DR142" i="1"/>
  <c r="DH136" i="1"/>
  <c r="DH190" i="1" s="1"/>
  <c r="DR9" i="1"/>
  <c r="DR75" i="1"/>
  <c r="BI39" i="1"/>
  <c r="BX88" i="1"/>
  <c r="DP25" i="1"/>
  <c r="DL167" i="1"/>
  <c r="CA63" i="1"/>
  <c r="EK98" i="1"/>
  <c r="BZ37" i="1"/>
  <c r="DR102" i="1"/>
  <c r="BQ102" i="1"/>
  <c r="DP12" i="1"/>
  <c r="CV8" i="1"/>
  <c r="DQ31" i="1"/>
  <c r="DM31" i="1"/>
  <c r="DS186" i="1"/>
  <c r="DQ186" i="1"/>
  <c r="DM186" i="1"/>
  <c r="DQ47" i="1"/>
  <c r="DM47" i="1"/>
  <c r="DS47" i="1"/>
  <c r="DQ164" i="1"/>
  <c r="DM164" i="1"/>
  <c r="DS141" i="1"/>
  <c r="DR141" i="1"/>
  <c r="DM174" i="1"/>
  <c r="DL150" i="1"/>
  <c r="BX35" i="1"/>
  <c r="BQ35" i="1"/>
  <c r="BS37" i="1"/>
  <c r="BZ96" i="1"/>
  <c r="DQ33" i="1"/>
  <c r="DS169" i="1"/>
  <c r="BU107" i="1"/>
  <c r="DQ38" i="1"/>
  <c r="DQ180" i="1"/>
  <c r="DS145" i="1"/>
  <c r="CP151" i="1"/>
  <c r="CC140" i="1"/>
  <c r="DL160" i="1"/>
  <c r="DP150" i="1"/>
  <c r="BS14" i="1"/>
  <c r="DP75" i="1"/>
  <c r="CB17" i="1"/>
  <c r="BS19" i="1"/>
  <c r="DQ176" i="1"/>
  <c r="CP142" i="1"/>
  <c r="DM38" i="1"/>
  <c r="DL154" i="1"/>
  <c r="DP154" i="1"/>
  <c r="CB10" i="1"/>
  <c r="CP62" i="1"/>
  <c r="BZ29" i="1"/>
  <c r="BI14" i="1"/>
  <c r="DM158" i="1"/>
  <c r="DS187" i="1"/>
  <c r="DW23" i="1"/>
  <c r="DS71" i="1"/>
  <c r="CA160" i="1"/>
  <c r="DR33" i="1"/>
  <c r="BI16" i="1"/>
  <c r="EK128" i="1"/>
  <c r="EK113" i="1"/>
  <c r="CA172" i="1"/>
  <c r="DQ181" i="1"/>
  <c r="DM181" i="1"/>
  <c r="DR181" i="1"/>
  <c r="BY178" i="1"/>
  <c r="BQ186" i="1"/>
  <c r="CW186" i="1" s="1"/>
  <c r="DL59" i="1"/>
  <c r="DP59" i="1"/>
  <c r="DL4" i="1"/>
  <c r="DR90" i="1"/>
  <c r="DM138" i="1"/>
  <c r="BI153" i="1"/>
  <c r="DP78" i="1"/>
  <c r="DL8" i="1"/>
  <c r="DM13" i="1"/>
  <c r="CA143" i="1"/>
  <c r="BT48" i="1"/>
  <c r="BI183" i="1"/>
  <c r="BS86" i="1"/>
  <c r="DQ20" i="1"/>
  <c r="BX72" i="1"/>
  <c r="CA186" i="1"/>
  <c r="DL138" i="1"/>
  <c r="BI161" i="1"/>
  <c r="CB108" i="1"/>
  <c r="BU13" i="1"/>
  <c r="DP181" i="1"/>
  <c r="BX102" i="1"/>
  <c r="DR122" i="1"/>
  <c r="BQ70" i="1"/>
  <c r="DR128" i="1"/>
  <c r="BQ128" i="1"/>
  <c r="EK174" i="1"/>
  <c r="ED174" i="1"/>
  <c r="CP132" i="1"/>
  <c r="DR115" i="1"/>
  <c r="BX115" i="1"/>
  <c r="BQ115" i="1"/>
  <c r="DR126" i="1"/>
  <c r="BQ126" i="1"/>
  <c r="BX126" i="1"/>
  <c r="DR96" i="1"/>
  <c r="BQ96" i="1"/>
  <c r="BX96" i="1"/>
  <c r="DR113" i="1"/>
  <c r="BX113" i="1"/>
  <c r="BQ113" i="1"/>
  <c r="ED186" i="1"/>
  <c r="ES186" i="1"/>
  <c r="DR108" i="1"/>
  <c r="BX108" i="1"/>
  <c r="BQ100" i="1"/>
  <c r="DR100" i="1"/>
  <c r="BX127" i="1"/>
  <c r="DR127" i="1"/>
  <c r="BX125" i="1"/>
  <c r="DR125" i="1"/>
  <c r="BQ127" i="1"/>
  <c r="BQ103" i="1"/>
  <c r="BX103" i="1"/>
  <c r="DR103" i="1"/>
  <c r="BQ119" i="1"/>
  <c r="BX119" i="1"/>
  <c r="DR119" i="1"/>
  <c r="BX124" i="1"/>
  <c r="DR124" i="1"/>
  <c r="BQ124" i="1"/>
  <c r="BU5" i="1"/>
  <c r="CB5" i="1"/>
  <c r="BQ93" i="1"/>
  <c r="BX93" i="1"/>
  <c r="DR93" i="1"/>
  <c r="BQ107" i="1"/>
  <c r="DR107" i="1"/>
  <c r="BX107" i="1"/>
  <c r="DR104" i="1"/>
  <c r="BX104" i="1"/>
  <c r="BQ104" i="1"/>
  <c r="BX85" i="1"/>
  <c r="DR85" i="1"/>
  <c r="BQ85" i="1"/>
  <c r="BX86" i="1"/>
  <c r="BQ86" i="1"/>
  <c r="DR86" i="1"/>
  <c r="CW164" i="1"/>
  <c r="BR165" i="1"/>
  <c r="ED15" i="1" l="1"/>
  <c r="EK35" i="1"/>
  <c r="ES180" i="1"/>
  <c r="ES179" i="1"/>
  <c r="ED36" i="1"/>
  <c r="ET78" i="1"/>
  <c r="ES184" i="1"/>
  <c r="EK176" i="1"/>
  <c r="CA29" i="1"/>
  <c r="ED176" i="1"/>
  <c r="CA28" i="1"/>
  <c r="BT95" i="1"/>
  <c r="ED184" i="1"/>
  <c r="ED171" i="1"/>
  <c r="EK158" i="1"/>
  <c r="ES154" i="1"/>
  <c r="EK38" i="1"/>
  <c r="ES16" i="1"/>
  <c r="CA112" i="1"/>
  <c r="CA111" i="1"/>
  <c r="CA31" i="1"/>
  <c r="ES33" i="1"/>
  <c r="EK166" i="1"/>
  <c r="ES166" i="1"/>
  <c r="ED170" i="1"/>
  <c r="EK170" i="1"/>
  <c r="ED160" i="1"/>
  <c r="EK28" i="1"/>
  <c r="EK46" i="1"/>
  <c r="ES8" i="1"/>
  <c r="EK142" i="1"/>
  <c r="BV120" i="1"/>
  <c r="ED10" i="1"/>
  <c r="BV119" i="1"/>
  <c r="EK13" i="1"/>
  <c r="EK189" i="1"/>
  <c r="ES78" i="1"/>
  <c r="ES189" i="1"/>
  <c r="ED142" i="1"/>
  <c r="ES182" i="1"/>
  <c r="EK182" i="1"/>
  <c r="ES142" i="1"/>
  <c r="ES37" i="1"/>
  <c r="ED140" i="1"/>
  <c r="CA37" i="1"/>
  <c r="CA36" i="1"/>
  <c r="ED146" i="1"/>
  <c r="ED79" i="1"/>
  <c r="ED30" i="1"/>
  <c r="ES76" i="1"/>
  <c r="EK154" i="1"/>
  <c r="ED154" i="1"/>
  <c r="ES14" i="1"/>
  <c r="EK148" i="1"/>
  <c r="EK137" i="1"/>
  <c r="ES137" i="1"/>
  <c r="ED62" i="1"/>
  <c r="ED35" i="1"/>
  <c r="ES139" i="1"/>
  <c r="ED32" i="1"/>
  <c r="ES35" i="1"/>
  <c r="BR170" i="1"/>
  <c r="ED141" i="1"/>
  <c r="ED22" i="1"/>
  <c r="BV15" i="1"/>
  <c r="BV35" i="1"/>
  <c r="BV34" i="1"/>
  <c r="ES38" i="1"/>
  <c r="ED38" i="1"/>
  <c r="ES169" i="1"/>
  <c r="ED179" i="1"/>
  <c r="EK5" i="1"/>
  <c r="ED177" i="1"/>
  <c r="EK32" i="1"/>
  <c r="EK177" i="1"/>
  <c r="ED158" i="1"/>
  <c r="ES158" i="1"/>
  <c r="ED173" i="1"/>
  <c r="ES32" i="1"/>
  <c r="ES187" i="1"/>
  <c r="ED187" i="1"/>
  <c r="ED162" i="1"/>
  <c r="EK36" i="1"/>
  <c r="ED57" i="1"/>
  <c r="ES146" i="1"/>
  <c r="EK146" i="1"/>
  <c r="ES15" i="1"/>
  <c r="EK15" i="1"/>
  <c r="ES148" i="1"/>
  <c r="ED169" i="1"/>
  <c r="ES30" i="1"/>
  <c r="ES171" i="1"/>
  <c r="EK171" i="1"/>
  <c r="EK156" i="1"/>
  <c r="EK179" i="1"/>
  <c r="EK79" i="1"/>
  <c r="ED148" i="1"/>
  <c r="ED178" i="1"/>
  <c r="EK175" i="1"/>
  <c r="EK143" i="1"/>
  <c r="EK47" i="1"/>
  <c r="ES72" i="1"/>
  <c r="EK160" i="1"/>
  <c r="ES160" i="1"/>
  <c r="EK71" i="1"/>
  <c r="EK34" i="1"/>
  <c r="ES151" i="1"/>
  <c r="ED71" i="1"/>
  <c r="EK151" i="1"/>
  <c r="ES36" i="1"/>
  <c r="ED13" i="1"/>
  <c r="ED151" i="1"/>
  <c r="ES47" i="1"/>
  <c r="ES45" i="1"/>
  <c r="ED27" i="1"/>
  <c r="ED143" i="1"/>
  <c r="ES143" i="1"/>
  <c r="ES28" i="1"/>
  <c r="ES25" i="1"/>
  <c r="ES141" i="1"/>
  <c r="ED28" i="1"/>
  <c r="EK62" i="1"/>
  <c r="ES157" i="1"/>
  <c r="ED34" i="1"/>
  <c r="ED150" i="1"/>
  <c r="ED149" i="1"/>
  <c r="EK165" i="1"/>
  <c r="ES165" i="1"/>
  <c r="ED139" i="1"/>
  <c r="ED77" i="1"/>
  <c r="ED12" i="1"/>
  <c r="ES153" i="1"/>
  <c r="ED58" i="1"/>
  <c r="EK150" i="1"/>
  <c r="ES150" i="1"/>
  <c r="ES140" i="1"/>
  <c r="ES46" i="1"/>
  <c r="EK58" i="1"/>
  <c r="ES59" i="1"/>
  <c r="ES74" i="1"/>
  <c r="EK10" i="1"/>
  <c r="ED46" i="1"/>
  <c r="EK19" i="1"/>
  <c r="ES57" i="1"/>
  <c r="EK152" i="1"/>
  <c r="ED155" i="1"/>
  <c r="EK30" i="1"/>
  <c r="EK4" i="1"/>
  <c r="ES13" i="1"/>
  <c r="EK59" i="1"/>
  <c r="ED37" i="1"/>
  <c r="ED152" i="1"/>
  <c r="ES71" i="1"/>
  <c r="ES152" i="1"/>
  <c r="EK173" i="1"/>
  <c r="EK37" i="1"/>
  <c r="ES77" i="1"/>
  <c r="ES162" i="1"/>
  <c r="ED156" i="1"/>
  <c r="ED18" i="1"/>
  <c r="ED9" i="1"/>
  <c r="EK57" i="1"/>
  <c r="EK26" i="1"/>
  <c r="EK167" i="1"/>
  <c r="EK180" i="1"/>
  <c r="ED167" i="1"/>
  <c r="ED181" i="1"/>
  <c r="ES34" i="1"/>
  <c r="ED180" i="1"/>
  <c r="EK12" i="1"/>
  <c r="ES4" i="1"/>
  <c r="EK155" i="1"/>
  <c r="ED59" i="1"/>
  <c r="EK6" i="1"/>
  <c r="EK77" i="1"/>
  <c r="ED185" i="1"/>
  <c r="ED19" i="1"/>
  <c r="EK61" i="1"/>
  <c r="ES70" i="1"/>
  <c r="ED74" i="1"/>
  <c r="ED144" i="1"/>
  <c r="EK72" i="1"/>
  <c r="EK21" i="1"/>
  <c r="ED153" i="1"/>
  <c r="ES27" i="1"/>
  <c r="EK75" i="1"/>
  <c r="ES58" i="1"/>
  <c r="ED31" i="1"/>
  <c r="EK20" i="1"/>
  <c r="ES18" i="1"/>
  <c r="ED45" i="1"/>
  <c r="EK16" i="1"/>
  <c r="ED72" i="1"/>
  <c r="ED164" i="1"/>
  <c r="ED61" i="1"/>
  <c r="ED75" i="1"/>
  <c r="ES155" i="1"/>
  <c r="ED4" i="1"/>
  <c r="ES21" i="1"/>
  <c r="EK153" i="1"/>
  <c r="EK149" i="1"/>
  <c r="ED175" i="1"/>
  <c r="ES178" i="1"/>
  <c r="ES149" i="1"/>
  <c r="ED8" i="1"/>
  <c r="EK48" i="1"/>
  <c r="ED11" i="1"/>
  <c r="ES6" i="1"/>
  <c r="EK76" i="1"/>
  <c r="EK74" i="1"/>
  <c r="EK140" i="1"/>
  <c r="ED76" i="1"/>
  <c r="ES12" i="1"/>
  <c r="ED16" i="1"/>
  <c r="ES79" i="1"/>
  <c r="ED47" i="1"/>
  <c r="ES10" i="1"/>
  <c r="EK183" i="1"/>
  <c r="ES48" i="1"/>
  <c r="ES172" i="1"/>
  <c r="ES181" i="1"/>
  <c r="EK73" i="1"/>
  <c r="ES73" i="1"/>
  <c r="ES11" i="1"/>
  <c r="EK11" i="1"/>
  <c r="EK172" i="1"/>
  <c r="ES17" i="1"/>
  <c r="EK7" i="1"/>
  <c r="ES26" i="1"/>
  <c r="EK147" i="1"/>
  <c r="CK42" i="1"/>
  <c r="ES20" i="1"/>
  <c r="ES60" i="1"/>
  <c r="EK31" i="1"/>
  <c r="ED25" i="1"/>
  <c r="ED70" i="1"/>
  <c r="ED159" i="1"/>
  <c r="EK25" i="1"/>
  <c r="ED78" i="1"/>
  <c r="ES31" i="1"/>
  <c r="ED17" i="1"/>
  <c r="EK139" i="1"/>
  <c r="ES185" i="1"/>
  <c r="EK141" i="1"/>
  <c r="EK14" i="1"/>
  <c r="EK22" i="1"/>
  <c r="ED14" i="1"/>
  <c r="EK70" i="1"/>
  <c r="EK78" i="1"/>
  <c r="ES22" i="1"/>
  <c r="ED5" i="1"/>
  <c r="EK157" i="1"/>
  <c r="EK17" i="1"/>
  <c r="ES161" i="1"/>
  <c r="CA34" i="1"/>
  <c r="ED26" i="1"/>
  <c r="ED29" i="1"/>
  <c r="EK159" i="1"/>
  <c r="ES62" i="1"/>
  <c r="ES5" i="1"/>
  <c r="ED7" i="1"/>
  <c r="ES159" i="1"/>
  <c r="ES7" i="1"/>
  <c r="ES29" i="1"/>
  <c r="EK161" i="1"/>
  <c r="EK24" i="1"/>
  <c r="EK60" i="1"/>
  <c r="ED48" i="1"/>
  <c r="EK18" i="1"/>
  <c r="ED145" i="1"/>
  <c r="ED63" i="1"/>
  <c r="EK27" i="1"/>
  <c r="ES19" i="1"/>
  <c r="ES61" i="1"/>
  <c r="ES144" i="1"/>
  <c r="ED21" i="1"/>
  <c r="ES75" i="1"/>
  <c r="ES147" i="1"/>
  <c r="ED60" i="1"/>
  <c r="EK144" i="1"/>
  <c r="ED147" i="1"/>
  <c r="ES24" i="1"/>
  <c r="ES145" i="1"/>
  <c r="ES164" i="1"/>
  <c r="ED183" i="1"/>
  <c r="EK63" i="1"/>
  <c r="ED24" i="1"/>
  <c r="EK9" i="1"/>
  <c r="ES9" i="1"/>
  <c r="ED20" i="1"/>
  <c r="ED73" i="1"/>
  <c r="ED6" i="1"/>
  <c r="ES63" i="1"/>
  <c r="CA33" i="1"/>
  <c r="ET74" i="1"/>
  <c r="BV106" i="1"/>
  <c r="ET176" i="1"/>
  <c r="ET156" i="1"/>
  <c r="BR37" i="1"/>
  <c r="BY7" i="1"/>
  <c r="ET61" i="1"/>
  <c r="ET155" i="1"/>
  <c r="ET188" i="1"/>
  <c r="ET58" i="1"/>
  <c r="ET170" i="1"/>
  <c r="ET62" i="1"/>
  <c r="ET63" i="1"/>
  <c r="ET47" i="1"/>
  <c r="ET162" i="1"/>
  <c r="ET73" i="1"/>
  <c r="ET153" i="1"/>
  <c r="ET187" i="1"/>
  <c r="ET158" i="1"/>
  <c r="ET171" i="1"/>
  <c r="ET76" i="1"/>
  <c r="ET163" i="1"/>
  <c r="BR38" i="1"/>
  <c r="BT103" i="1"/>
  <c r="BT109" i="1"/>
  <c r="CQ134" i="1"/>
  <c r="CW106" i="1"/>
  <c r="BT106" i="1"/>
  <c r="BT107" i="1"/>
  <c r="BV95" i="1"/>
  <c r="CW95" i="1"/>
  <c r="BV96" i="1"/>
  <c r="BV93" i="1"/>
  <c r="CC122" i="1"/>
  <c r="CC123" i="1"/>
  <c r="BT8" i="1"/>
  <c r="BT9" i="1"/>
  <c r="CA24" i="1"/>
  <c r="ET165" i="1"/>
  <c r="BY35" i="1"/>
  <c r="EK84" i="1"/>
  <c r="BV90" i="1"/>
  <c r="CZ174" i="1"/>
  <c r="BR5" i="1"/>
  <c r="CZ175" i="1"/>
  <c r="BV91" i="1"/>
  <c r="CC102" i="1"/>
  <c r="BT111" i="1"/>
  <c r="ET174" i="1"/>
  <c r="CA110" i="1"/>
  <c r="BT112" i="1"/>
  <c r="CC101" i="1"/>
  <c r="CA96" i="1"/>
  <c r="CC103" i="1"/>
  <c r="BY129" i="1"/>
  <c r="CC26" i="1"/>
  <c r="CA19" i="1"/>
  <c r="ET57" i="1"/>
  <c r="BR6" i="1"/>
  <c r="BT88" i="1"/>
  <c r="BT87" i="1"/>
  <c r="CY57" i="1"/>
  <c r="CZ57" i="1" s="1"/>
  <c r="BT100" i="1"/>
  <c r="BV130" i="1"/>
  <c r="CA21" i="1"/>
  <c r="CA88" i="1"/>
  <c r="BY10" i="1"/>
  <c r="CY95" i="1"/>
  <c r="CA94" i="1"/>
  <c r="BV89" i="1"/>
  <c r="CY171" i="1"/>
  <c r="CZ172" i="1" s="1"/>
  <c r="ET59" i="1"/>
  <c r="BT13" i="1"/>
  <c r="CC94" i="1"/>
  <c r="CC105" i="1"/>
  <c r="CC106" i="1"/>
  <c r="BV19" i="1"/>
  <c r="CC95" i="1"/>
  <c r="BT121" i="1"/>
  <c r="BT122" i="1"/>
  <c r="CC14" i="1"/>
  <c r="BV86" i="1"/>
  <c r="CC23" i="1"/>
  <c r="CW4" i="1"/>
  <c r="BR10" i="1"/>
  <c r="BT5" i="1"/>
  <c r="BY118" i="1"/>
  <c r="CC119" i="1"/>
  <c r="BY175" i="1"/>
  <c r="ET175" i="1"/>
  <c r="CK134" i="1"/>
  <c r="BT91" i="1"/>
  <c r="BR26" i="1"/>
  <c r="BR25" i="1"/>
  <c r="BR109" i="1"/>
  <c r="CC91" i="1"/>
  <c r="CM190" i="1"/>
  <c r="BT129" i="1"/>
  <c r="BR177" i="1"/>
  <c r="BT128" i="1"/>
  <c r="BR112" i="1"/>
  <c r="CK82" i="1"/>
  <c r="ET100" i="1"/>
  <c r="CC100" i="1"/>
  <c r="BT93" i="1"/>
  <c r="DI190" i="1"/>
  <c r="BY6" i="1"/>
  <c r="CA93" i="1"/>
  <c r="CA124" i="1"/>
  <c r="CA87" i="1"/>
  <c r="BT127" i="1"/>
  <c r="CA125" i="1"/>
  <c r="BY117" i="1"/>
  <c r="BR71" i="1"/>
  <c r="CY9" i="1"/>
  <c r="ET173" i="1"/>
  <c r="BR117" i="1"/>
  <c r="BR118" i="1"/>
  <c r="BY174" i="1"/>
  <c r="CP136" i="1"/>
  <c r="CO190" i="1"/>
  <c r="CJ191" i="1"/>
  <c r="CC96" i="1"/>
  <c r="CW17" i="1"/>
  <c r="BT28" i="1"/>
  <c r="BY25" i="1"/>
  <c r="BT37" i="1"/>
  <c r="BT17" i="1"/>
  <c r="BY21" i="1"/>
  <c r="BT18" i="1"/>
  <c r="CK132" i="1"/>
  <c r="CJ132" i="1" s="1"/>
  <c r="BT102" i="1"/>
  <c r="CC6" i="1"/>
  <c r="CC114" i="1"/>
  <c r="CW116" i="1"/>
  <c r="CC90" i="1"/>
  <c r="CC89" i="1"/>
  <c r="BR164" i="1"/>
  <c r="CA8" i="1"/>
  <c r="BT27" i="1"/>
  <c r="BV114" i="1"/>
  <c r="CY47" i="1"/>
  <c r="CZ47" i="1" s="1"/>
  <c r="EK33" i="1"/>
  <c r="CW9" i="1"/>
  <c r="CA129" i="1"/>
  <c r="BT105" i="1"/>
  <c r="ET128" i="1"/>
  <c r="CA128" i="1"/>
  <c r="BR23" i="1"/>
  <c r="ET154" i="1"/>
  <c r="CA113" i="1"/>
  <c r="CW27" i="1"/>
  <c r="BR21" i="1"/>
  <c r="BV12" i="1"/>
  <c r="BV104" i="1"/>
  <c r="ET150" i="1"/>
  <c r="CW100" i="1"/>
  <c r="BR14" i="1"/>
  <c r="BR22" i="1"/>
  <c r="CY158" i="1"/>
  <c r="CZ159" i="1" s="1"/>
  <c r="BV127" i="1"/>
  <c r="BY24" i="1"/>
  <c r="CA27" i="1"/>
  <c r="BR16" i="1"/>
  <c r="CY32" i="1"/>
  <c r="CC10" i="1"/>
  <c r="BR7" i="1"/>
  <c r="ET9" i="1"/>
  <c r="ED33" i="1"/>
  <c r="BT20" i="1"/>
  <c r="CC9" i="1"/>
  <c r="BY22" i="1"/>
  <c r="CC115" i="1"/>
  <c r="BT104" i="1"/>
  <c r="BY5" i="1"/>
  <c r="BT110" i="1"/>
  <c r="ET22" i="1"/>
  <c r="ET164" i="1"/>
  <c r="CC126" i="1"/>
  <c r="BT34" i="1"/>
  <c r="CC127" i="1"/>
  <c r="CW91" i="1"/>
  <c r="CY21" i="1"/>
  <c r="BV10" i="1"/>
  <c r="CC110" i="1"/>
  <c r="BV115" i="1"/>
  <c r="ET149" i="1"/>
  <c r="CW114" i="1"/>
  <c r="BV126" i="1"/>
  <c r="BT33" i="1"/>
  <c r="BY38" i="1"/>
  <c r="BY32" i="1"/>
  <c r="CC19" i="1"/>
  <c r="BY14" i="1"/>
  <c r="CA102" i="1"/>
  <c r="ET14" i="1"/>
  <c r="BT123" i="1"/>
  <c r="BY185" i="1"/>
  <c r="BR115" i="1"/>
  <c r="BT92" i="1"/>
  <c r="BR173" i="1"/>
  <c r="BR172" i="1"/>
  <c r="BV103" i="1"/>
  <c r="ET111" i="1"/>
  <c r="ET146" i="1"/>
  <c r="ET185" i="1"/>
  <c r="BT90" i="1"/>
  <c r="BT118" i="1"/>
  <c r="BY115" i="1"/>
  <c r="CY75" i="1"/>
  <c r="CC99" i="1"/>
  <c r="CW20" i="1"/>
  <c r="CA115" i="1"/>
  <c r="CC16" i="1"/>
  <c r="BY28" i="1"/>
  <c r="BR20" i="1"/>
  <c r="BR72" i="1"/>
  <c r="CA20" i="1"/>
  <c r="BT101" i="1"/>
  <c r="ET20" i="1"/>
  <c r="CC15" i="1"/>
  <c r="BR113" i="1"/>
  <c r="CY14" i="1"/>
  <c r="BT124" i="1"/>
  <c r="BV110" i="1"/>
  <c r="CW111" i="1"/>
  <c r="ET122" i="1"/>
  <c r="ET169" i="1"/>
  <c r="BR156" i="1"/>
  <c r="CA127" i="1"/>
  <c r="BR174" i="1"/>
  <c r="BV101" i="1"/>
  <c r="CW127" i="1"/>
  <c r="BY159" i="1"/>
  <c r="BT21" i="1"/>
  <c r="BV100" i="1"/>
  <c r="BV29" i="1"/>
  <c r="BV33" i="1"/>
  <c r="CC120" i="1"/>
  <c r="BY30" i="1"/>
  <c r="CY170" i="1"/>
  <c r="CZ170" i="1" s="1"/>
  <c r="ET34" i="1"/>
  <c r="BT29" i="1"/>
  <c r="CA90" i="1"/>
  <c r="CC33" i="1"/>
  <c r="BT26" i="1"/>
  <c r="CA18" i="1"/>
  <c r="BT30" i="1"/>
  <c r="CY34" i="1"/>
  <c r="BR75" i="1"/>
  <c r="BV124" i="1"/>
  <c r="CC35" i="1"/>
  <c r="DM136" i="1"/>
  <c r="DM190" i="1" s="1"/>
  <c r="DP136" i="1"/>
  <c r="DP190" i="1" s="1"/>
  <c r="CC107" i="1"/>
  <c r="BR47" i="1"/>
  <c r="BV20" i="1"/>
  <c r="CB191" i="1"/>
  <c r="CA123" i="1"/>
  <c r="CY4" i="1"/>
  <c r="BR163" i="1"/>
  <c r="DI39" i="1"/>
  <c r="CA5" i="1"/>
  <c r="ET4" i="1"/>
  <c r="CA32" i="1"/>
  <c r="DH191" i="1"/>
  <c r="CY102" i="1"/>
  <c r="BY147" i="1"/>
  <c r="BR176" i="1"/>
  <c r="CY156" i="1"/>
  <c r="ET71" i="1"/>
  <c r="BY112" i="1"/>
  <c r="BR110" i="1"/>
  <c r="CA13" i="1"/>
  <c r="BV26" i="1"/>
  <c r="DR109" i="1"/>
  <c r="CW25" i="1"/>
  <c r="CY48" i="1"/>
  <c r="CZ49" i="1" s="1"/>
  <c r="CC121" i="1"/>
  <c r="BY23" i="1"/>
  <c r="CC111" i="1"/>
  <c r="BQ120" i="1"/>
  <c r="CW120" i="1" s="1"/>
  <c r="BR147" i="1"/>
  <c r="CY188" i="1"/>
  <c r="BR111" i="1"/>
  <c r="ET152" i="1"/>
  <c r="CA100" i="1"/>
  <c r="CA109" i="1"/>
  <c r="CC118" i="1"/>
  <c r="ET114" i="1"/>
  <c r="BR15" i="1"/>
  <c r="CC104" i="1"/>
  <c r="CY88" i="1"/>
  <c r="CY12" i="1"/>
  <c r="CA116" i="1"/>
  <c r="CY13" i="1"/>
  <c r="BY61" i="1"/>
  <c r="BV92" i="1"/>
  <c r="BY177" i="1"/>
  <c r="ET189" i="1"/>
  <c r="ET88" i="1"/>
  <c r="CA15" i="1"/>
  <c r="CC92" i="1"/>
  <c r="BR30" i="1"/>
  <c r="BT32" i="1"/>
  <c r="BV116" i="1"/>
  <c r="CA104" i="1"/>
  <c r="BR29" i="1"/>
  <c r="DR168" i="1"/>
  <c r="DR136" i="1" s="1"/>
  <c r="DR191" i="1" s="1"/>
  <c r="BV128" i="1"/>
  <c r="CW12" i="1"/>
  <c r="CZ183" i="1"/>
  <c r="BY165" i="1"/>
  <c r="CY164" i="1"/>
  <c r="CZ164" i="1" s="1"/>
  <c r="CA22" i="1"/>
  <c r="BY176" i="1"/>
  <c r="ET116" i="1"/>
  <c r="ET12" i="1"/>
  <c r="CA14" i="1"/>
  <c r="BR155" i="1"/>
  <c r="BR188" i="1"/>
  <c r="CA119" i="1"/>
  <c r="ET91" i="1"/>
  <c r="CZ138" i="1"/>
  <c r="CW110" i="1"/>
  <c r="CY118" i="1"/>
  <c r="BT15" i="1"/>
  <c r="BT99" i="1"/>
  <c r="BV99" i="1"/>
  <c r="CY100" i="1"/>
  <c r="BY189" i="1"/>
  <c r="BY150" i="1"/>
  <c r="ET32" i="1"/>
  <c r="CA91" i="1"/>
  <c r="ET77" i="1"/>
  <c r="BV94" i="1"/>
  <c r="ET118" i="1"/>
  <c r="CA92" i="1"/>
  <c r="CC124" i="1"/>
  <c r="BR96" i="1"/>
  <c r="BR61" i="1"/>
  <c r="CY91" i="1"/>
  <c r="CC34" i="1"/>
  <c r="BX109" i="1"/>
  <c r="CY109" i="1" s="1"/>
  <c r="BY48" i="1"/>
  <c r="CY110" i="1"/>
  <c r="CY31" i="1"/>
  <c r="CC97" i="1"/>
  <c r="CA118" i="1"/>
  <c r="CZ144" i="1"/>
  <c r="BR149" i="1"/>
  <c r="BT130" i="1"/>
  <c r="CA122" i="1"/>
  <c r="CW129" i="1"/>
  <c r="BR31" i="1"/>
  <c r="CY111" i="1"/>
  <c r="CY16" i="1"/>
  <c r="CA103" i="1"/>
  <c r="CW187" i="1"/>
  <c r="CY128" i="1"/>
  <c r="BR32" i="1"/>
  <c r="CC31" i="1"/>
  <c r="CW31" i="1"/>
  <c r="BY157" i="1"/>
  <c r="CC87" i="1"/>
  <c r="BT31" i="1"/>
  <c r="BT120" i="1"/>
  <c r="CQ1" i="1"/>
  <c r="CA9" i="1"/>
  <c r="CJ40" i="1"/>
  <c r="CY114" i="1"/>
  <c r="BY170" i="1"/>
  <c r="BR148" i="1"/>
  <c r="CW154" i="1"/>
  <c r="ET79" i="1"/>
  <c r="BV87" i="1"/>
  <c r="BY186" i="1"/>
  <c r="CC125" i="1"/>
  <c r="CW118" i="1"/>
  <c r="DM3" i="1"/>
  <c r="DM40" i="1" s="1"/>
  <c r="ET106" i="1"/>
  <c r="CZ142" i="1"/>
  <c r="BV118" i="1"/>
  <c r="DH40" i="1"/>
  <c r="ET186" i="1"/>
  <c r="CY61" i="1"/>
  <c r="CZ61" i="1" s="1"/>
  <c r="BY171" i="1"/>
  <c r="CW29" i="1"/>
  <c r="DL3" i="1"/>
  <c r="DL39" i="1" s="1"/>
  <c r="CC108" i="1"/>
  <c r="BY72" i="1"/>
  <c r="BV25" i="1"/>
  <c r="BV97" i="1"/>
  <c r="BV11" i="1"/>
  <c r="CW33" i="1"/>
  <c r="CA120" i="1"/>
  <c r="ET157" i="1"/>
  <c r="BV125" i="1"/>
  <c r="BT98" i="1"/>
  <c r="CW23" i="1"/>
  <c r="BV37" i="1"/>
  <c r="CZ60" i="1"/>
  <c r="CZ184" i="1"/>
  <c r="BQ130" i="1"/>
  <c r="CW130" i="1" s="1"/>
  <c r="ET46" i="1"/>
  <c r="BY26" i="1"/>
  <c r="BY173" i="1"/>
  <c r="BY156" i="1"/>
  <c r="ET172" i="1"/>
  <c r="BV28" i="1"/>
  <c r="CY122" i="1"/>
  <c r="CB80" i="1"/>
  <c r="ET21" i="1"/>
  <c r="CW21" i="1"/>
  <c r="BR160" i="1"/>
  <c r="BR13" i="1"/>
  <c r="DR130" i="1"/>
  <c r="BR152" i="1"/>
  <c r="ET13" i="1"/>
  <c r="BR154" i="1"/>
  <c r="CY62" i="1"/>
  <c r="BY158" i="1"/>
  <c r="CY113" i="1"/>
  <c r="ET70" i="1"/>
  <c r="CQ42" i="1"/>
  <c r="CW88" i="1"/>
  <c r="BY155" i="1"/>
  <c r="ET108" i="1"/>
  <c r="BT22" i="1"/>
  <c r="BR19" i="1"/>
  <c r="BR78" i="1"/>
  <c r="ET30" i="1"/>
  <c r="CY157" i="1"/>
  <c r="CY63" i="1"/>
  <c r="CA101" i="1"/>
  <c r="CW124" i="1"/>
  <c r="CC109" i="1"/>
  <c r="CY30" i="1"/>
  <c r="BT119" i="1"/>
  <c r="DH81" i="1"/>
  <c r="CC36" i="1"/>
  <c r="BT117" i="1"/>
  <c r="BY19" i="1"/>
  <c r="CZ140" i="1"/>
  <c r="ET95" i="1"/>
  <c r="BY13" i="1"/>
  <c r="DI81" i="1"/>
  <c r="BV129" i="1"/>
  <c r="CA95" i="1"/>
  <c r="CZ182" i="1"/>
  <c r="CM39" i="1"/>
  <c r="BV108" i="1"/>
  <c r="BT25" i="1"/>
  <c r="BR91" i="1"/>
  <c r="CW18" i="1"/>
  <c r="ET48" i="1"/>
  <c r="CA121" i="1"/>
  <c r="CY23" i="1"/>
  <c r="BR24" i="1"/>
  <c r="CC37" i="1"/>
  <c r="CC32" i="1"/>
  <c r="BV18" i="1"/>
  <c r="CC13" i="1"/>
  <c r="BU81" i="1"/>
  <c r="BU42" i="1"/>
  <c r="BV88" i="1"/>
  <c r="BV109" i="1"/>
  <c r="BR151" i="1"/>
  <c r="CZ139" i="1"/>
  <c r="CY37" i="1"/>
  <c r="BT89" i="1"/>
  <c r="ET38" i="1"/>
  <c r="CW128" i="1"/>
  <c r="CC18" i="1"/>
  <c r="DS44" i="1"/>
  <c r="ET19" i="1"/>
  <c r="CW19" i="1"/>
  <c r="CK1" i="1"/>
  <c r="BT114" i="1"/>
  <c r="CZ181" i="1"/>
  <c r="CC112" i="1"/>
  <c r="ET28" i="1"/>
  <c r="BY29" i="1"/>
  <c r="CY18" i="1"/>
  <c r="CA107" i="1"/>
  <c r="BT115" i="1"/>
  <c r="BV105" i="1"/>
  <c r="BT23" i="1"/>
  <c r="CW36" i="1"/>
  <c r="BY188" i="1"/>
  <c r="BR60" i="1"/>
  <c r="BX120" i="1"/>
  <c r="CY29" i="1"/>
  <c r="BV111" i="1"/>
  <c r="BY31" i="1"/>
  <c r="BV22" i="1"/>
  <c r="CW57" i="1"/>
  <c r="CY28" i="1"/>
  <c r="BY47" i="1"/>
  <c r="BR150" i="1"/>
  <c r="BY151" i="1"/>
  <c r="CY19" i="1"/>
  <c r="BV21" i="1"/>
  <c r="CY106" i="1"/>
  <c r="CW109" i="1"/>
  <c r="BV36" i="1"/>
  <c r="ET26" i="1"/>
  <c r="BV27" i="1"/>
  <c r="CC29" i="1"/>
  <c r="CA106" i="1"/>
  <c r="BY20" i="1"/>
  <c r="CA38" i="1"/>
  <c r="BV102" i="1"/>
  <c r="BY71" i="1"/>
  <c r="BT97" i="1"/>
  <c r="BV38" i="1"/>
  <c r="CW38" i="1"/>
  <c r="CW108" i="1"/>
  <c r="CY187" i="1"/>
  <c r="CZ187" i="1" s="1"/>
  <c r="BY172" i="1"/>
  <c r="CC113" i="1"/>
  <c r="CW28" i="1"/>
  <c r="BR27" i="1"/>
  <c r="BR58" i="1"/>
  <c r="CW32" i="1"/>
  <c r="CZ141" i="1"/>
  <c r="BR28" i="1"/>
  <c r="CY26" i="1"/>
  <c r="ET18" i="1"/>
  <c r="CY155" i="1"/>
  <c r="CZ155" i="1" s="1"/>
  <c r="BR166" i="1"/>
  <c r="ET151" i="1"/>
  <c r="BY152" i="1"/>
  <c r="BT113" i="1"/>
  <c r="CC22" i="1"/>
  <c r="CY70" i="1"/>
  <c r="CZ70" i="1" s="1"/>
  <c r="BR34" i="1"/>
  <c r="BR33" i="1"/>
  <c r="BY187" i="1"/>
  <c r="BR185" i="1"/>
  <c r="BR186" i="1"/>
  <c r="CY112" i="1"/>
  <c r="ET112" i="1"/>
  <c r="CW26" i="1"/>
  <c r="BT116" i="1"/>
  <c r="CC86" i="1"/>
  <c r="BR59" i="1"/>
  <c r="BY63" i="1"/>
  <c r="CA89" i="1"/>
  <c r="CA26" i="1"/>
  <c r="CA108" i="1"/>
  <c r="CW15" i="1"/>
  <c r="ET31" i="1"/>
  <c r="BV23" i="1"/>
  <c r="CA12" i="1"/>
  <c r="CY90" i="1"/>
  <c r="CZ143" i="1"/>
  <c r="BS42" i="1"/>
  <c r="CY33" i="1"/>
  <c r="CC24" i="1"/>
  <c r="BR17" i="1"/>
  <c r="BR175" i="1"/>
  <c r="BR36" i="1"/>
  <c r="CC130" i="1"/>
  <c r="ET36" i="1"/>
  <c r="CZ151" i="1"/>
  <c r="CZ152" i="1"/>
  <c r="ET35" i="1"/>
  <c r="CA99" i="1"/>
  <c r="CP80" i="1"/>
  <c r="CW102" i="1"/>
  <c r="CC88" i="1"/>
  <c r="CY22" i="1"/>
  <c r="BY75" i="1"/>
  <c r="BR171" i="1"/>
  <c r="BZ81" i="1"/>
  <c r="CA126" i="1"/>
  <c r="CY36" i="1"/>
  <c r="BT108" i="1"/>
  <c r="CY73" i="1"/>
  <c r="BV112" i="1"/>
  <c r="CY27" i="1"/>
  <c r="CP191" i="1"/>
  <c r="BT16" i="1"/>
  <c r="DL136" i="1"/>
  <c r="DL191" i="1" s="1"/>
  <c r="DS136" i="1"/>
  <c r="DQ136" i="1"/>
  <c r="DQ191" i="1" s="1"/>
  <c r="BY36" i="1"/>
  <c r="CA130" i="1"/>
  <c r="CY98" i="1"/>
  <c r="CY15" i="1"/>
  <c r="CA114" i="1"/>
  <c r="ET102" i="1"/>
  <c r="CO81" i="1"/>
  <c r="CA98" i="1"/>
  <c r="CY153" i="1"/>
  <c r="CZ154" i="1" s="1"/>
  <c r="CY38" i="1"/>
  <c r="BV122" i="1"/>
  <c r="CW170" i="1"/>
  <c r="CW30" i="1"/>
  <c r="DQ3" i="1"/>
  <c r="DQ40" i="1" s="1"/>
  <c r="CW34" i="1"/>
  <c r="BY27" i="1"/>
  <c r="BV107" i="1"/>
  <c r="BY78" i="1"/>
  <c r="BT94" i="1"/>
  <c r="CW117" i="1"/>
  <c r="CY176" i="1"/>
  <c r="BQ145" i="1"/>
  <c r="BR146" i="1" s="1"/>
  <c r="BY111" i="1"/>
  <c r="BY79" i="1"/>
  <c r="BT24" i="1"/>
  <c r="CW112" i="1"/>
  <c r="CP81" i="1"/>
  <c r="ET110" i="1"/>
  <c r="BY58" i="1"/>
  <c r="CC128" i="1"/>
  <c r="CY78" i="1"/>
  <c r="CZ78" i="1" s="1"/>
  <c r="BS80" i="1"/>
  <c r="CY58" i="1"/>
  <c r="CZ59" i="1" s="1"/>
  <c r="CW48" i="1"/>
  <c r="BV13" i="1"/>
  <c r="BT35" i="1"/>
  <c r="ET98" i="1"/>
  <c r="CJ80" i="1"/>
  <c r="CW22" i="1"/>
  <c r="BV113" i="1"/>
  <c r="BR153" i="1"/>
  <c r="CK81" i="1"/>
  <c r="CJ81" i="1" s="1"/>
  <c r="ET25" i="1"/>
  <c r="CC129" i="1"/>
  <c r="BS190" i="1"/>
  <c r="BY59" i="1"/>
  <c r="DQ44" i="1"/>
  <c r="DQ81" i="1" s="1"/>
  <c r="DP3" i="1"/>
  <c r="DP39" i="1" s="1"/>
  <c r="DN80" i="1"/>
  <c r="BT96" i="1"/>
  <c r="BY34" i="1"/>
  <c r="CW122" i="1"/>
  <c r="CW16" i="1"/>
  <c r="ET129" i="1"/>
  <c r="CZ173" i="1"/>
  <c r="BT137" i="1"/>
  <c r="BR35" i="1"/>
  <c r="BU7" i="1"/>
  <c r="BV7" i="1" s="1"/>
  <c r="CY129" i="1"/>
  <c r="BR74" i="1"/>
  <c r="BR73" i="1"/>
  <c r="BR48" i="1"/>
  <c r="BT14" i="1"/>
  <c r="BY148" i="1"/>
  <c r="CZ178" i="1"/>
  <c r="BR159" i="1"/>
  <c r="DL44" i="1"/>
  <c r="DL81" i="1" s="1"/>
  <c r="CY17" i="1"/>
  <c r="DN190" i="1"/>
  <c r="BR79" i="1"/>
  <c r="CC30" i="1"/>
  <c r="CC17" i="1"/>
  <c r="DM44" i="1"/>
  <c r="DM81" i="1" s="1"/>
  <c r="CW35" i="1"/>
  <c r="CP40" i="1"/>
  <c r="CC98" i="1"/>
  <c r="CA16" i="1"/>
  <c r="CC11" i="1"/>
  <c r="DS3" i="1"/>
  <c r="DS40" i="1" s="1"/>
  <c r="CY35" i="1"/>
  <c r="CB84" i="1"/>
  <c r="CB131" i="1" s="1"/>
  <c r="DN39" i="1"/>
  <c r="CC38" i="1"/>
  <c r="BT126" i="1"/>
  <c r="CZ179" i="1"/>
  <c r="CA105" i="1"/>
  <c r="CA25" i="1"/>
  <c r="DP44" i="1"/>
  <c r="DP81" i="1" s="1"/>
  <c r="CW125" i="1"/>
  <c r="ET117" i="1"/>
  <c r="CC7" i="1"/>
  <c r="CC8" i="1"/>
  <c r="CY7" i="1"/>
  <c r="BQ101" i="1"/>
  <c r="BR101" i="1" s="1"/>
  <c r="DR101" i="1"/>
  <c r="BX101" i="1"/>
  <c r="BQ92" i="1"/>
  <c r="BX92" i="1"/>
  <c r="BY93" i="1" s="1"/>
  <c r="DR92" i="1"/>
  <c r="BZ6" i="1"/>
  <c r="BM3" i="1"/>
  <c r="BS6" i="1"/>
  <c r="DR97" i="1"/>
  <c r="BQ97" i="1"/>
  <c r="BX97" i="1"/>
  <c r="DR99" i="1"/>
  <c r="BQ99" i="1"/>
  <c r="BR100" i="1" s="1"/>
  <c r="BX99" i="1"/>
  <c r="BV31" i="1"/>
  <c r="ET166" i="1"/>
  <c r="CY166" i="1"/>
  <c r="CZ166" i="1" s="1"/>
  <c r="BJ8" i="1"/>
  <c r="EK8" i="1"/>
  <c r="BQ123" i="1"/>
  <c r="BR124" i="1" s="1"/>
  <c r="DR123" i="1"/>
  <c r="BX123" i="1"/>
  <c r="BR187" i="1"/>
  <c r="BY33" i="1"/>
  <c r="BT125" i="1"/>
  <c r="CZ185" i="1"/>
  <c r="BR62" i="1"/>
  <c r="BJ84" i="1"/>
  <c r="CW90" i="1"/>
  <c r="CP44" i="1"/>
  <c r="BY15" i="1"/>
  <c r="BV32" i="1"/>
  <c r="BY16" i="1"/>
  <c r="CC25" i="1"/>
  <c r="BY160" i="1"/>
  <c r="CP190" i="1"/>
  <c r="BZ85" i="1"/>
  <c r="CY85" i="1" s="1"/>
  <c r="BS85" i="1"/>
  <c r="BS84" i="1" s="1"/>
  <c r="BS132" i="1" s="1"/>
  <c r="BL84" i="1"/>
  <c r="DR89" i="1"/>
  <c r="BQ89" i="1"/>
  <c r="BR90" i="1" s="1"/>
  <c r="BX89" i="1"/>
  <c r="BY90" i="1" s="1"/>
  <c r="BQ167" i="1"/>
  <c r="BX167" i="1"/>
  <c r="BV123" i="1"/>
  <c r="CA35" i="1"/>
  <c r="CW98" i="1"/>
  <c r="CA17" i="1"/>
  <c r="BY37" i="1"/>
  <c r="BR76" i="1"/>
  <c r="BR77" i="1"/>
  <c r="ET24" i="1"/>
  <c r="CZ180" i="1"/>
  <c r="CA23" i="1"/>
  <c r="BR158" i="1"/>
  <c r="BY153" i="1"/>
  <c r="BY17" i="1"/>
  <c r="ET90" i="1"/>
  <c r="BZ190" i="1"/>
  <c r="BT36" i="1"/>
  <c r="CY117" i="1"/>
  <c r="CY20" i="1"/>
  <c r="BY77" i="1"/>
  <c r="CC93" i="1"/>
  <c r="CC28" i="1"/>
  <c r="BY149" i="1"/>
  <c r="CW14" i="1"/>
  <c r="CY24" i="1"/>
  <c r="CW37" i="1"/>
  <c r="CY25" i="1"/>
  <c r="BY76" i="1"/>
  <c r="CM80" i="1"/>
  <c r="ET148" i="1"/>
  <c r="ET16" i="1"/>
  <c r="CY126" i="1"/>
  <c r="BX168" i="1"/>
  <c r="CY168" i="1" s="1"/>
  <c r="CY76" i="1"/>
  <c r="CZ77" i="1" s="1"/>
  <c r="BR18" i="1"/>
  <c r="CW24" i="1"/>
  <c r="BR162" i="1"/>
  <c r="BY60" i="1"/>
  <c r="ET60" i="1"/>
  <c r="ET27" i="1"/>
  <c r="CK39" i="1"/>
  <c r="BV24" i="1"/>
  <c r="ET37" i="1"/>
  <c r="BV98" i="1"/>
  <c r="CC21" i="1"/>
  <c r="BT38" i="1"/>
  <c r="CA117" i="1"/>
  <c r="CC117" i="1"/>
  <c r="BT19" i="1"/>
  <c r="DR64" i="1"/>
  <c r="BQ64" i="1"/>
  <c r="BX64" i="1"/>
  <c r="BJ45" i="1"/>
  <c r="EK45" i="1"/>
  <c r="BX11" i="1"/>
  <c r="BQ11" i="1"/>
  <c r="DR11" i="1"/>
  <c r="EK145" i="1"/>
  <c r="CY147" i="1"/>
  <c r="CZ147" i="1" s="1"/>
  <c r="ET147" i="1"/>
  <c r="DR94" i="1"/>
  <c r="BQ94" i="1"/>
  <c r="BR94" i="1" s="1"/>
  <c r="BX94" i="1"/>
  <c r="BV30" i="1"/>
  <c r="BS10" i="1"/>
  <c r="BT11" i="1" s="1"/>
  <c r="BL3" i="1"/>
  <c r="BZ10" i="1"/>
  <c r="CA10" i="1" s="1"/>
  <c r="BK44" i="1"/>
  <c r="BQ105" i="1"/>
  <c r="BX105" i="1"/>
  <c r="DR105" i="1"/>
  <c r="DR121" i="1"/>
  <c r="BX121" i="1"/>
  <c r="BQ121" i="1"/>
  <c r="ET17" i="1"/>
  <c r="BR161" i="1"/>
  <c r="CC12" i="1"/>
  <c r="CY74" i="1"/>
  <c r="CC116" i="1"/>
  <c r="CC20" i="1"/>
  <c r="ET15" i="1"/>
  <c r="BR63" i="1"/>
  <c r="BK136" i="1"/>
  <c r="CP39" i="1"/>
  <c r="BV121" i="1"/>
  <c r="BR157" i="1"/>
  <c r="BY166" i="1"/>
  <c r="CC27" i="1"/>
  <c r="CA97" i="1"/>
  <c r="ET159" i="1"/>
  <c r="CY116" i="1"/>
  <c r="CY161" i="1"/>
  <c r="BY162" i="1"/>
  <c r="ET161" i="1"/>
  <c r="BY161" i="1"/>
  <c r="BX145" i="1"/>
  <c r="BO3" i="1"/>
  <c r="BU84" i="1"/>
  <c r="BU131" i="1" s="1"/>
  <c r="BK84" i="1"/>
  <c r="ET33" i="1"/>
  <c r="BV17" i="1"/>
  <c r="BV9" i="1"/>
  <c r="ET29" i="1"/>
  <c r="ET23" i="1"/>
  <c r="BY18" i="1"/>
  <c r="BV16" i="1"/>
  <c r="CO39" i="1"/>
  <c r="BV14" i="1"/>
  <c r="BT12" i="1"/>
  <c r="CW126" i="1"/>
  <c r="CK190" i="1"/>
  <c r="BY74" i="1"/>
  <c r="BY62" i="1"/>
  <c r="BY154" i="1"/>
  <c r="BY91" i="1"/>
  <c r="BY73" i="1"/>
  <c r="DR87" i="1"/>
  <c r="BQ87" i="1"/>
  <c r="BR87" i="1" s="1"/>
  <c r="BX87" i="1"/>
  <c r="BY87" i="1" s="1"/>
  <c r="CY160" i="1"/>
  <c r="CZ160" i="1" s="1"/>
  <c r="ET160" i="1"/>
  <c r="BV117" i="1"/>
  <c r="CA30" i="1"/>
  <c r="CW13" i="1"/>
  <c r="BR70" i="1"/>
  <c r="CW70" i="1"/>
  <c r="ET72" i="1"/>
  <c r="CY72" i="1"/>
  <c r="CZ72" i="1" s="1"/>
  <c r="ES23" i="1"/>
  <c r="ED23" i="1"/>
  <c r="EK23" i="1"/>
  <c r="BR129" i="1"/>
  <c r="ET115" i="1"/>
  <c r="CY96" i="1"/>
  <c r="BR114" i="1"/>
  <c r="CY108" i="1"/>
  <c r="CY115" i="1"/>
  <c r="ET96" i="1"/>
  <c r="BY113" i="1"/>
  <c r="ET113" i="1"/>
  <c r="BY114" i="1"/>
  <c r="BY108" i="1"/>
  <c r="BY127" i="1"/>
  <c r="ET126" i="1"/>
  <c r="BY116" i="1"/>
  <c r="BY96" i="1"/>
  <c r="BR126" i="1"/>
  <c r="CZ186" i="1"/>
  <c r="BR116" i="1"/>
  <c r="CW113" i="1"/>
  <c r="CW115" i="1"/>
  <c r="BY126" i="1"/>
  <c r="BR127" i="1"/>
  <c r="CW96" i="1"/>
  <c r="CZ149" i="1"/>
  <c r="CW168" i="1"/>
  <c r="BR169" i="1"/>
  <c r="BR128" i="1"/>
  <c r="BR125" i="1"/>
  <c r="CB3" i="1"/>
  <c r="CB40" i="1" s="1"/>
  <c r="CY125" i="1"/>
  <c r="ET125" i="1"/>
  <c r="ET127" i="1"/>
  <c r="CY127" i="1"/>
  <c r="BY128" i="1"/>
  <c r="BR107" i="1"/>
  <c r="CW107" i="1"/>
  <c r="BV5" i="1"/>
  <c r="CW5" i="1"/>
  <c r="CY119" i="1"/>
  <c r="ET119" i="1"/>
  <c r="BY119" i="1"/>
  <c r="CW103" i="1"/>
  <c r="BR103" i="1"/>
  <c r="ET93" i="1"/>
  <c r="CY93" i="1"/>
  <c r="CW119" i="1"/>
  <c r="BR119" i="1"/>
  <c r="ET107" i="1"/>
  <c r="CY107" i="1"/>
  <c r="BY107" i="1"/>
  <c r="CW93" i="1"/>
  <c r="CY130" i="1"/>
  <c r="BY130" i="1"/>
  <c r="ET104" i="1"/>
  <c r="BY104" i="1"/>
  <c r="CY104" i="1"/>
  <c r="BV6" i="1"/>
  <c r="CZ150" i="1"/>
  <c r="BR104" i="1"/>
  <c r="CW104" i="1"/>
  <c r="BR108" i="1"/>
  <c r="CC5" i="1"/>
  <c r="CY5" i="1"/>
  <c r="ET5" i="1"/>
  <c r="BY125" i="1"/>
  <c r="CY124" i="1"/>
  <c r="ET124" i="1"/>
  <c r="ET103" i="1"/>
  <c r="CY103" i="1"/>
  <c r="BY103" i="1"/>
  <c r="BR86" i="1"/>
  <c r="CW86" i="1"/>
  <c r="BY86" i="1"/>
  <c r="CY86" i="1"/>
  <c r="ET86" i="1"/>
  <c r="CJ39" i="1" l="1"/>
  <c r="ED80" i="1"/>
  <c r="ED81" i="1"/>
  <c r="ED190" i="1"/>
  <c r="ED191" i="1"/>
  <c r="EK136" i="1"/>
  <c r="EK44" i="1"/>
  <c r="ET130" i="1"/>
  <c r="ET120" i="1"/>
  <c r="ET7" i="1"/>
  <c r="CJ190" i="1"/>
  <c r="ED39" i="1"/>
  <c r="ED40" i="1"/>
  <c r="EK3" i="1"/>
  <c r="CZ96" i="1"/>
  <c r="DM191" i="1"/>
  <c r="CX17" i="1"/>
  <c r="CX18" i="1"/>
  <c r="DP191" i="1"/>
  <c r="DQ190" i="1"/>
  <c r="DL190" i="1"/>
  <c r="CZ75" i="1"/>
  <c r="CZ91" i="1"/>
  <c r="CZ21" i="1"/>
  <c r="CZ22" i="1"/>
  <c r="CX28" i="1"/>
  <c r="CX21" i="1"/>
  <c r="CZ34" i="1"/>
  <c r="CZ158" i="1"/>
  <c r="CZ32" i="1"/>
  <c r="CZ129" i="1"/>
  <c r="CZ48" i="1"/>
  <c r="CZ128" i="1"/>
  <c r="CZ171" i="1"/>
  <c r="DM39" i="1"/>
  <c r="CZ35" i="1"/>
  <c r="CX26" i="1"/>
  <c r="DQ39" i="1"/>
  <c r="CZ165" i="1"/>
  <c r="BR120" i="1"/>
  <c r="CZ119" i="1"/>
  <c r="BR121" i="1"/>
  <c r="CZ103" i="1"/>
  <c r="CZ114" i="1"/>
  <c r="CZ13" i="1"/>
  <c r="CZ188" i="1"/>
  <c r="CZ115" i="1"/>
  <c r="CX32" i="1"/>
  <c r="CZ14" i="1"/>
  <c r="BY109" i="1"/>
  <c r="BY110" i="1"/>
  <c r="CZ189" i="1"/>
  <c r="ET109" i="1"/>
  <c r="CZ109" i="1"/>
  <c r="CX34" i="1"/>
  <c r="CZ63" i="1"/>
  <c r="CZ62" i="1"/>
  <c r="CZ31" i="1"/>
  <c r="CX13" i="1"/>
  <c r="CZ157" i="1"/>
  <c r="CZ110" i="1"/>
  <c r="CZ118" i="1"/>
  <c r="CZ107" i="1"/>
  <c r="CZ16" i="1"/>
  <c r="DL40" i="1"/>
  <c r="CZ111" i="1"/>
  <c r="BR130" i="1"/>
  <c r="CX30" i="1"/>
  <c r="CZ112" i="1"/>
  <c r="CZ17" i="1"/>
  <c r="CY120" i="1"/>
  <c r="CZ120" i="1" s="1"/>
  <c r="CZ26" i="1"/>
  <c r="BY120" i="1"/>
  <c r="CZ71" i="1"/>
  <c r="DQ80" i="1"/>
  <c r="CZ79" i="1"/>
  <c r="CZ33" i="1"/>
  <c r="CX24" i="1"/>
  <c r="CX22" i="1"/>
  <c r="CZ30" i="1"/>
  <c r="CZ130" i="1"/>
  <c r="CX23" i="1"/>
  <c r="CX19" i="1"/>
  <c r="CZ27" i="1"/>
  <c r="CX27" i="1"/>
  <c r="BY121" i="1"/>
  <c r="CZ153" i="1"/>
  <c r="DP40" i="1"/>
  <c r="CZ19" i="1"/>
  <c r="CZ38" i="1"/>
  <c r="CX29" i="1"/>
  <c r="CX31" i="1"/>
  <c r="CZ24" i="1"/>
  <c r="CX37" i="1"/>
  <c r="DL80" i="1"/>
  <c r="CX33" i="1"/>
  <c r="CX20" i="1"/>
  <c r="CX38" i="1"/>
  <c r="CW85" i="1"/>
  <c r="DR190" i="1"/>
  <c r="CZ23" i="1"/>
  <c r="BS131" i="1"/>
  <c r="CX36" i="1"/>
  <c r="CZ18" i="1"/>
  <c r="CX15" i="1"/>
  <c r="BR134" i="1"/>
  <c r="BR82" i="1"/>
  <c r="CZ36" i="1"/>
  <c r="CZ28" i="1"/>
  <c r="BR93" i="1"/>
  <c r="CZ58" i="1"/>
  <c r="CZ37" i="1"/>
  <c r="CZ113" i="1"/>
  <c r="CX16" i="1"/>
  <c r="CZ29" i="1"/>
  <c r="DP80" i="1"/>
  <c r="BR168" i="1"/>
  <c r="DM80" i="1"/>
  <c r="CZ156" i="1"/>
  <c r="BQ136" i="1"/>
  <c r="BQ190" i="1" s="1"/>
  <c r="BP190" i="1" s="1"/>
  <c r="CX35" i="1"/>
  <c r="CZ15" i="1"/>
  <c r="BV1" i="1"/>
  <c r="BV2" i="1"/>
  <c r="BU3" i="1"/>
  <c r="BU40" i="1" s="1"/>
  <c r="CB132" i="1"/>
  <c r="BY169" i="1"/>
  <c r="BY82" i="1"/>
  <c r="CW7" i="1"/>
  <c r="BY134" i="1"/>
  <c r="DR131" i="1"/>
  <c r="ET168" i="1"/>
  <c r="BZ134" i="1"/>
  <c r="BV8" i="1"/>
  <c r="BX136" i="1"/>
  <c r="BX190" i="1" s="1"/>
  <c r="BW190" i="1" s="1"/>
  <c r="CZ25" i="1"/>
  <c r="BR145" i="1"/>
  <c r="CW145" i="1"/>
  <c r="CZ177" i="1"/>
  <c r="CZ176" i="1"/>
  <c r="CX25" i="1"/>
  <c r="CZ126" i="1"/>
  <c r="DS39" i="1"/>
  <c r="CZ74" i="1"/>
  <c r="CX14" i="1"/>
  <c r="CY10" i="1"/>
  <c r="CZ10" i="1" s="1"/>
  <c r="DR132" i="1"/>
  <c r="BT86" i="1"/>
  <c r="ET94" i="1"/>
  <c r="BY95" i="1"/>
  <c r="CY94" i="1"/>
  <c r="CZ95" i="1" s="1"/>
  <c r="ET11" i="1"/>
  <c r="BY12" i="1"/>
  <c r="CY11" i="1"/>
  <c r="BY11" i="1"/>
  <c r="BR65" i="1"/>
  <c r="CW64" i="1"/>
  <c r="BR64" i="1"/>
  <c r="CA86" i="1"/>
  <c r="BZ84" i="1"/>
  <c r="CW101" i="1"/>
  <c r="BR102" i="1"/>
  <c r="BY94" i="1"/>
  <c r="ET105" i="1"/>
  <c r="BY106" i="1"/>
  <c r="CY105" i="1"/>
  <c r="CZ106" i="1" s="1"/>
  <c r="CW94" i="1"/>
  <c r="BR95" i="1"/>
  <c r="CY167" i="1"/>
  <c r="CZ167" i="1" s="1"/>
  <c r="ET167" i="1"/>
  <c r="BY167" i="1"/>
  <c r="BY123" i="1"/>
  <c r="ET123" i="1"/>
  <c r="CY123" i="1"/>
  <c r="CZ123" i="1" s="1"/>
  <c r="BQ8" i="1"/>
  <c r="BJ3" i="1"/>
  <c r="BX8" i="1"/>
  <c r="DR8" i="1"/>
  <c r="DR3" i="1" s="1"/>
  <c r="BY99" i="1"/>
  <c r="BY100" i="1"/>
  <c r="CY99" i="1"/>
  <c r="ET99" i="1"/>
  <c r="CW97" i="1"/>
  <c r="BR98" i="1"/>
  <c r="CY6" i="1"/>
  <c r="CZ7" i="1" s="1"/>
  <c r="BZ3" i="1"/>
  <c r="CA6" i="1"/>
  <c r="ET6" i="1"/>
  <c r="CA7" i="1"/>
  <c r="CZ148" i="1"/>
  <c r="CA11" i="1"/>
  <c r="BZ82" i="1"/>
  <c r="BY105" i="1"/>
  <c r="CZ20" i="1"/>
  <c r="BR97" i="1"/>
  <c r="BY88" i="1"/>
  <c r="ET87" i="1"/>
  <c r="CY87" i="1"/>
  <c r="CZ88" i="1" s="1"/>
  <c r="BY145" i="1"/>
  <c r="CY145" i="1"/>
  <c r="BY146" i="1"/>
  <c r="ET145" i="1"/>
  <c r="CZ161" i="1"/>
  <c r="CZ162" i="1"/>
  <c r="BY124" i="1"/>
  <c r="CY121" i="1"/>
  <c r="CZ122" i="1" s="1"/>
  <c r="ET121" i="1"/>
  <c r="BY122" i="1"/>
  <c r="BR106" i="1"/>
  <c r="CW105" i="1"/>
  <c r="CW10" i="1"/>
  <c r="CX10" i="1" s="1"/>
  <c r="BT10" i="1"/>
  <c r="BJ44" i="1"/>
  <c r="BQ45" i="1"/>
  <c r="BX45" i="1"/>
  <c r="DR45" i="1"/>
  <c r="DR44" i="1" s="1"/>
  <c r="BY168" i="1"/>
  <c r="CZ117" i="1"/>
  <c r="BR167" i="1"/>
  <c r="CW167" i="1"/>
  <c r="BR105" i="1"/>
  <c r="BR99" i="1"/>
  <c r="CW99" i="1"/>
  <c r="CY101" i="1"/>
  <c r="ET101" i="1"/>
  <c r="BY102" i="1"/>
  <c r="BY101" i="1"/>
  <c r="BR89" i="1"/>
  <c r="CW89" i="1"/>
  <c r="CY97" i="1"/>
  <c r="CZ98" i="1" s="1"/>
  <c r="BY98" i="1"/>
  <c r="ET97" i="1"/>
  <c r="BR92" i="1"/>
  <c r="CW92" i="1"/>
  <c r="DR84" i="1"/>
  <c r="BQ84" i="1"/>
  <c r="BQ131" i="1" s="1"/>
  <c r="BP131" i="1" s="1"/>
  <c r="BX84" i="1"/>
  <c r="BX131" i="1" s="1"/>
  <c r="BY97" i="1"/>
  <c r="CW121" i="1"/>
  <c r="BR122" i="1"/>
  <c r="BS82" i="1"/>
  <c r="ET85" i="1"/>
  <c r="BU132" i="1"/>
  <c r="CZ76" i="1"/>
  <c r="BR88" i="1"/>
  <c r="CW87" i="1"/>
  <c r="CW11" i="1"/>
  <c r="BR12" i="1"/>
  <c r="BR11" i="1"/>
  <c r="CY64" i="1"/>
  <c r="BY65" i="1"/>
  <c r="BY64" i="1"/>
  <c r="ET64" i="1"/>
  <c r="ET10" i="1"/>
  <c r="ET89" i="1"/>
  <c r="CY89" i="1"/>
  <c r="BY89" i="1"/>
  <c r="CW123" i="1"/>
  <c r="BR123" i="1"/>
  <c r="BT2" i="1"/>
  <c r="BS3" i="1"/>
  <c r="BT7" i="1"/>
  <c r="CW6" i="1"/>
  <c r="BT6" i="1"/>
  <c r="BT1" i="1"/>
  <c r="CY92" i="1"/>
  <c r="CZ92" i="1" s="1"/>
  <c r="ET92" i="1"/>
  <c r="BY92" i="1"/>
  <c r="BS134" i="1"/>
  <c r="CZ73" i="1"/>
  <c r="CZ116" i="1"/>
  <c r="CZ127" i="1"/>
  <c r="CZ169" i="1"/>
  <c r="CZ125" i="1"/>
  <c r="CB39" i="1"/>
  <c r="CX5" i="1"/>
  <c r="CZ5" i="1"/>
  <c r="CZ104" i="1"/>
  <c r="CZ108" i="1"/>
  <c r="CZ86" i="1"/>
  <c r="DN81" i="1" l="1"/>
  <c r="DN191" i="1"/>
  <c r="DN40" i="1"/>
  <c r="BX82" i="1"/>
  <c r="BX134" i="1"/>
  <c r="CZ87" i="1"/>
  <c r="CY134" i="1"/>
  <c r="BX191" i="1"/>
  <c r="BW191" i="1" s="1"/>
  <c r="BU1" i="1"/>
  <c r="BR137" i="1"/>
  <c r="CZ94" i="1"/>
  <c r="BQ134" i="1"/>
  <c r="BQ82" i="1"/>
  <c r="CX7" i="1"/>
  <c r="CZ121" i="1"/>
  <c r="BQ132" i="1"/>
  <c r="BP132" i="1" s="1"/>
  <c r="CZ6" i="1"/>
  <c r="BU39" i="1"/>
  <c r="CZ168" i="1"/>
  <c r="BQ191" i="1"/>
  <c r="BP191" i="1" s="1"/>
  <c r="CW131" i="1"/>
  <c r="BS1" i="1"/>
  <c r="CW132" i="1"/>
  <c r="BY132" i="1"/>
  <c r="CX82" i="1"/>
  <c r="BY131" i="1"/>
  <c r="CY84" i="1"/>
  <c r="BX132" i="1"/>
  <c r="CW136" i="1"/>
  <c r="CW191" i="1" s="1"/>
  <c r="CW84" i="1"/>
  <c r="CX11" i="1"/>
  <c r="CX12" i="1"/>
  <c r="BR9" i="1"/>
  <c r="BQ3" i="1"/>
  <c r="BR8" i="1"/>
  <c r="BR2" i="1"/>
  <c r="BR1" i="1"/>
  <c r="CW8" i="1"/>
  <c r="CW3" i="1" s="1"/>
  <c r="BZ132" i="1"/>
  <c r="BZ131" i="1"/>
  <c r="BW131" i="1" s="1"/>
  <c r="CZ65" i="1"/>
  <c r="CZ64" i="1"/>
  <c r="CZ101" i="1"/>
  <c r="CZ102" i="1"/>
  <c r="DR80" i="1"/>
  <c r="DR81" i="1"/>
  <c r="CZ145" i="1"/>
  <c r="CZ146" i="1"/>
  <c r="CZ93" i="1"/>
  <c r="BZ40" i="1"/>
  <c r="BZ39" i="1"/>
  <c r="DR40" i="1"/>
  <c r="DR39" i="1"/>
  <c r="CZ105" i="1"/>
  <c r="CY82" i="1"/>
  <c r="CY131" i="1"/>
  <c r="CX6" i="1"/>
  <c r="CZ124" i="1"/>
  <c r="CY136" i="1"/>
  <c r="CY191" i="1" s="1"/>
  <c r="BS40" i="1"/>
  <c r="BS39" i="1"/>
  <c r="CY45" i="1"/>
  <c r="BY46" i="1"/>
  <c r="ET45" i="1"/>
  <c r="BX44" i="1"/>
  <c r="BZ42" i="1"/>
  <c r="BY42" i="1"/>
  <c r="BY190" i="1"/>
  <c r="BY191" i="1"/>
  <c r="CZ99" i="1"/>
  <c r="CZ100" i="1"/>
  <c r="BY9" i="1"/>
  <c r="CY8" i="1"/>
  <c r="BX3" i="1"/>
  <c r="BY8" i="1"/>
  <c r="BZ1" i="1"/>
  <c r="ET8" i="1"/>
  <c r="BY1" i="1"/>
  <c r="CZ11" i="1"/>
  <c r="CZ12" i="1"/>
  <c r="CY132" i="1"/>
  <c r="CX134" i="1"/>
  <c r="CZ89" i="1"/>
  <c r="CZ90" i="1"/>
  <c r="CZ97" i="1"/>
  <c r="BR42" i="1"/>
  <c r="BR46" i="1"/>
  <c r="BR43" i="1"/>
  <c r="CW45" i="1"/>
  <c r="BQ44" i="1"/>
  <c r="BW132" i="1" l="1"/>
  <c r="CW190" i="1"/>
  <c r="FF4" i="1"/>
  <c r="CY190" i="1"/>
  <c r="CW134" i="1"/>
  <c r="FE4" i="1"/>
  <c r="CW82" i="1"/>
  <c r="CC82" i="1"/>
  <c r="EZ4" i="1" s="1"/>
  <c r="BX42" i="1"/>
  <c r="CZ8" i="1"/>
  <c r="CZ9" i="1"/>
  <c r="CY3" i="1"/>
  <c r="FC4" i="1" s="1"/>
  <c r="BX80" i="1"/>
  <c r="BW80" i="1" s="1"/>
  <c r="BX81" i="1"/>
  <c r="BW81" i="1" s="1"/>
  <c r="CW40" i="1"/>
  <c r="CW39" i="1"/>
  <c r="CC134" i="1"/>
  <c r="BQ81" i="1"/>
  <c r="BP81" i="1" s="1"/>
  <c r="BQ80" i="1"/>
  <c r="BP80" i="1" s="1"/>
  <c r="BQ42" i="1"/>
  <c r="BY40" i="1"/>
  <c r="BY39" i="1"/>
  <c r="BY81" i="1"/>
  <c r="BY80" i="1"/>
  <c r="CX9" i="1"/>
  <c r="CX8" i="1"/>
  <c r="CX1" i="1"/>
  <c r="BQ40" i="1"/>
  <c r="BP40" i="1" s="1"/>
  <c r="BQ39" i="1"/>
  <c r="CW80" i="1"/>
  <c r="CX42" i="1"/>
  <c r="CW81" i="1"/>
  <c r="CY42" i="1"/>
  <c r="CW44" i="1"/>
  <c r="BP39" i="1"/>
  <c r="BX1" i="1"/>
  <c r="BX40" i="1"/>
  <c r="BW40" i="1" s="1"/>
  <c r="BX39" i="1"/>
  <c r="BW39" i="1" s="1"/>
  <c r="CZ46" i="1"/>
  <c r="CY44" i="1"/>
  <c r="CY81" i="1"/>
  <c r="CY80" i="1"/>
  <c r="CY1" i="1"/>
  <c r="BQ1" i="1"/>
  <c r="FB4" i="1" l="1"/>
  <c r="FD4" i="1"/>
  <c r="CC1" i="1"/>
  <c r="CW1" i="1"/>
  <c r="CY40" i="1"/>
  <c r="CY39" i="1"/>
  <c r="CW42" i="1"/>
  <c r="CC42" i="1"/>
  <c r="EX4" i="1" s="1"/>
  <c r="EV4" i="1" l="1"/>
</calcChain>
</file>

<file path=xl/sharedStrings.xml><?xml version="1.0" encoding="utf-8"?>
<sst xmlns="http://schemas.openxmlformats.org/spreadsheetml/2006/main" count="6532" uniqueCount="6288">
  <si>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</si>
  <si>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</si>
  <si>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</si>
  <si>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</si>
  <si>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</si>
  <si>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</si>
  <si>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</si>
  <si>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</si>
  <si>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</si>
  <si>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</si>
  <si>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</si>
  <si>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</si>
  <si>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</si>
  <si>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</si>
  <si>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</si>
  <si>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</si>
  <si>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</si>
  <si>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</si>
  <si>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</si>
  <si>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</si>
  <si>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</si>
  <si>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</si>
  <si>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</si>
  <si>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</si>
  <si>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</si>
  <si>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</si>
  <si>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</si>
  <si>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</si>
  <si>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</si>
  <si>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</si>
  <si>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</si>
  <si>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</si>
  <si>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</si>
  <si>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</si>
  <si>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</si>
  <si>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</si>
  <si>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</si>
  <si>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</si>
  <si>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</si>
  <si>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</si>
  <si>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</si>
  <si>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</si>
  <si>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</si>
  <si>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</si>
  <si>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</si>
  <si>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</si>
  <si>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</si>
  <si>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</si>
  <si>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</si>
  <si>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</si>
  <si>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</si>
  <si>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</si>
  <si>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</si>
  <si>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</si>
  <si>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</si>
  <si>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</si>
  <si>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</si>
  <si>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</si>
  <si>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</si>
  <si>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GEX-VOL</t>
  </si>
  <si>
    <t>2025-05-19 22:39:00,600,,,,580,,592.5,,,,,600,590,,,593.84</t>
  </si>
  <si>
    <t>2025-05-19 22:39:00,525,,,518,500,,521,,,,,525,510,,,520.46</t>
  </si>
  <si>
    <t>2025-05-19 22:39:00,6000,,6000,,5700,,5930,,,,,6010,5900,6010,5910,5948.75</t>
  </si>
  <si>
    <t>2025-05-19 22:39:00,21325,,21400,,21325,,21350,,,,,21400,20300,,,21362.25</t>
  </si>
  <si>
    <t>2025-05-19 22:39:00,2499795745.67018,439853876.912632,0,0,0,0,0,0,593.84</t>
  </si>
  <si>
    <t>2025-05-19 22:39:00,-78558161.7503446,-1112361430.05379,0,0,0,0,0,0,520.46</t>
  </si>
  <si>
    <t>2025-05-19 22:39:00,71188646.1179942,1041765.40693148,-3.29999999999999,-7,-20.5953333333333,-32.65,0.0444537903301667,-0.94,5948.75</t>
  </si>
  <si>
    <t>2025-05-19 22:39:00,192073177.201589,58175.1803037858,0,0,0,0,0,0,21362.25</t>
  </si>
  <si>
    <t>2025-05-19 22:41:00,600,,,,580,,592.5,,,,,600,590,,,593.82</t>
  </si>
  <si>
    <t>2025-05-19 22:41:00,525,,,518,500,,521,,,,,525,510,,,520.4</t>
  </si>
  <si>
    <t>2025-05-19 22:41:00,6000,,6000,,5700,,5940,,,,,6010,5900,6000,5910,5948.5</t>
  </si>
  <si>
    <t>2025-05-19 22:41:00,21325,,21400,,21325,,21350,,,,,21400,20300,,,21359.75</t>
  </si>
  <si>
    <t>2025-05-19 22:41:00,2490361816.07823,310067794.184684,0,0,0,0,0,0,593.82</t>
  </si>
  <si>
    <t>2025-05-19 22:41:00,-90251501.5271843,-1200113156.76212,0,0,0,0,0,0,520.4</t>
  </si>
  <si>
    <t>2025-05-19 22:41:00,70456067.1690276,945401.455804415,9.63333333333333,0,158.342333333333,19.71,0.0250545124179268,0.72,5948.5</t>
  </si>
  <si>
    <t>2025-05-19 22:41:00,192239331.529706,57261.4301261403,0,0,0,0,0,0,21359.75</t>
  </si>
  <si>
    <t>2025-05-19 22:42:00,600,,,,580,,592.5,,,,,600,590,,,593.87</t>
  </si>
  <si>
    <t>2025-05-19 22:42:00,525,,,518,500,,521,,,,,525,510,,,520.44</t>
  </si>
  <si>
    <t>2025-05-19 22:42:00,6000,,6000,,5700,,5930,,,,,6010,5900,6010,5910,5949</t>
  </si>
  <si>
    <t>2025-05-19 22:42:00,21325,,21400,,21325,,21350,,,,,21400,20300,,,21361.75</t>
  </si>
  <si>
    <t>2025-05-19 22:42:00,2514437788.55997,627875450.707469,0,0,0,0,0,0,593.87</t>
  </si>
  <si>
    <t>2025-05-19 22:42:00,-82493630.017977,-1142064974.8755,0,0,0,0,0,0,520.44</t>
  </si>
  <si>
    <t>2025-05-19 22:42:00,70245353.6534842,1044026.1888918,66.7833333333333,11,211.715666666667,28.44,0.0592504366810731,1.27,5949</t>
  </si>
  <si>
    <t>2025-05-19 22:42:00,192156345.717596,57979.407166817,0,0,0,0,0,0,21361.75</t>
  </si>
  <si>
    <t>2025-05-19 22:43:00,600,,,590,580,,592.5,,,,,600,590,,,593.76</t>
  </si>
  <si>
    <t>2025-05-19 22:43:00,525,,,518,500,,521,,,,,525,510,,,520.37</t>
  </si>
  <si>
    <t>2025-05-19 22:43:00,6000,,6000,,5700,,5940,,,,,6010,5900,6010,5870,5947.75</t>
  </si>
  <si>
    <t>2025-05-19 22:43:00,21325,,21400,,21325,,21350,,,,,21400,20300,,,21358.75</t>
  </si>
  <si>
    <t>2025-05-19 22:43:00,2460984239.44527,-70888424.8646728,0,0,0,0,0,0,593.76</t>
  </si>
  <si>
    <t>2025-05-19 22:43:00,-96109637.3356766,-1244441387.04585,0,0,0,0,0,0,520.37</t>
  </si>
  <si>
    <t>2025-05-19 22:43:00,72072680.6694821,916071.135821637,-38.9,-11,-73.0440000000001,-15.24,0.0310891448334076,-0.44,5947.75</t>
  </si>
  <si>
    <t>2025-05-19 22:43:00,192285385.906271,56910.6011760079,0,0,0,0,0,0,21358.75</t>
  </si>
  <si>
    <t>2025-05-19 22:44:00,600,,,590,580,,593.5,,,,,600,590,,,593.66</t>
  </si>
  <si>
    <t>2025-05-19 22:44:00,525,,,518,500,,521,,,,,525,510,,,520.24</t>
  </si>
  <si>
    <t>2025-05-19 22:44:00,6000,,5950,,5700,,5940,,,,,6010,5900,6010,5870,5946.75</t>
  </si>
  <si>
    <t>2025-05-19 22:44:00,21325,,21400,,21325,,21350,,,,,21400,20300,,,21353.5</t>
  </si>
  <si>
    <t>2025-05-19 22:44:00,2412110218.08674,-703689596.864405,0,0,0,0,0,0,593.66</t>
  </si>
  <si>
    <t>2025-05-19 22:44:00,-121562168.934048,-1434395989.51984,0,0,0,0,0,0,520.24</t>
  </si>
  <si>
    <t>2025-05-19 22:44:00,73951812.6379458,909554.962281039,30.7333333333333,8,118.828666666667,41.62,-0.0115493400898637,1.38,5946.75</t>
  </si>
  <si>
    <t>2025-05-19 22:44:00,192552362.504412,54857.3364304534,0,0,0,0,0,0,21353.5</t>
  </si>
  <si>
    <t>2025-05-19 22:45:00,600,,,590,580,,593.5,,,,,600,590,,,593.68</t>
  </si>
  <si>
    <t>2025-05-19 22:45:00,525,,,518,500,,521,,,,,525,510,,,520.26</t>
  </si>
  <si>
    <t>2025-05-19 22:45:00,6000,,5950,,5700,,5940,,,,,6010,5900,6010,5870,5947.25</t>
  </si>
  <si>
    <t>2025-05-19 22:45:00,21325,,21400,,21325,,21350,,,,,21400,20300,,,21355</t>
  </si>
  <si>
    <t>2025-05-19 22:45:00,2422172132.24386,-576868514.048647,0,0,0,0,0,0,593.68</t>
  </si>
  <si>
    <t>2025-05-19 22:45:00,-117702533.956181,-1406226889.57714,0,0,0,0,0,0,520.26</t>
  </si>
  <si>
    <t>2025-05-19 22:45:00,73128053.3307782,925359.700478727,8.57499999999995,2,206.207249999999,32.14,0.00899259828495518,1.06,5947.25</t>
  </si>
  <si>
    <t>2025-05-19 22:45:00,192515017.355441,55485.2605982838,0,0,0,0,0,0,21355</t>
  </si>
  <si>
    <t>2025-05-19 22:46:00,600,,,590,580,,592.5,,,,,600,590,,,593.72</t>
  </si>
  <si>
    <t>2025-05-19 22:46:00,525,,,518,500,,521,,,,,525,510,,,520.3</t>
  </si>
  <si>
    <t>2025-05-19 22:46:00,6000,,5950,,5700,,5940,,,,,6010,5900,6010,5870,5947.25</t>
  </si>
  <si>
    <t>2025-05-19 22:46:00,21325,,21400,,21325,,21350,,,,,21400,20300,,,21355.75</t>
  </si>
  <si>
    <t>2025-05-19 22:46:00,2441346286.57164,-324908404.26888,0,0,0,0,0,0,593.72</t>
  </si>
  <si>
    <t>2025-05-19 22:46:00,-110347129.627524,-1352094808.03752,0,0,0,0,0,0,520.3</t>
  </si>
  <si>
    <t>2025-05-19 22:46:00,72084491.5796512,902130.12635952,1.83333333333335,-3,38.8950000000002,2.24,0.0196112341393172,0.03,5947.25</t>
  </si>
  <si>
    <t>2025-05-19 22:46:00,192480712.358589,55771.1067412101,0,0,0,0,0,0,21355.75</t>
  </si>
  <si>
    <t>2025-05-19 22:47:00,600,,,590,580,,593.5,,,,,600,590,,,593.67</t>
  </si>
  <si>
    <t>2025-05-19 22:47:00,525,,,518,500,,521,,,,,525,510,,,520.24</t>
  </si>
  <si>
    <t>2025-05-19 22:47:00,6000,,5950,,5700,,5940,,,,,6010,5900,6010,5870,5946.75</t>
  </si>
  <si>
    <t>2025-05-19 22:47:00,21325,,21400,,21325,,21350,,,,,21400,20300,,,21354</t>
  </si>
  <si>
    <t>2025-05-19 22:47:00,2417118466.41566,-640042114.717429,0,0,0,0,0,0,593.67</t>
  </si>
  <si>
    <t>2025-05-19 22:47:00,-121617441.698814,-1434836257.78258,0,0,0,0,0,0,520.24</t>
  </si>
  <si>
    <t>2025-05-19 22:47:00,72808424.7093097,903438.076520496,43.6499999999999,6,228.303,28.47,0.0301578212534939,1.07,5946.75</t>
  </si>
  <si>
    <t>2025-05-19 22:47:00,192560138.419156,55045.6905161839,0,0,0,0,0,0,21354</t>
  </si>
  <si>
    <t>2025-05-19 22:48:00,600,,,590,580,,593.5,,,,,600,590,,,593.59</t>
  </si>
  <si>
    <t>2025-05-19 22:48:00,525,,,518,500,,522,,,,,525,510,,,520.14</t>
  </si>
  <si>
    <t>2025-05-19 22:48:00,6000,,5950,,5700,,5940,,,,,6010,5900,6000,5870,5946.25</t>
  </si>
  <si>
    <t>2025-05-19 22:48:00,21325,,21400,,21325,,21350,,,,,21400,20300,,,21350</t>
  </si>
  <si>
    <t>2025-05-19 22:48:00,2377105558.0381,-1156625688.19511,0,0,0,0,0,0,593.59</t>
  </si>
  <si>
    <t>2025-05-19 22:48:00,-141537727.764701,-1585718830.83363,0,0,0,0,0,0,520.14</t>
  </si>
  <si>
    <t>2025-05-19 22:48:00,74274611.0084018,909412.06418735,82.6999999999996,6,285.480999999999,27.99,-0.00213241416217832,0.96,5946.25</t>
  </si>
  <si>
    <t>2025-05-19 22:48:00,192772140.416955,53493.1443667266,0,0,0,0,0,0,21350</t>
  </si>
  <si>
    <t>2025-05-19 22:49:00,600,,,590,580,,593.5,,,,,600,590,,,593.61</t>
  </si>
  <si>
    <t>2025-05-19 22:49:00,525,,,518,500,,522,,,,,525,510,,,520.12</t>
  </si>
  <si>
    <t>2025-05-19 22:49:00,6000,,5950,,5700,,5940,,,,,6010,5900,6000,5870,5946.25</t>
  </si>
  <si>
    <t>2025-05-19 22:49:00,21325,,21400,,21325,,21350,,,,,21400,20300,,,21349</t>
  </si>
  <si>
    <t>2025-05-19 22:49:00,2387233132.19922,-1025263775.16097,0,0,0,0,0,0,593.61</t>
  </si>
  <si>
    <t>2025-05-19 22:49:00,-144540480.441689,-1608261396.77529,0,0,0,0,0,0,520.12</t>
  </si>
  <si>
    <t>2025-05-19 22:49:00,74039804.0281304,900781.12203746,14.0266666666667,4,157.322866666667,34.39,-0.00780475366315462,0.93,5946.25</t>
  </si>
  <si>
    <t>2025-05-19 22:49:00,192819753.028402,53034.8935937463,0,0,0,0,0,0,21349</t>
  </si>
  <si>
    <t>2025-05-19 22:50:00,600,,,590,580,,593.5,,,,,600,590,,,593.59</t>
  </si>
  <si>
    <t>2025-05-19 22:50:00,525,,,518,500,,522,,,,,525,510,,,520.13</t>
  </si>
  <si>
    <t>2025-05-19 22:50:00,6000,,5950,,5700,,5940,,,,,6010,5900,6000,5870,5946.25</t>
  </si>
  <si>
    <t>2025-05-19 22:50:00,21325,,21400,,21325,,21350,,,,,21400,20300,,,21349.25</t>
  </si>
  <si>
    <t>2025-05-19 22:50:00,2377284623.77982,-1155971791.84882,0,0,0,0,0,0,593.59</t>
  </si>
  <si>
    <t>2025-05-19 22:50:00,-143517047.764837,-1601181533.73576,0,0,0,0,0,0,520.13</t>
  </si>
  <si>
    <t>2025-05-19 22:50:00,74462720.9431826,912491.213498265,0,0,0,0,0,0,5946.25</t>
  </si>
  <si>
    <t>2025-05-19 22:50:00,192824377.915363,53162.2335053049,0,0,0,0,0,0,21349.25</t>
  </si>
  <si>
    <t>2025-05-19 22:51:00,600,,,590,580,,593.5,,,,,600,590,,,593.59</t>
  </si>
  <si>
    <t>2025-05-19 22:51:00,525,,,518,500,,522,,,,,525,510,,,520.11</t>
  </si>
  <si>
    <t>2025-05-19 22:51:00,6000,,5950,,5700,,5940,,,,,6010,5900,6000,5870,5946</t>
  </si>
  <si>
    <t>2025-05-19 22:51:00,21325,,21400,,21325,,21350,,,,,21400,20300,,,21348.5</t>
  </si>
  <si>
    <t>2025-05-19 22:51:00,2377453341.75203,-1155175451.88766,0,0,0,0,0,0,593.59</t>
  </si>
  <si>
    <t>2025-05-19 22:51:00,-147576239.861145,-1631936081.81955,0,0,0,0,0,0,520.11</t>
  </si>
  <si>
    <t>2025-05-19 22:51:00,73869621.8484457,899731.265909706,39.9666666666667,5,170.136,23.67,0.0200116965598335,0.88,5946</t>
  </si>
  <si>
    <t>2025-05-19 22:51:00,192866546.445734,52897.305290763,0,0,0,0,0,0,21348.5</t>
  </si>
  <si>
    <t>2025-05-19 22:52:00,600,,,590,580,,593.5,,,,,600,590,,,593.57</t>
  </si>
  <si>
    <t>2025-05-19 22:52:00,525,,,518,500,,522,,,,,525,510,,,520.11</t>
  </si>
  <si>
    <t>2025-05-19 22:52:00,6000,,5950,,5700,,5940,,,,,6010,5900,6000,5870,5946</t>
  </si>
  <si>
    <t>2025-05-19 22:52:00,21325,,21400,,21325,,21350,,,,,21400,20300,,,21348</t>
  </si>
  <si>
    <t>2025-05-19 22:52:00,2366773511.35916,-1285668295.00823,0,0,0,0,0,0,593.57</t>
  </si>
  <si>
    <t>2025-05-19 22:52:00,-148314465.309851,-1643805994.86583,0,0,0,0,0,0,520.11</t>
  </si>
  <si>
    <t>2025-05-19 22:52:00,73659363.0230868,904291.331295901,75,21,388.05,111.8,0.00813608356060945,3.91,5946</t>
  </si>
  <si>
    <t>2025-05-19 22:52:00,192900688.095895,52616.929123843,0,0,0,0,0,0,21348</t>
  </si>
  <si>
    <t>2025-05-19 22:53:00,600,,,590,580,,593.5,,,,,600,590,,,593.62</t>
  </si>
  <si>
    <t>2025-05-19 22:53:00,525,,,518,500,,522,,,,,525,510,,,520.16</t>
  </si>
  <si>
    <t>2025-05-19 22:53:00,6000,,5950,,5700,,5940,,,,,6010,5900,6000,5870,5946.25</t>
  </si>
  <si>
    <t>2025-05-19 22:53:00,21325,,21400,,21325,,21350,,,,,21400,20300,,,21350.75</t>
  </si>
  <si>
    <t>2025-05-19 22:53:00,2392676981.71212,-963296711.247969,0,0,0,0,0,0,593.62</t>
  </si>
  <si>
    <t>2025-05-19 22:53:00,-137454371.820133,-1555305651.81864,0,0,0,0,0,0,520.16</t>
  </si>
  <si>
    <t>2025-05-19 22:53:00,73713942.4335251,909871.298075469,6.68000000000001,2,189.2444,56.66,-0.00935305065859535,1.06,5946.25</t>
  </si>
  <si>
    <t>2025-05-19 22:53:00,192786629.905674,53782.4263402326,0,0,0,0,0,0,21350.75</t>
  </si>
  <si>
    <t>2025-05-19 22:54:00,600,,,590,580,,593.5,,,,,600,590,,,593.55</t>
  </si>
  <si>
    <t>2025-05-19 22:54:00,525,,,518,500,,522,,,,,525,510,,,520.12</t>
  </si>
  <si>
    <t>2025-05-19 22:54:00,6000,,5950,,5700,,5940,,,,,6010,5900,6000,5870,5945.5</t>
  </si>
  <si>
    <t>2025-05-19 22:54:00,21325,,21400,,21325,,21350,,,,,21400,20300,,,21349.25</t>
  </si>
  <si>
    <t>2025-05-19 22:54:00,2356819722.48822,-1414955519.42434,0,0,0,0,0,0,593.55</t>
  </si>
  <si>
    <t>2025-05-19 22:54:00,-145521092.677856,-1616383129.84011,0,0,0,0,0,0,520.12</t>
  </si>
  <si>
    <t>2025-05-19 22:54:00,74434703.29409,904318.677378459,9.66666666666666,1,32.8666666666666,3.4,0.00390640044268466,0.13,5945.5</t>
  </si>
  <si>
    <t>2025-05-19 22:54:00,192837007.274479,53172.183469435,0,0,0,0,0,0,21349.25</t>
  </si>
  <si>
    <t>2025-05-19 22:55:00,600,,,590,580,,593.5,,,,,600,590,,,593.52</t>
  </si>
  <si>
    <t>2025-05-19 22:55:00,525,,,518,500,,522,,,,,525,510,,,520.09</t>
  </si>
  <si>
    <t>2025-05-19 22:55:00,6000,,5950,,5700,,5940,,,,,6010,5900,6000,5870,5945.25</t>
  </si>
  <si>
    <t>2025-05-19 22:55:00,21325,,21400,,21325,,21350,,,,,21400,20300,,,21348</t>
  </si>
  <si>
    <t>2025-05-19 22:55:00,2341531415.08377,-1607923563.16393,0,0,0,0,0,0,593.52</t>
  </si>
  <si>
    <t>2025-05-19 22:55:00,-151706026.689656,-1663118757.73601,0,0,0,0,0,0,520.09</t>
  </si>
  <si>
    <t>2025-05-19 22:55:00,74266483.1934251,871731.542727053,-3,-2,-0.3,3.1,-0.00285534227900057,0.11,5945.25</t>
  </si>
  <si>
    <t>2025-05-19 22:55:00,192901457.239722,52619.0602476774,0,0,0,0,0,0,21348</t>
  </si>
  <si>
    <t>2025-05-19 22:56:00,600,,,590,580,,593.5,,,,,600,590,,,593.49</t>
  </si>
  <si>
    <t>2025-05-19 22:56:00,525,,,518,500,,522,,,,,525,510,,,520.04</t>
  </si>
  <si>
    <t>2025-05-19 22:56:00,6000,,5950,,5700,,5940,,,,,6010,5900,6010,5870,5945.25</t>
  </si>
  <si>
    <t>2025-05-19 22:56:00,21325,,21400,,21325,,21350,,,,,21400,20300,,,21346</t>
  </si>
  <si>
    <t>2025-05-19 22:56:00,2326063200.9293,-1803961413.72846,0,0,0,0,0,0,593.49</t>
  </si>
  <si>
    <t>2025-05-19 22:56:00,-161990103.86961,-1740486975.40786,0,0,0,0,0,0,520.04</t>
  </si>
  <si>
    <t>2025-05-19 22:56:00,75654396.2669455,927793.286692485,111.548333333333,18,1437.52671666667,202.85,0.0565151824022794,5.11,5945.25</t>
  </si>
  <si>
    <t>2025-05-19 22:56:00,193023382.338519,51825.9116826194,0,0,0,0,0,0,21346</t>
  </si>
  <si>
    <t>2025-05-19 22:57:00,600,,,590,580,,593.5,,,,,600,590,,,593.49</t>
  </si>
  <si>
    <t>2025-05-19 22:57:00,525,,,518,500,,522,,,,,525,510,,,520.04</t>
  </si>
  <si>
    <t>2025-05-19 22:57:00,6000,,5950,,5700,,5940,,,,,6010,5900,6010,5870,5945.25</t>
  </si>
  <si>
    <t>2025-05-19 22:57:00,21325,,21400,,21325,,21350,,,,,21400,20300,,,21346.75</t>
  </si>
  <si>
    <t>2025-05-19 22:57:00,2326234685.27055,-1804798559.34285,0,0,0,0,0,0,593.49</t>
  </si>
  <si>
    <t>2025-05-19 22:57:00,-161977349.665336,-1740699775.82834,0,0,0,0,0,0,520.04</t>
  </si>
  <si>
    <t>2025-05-19 22:57:00,75414583.4912264,921169.397387216,0,1,0,3.4,-0.00399569413782755,0.11,5945.25</t>
  </si>
  <si>
    <t>2025-05-19 22:57:00,192993193.675023,52092.5467470201,0,0,0,0,0,0,21346.75</t>
  </si>
  <si>
    <t>2025-05-19 22:58:00,600,,,590,580,,593.5,,,,,600,590,,,593.52</t>
  </si>
  <si>
    <t>2025-05-19 22:58:00,525,,,518,500,,522,,,,,525,510,,,520.04</t>
  </si>
  <si>
    <t>2025-05-19 22:58:00,6000,,5950,,5700,,5940,,,,,6010,5900,6010,5870,5945.5</t>
  </si>
  <si>
    <t>2025-05-19 22:58:00,21325,,21400,,21325,,21350,,,,,21400,20300,,,21346.5</t>
  </si>
  <si>
    <t>2025-05-19 22:58:00,2341826118.83503,-1612353688.49573,0,0,0,0,0,0,593.52</t>
  </si>
  <si>
    <t>2025-05-19 22:58:00,-161949033.770844,-1740547433.84364,0,0,0,0,0,0,520.04</t>
  </si>
  <si>
    <t>2025-05-19 22:58:00,74987216.9941859,919093.144928412,94.016666666667,4,603.612166666669,64.21,0.00611740345079551,1.36,5945.5</t>
  </si>
  <si>
    <t>2025-05-19 22:58:00,193040472.280104,52031.492330093,0,0,0,0,0,0,21346.5</t>
  </si>
  <si>
    <t>2025-05-19 22:59:00,600,,,590,580,,593.5,,,,,600,590,,,593.46</t>
  </si>
  <si>
    <t>2025-05-19 22:59:00,525,,,518,500,,522,,,,,525,510,,,520.02</t>
  </si>
  <si>
    <t>2025-05-19 22:59:00,6000,,5950,,5700,,5940,,,,,6010,5900,6000,5870,5944.75</t>
  </si>
  <si>
    <t>2025-05-19 22:59:00,21325,,21400,,21325,,21350,,,,,21400,20300,,,21345</t>
  </si>
  <si>
    <t>2025-05-19 22:59:00,2310296593.49262,-2000544295.9978,0,0,0,0,0,0,593.46</t>
  </si>
  <si>
    <t>2025-05-19 22:59:00,-166130629.889352,-1771503707.25945,0,0,0,0,0,0,520.02</t>
  </si>
  <si>
    <t>2025-05-19 22:59:00,75719558.1302848,911505.681669871,27,0,93.3000000000001,1.5,0.0147538549913623,0.08,5944.75</t>
  </si>
  <si>
    <t>2025-05-19 22:59:00,193082335.849876,51403.3934109027,0,0,0,0,0,0,21345</t>
  </si>
  <si>
    <t>2025-05-19 23:00:00,600,,,590,580,,593.5,,,,,600,590,,,593.49</t>
  </si>
  <si>
    <t>2025-05-19 23:00:00,525,,,518,500,,522,,,,,525,510,,,520.03</t>
  </si>
  <si>
    <t>2025-05-19 23:00:00,6000,,5950,,5700,,5940,,,,,6010,5900,6000,5870,5945.25</t>
  </si>
  <si>
    <t>2025-05-19 23:00:00,21325,,21400,,21325,,21350,,,,,21400,20300,,,21345.25</t>
  </si>
  <si>
    <t>2025-05-19 23:00:00,2326405814.55535,-1805545054.11854,0,0,0,0,0,0,593.49</t>
  </si>
  <si>
    <t>2025-05-19 23:00:00,-164008731.693054,-1756482401.56536,0,0,0,0,0,0,520.03</t>
  </si>
  <si>
    <t>2025-05-19 23:00:00,75432005.5809712,925284.637622451,23.1500000000001,3,154.215500000001,20.07,-0.00535428962819388,0.6,5945.25</t>
  </si>
  <si>
    <t>2025-05-19 23:00:00,193112587.635253,51457.675738969,0,0,0,0,0,0,21345.25</t>
  </si>
  <si>
    <t>2025-05-19 23:01:00,600,,,590,580,,593.5,,,,,600,590,,,593.46</t>
  </si>
  <si>
    <t>2025-05-19 23:01:00,525,,,518,500,,522,,,,,525,510,,,520.01</t>
  </si>
  <si>
    <t>2025-05-19 23:01:00,6000,,5950,,5700,,5940,,,,,6010,5900,6000,5870,5945</t>
  </si>
  <si>
    <t>2025-05-19 23:01:00,21325,,21400,,21325,,21350,,,,,21400,20300,,,21344.75</t>
  </si>
  <si>
    <t>2025-05-19 23:01:00,2310659514.88884,-1999034694.20757,0,0,0,0,0,0,593.46</t>
  </si>
  <si>
    <t>2025-05-19 23:01:00,-168215671.864112,-1787308938.86399,0,0,0,0,0,0,520.01</t>
  </si>
  <si>
    <t>2025-05-19 23:01:00,75836581.0557501,930465.978532532,68.4,6,2389.896,178.1,0.0212296136249764,5.11,5945</t>
  </si>
  <si>
    <t>2025-05-19 23:01:00,193139744.030366,51286.0604169075,0,0,0,0,0,0,21344.75</t>
  </si>
  <si>
    <t>2025-05-19 23:03:00,600,,,590,580,,593.5,,,,,600,590,,,593.42</t>
  </si>
  <si>
    <t>2025-05-19 23:03:00,525,,,518,500,,522,,,,,525,510,,,519.97</t>
  </si>
  <si>
    <t>2025-05-19 23:03:00,6000,,5950,,5700,,5940,,,,,6010,5900,6000,5870,5944.25</t>
  </si>
  <si>
    <t>2025-05-19 23:03:00,21325,,21400,,21325,,21350,,,,,21400,20300,,,21342.25</t>
  </si>
  <si>
    <t>2025-05-19 23:03:00,2290334178.65613,-2253916766.84389,0,0,0,0,0,0,593.42</t>
  </si>
  <si>
    <t>2025-05-19 23:03:00,-176637537.828342,-1848861996.98849,0,0,0,0,0,0,519.97</t>
  </si>
  <si>
    <t>2025-05-19 23:03:00,76545224.9699303,914704.20143469,43.4933333333334,5,464.395533333334,47.07,0.0108947312931932,1.42,5944.25</t>
  </si>
  <si>
    <t>2025-05-19 23:03:00,193221181.806733,50193.074376319,0,0,0,0,0,0,21342.25</t>
  </si>
  <si>
    <t>2025-05-19 23:04:00,600,,,590,580,,593.5,,,,,600,590,,,593.35</t>
  </si>
  <si>
    <t>2025-05-19 23:04:00,525,,,518,500,,522,,,,,525,510,,,519.86</t>
  </si>
  <si>
    <t>2025-05-19 23:04:00,6000,,5950,,5700,,5940,,,,,6010,5900,6000,5870,5943.75</t>
  </si>
  <si>
    <t>2025-05-19 23:04:00,21325,,21400,,21325,,21350,,,,,21400,20300,,,21337.75</t>
  </si>
  <si>
    <t>2025-05-19 23:04:00,2253402380.18254,-2707716731.43294,0,0,0,0,0,0,593.35</t>
  </si>
  <si>
    <t>2025-05-19 23:04:00,-198151899.239172,-1981068242.88924,0,0,0,0,0,0,519.86</t>
  </si>
  <si>
    <t>2025-05-19 23:04:00,76724766.511878,927211.158627397,31,4,77.2666666666668,12.3,-0.000030802736654506,0.45,5943.75</t>
  </si>
  <si>
    <t>2025-05-19 23:04:00,193410808.029027,48240.1277433165,0,0,0,0,0,0,21337.75</t>
  </si>
  <si>
    <t>2025-05-19 23:05:00,600,,,590,580,,593.5,,,,,600,590,,,593.4</t>
  </si>
  <si>
    <t>2025-05-19 23:05:00,525,,,518,500,,522,,,,,525,510,,,519.92</t>
  </si>
  <si>
    <t>2025-05-19 23:05:00,6000,,5950,,5700,,5940,,,,,6010,5900,6000,5870,5944.25</t>
  </si>
  <si>
    <t>2025-05-19 23:05:00,21325,,21400,,21325,,21350,,,,,21400,20300,,,21340.5</t>
  </si>
  <si>
    <t>2025-05-19 23:05:00,2280165705.93631,-2374980554.61185,0,0,0,0,0,0,593.4</t>
  </si>
  <si>
    <t>2025-05-19 23:05:00,-186941234.559301,-1922016394.73766,0,0,0,0,0,0,519.92</t>
  </si>
  <si>
    <t>2025-05-19 23:05:00,76312701.4821768,923131.404281501,38.5333333333334,8,130.819666666667,30.11,-0.0142206095162774,1.03,5944.25</t>
  </si>
  <si>
    <t>2025-05-19 23:05:00,193336202.148069,49432.2217530547,0,0,0,0,0,0,21340.5</t>
  </si>
  <si>
    <t>2025-05-19 23:06:00,600,,,590,580,,593.5,,,,,600,590,,,593.35</t>
  </si>
  <si>
    <t>2025-05-19 23:06:00,525,,,518,500,,522,,,,,525,510,,,519.96</t>
  </si>
  <si>
    <t>2025-05-19 23:06:00,6000,,5950,,5700,,5940,,,,,6010,5900,6000,5870,5944.5</t>
  </si>
  <si>
    <t>2025-05-19 23:06:00,21325,,21400,,21325,,21350,,,,,21400,20300,,,21342.5</t>
  </si>
  <si>
    <t>2025-05-19 23:06:00,2253730475.41652,-2707829491.7787,0,0,0,0,0,0,593.35</t>
  </si>
  <si>
    <t>2025-05-19 23:06:00,-178638172.511761,-1864204527.58751,0,0,0,0,0,0,519.96</t>
  </si>
  <si>
    <t>2025-05-19 23:06:00,76219252.8406593,923852.684731863,41.0083333333333,4,325.818583333334,59.53,-0.00572075230992713,1.45,5944.5</t>
  </si>
  <si>
    <t>2025-05-19 23:06:00,193274529.477004,50276.864800187,0,0,0,0,0,0,21342.5</t>
  </si>
  <si>
    <t>2025-05-19 23:07:00,600,,,590,580,,593.5,,,,,600,590,,,593.54</t>
  </si>
  <si>
    <t>2025-05-19 23:07:00,525,,,518,500,,522,,,,,525,510,,,520.09</t>
  </si>
  <si>
    <t>2025-05-19 23:07:00,6000,,5950,,5700,,5940,,,,,6010,5900,6000,5870,5945.75</t>
  </si>
  <si>
    <t>2025-05-19 23:07:00,21325,,21400,,21325,,21350,,,,,21400,20300,,,21347.25</t>
  </si>
  <si>
    <t>2025-05-19 23:07:00,2352808790.70014,-1480238366.39257,0,0,0,0,0,0,593.54</t>
  </si>
  <si>
    <t>2025-05-19 23:07:00,-151419113.310321,-1663753275.32389,0,0,0,0,0,0,520.09</t>
  </si>
  <si>
    <t>2025-05-19 23:07:00,74203549.7127744,903098.025461454,4.76666666666666,3,64.523,47.08,-0.0375945397551563,1.53,5945.75</t>
  </si>
  <si>
    <t>2025-05-19 23:07:00,193137060.890114,52349.2626109987,0,0,0,0,0,0,21347.25</t>
  </si>
  <si>
    <t>2025-05-19 23:08:00,600,,,590,580,,593.5,,,,,600,590,,,593.47</t>
  </si>
  <si>
    <t>2025-05-19 23:08:00,525,,,518,500,,522,,,,,525,510,,,520.01</t>
  </si>
  <si>
    <t>2025-05-19 23:08:00,6000,,5950,,5700,,5940,,,,,6010,5900,6000,5870,5944.75</t>
  </si>
  <si>
    <t>2025-05-19 23:08:00,21325,,21400,,21325,,21350,,,,,21400,20300,,,21344</t>
  </si>
  <si>
    <t>2025-05-19 23:08:00,2316715726.34713,-1937346464.85013,0,0,0,0,0,0,593.47</t>
  </si>
  <si>
    <t>2025-05-19 23:08:00,-168136362.274209,-1787554385.88769,0,0,0,0,0,0,520.01</t>
  </si>
  <si>
    <t>2025-05-19 23:08:00,76195486.8555346,883965.915348996,26.5333333333334,3,112.421333333334,22.12,-0.00360030674603703,0.66,5944.75</t>
  </si>
  <si>
    <t>2025-05-19 23:08:00,193247063.449793,50943.7038629152,0,0,0,0,0,0,21344</t>
  </si>
  <si>
    <t>2025-05-19 23:09:00,600,,,590,580,,593.5,,,,,600,590,,,593.49</t>
  </si>
  <si>
    <t>2025-05-19 23:09:00,525,,,518,500,,522,,,,,525,510,,,520.02</t>
  </si>
  <si>
    <t>2025-05-19 23:09:00,6000,,5950,,5700,,5940,,,,,6010,5900,6000,5870,5945.25</t>
  </si>
  <si>
    <t>2025-05-19 23:09:00,21325,,21400,,21325,,21350,,,,,21400,20300,,,21344.25</t>
  </si>
  <si>
    <t>2025-05-19 23:09:00,2326923289.0657,-1808544479.17119,0,0,0,0,0,0,593.49</t>
  </si>
  <si>
    <t>2025-05-19 23:09:00,-166048242.197412,-1772425246.82946,0,0,0,0,0,0,520.02</t>
  </si>
  <si>
    <t>2025-05-19 23:09:00,74859448.2028219,893170.02264118,30.4,2,162.068,20.6,0.0114509238886696,0.64,5945.25</t>
  </si>
  <si>
    <t>2025-05-19 23:09:00,193285730.165822,51094.584979415,0,0,0,0,0,0,21344.25</t>
  </si>
  <si>
    <t>2025-05-19 23:10:00,600,,,590,580,,593.5,,,,,600,590,,,593.44</t>
  </si>
  <si>
    <t>2025-05-19 23:10:00,525,,,518,500,,522,,,,,525,510,,,519.95</t>
  </si>
  <si>
    <t>2025-05-19 23:10:00,6000,,5950,,5700,,5940,,,,,6010,5900,6000,5870,5944.5</t>
  </si>
  <si>
    <t>2025-05-19 23:10:00,21325,,21400,,21325,,21350,,,,,21400,20300,,,21341.5</t>
  </si>
  <si>
    <t>2025-05-19 23:10:00,2301543624.64304,-2129910879.61994,0,0,0,0,0,0,593.44</t>
  </si>
  <si>
    <t>2025-05-19 23:10:00,-180690210.601242,-1879636663.2762,0,0,0,0,0,0,519.95</t>
  </si>
  <si>
    <t>2025-05-19 23:10:00,75535507.3820325,875117.045558904,86.1333333333337,23,392.874333333335,105.27,-0.094245393564117,3.46,5944.5</t>
  </si>
  <si>
    <t>2025-05-19 23:10:00,193381579.358435,49866.9279644424,0,0,0,0,0,0,21341.5</t>
  </si>
  <si>
    <t>2025-05-19 23:11:00,600,,,590,580,,593.5,,,,,600,590,,,593.42</t>
  </si>
  <si>
    <t>2025-05-19 23:11:00,525,,,518,500,,522,,,,,525,510,,,519.9</t>
  </si>
  <si>
    <t>2025-05-19 23:11:00,6000,,5950,,5700,,5940,,,,,6010,5900,6000,5870,5944.25</t>
  </si>
  <si>
    <t>2025-05-19 23:11:00,21325,,21400,,21325,,21350,,,,,21400,20300,,,21339.5</t>
  </si>
  <si>
    <t>2025-05-19 23:11:00,2291241434.90516,-2253640614.97581,0,0,0,0,0,0,593.42</t>
  </si>
  <si>
    <t>2025-05-19 23:11:00,-190888410.309319,-1947080344.70915,0,0,0,0,0,0,519.9</t>
  </si>
  <si>
    <t>2025-05-19 23:11:00,75838184.3415623,856448.256996634,0,0,0,0,0,0,5944.25</t>
  </si>
  <si>
    <t>2025-05-19 23:11:00,193470070.660677,48941.203634757,0,0,0,0,0,0,21339.5</t>
  </si>
  <si>
    <t>2025-05-19 23:12:00,600,,,590,580,,593.5,,,,,600,590,,,593.34</t>
  </si>
  <si>
    <t>2025-05-19 23:12:00,525,,,518,500,,522,,,,,525,510,,,519.8</t>
  </si>
  <si>
    <t>2025-05-19 23:12:00,6000,,5950,,5700,,5940,,,,,6010,5900,6000,5870,5943.75</t>
  </si>
  <si>
    <t>2025-05-19 23:12:00,21325,,21400,,21325,,21350,,,,,21400,20300,,,21335</t>
  </si>
  <si>
    <t>2025-05-19 23:12:00,2249541808.73686,-2775739422.8589,0,0,0,0,0,0,593.34</t>
  </si>
  <si>
    <t>2025-05-19 23:12:00,-211118470.986404,-2079919817.22993,0,0,0,0,0,0,519.8</t>
  </si>
  <si>
    <t>2025-05-19 23:12:00,77071258.7572361,886218.046346094,246.876666666667,35,1360.5607,156.27,0.0538045745606225,5.25,5943.75</t>
  </si>
  <si>
    <t>2025-05-19 23:12:00,193647986.076354,46940.3914668823,0,0,0,0,0,0,21335</t>
  </si>
  <si>
    <t>2025-05-19 23:13:00,600,,,590,580,,593.5,,,,,600,590,,,593.36</t>
  </si>
  <si>
    <t>2025-05-19 23:13:00,525,,,518,500,,522,,,,,525,510,,,519.8</t>
  </si>
  <si>
    <t>2025-05-19 23:13:00,6000,,5950,,5700,,5940,,,,,6010,5900,6000,5870,5943.5</t>
  </si>
  <si>
    <t>2025-05-19 23:13:00,21325,,21400,,21325,,21350,,,,,21400,20300,,,21335.25</t>
  </si>
  <si>
    <t>2025-05-19 23:13:00,2260185726.28777,-2643882198.3492,0,0,0,0,0,0,593.36</t>
  </si>
  <si>
    <t>2025-05-19 23:13:00,-211070022.258189,-2079689120.41815,0,0,0,0,0,0,519.8</t>
  </si>
  <si>
    <t>2025-05-19 23:13:00,77234377.5872489,882634.77432482,32.8666666666667,10,166.176,53.24,-0.0402634461256755,1.79,5943.5</t>
  </si>
  <si>
    <t>2025-05-19 23:13:00,193631890.740718,47037.1232830699,0,0,0,0,0,0,21335.25</t>
  </si>
  <si>
    <t>2025-05-19 23:14:00,600,,,590,580,,593.5,,,,,600,590,,,593.36</t>
  </si>
  <si>
    <t>2025-05-19 23:14:00,525,,,518,500,,522,,,,,525,510,,,519.82</t>
  </si>
  <si>
    <t>2025-05-19 23:14:00,6000,,5950,,5700,,5940,,,,,6010,5900,6000,5870,5943.75</t>
  </si>
  <si>
    <t>2025-05-19 23:14:00,21325,,21400,,21325,,21350,,,,,21400,20300,,,21336.25</t>
  </si>
  <si>
    <t>2025-05-19 23:14:00,2260320088.28789,-2644401991.1995,0,0,0,0,0,0,593.36</t>
  </si>
  <si>
    <t>2025-05-19 23:14:00,-206755049.104626,-2046845559.35441,0,0,0,0,0,0,519.82</t>
  </si>
  <si>
    <t>2025-05-19 23:14:00,77013909.7567027,875970.583884408,85.2666666666667,10,707.799666666667,73.81,0.0239608273968878,2.45,5943.75</t>
  </si>
  <si>
    <t>2025-05-19 23:14:00,193625079.713336,47534.7245129149,0,0,0,0,0,0,21336.25</t>
  </si>
  <si>
    <t>2025-05-19 23:15:00,600,,,590,580,,593.5,,,,,600,590,,,593.32</t>
  </si>
  <si>
    <t>2025-05-19 23:15:00,525,,,518,500,,522,,,,,525,510,,,519.74</t>
  </si>
  <si>
    <t>2025-05-19 23:15:00,6000,,5950,,5700,,5940,,,,,6010,5900,6000,5870,5943.25</t>
  </si>
  <si>
    <t>2025-05-19 23:15:00,21325,,21400,,21325,,21350,,,,,21400,20300,,,21333.25</t>
  </si>
  <si>
    <t>2025-05-19 23:15:00,2238713649.32039,-2909114691.77453,0,0,0,0,0,0,593.32</t>
  </si>
  <si>
    <t>2025-05-19 23:15:00,-224459894.987079,-2179807033.2429,0,0,0,0,0,0,519.74</t>
  </si>
  <si>
    <t>2025-05-19 23:15:00,78051827.7212041,865506.722584639,25.7864341085271,6,1610.39384883721,459.96,-0.00156197892385386,4.7,5943.25</t>
  </si>
  <si>
    <t>2025-05-19 23:15:00,193651264.983569,46093.7692177144,0,0,0,0,0,0,21333.25</t>
  </si>
  <si>
    <t>2025-05-19 23:16:00,600,,,590,580,,593.5,,,,,600,590,,,593.42</t>
  </si>
  <si>
    <t>2025-05-19 23:16:00,525,,,518,500,,522,,,,,525,510,,,519.86</t>
  </si>
  <si>
    <t>2025-05-19 23:16:00,6000,,5950,,5700,,5940,,,,,6010,5900,6000,5870,5944.25</t>
  </si>
  <si>
    <t>2025-05-19 23:16:00,21325,,21400,,21325,,21350,,,,,21400,20300,,,21338.75</t>
  </si>
  <si>
    <t>2025-05-19 23:16:00,2291327430.22209,-2256752299.39395,0,0,0,0,0,0,593.42</t>
  </si>
  <si>
    <t>2025-05-19 23:16:00,-197982303.410394,-1982099342.13872,0,0,0,0,0,0,519.86</t>
  </si>
  <si>
    <t>2025-05-19 23:16:00,75211166.7633837,853664.097836864,41.0000000000001,12,139.400000000001,40.8,-0.040319702309269,1.44,5944.25</t>
  </si>
  <si>
    <t>2025-05-19 23:16:00,193499310.139898,48598.6887836917,0,0,0,0,0,0,21338.75</t>
  </si>
  <si>
    <t>2025-05-19 23:17:00,600,,,590,580,,593.5,,,,,600,590,,,593.54</t>
  </si>
  <si>
    <t>2025-05-19 23:17:00,525,,,518,500,,522,,,,,525,510,,,520</t>
  </si>
  <si>
    <t>2025-05-19 23:17:00,6000,,5950,,5700,,5940,,,,,6010,5900,6000,5870,5945.5</t>
  </si>
  <si>
    <t>2025-05-19 23:17:00,21325,,21400,,21325,,21350,,,,,21400,20300,,,21344</t>
  </si>
  <si>
    <t>2025-05-19 23:17:00,2353645299.20807,-1485508159.74439,0,0,0,0,0,0,593.54</t>
  </si>
  <si>
    <t>2025-05-19 23:17:00,-170208398.153367,-1803700312.63206,0,0,0,0,0,0,520</t>
  </si>
  <si>
    <t>2025-05-19 23:17:00,72432253.0424688,853433.541966384,8.83333333333335,2,85.5166666666668,19.15,-0.00055687584356783,0.64,5945.5</t>
  </si>
  <si>
    <t>2025-05-19 23:17:00,193354651.957609,50955.1190469781,0,0,0,0,0,0,21344</t>
  </si>
  <si>
    <t>2025-05-19 23:18:00,600,,,590,580,,593.5,,,,,600,590,,,593.52</t>
  </si>
  <si>
    <t>2025-05-19 23:18:00,525,,,518,500,,522,,,,,525,510,,,519.99</t>
  </si>
  <si>
    <t>2025-05-19 23:18:00,6000,,5950,,5700,,5940,,,,,6010,5900,6000,5870,5945.25</t>
  </si>
  <si>
    <t>2025-05-19 23:18:00,21325,,21400,,21325,,21350,,,,,21400,20300,,,21343.25</t>
  </si>
  <si>
    <t>2025-05-19 23:18:00,2343439851.32926,-1615266290.61479,0,0,0,0,0,0,593.52</t>
  </si>
  <si>
    <t>2025-05-19 23:18:00,-172302212.576613,-1819480481.6294,0,0,0,0,0,0,519.99</t>
  </si>
  <si>
    <t>2025-05-19 23:18:00,72431221.9948519,839813.689862846,-1.66666666666667,-1,-1.83333333333333,-1.1,0.00234461558909505,-0.04,5945.25</t>
  </si>
  <si>
    <t>2025-05-19 23:18:00,193383237.315767,50576.5780324987,0,0,0,0,0,0,21343.25</t>
  </si>
  <si>
    <t>2025-05-19 23:19:00,600,,,590,580,,593.5,,,,,600,590,,,593.5</t>
  </si>
  <si>
    <t>2025-05-19 23:19:00,525,,,518,500,,522,,,,,525,510,,,519.95</t>
  </si>
  <si>
    <t>2025-05-19 23:19:00,6000,,5950,,5700,,5940,,,,,6010,5900,6000,5870,5945.25</t>
  </si>
  <si>
    <t>2025-05-19 23:19:00,21325,,21400,,21325,,21350,,,,,21400,20300,,,21342</t>
  </si>
  <si>
    <t>2025-05-19 23:19:00,2333389615.8117,-1745174503.41835,0,0,0,0,0,0,593.5</t>
  </si>
  <si>
    <t>2025-05-19 23:19:00,-180804433.990163,-1879929486.19436,0,0,0,0,0,0,519.95</t>
  </si>
  <si>
    <t>2025-05-19 23:19:00,74687971.7594808,864176.655143064,10.2,2,135.354000000001,26.54,-0.0104178666899817,0.7,5945.25</t>
  </si>
  <si>
    <t>2025-05-19 23:19:00,193461862.390158,50072.3831277355,0,0,0,0,0,0,21342</t>
  </si>
  <si>
    <t>2025-05-19 23:20:00,600,,,590,580,,593.5,,,,,600,590,,,593.46</t>
  </si>
  <si>
    <t>2025-05-19 23:20:00,525,,,518,500,,522,,,,,525,510,,,519.94</t>
  </si>
  <si>
    <t>2025-05-19 23:20:00,6000,,5950,,5700,,5940,,,,,6010,5900,6000,5870,5945</t>
  </si>
  <si>
    <t>2025-05-19 23:20:00,21325,,21400,,21325,,21350,,,,,21400,20300,,,21340.75</t>
  </si>
  <si>
    <t>2025-05-19 23:20:00,2312709332.71209,-2003052148.88467,0,0,0,0,0,0,593.46</t>
  </si>
  <si>
    <t>2025-05-19 23:20:00,-182700115.027686,-1894892763.09513,0,0,0,0,0,0,519.94</t>
  </si>
  <si>
    <t>2025-05-19 23:20:00,75298944.5250305,863434.507422974,30.4000000000003,0,706.026000000006,38.76,0.0423540987856602,1.46,5945</t>
  </si>
  <si>
    <t>2025-05-19 23:20:00,193528504.26738,49525.199477367,0,0,0,0,0,0,21340.75</t>
  </si>
  <si>
    <t>2025-05-19 23:21:00,600,,,590,585,,593.5,,,,,600,590,,,593.45</t>
  </si>
  <si>
    <t>2025-05-19 23:21:00,525,,,518,500,,522,,,,,525,510,,,519.93</t>
  </si>
  <si>
    <t>2025-05-19 23:21:00,6000,,5950,,5700,,5940,,,,,6010,5900,6000,5870,5944.75</t>
  </si>
  <si>
    <t>2025-05-19 23:21:00,21325,,21400,,21325,,21350,,,,,21400,20300,,,21341</t>
  </si>
  <si>
    <t>2025-05-19 23:21:00,2307066594.85526,-2068440203.65831,0,0,0,0,0,0,593.45</t>
  </si>
  <si>
    <t>2025-05-19 23:21:00,-184873483.238671,-1908795974.5276,0,0,0,0,0,0,519.93</t>
  </si>
  <si>
    <t>2025-05-19 23:21:00,75153476.4481486,854451.607326122,-5,-5,-0.5,-0.5,0.00192487569437983,0,5944.75</t>
  </si>
  <si>
    <t>2025-05-19 23:21:00,193514212.760753,49623.7017621165,0,0,0,0,0,0,21341</t>
  </si>
  <si>
    <t>2025-05-19 23:22:00,600,,,590,580,,593.5,,,,,600,590,,,593.45</t>
  </si>
  <si>
    <t>2025-05-19 23:22:00,525,,,518,532,,522,,,,,525,510,,,519.91</t>
  </si>
  <si>
    <t>2025-05-19 23:22:00,6000,,5950,,5700,,5940,,,,,6010,5900,6000,5870,5944.75</t>
  </si>
  <si>
    <t>2025-05-19 23:22:00,21325,,21400,,21325,,21350,,,,,21400,20300,,,21339.75</t>
  </si>
  <si>
    <t>2025-05-19 23:22:00,2307264719.59402,-2069043249.30821,0,0,0,0,0,0,593.45</t>
  </si>
  <si>
    <t>2025-05-19 23:22:00,-188806165.402145,-1935851088.3749,0,0,0,0,0,0,519.91</t>
  </si>
  <si>
    <t>2025-05-19 23:22:00,74934103.5795193,848116.735161374,7.60000000000001,4,45.068,23.72,-0.0188465244768953,0.76,5944.75</t>
  </si>
  <si>
    <t>2025-05-19 23:22:00,193585545.87142,49009.8157007129,0,0,0,0,0,0,21339.75</t>
  </si>
  <si>
    <t>2025-05-19 23:23:00,600,,,590,580,,593.5,,,,,600,590,,,593.42</t>
  </si>
  <si>
    <t>2025-05-19 23:23:00,525,,,518,520,,522,,,,,525,510,,,519.87</t>
  </si>
  <si>
    <t>2025-05-19 23:23:00,6000,,5950,,5700,,5940,,,,,6010,5900,6000,5870,5944.25</t>
  </si>
  <si>
    <t>2025-05-19 23:23:00,21325,,21400,,21325,,21350,,,,,21400,20300,,,21338.25</t>
  </si>
  <si>
    <t>2025-05-19 23:23:00,2292216498.2063,-2257143906.48171,0,0,0,0,0,0,593.42</t>
  </si>
  <si>
    <t>2025-05-19 23:23:00,-195794638.174842,-1966816944.61758,0,0,0,0,0,0,519.87</t>
  </si>
  <si>
    <t>2025-05-19 23:23:00,75422607.9877627,874262.383852635,115.041666666667,9,1567.17291666667,120.45,0.111415832211788,4.52,5944.25</t>
  </si>
  <si>
    <t>2025-05-19 23:23:00,193641186.750344,48383.0857965858,0,0,0,0,0,0,21338.25</t>
  </si>
  <si>
    <t>2025-05-19 23:25:00,600,,,590,580,,593.5,,,,,600,590,,,593.45</t>
  </si>
  <si>
    <t>2025-05-19 23:25:00,525,,,518,500,,522,,,,,525,510,,,519.91</t>
  </si>
  <si>
    <t>2025-05-19 23:25:00,6000,,5950,,5800,,5940,,,,,6010,5900,6000,5870,5944.5</t>
  </si>
  <si>
    <t>2025-05-19 23:25:00,21325,,21400,,21325,,21350,,,,,21400,20300,,,21339.75</t>
  </si>
  <si>
    <t>2025-05-19 23:25:00,2307558447.74033,-2070621388.45462,0,0,0,0,0,0,593.45</t>
  </si>
  <si>
    <t>2025-05-19 23:25:00,-188801502.744391,-1936450128.28229,0,0,0,0,0,0,519.91</t>
  </si>
  <si>
    <t>2025-05-19 23:25:00,75413226.4320164,875029.907990066,0,0,0,0,0,0,5944.5</t>
  </si>
  <si>
    <t>2025-05-19 23:25:00,193605801.557523,49046.7381023531,0,0,0,0,0,0,21339.75</t>
  </si>
  <si>
    <t>2025-05-19 23:26:00,600,,,590,580,,593.5,,,,,600,590,,,593.44</t>
  </si>
  <si>
    <t>2025-05-19 23:26:00,525,,,518,500,,522,,,,,525,510,,,519.93</t>
  </si>
  <si>
    <t>2025-05-19 23:26:00,6000,,5950,,5700,,5940,,,,,6010,5900,6000,5870,5944.75</t>
  </si>
  <si>
    <t>2025-05-19 23:26:00,21325,,21400,,21425,,21350,,,,,21400,20300,,,21340.75</t>
  </si>
  <si>
    <t>2025-05-19 23:26:00,2300647020.48613,-2167234878.5778,0,0,0,0,0,0,593.44</t>
  </si>
  <si>
    <t>2025-05-19 23:26:00,-184186326.415531,-1904886103.19471,0,0,0,0,0,0,519.93</t>
  </si>
  <si>
    <t>2025-05-19 23:26:00,75432268.4386592,887667.855474035,0,0,0,0,0,0,5944.75</t>
  </si>
  <si>
    <t>2025-05-19 23:26:00,193594948.041839,49533.0581609086,0,0,0,0,0,0,21340.75</t>
  </si>
  <si>
    <t>2025-05-19 23:27:00,600,,,590,580,,593.5,,,,,600,590,,,593.44</t>
  </si>
  <si>
    <t>2025-05-19 23:27:00,525,,,518,500,,522,,,,,525,510,,,519.92</t>
  </si>
  <si>
    <t>2025-05-19 23:27:00,6000,,5950,,5700,,5940,,,,,6010,5900,6000,5870,5944.75</t>
  </si>
  <si>
    <t>2025-05-19 23:27:00,21325,,21400,,21325,,21350,,,,,21400,20300,,,21340.75</t>
  </si>
  <si>
    <t>2025-05-19 23:27:00,2302954419.70534,-2134406949.15501,0,0,0,0,0,0,593.44</t>
  </si>
  <si>
    <t>2025-05-19 23:27:00,-186722248.668187,-1923332875.58387,0,0,0,0,0,0,519.92</t>
  </si>
  <si>
    <t>2025-05-19 23:27:00,75154738.4290514,880392.544343572,11,6,49.3999999999998,26.4,-0.0259875971892141,0.87,5944.75</t>
  </si>
  <si>
    <t>2025-05-19 23:27:00,193602823.756516,49508.7361753659,0,0,0,0,0,0,21340.75</t>
  </si>
  <si>
    <t>2025-05-19 23:28:00,600,,,590,580,,593.5,,,,,600,590,,,593.46</t>
  </si>
  <si>
    <t>2025-05-19 23:28:00,525,,,518,500,,522,,,,,525,510,,,519.94</t>
  </si>
  <si>
    <t>2025-05-19 23:28:00,6000,,5950,,5700,,5940,,,,,6010,5900,6000,5870,5944.75</t>
  </si>
  <si>
    <t>2025-05-19 23:28:00,21325,,21400,,21325,,21350,,,,,21400,20300,,,21341.5</t>
  </si>
  <si>
    <t>2025-05-19 23:28:00,2313425772.16184,-2005749948.12165,0,0,0,0,0,0,593.46</t>
  </si>
  <si>
    <t>2025-05-19 23:28:00,-182628322.538713,-1895093670.08827,0,0,0,0,0,0,519.94</t>
  </si>
  <si>
    <t>2025-05-19 23:28:00,75115993.3877057,884695.315809344,31,6,1255.25,208.9,0.0206602668504269,5.12,5944.75</t>
  </si>
  <si>
    <t>2025-05-19 23:28:00,193579706.861095,49789.2901507015,0,0,0,0,0,0,21341.5</t>
  </si>
  <si>
    <t>2025-05-19 23:29:00,600,,,590,580,,593.5,,,,,600,590,,,593.46</t>
  </si>
  <si>
    <t>2025-05-19 23:29:00,525,,,518,500,,522,,,,,525,510,,,519.94</t>
  </si>
  <si>
    <t>2025-05-19 23:29:00,6000,,5950,,5700,,5940,,,,,6010,5900,6000,5870,5944.75</t>
  </si>
  <si>
    <t>2025-05-19 23:29:00,21325,,21400,,21325,,21350,,,,,21400,20300,,,21341.5</t>
  </si>
  <si>
    <t>2025-05-19 23:29:00,2313507692.45493,-2005301041.46488,0,0,0,0,0,0,593.46</t>
  </si>
  <si>
    <t>2025-05-19 23:29:00,-182643992.583192,-1895051872.16636,0,0,0,0,0,0,519.94</t>
  </si>
  <si>
    <t>2025-05-19 23:29:00,75213581.4492537,870893.267793061,15.7,0,71.764,16.53,0.00316871630608922,0.57,5944.75</t>
  </si>
  <si>
    <t>2025-05-19 23:29:00,193598297.042579,49831.8026895502,0,0,0,0,0,0,21341.5</t>
  </si>
  <si>
    <t>2025-05-19 23:30:00,600,,,590,580,,593.5,,,,,600,590,,,593.47</t>
  </si>
  <si>
    <t>2025-05-19 23:30:00,525,,,518,500,,522,,,,,525,510,,,519.95</t>
  </si>
  <si>
    <t>2025-05-19 23:30:00,6000,,5950,,5700,,5940,,,,,6010,5900,6000,5870,5945</t>
  </si>
  <si>
    <t>2025-05-19 23:30:00,21325,,21400,,21325,,21350,,,,,21400,20300,,,21342</t>
  </si>
  <si>
    <t>2025-05-19 23:30:00,2318345131.08214,-1942879343.91928,0,0,0,0,0,0,593.47</t>
  </si>
  <si>
    <t>2025-05-19 23:30:00,-180459933.288457,-1880230196.02981,0,0,0,0,0,0,519.95</t>
  </si>
  <si>
    <t>2025-05-19 23:30:00,75162839.4715749,882338.174089875,4.73333333333333,0,31.988,3.12,0.00841698281214431,0.13,5945</t>
  </si>
  <si>
    <t>2025-05-19 23:30:00,193589344.353751,50038.5283877579,0,0,0,0,0,0,21342</t>
  </si>
  <si>
    <t>2025-05-19 23:31:00,600,,,590,580,,593.5,,,,,600,590,,,593.5</t>
  </si>
  <si>
    <t>2025-05-19 23:31:00,525,,,518,500,,522,,,,,525,510,,,519.97</t>
  </si>
  <si>
    <t>2025-05-19 23:31:00,6000,,5950,,5700,,5940,,,,,6010,5900,6000,5870,5945</t>
  </si>
  <si>
    <t>2025-05-19 23:31:00,21325,,21400,,21325,,21350,,,,,21400,20300,,,21342.25</t>
  </si>
  <si>
    <t>2025-05-19 23:31:00,2334196120.61255,-1745923898.79598,0,0,0,0,0,0,593.5</t>
  </si>
  <si>
    <t>2025-05-19 23:31:00,-176384243.656977,-1850490049.21524,0,0,0,0,0,0,519.97</t>
  </si>
  <si>
    <t>2025-05-19 23:31:00,75123627.5437989,852483.354446575,14.2,4,22.314,6.07,-5.48724103704825E-05,0.22,5945</t>
  </si>
  <si>
    <t>2025-05-19 23:31:00,193596157.7235,50194.0856504798,0,0,0,0,0,0,21342.25</t>
  </si>
  <si>
    <t>2025-05-19 23:32:00,600,,,590,580,,593.5,,,,,600,590,,,593.56</t>
  </si>
  <si>
    <t>2025-05-19 23:32:00,525,,,518,500,,522,,,,,525,510,,,520</t>
  </si>
  <si>
    <t>2025-05-19 23:32:00,6000,,5950,,5700,,5940,,,,,6010,5900,6000,5870,5945.75</t>
  </si>
  <si>
    <t>2025-05-19 23:32:00,21325,,21400,,21325,,21350,,,,,21400,20300,,,21345</t>
  </si>
  <si>
    <t>2025-05-19 23:32:00,2365219476.13961,-1360079238.17343,0,0,0,0,0,0,593.56</t>
  </si>
  <si>
    <t>2025-05-19 23:32:00,-170022186.392484,-1804909376.5826,0,0,0,0,0,0,520</t>
  </si>
  <si>
    <t>2025-05-19 23:32:00,72835794.7883681,882441.558057956,231.8,25,2646.40399999999,273.94,0.158588259186877,9.79,5945.75</t>
  </si>
  <si>
    <t>2025-05-19 23:32:00,193524520.590477,51357.6741063495,0,0,0,0,0,0,21345</t>
  </si>
  <si>
    <t>2025-05-19 23:33:00,600,,,590,580,,593.5,,,,,600,590,,,593.54</t>
  </si>
  <si>
    <t>2025-05-19 23:33:00,525,,,518,500,,522,,,,,525,510,,,520</t>
  </si>
  <si>
    <t>2025-05-19 23:33:00,6000,,5950,,5700,,5940,,,,,6010,5900,6000,5870,5945.5</t>
  </si>
  <si>
    <t>2025-05-19 23:33:00,21325,,21400,,21325,,21350,,,,,21400,20300,,,21344.5</t>
  </si>
  <si>
    <t>2025-05-19 23:33:00,2355481098.93213,-1490439776.58408,0,0,0,0,0,0,593.54</t>
  </si>
  <si>
    <t>2025-05-19 23:33:00,-170001735.613556,-1804758718.8817,0,0,0,0,0,0,520</t>
  </si>
  <si>
    <t>2025-05-19 23:33:00,73165695.5747416,908967.256808487,101.266666666667,13,1810.98366666667,208.57,0.0559581120796317,6.54,5945.5</t>
  </si>
  <si>
    <t>2025-05-19 23:33:00,193541582.550123,51105.7272227315,0,0,0,0,0,0,21344.5</t>
  </si>
  <si>
    <t>2025-05-19 23:34:00,600,,,590,580,,593.5,,,,,600,590,,,593.49</t>
  </si>
  <si>
    <t>2025-05-19 23:34:00,525,,,518,500,,522,,,,,525,510,,,519.94</t>
  </si>
  <si>
    <t>2025-05-19 23:34:00,6000,,5950,,5700,,5940,,,,,6010,5900,6000,5870,5945.25</t>
  </si>
  <si>
    <t>2025-05-19 23:34:00,21325,,21400,,21325,,21350,,,,,21400,20300,,,21341.5</t>
  </si>
  <si>
    <t>2025-05-19 23:34:00,2329536643.56949,-1812128351.44493,0,0,0,0,0,0,593.49</t>
  </si>
  <si>
    <t>2025-05-19 23:34:00,-182601106.188309,-1895497862.95991,0,0,0,0,0,0,519.94</t>
  </si>
  <si>
    <t>2025-05-19 23:34:00,74771686.0719446,939034.696708583,1.23333333333333,1,7.31366666666667,5.93,-0.00473938590724619,0.19,5945.25</t>
  </si>
  <si>
    <t>2025-05-19 23:34:00,193689160.384282,49842.0222319753,0,0,0,0,0,0,21341.5</t>
  </si>
  <si>
    <t>2025-05-19 23:35:00,600,,,590,580,,593.5,,,,,600,590,,,593.52</t>
  </si>
  <si>
    <t>2025-05-19 23:35:00,525,,,518,500,,522,,,,,525,510,,,520</t>
  </si>
  <si>
    <t>2025-05-19 23:35:00,6000,,5950,,5700,,5940,,,,,6010,5900,6000,5870,5945.5</t>
  </si>
  <si>
    <t>2025-05-19 23:35:00,21325,,21400,,21325,,21350,,,,,21400,20300,,,21344.75</t>
  </si>
  <si>
    <t>2025-05-19 23:35:00,2346004007.70739,-1588310326.42486,0,0,0,0,0,0,593.52</t>
  </si>
  <si>
    <t>2025-05-19 23:35:00,-170115171.274664,-1804764060.65018,0,0,0,0,0,0,520</t>
  </si>
  <si>
    <t>2025-05-19 23:35:00,73609543.9667848,908984.410135966,10.1,1,52.7220000000001,5.22,0.00536016330632927,0.2,5945.5</t>
  </si>
  <si>
    <t>2025-05-19 23:35:00,193561911.833997,51221.7509034177,0,0,0,0,0,0,21344.75</t>
  </si>
  <si>
    <t>2025-05-19 23:36:00,600,,,590,580,,593.5,,,,,600,590,,,593.49</t>
  </si>
  <si>
    <t>2025-05-19 23:36:00,525,,,518,500,,522,,,,,525,510,,,519.97</t>
  </si>
  <si>
    <t>2025-05-19 23:36:00,6000,,5950,,5700,,5940,,,,,6010,5900,6000,5870,5945.25</t>
  </si>
  <si>
    <t>2025-05-19 23:36:00,21325,,21400,,21325,,21350,,,,,21400,20300,,,21342.25</t>
  </si>
  <si>
    <t>2025-05-19 23:36:00,2329677934.13369,-1813322980.62346,0,0,0,0,0,0,593.49</t>
  </si>
  <si>
    <t>2025-05-19 23:36:00,-176359686.436947,-1850993924.63763,0,0,0,0,0,0,519.97</t>
  </si>
  <si>
    <t>2025-05-19 23:36:00,74407536.2005185,926866.21473222,12.2666666666667,1,24.6186666666667,1.49,0.00893876253624399,0.07,5945.25</t>
  </si>
  <si>
    <t>2025-05-19 23:36:00,193685657.595912,50181.9072609989,0,0,0,0,0,0,21342.25</t>
  </si>
  <si>
    <t>2025-05-19 23:37:00,600,,,590,580,,593.5,,,,,600,590,,,593.45</t>
  </si>
  <si>
    <t>2025-05-19 23:37:00,525,,,518,500,,522,,,,,525,510,,,519.92</t>
  </si>
  <si>
    <t>2025-05-19 23:37:00,6000,,5950,,5700,,5940,,,,,6010,5900,6000,5870,5944.75</t>
  </si>
  <si>
    <t>2025-05-19 23:37:00,21325,,21400,,21325,,21350,,,,,21400,20300,,,21340.75</t>
  </si>
  <si>
    <t>2025-05-19 23:37:00,2308918972.17845,-2074334572.79691,0,0,0,0,0,0,593.45</t>
  </si>
  <si>
    <t>2025-05-19 23:37:00,-186667491.626857,-1923494636.84217,0,0,0,0,0,0,519.92</t>
  </si>
  <si>
    <t>2025-05-19 23:37:00,74650569.0240427,929920.35542349,13,0,107.95,5.25,0.010628855325986,0.2,5944.75</t>
  </si>
  <si>
    <t>2025-05-19 23:37:00,193734714.482979,49485.9951999897,0,0,0,0,0,0,21340.75</t>
  </si>
  <si>
    <t>2025-05-19 23:38:00,600,,,590,580,,593.5,,,,,600,590,,,593.47</t>
  </si>
  <si>
    <t>2025-05-19 23:38:00,525,,,518,500,,522,,,,,525,510,,,519.91</t>
  </si>
  <si>
    <t>2025-05-19 23:38:00,6000,,5950,,5700,,5940,,,,,6010,5900,6000,5870,5945</t>
  </si>
  <si>
    <t>2025-05-19 23:38:00,21325,,21400,,21325,,21350,,,,,21400,20300,,,21340.5</t>
  </si>
  <si>
    <t>2025-05-19 23:38:00,2318973439.77833,-1945667471.31961,0,0,0,0,0,0,593.47</t>
  </si>
  <si>
    <t>2025-05-19 23:38:00,-188642294.134645,-1936655890.75201,0,0,0,0,0,0,519.91</t>
  </si>
  <si>
    <t>2025-05-19 23:38:00,75133392.2300867,933150.469078971,10.3333333333333,1,35.1333333333333,3.4,0.00377510792913675,0.12,5945</t>
  </si>
  <si>
    <t>2025-05-19 23:38:00,193771021.27409,49337.3744870599,0,0,0,0,0,0,21340.5</t>
  </si>
  <si>
    <t>2025-05-19 23:39:00,600,,,590,580,,593.5,,,,,600,590,,,593.45</t>
  </si>
  <si>
    <t>2025-05-19 23:39:00,525,,,518,500,,522,,,,,525,510,,,519.9</t>
  </si>
  <si>
    <t>2025-05-19 23:39:00,6000,,5950,,5700,,5940,,,,,6010,5900,6000,5870,5944.75</t>
  </si>
  <si>
    <t>2025-05-19 23:39:00,21325,,21400,,21325,,21350,,,,,21400,20300,,,21340</t>
  </si>
  <si>
    <t>2025-05-19 23:39:00,2309105596.78647,-2072968786.34639,0,0,0,0,0,0,593.45</t>
  </si>
  <si>
    <t>2025-05-19 23:39:00,-190595797.230738,-1949156039.56421,0,0,0,0,0,0,519.9</t>
  </si>
  <si>
    <t>2025-05-19 23:39:00,74719771.1211954,927694.431352648,11.8666666666667,6,28.7806666666667,25.07,-0.019374845874003,0.83,5944.75</t>
  </si>
  <si>
    <t>2025-05-19 23:39:00,193796276.592174,49156.9619591799,0,0,0,0,0,0,21340</t>
  </si>
  <si>
    <t>2025-05-19 23:40:00,600,,,590,580,,593.5,,,,,600,590,,,593.48</t>
  </si>
  <si>
    <t>2025-05-19 23:40:00,525,,,518,500,,522,,,,,525,510,,,519.93</t>
  </si>
  <si>
    <t>2025-05-19 23:40:00,6000,,5950,,5700,,5940,,,,,6010,5900,6000,5870,5944.75</t>
  </si>
  <si>
    <t>2025-05-19 23:40:00,21325,,21400,,21325,,21350,,,,,21400,20300,,,21340.75</t>
  </si>
  <si>
    <t>2025-05-19 23:40:00,2324697710.7346,-1878755112.37985,0,0,0,0,0,0,593.48</t>
  </si>
  <si>
    <t>2025-05-19 23:40:00,-184643926.982014,-1910084832.23332,0,0,0,0,0,0,519.93</t>
  </si>
  <si>
    <t>2025-05-19 23:40:00,74948938.3283044,918771.580844657,-2.00000000000001,-1,10.7333333333333,3.5,0.00132309322248978,0.1,5944.75</t>
  </si>
  <si>
    <t>2025-05-19 23:40:00,193776969.233912,49461.9813669291,0,0,0,0,0,0,21340.75</t>
  </si>
  <si>
    <t>2025-05-19 23:41:00,600,,,590,580,,593.5,,,,,600,590,,,593.48</t>
  </si>
  <si>
    <t>2025-05-19 23:41:00,525,,,518,500,,522,,,,,525,510,,,519.96</t>
  </si>
  <si>
    <t>2025-05-19 23:41:00,6000,,5950,,5700,,5940,,,,,6010,5900,6000,5870,5945</t>
  </si>
  <si>
    <t>2025-05-19 23:41:00,21325,,21400,,21325,,21350,,,,,21400,20300,,,21341.75</t>
  </si>
  <si>
    <t>2025-05-19 23:41:00,2324830745.01368,-1880313458.81475,0,0,0,0,0,0,593.48</t>
  </si>
  <si>
    <t>2025-05-19 23:41:00,-178354230.362106,-1865868951.34427,0,0,0,0,0,0,519.96</t>
  </si>
  <si>
    <t>2025-05-19 23:41:00,74765086.7107416,915199.862529294,0,0,0,0,0,0,5945</t>
  </si>
  <si>
    <t>2025-05-19 23:41:00,193759384.107217,49869.8927583884,0,0,0,0,0,0,21341.75</t>
  </si>
  <si>
    <t>2025-05-19 23:42:00,600,,,590,580,,593.5,,,,,600,590,,,593.5</t>
  </si>
  <si>
    <t>2025-05-19 23:42:00,525,,,518,500,,522,,,,,525,510,,,519.95</t>
  </si>
  <si>
    <t>2025-05-19 23:42:00,6000,,5950,,5700,,5940,,,,,6010,5900,6000,5870,5945.25</t>
  </si>
  <si>
    <t>2025-05-19 23:42:00,21325,,21400,,21325,,21350,,,,,21400,20300,,,21342</t>
  </si>
  <si>
    <t>2025-05-19 23:42:00,2335158503.4256,-1750849635.84484,0,0,0,0,0,0,593.5</t>
  </si>
  <si>
    <t>2025-05-19 23:42:00,-180421143.687171,-1880987533.98557,0,0,0,0,0,0,519.95</t>
  </si>
  <si>
    <t>2025-05-19 23:42:00,74710394.0777633,929861.224973825,26.4166666666667,5,378.687833333334,69.6,-0.0258678875667213,1.81,5945.25</t>
  </si>
  <si>
    <t>2025-05-19 23:42:00,193782524.498351,50020.2593684582,0,0,0,0,0,0,21342</t>
  </si>
  <si>
    <t>2025-05-19 23:43:00,600,,,590,580,,593.5,,,,,600,590,,,593.57</t>
  </si>
  <si>
    <t>2025-05-19 23:43:00,525,,,518,500,,522,,,,,525,510,,,520</t>
  </si>
  <si>
    <t>2025-05-19 23:43:00,6000,,5950,,5700,,5940,,,,,6010,5900,6000,5870,5945.75</t>
  </si>
  <si>
    <t>2025-05-19 23:43:00,21325,,21400,,21325,,21350,,,,,21400,20300,,,21345.5</t>
  </si>
  <si>
    <t>2025-05-19 23:43:00,2371821848.88305,-1295887185.76616,0,0,0,0,0,0,593.57</t>
  </si>
  <si>
    <t>2025-05-19 23:43:00,-170039713.939444,-1805392426.19989,0,0,0,0,0,0,520</t>
  </si>
  <si>
    <t>2025-05-19 23:43:00,73176975.2963923,891735.184092773,2.06666666666666,-2,37.398,11.92,0.00611892229742531,0.39,5945.75</t>
  </si>
  <si>
    <t>2025-05-19 23:43:00,193655234.306616,51529.4875291911,0,0,0,0,0,0,21345.5</t>
  </si>
  <si>
    <t>2025-05-19 23:44:00,600,,,590,580,,593.5,,,,,600,590,,,593.56</t>
  </si>
  <si>
    <t>2025-05-19 23:44:00,525,,,518,500,,522,,,,,525,510,,,520</t>
  </si>
  <si>
    <t>2025-05-19 23:44:00,6000,,5950,,5700,,5940,,,,,6010,5900,6000,5870,5945.5</t>
  </si>
  <si>
    <t>2025-05-19 23:44:00,21325,,21400,,21325,,21350,,,,,21400,20300,,,21345.25</t>
  </si>
  <si>
    <t>2025-05-19 23:44:00,2366475297.15455,-1363263287.77765,0,0,0,0,0,0,593.56</t>
  </si>
  <si>
    <t>2025-05-19 23:44:00,-170055145.956991,-1805456823.20868,0,0,0,0,0,0,520</t>
  </si>
  <si>
    <t>2025-05-19 23:44:00,73346915.3527661,898107.618110971,14,5,6.54999999999999,1.6,0.00353480777625366,0.07,5945.5</t>
  </si>
  <si>
    <t>2025-05-19 23:44:00,193670345.723618,51468.0295055595,0,0,0,0,0,0,21345.25</t>
  </si>
  <si>
    <t>2025-05-19 23:45:00,600,,,590,580,,593.5,,,,,600,590,,,593.49</t>
  </si>
  <si>
    <t>2025-05-19 23:45:00,525,,,518,500,,522,,,,,525,510,,,519.99</t>
  </si>
  <si>
    <t>2025-05-19 23:45:00,6000,,5950,,5700,,5940,,,,,6010,5900,6000,5870,5945</t>
  </si>
  <si>
    <t>2025-05-19 23:45:00,21325,,21400,,21325,,21350,,,,,21400,20300,,,21343</t>
  </si>
  <si>
    <t>2025-05-19 23:45:00,2330191226.31532,-1816371884.28248,0,0,0,0,0,0,593.49</t>
  </si>
  <si>
    <t>2025-05-19 23:45:00,-172111948.926001,-1820382777.96249,0,0,0,0,0,0,519.99</t>
  </si>
  <si>
    <t>2025-05-19 23:45:00,74490973.1933577,898684.14607076,5.66333333333334,1,266.722233333333,57.84,-0.00710034942425019,1.1,5945</t>
  </si>
  <si>
    <t>2025-05-19 23:45:00,193764019.849705,50455.3062064752,0,0,0,0,0,0,21343</t>
  </si>
  <si>
    <t>2025-05-19 23:46:00,600,,,590,580,,593.5,,,,,600,590,,,593.46</t>
  </si>
  <si>
    <t>2025-05-19 23:46:00,525,,,518,500,,522,,,,,525,510,,,519.94</t>
  </si>
  <si>
    <t>2025-05-19 23:46:00,6000,,5950,,5700,,5940,,,,,6010,5900,6000,5870,5944.75</t>
  </si>
  <si>
    <t>2025-05-19 23:46:00,21325,,21400,,21325,,21350,,,,,21400,20300,,,21341.75</t>
  </si>
  <si>
    <t>2025-05-19 23:46:00,2314453849.74541,-2009613507.36888,0,0,0,0,0,0,593.46</t>
  </si>
  <si>
    <t>2025-05-19 23:46:00,-182456590.504088,-1895820317.05589,0,0,0,0,0,0,519.94</t>
  </si>
  <si>
    <t>2025-05-19 23:46:00,74889318.2183758,900193.639685936,4,1,2.8,0.7,0.00120457700883799,0.03,5944.75</t>
  </si>
  <si>
    <t>2025-05-19 23:46:00,193821443.923193,49895.1252219476,0,0,0,0,0,0,21341.75</t>
  </si>
  <si>
    <t>2025-05-19 23:47:00,600,,,590,580,,593.5,,,,,600,590,,,593.46</t>
  </si>
  <si>
    <t>2025-05-19 23:47:00,525,,,518,500,,522,,,,,525,510,,,519.92</t>
  </si>
  <si>
    <t>2025-05-19 23:47:00,6000,,5950,,5700,,5940,,,,,6010,5900,6000,5870,5944.75</t>
  </si>
  <si>
    <t>2025-05-19 23:47:00,21325,,21400,,21325,,21350,,,,,21400,20300,,,21340</t>
  </si>
  <si>
    <t>2025-05-19 23:47:00,2314450948.34122,-2009901230.20953,0,0,0,0,0,0,593.46</t>
  </si>
  <si>
    <t>2025-05-19 23:47:00,-186544120.640932,-1924079108.49122,0,0,0,0,0,0,519.92</t>
  </si>
  <si>
    <t>2025-05-19 23:47:00,75069568.3687102,919167.821212517,0,0,0,0,0,0,5944.75</t>
  </si>
  <si>
    <t>2025-05-19 23:47:00,193921072.650446,49162.8014693268,0,0,0,0,0,0,21340</t>
  </si>
  <si>
    <t>2025-05-19 23:48:00,600,,,590,580,,593.5,,,,,600,590,,,593.54</t>
  </si>
  <si>
    <t>2025-05-19 23:48:00,525,,,518,500,,522,,,,,525,510,,,519.96</t>
  </si>
  <si>
    <t>2025-05-19 23:48:00,6000,,5950,,5700,,5940,,,,,6010,5900,6000,5870,5945</t>
  </si>
  <si>
    <t>2025-05-19 23:48:00,21325,,21400,,21325,,21350,,,,,21400,20300,,,21342.5</t>
  </si>
  <si>
    <t>2025-05-19 23:48:00,2356488728.07352,-1494382821.55227,0,0,0,0,0,0,593.54</t>
  </si>
  <si>
    <t>2025-05-19 23:48:00,-178338964.040903,-1866238928.40698,0,0,0,0,0,0,519.96</t>
  </si>
  <si>
    <t>2025-05-19 23:48:00,74077543.3091023,901792.124018197,0,0,0,0,0,0,5945</t>
  </si>
  <si>
    <t>2025-05-19 23:48:00,193830329.811252,50220.4978214129,0,0,0,0,0,0,21342.5</t>
  </si>
  <si>
    <t>2025-05-19 23:49:00,600,,,590,580,,593.5,,,,,600,590,,,593.46</t>
  </si>
  <si>
    <t>2025-05-19 23:49:00,525,,,518,500,,522,,,,,525,510,,,519.93</t>
  </si>
  <si>
    <t>2025-05-19 23:49:00,6000,,5950,,5700,,5940,,,,,6010,5900,6000,5870,5944.75</t>
  </si>
  <si>
    <t>2025-05-19 23:49:00,21325,,21400,,21325,,21350,,,,,21400,20300,,,21341</t>
  </si>
  <si>
    <t>2025-05-19 23:49:00,2314599540.68413,-2010300229.46469,0,0,0,0,0,0,593.46</t>
  </si>
  <si>
    <t>2025-05-19 23:49:00,-184454127.352961,-1910798218.66845,0,0,0,0,0,0,519.93</t>
  </si>
  <si>
    <t>2025-05-19 23:49:00,74414524.1475141,919933.07327993,0,0,0,0,0,0,5944.75</t>
  </si>
  <si>
    <t>2025-05-19 23:49:00,193903601.587992,49601.4065402713,0,0,0,0,0,0,21341</t>
  </si>
  <si>
    <t>2025-05-19 23:50:00,600,,,590,580,,593.5,,,,,600,590,,,593.43</t>
  </si>
  <si>
    <t>2025-05-19 23:50:00,525,,,518,500,,522,,,,,525,510,,,519.95</t>
  </si>
  <si>
    <t>2025-05-19 23:50:00,6000,,5950,,5700,,5940,,,,,6010,5900,6000,5870,5944.75</t>
  </si>
  <si>
    <t>2025-05-19 23:50:00,21325,,21400,,21325,,21350,,,,,21400,20300,,,21341.25</t>
  </si>
  <si>
    <t>2025-05-19 23:50:00,2299414706.55013,-2203064474.85954,0,0,0,0,0,0,593.43</t>
  </si>
  <si>
    <t>2025-05-19 23:50:00,-180418663.329193,-1881416430.50041,0,0,0,0,0,0,519.95</t>
  </si>
  <si>
    <t>2025-05-19 23:50:00,74739976.1712257,908725.755106149,0,0,0,0,0,0,5944.75</t>
  </si>
  <si>
    <t>2025-05-19 23:50:00,193907513.498101,49698.7244408876,0,0,0,0,0,0,21341.25</t>
  </si>
  <si>
    <t>2025-05-19 23:51:00,600,,,590,580,,593.5,,,,,600,590,,,593.43</t>
  </si>
  <si>
    <t>2025-05-19 23:51:00,525,,,518,500,,522,,,,,525,510,,,520</t>
  </si>
  <si>
    <t>2025-05-19 23:51:00,6000,,5950,,5700,,5940,,,,,6010,5900,6000,5870,5945.25</t>
  </si>
  <si>
    <t>2025-05-19 23:51:00,21325,,21400,,21325,,21350,,,,,21400,20300,,,21343.75</t>
  </si>
  <si>
    <t>2025-05-19 23:51:00,2299530172.89235,-2202688691.1401,0,0,0,0,0,0,593.43</t>
  </si>
  <si>
    <t>2025-05-19 23:51:00,-170030497.561173,-1806037602.01613,0,0,0,0,0,0,520</t>
  </si>
  <si>
    <t>2025-05-19 23:51:00,74178565.2735597,920396.215221617,63.3166666666668,7,1142.0505,118.32,0.0440251515950589,3.77,5945.25</t>
  </si>
  <si>
    <t>2025-05-19 23:51:00,193829298.967958,50747.0319310101,0,0,0,0,0,0,21343.75</t>
  </si>
  <si>
    <t>2025-05-19 23:52:00,600,,,590,580,,593.5,,,,,600,590,,,593.48</t>
  </si>
  <si>
    <t>2025-05-19 23:52:00,525,,,518,500,,522,,,,,525,510,,,520.01</t>
  </si>
  <si>
    <t>2025-05-19 23:52:00,6000,,5950,,5700,,5940,,,,,6010,5900,6000,5870,5945</t>
  </si>
  <si>
    <t>2025-05-19 23:52:00,21325,,21400,,21325,,21350,,,,,21400,20300,,,21344.25</t>
  </si>
  <si>
    <t>2025-05-19 23:52:00,2326003504.51192,-1882024650.33098,0,0,0,0,0,0,593.48</t>
  </si>
  <si>
    <t>2025-05-19 23:52:00,-167751905.278427,-1790461035.25511,0,0,0,0,0,0,520.01</t>
  </si>
  <si>
    <t>2025-05-19 23:52:00,74265889.9164723,929236.747333217,0,0,0,0,0,0,5945</t>
  </si>
  <si>
    <t>2025-05-19 23:52:00,193807177.697596,51008.7157540586,0,0,0,0,0,0,21344.25</t>
  </si>
  <si>
    <t>2025-05-19 23:53:00,600,,,590,580,,593.5,,,,,600,590,,,593.52</t>
  </si>
  <si>
    <t>2025-05-19 23:53:00,525,,,518,500,,522,,,,,525,510,,,520.04</t>
  </si>
  <si>
    <t>2025-05-19 23:53:00,6000,,5950,,5700,,5940,,,,,6010,5900,6000,5870,5945.25</t>
  </si>
  <si>
    <t>2025-05-19 23:53:00,21325,,21400,,21325,,21350,,,,,21400,20300,,,21346.25</t>
  </si>
  <si>
    <t>2025-05-19 23:53:00,2346465016.44473,-1624763737.78639,0,0,0,0,0,0,593.52</t>
  </si>
  <si>
    <t>2025-05-19 23:53:00,-161630378.05223,-1744236038.05898,0,0,0,0,0,0,520.04</t>
  </si>
  <si>
    <t>2025-05-19 23:53:00,73911555.7206968,917949.45168605,0,0,0,0,0,0,5945.25</t>
  </si>
  <si>
    <t>2025-05-19 23:53:00,193736673.779719,51824.2863671021,0,0,0,0,0,0,21346.25</t>
  </si>
  <si>
    <t>2025-05-19 23:54:00,600,,,590,580,,592.5,,,,,600,590,,,593.74</t>
  </si>
  <si>
    <t>2025-05-19 23:54:00,525,,,518,500,,521,,,,,525,510,,,520.35</t>
  </si>
  <si>
    <t>2025-05-19 23:54:00,6000,,6000,,5700,,5940,,,,,6010,5900,6000,5870,5947.75</t>
  </si>
  <si>
    <t>2025-05-19 23:54:00,21325,,21400,,21325,,21350,,,,,21400,20300,,,21358</t>
  </si>
  <si>
    <t>2025-05-19 23:54:00,2458238580.79781,-188942601.365119,0,0,0,0,0,0,593.74</t>
  </si>
  <si>
    <t>2025-05-19 23:54:00,-99157402.0126754,-1277733155.78738,0,0,0,0,0,0,520.35</t>
  </si>
  <si>
    <t>2025-05-19 23:54:00,71342673.6939325,926315.393756499,35.3083333333332,0,789.569749999998,150.38,0.0756472392351109,4.4,5947.75</t>
  </si>
  <si>
    <t>2025-05-19 23:54:00,193250424.130228,56671.0331801857,0,0,0,0,0,0,21358</t>
  </si>
  <si>
    <t>2025-05-19 23:55:00,600,,,590,580,,592.5,,,,,600,590,,,593.72</t>
  </si>
  <si>
    <t>2025-05-19 23:55:00,525,,,518,500,,521,,,,,525,510,,,520.34</t>
  </si>
  <si>
    <t>2025-05-19 23:55:00,6000,,5950,,5700,,5940,,,,,6010,5900,6000,5870,5947.25</t>
  </si>
  <si>
    <t>2025-05-19 23:55:00,21325,,21400,,21325,,21350,,,,,21400,20300,,,21357.5</t>
  </si>
  <si>
    <t>2025-05-19 23:55:00,2447284530.30112,-344086542.745213,0,0,0,0,0,0,593.72</t>
  </si>
  <si>
    <t>2025-05-19 23:55:00,-101412824.911244,-1293294569.15743,0,0,0,0,0,0,520.34</t>
  </si>
  <si>
    <t>2025-05-19 23:55:00,71801427.7408846,901064.213801738,16.2,-2,161.386,0.610000000000004,0.0438400126395395,0.2,5947.25</t>
  </si>
  <si>
    <t>2025-05-19 23:55:00,193191737.13252,56481.681430851,0,0,0,0,0,0,21357.5</t>
  </si>
  <si>
    <t>2025-05-19 23:56:00,600,,,590,580,,592.5,,,,,600,590,,,593.7</t>
  </si>
  <si>
    <t>2025-05-19 23:56:00,525,,,518,500,,521,,,,,525,510,,,520.33</t>
  </si>
  <si>
    <t>2025-05-19 23:56:00,6000,,5950,,5700,,5940,,,,,6010,5900,6000,5870,5947.25</t>
  </si>
  <si>
    <t>2025-05-19 23:56:00,21325,,21400,,21325,,21350,,,,,21400,20300,,,21357</t>
  </si>
  <si>
    <t>2025-05-19 23:56:00,2437920981.05347,-469736632.740543,0,0,0,0,0,0,593.7</t>
  </si>
  <si>
    <t>2025-05-19 23:56:00,-103453907.053785,-1307764421.95684,0,0,0,0,0,0,520.33</t>
  </si>
  <si>
    <t>2025-05-19 23:56:00,72134288.1545773,919074.250212628,6.99999999999998,0,21.3999999999999,-1.2,0.00861685794676287,-0.01,5947.25</t>
  </si>
  <si>
    <t>2025-05-19 23:56:00,193229205.136023,56243.8670835019,0,0,0,0,0,0,21357</t>
  </si>
  <si>
    <t>2025-05-19 23:57:00,600,,,590,580,,592.5,,,,,600,590,,,593.75</t>
  </si>
  <si>
    <t>2025-05-19 23:57:00,525,,,518,500,,521,,,,,525,510,,,520.41</t>
  </si>
  <si>
    <t>2025-05-19 23:57:00,6000,,5950,,5700,,5940,,,,,6010,5900,6000,5870,5947.5</t>
  </si>
  <si>
    <t>2025-05-19 23:57:00,21325,,21400,,21325,,21350,,,,,21400,20300,,,21359.75</t>
  </si>
  <si>
    <t>2025-05-19 23:57:00,2463911879.13898,-126757186.059104,0,0,0,0,0,0,593.75</t>
  </si>
  <si>
    <t>2025-05-19 23:57:00,-87784202.9318575,-1190681539.75121,0,0,0,0,0,0,520.41</t>
  </si>
  <si>
    <t>2025-05-19 23:57:00,72207603.1578714,916456.512910336,8.59999999999999,1,44.8919999999999,5.22,0.00576304471957434,0.2,5947.5</t>
  </si>
  <si>
    <t>2025-05-19 23:57:00,193091940.704449,57361.2678855997,0,0,0,0,0,0,21359.75</t>
  </si>
  <si>
    <t>2025-05-19 23:58:00,600,,,590,580,,592.5,,,,,600,590,,,593.7</t>
  </si>
  <si>
    <t>2025-05-19 23:58:00,525,,,518,500,,521,,,,,525,510,,,520.35</t>
  </si>
  <si>
    <t>2025-05-19 23:58:00,6000,,5950,,5700,,5940,,,,,6010,5900,6000,5870,5947.25</t>
  </si>
  <si>
    <t>2025-05-19 23:58:00,21325,,21400,,21325,,21350,,,,,21400,20300,,,21358</t>
  </si>
  <si>
    <t>2025-05-19 23:58:00,2438102236.61295,-470737937.321972,0,0,0,0,0,0,593.7</t>
  </si>
  <si>
    <t>2025-05-19 23:58:00,-99515781.8451848,-1278700376.20013,0,0,0,0,0,0,520.35</t>
  </si>
  <si>
    <t>2025-05-19 23:58:00,72175896.8287532,924887.751963096,30.1,1,197.302,18.47,0.0324665730347445,0.75,5947.25</t>
  </si>
  <si>
    <t>2025-05-19 23:58:00,193198459.922679,56625.631488303,0,0,0,0,0,0,21358</t>
  </si>
  <si>
    <t>2025-05-19 23:59:00,600,,,590,580,,593.5,,,,,600,590,,,593.68</t>
  </si>
  <si>
    <t>2025-05-19 23:59:00,525,,,518,500,,521,,,,,525,510,,,520.3</t>
  </si>
  <si>
    <t>2025-05-19 23:59:00,6000,,5950,,5700,,5940,,,,,6010,5900,6000,5870,5946.75</t>
  </si>
  <si>
    <t>2025-05-19 23:59:00,21325,,21400,,21325,,21350,,,,,21400,20300,,,21356</t>
  </si>
  <si>
    <t>2025-05-19 23:59:00,2427904285.31803,-599061822.49486,0,0,0,0,0,0,593.68</t>
  </si>
  <si>
    <t>2025-05-19 23:59:00,-109287956.869598,-1352225680.83017,0,0,0,0,0,0,520.3</t>
  </si>
  <si>
    <t>2025-05-19 23:59:00,71935911.5957326,881779.262165048,-40.8666666666666,-20,-189.139333333333,-92,0.0884294451334886,-2.8,5946.75</t>
  </si>
  <si>
    <t>2025-05-19 23:59:00,193301965.100717,55822.2012570244,0,0,0,0,0,0,21356</t>
  </si>
  <si>
    <t>2025-05-20 00:00:00,600,,,590,580,,592.5,,,,,600,590,,,593.72</t>
  </si>
  <si>
    <t>2025-05-20 00:00:00,525,,,518,500,,521,,,,,525,510,,,520.34</t>
  </si>
  <si>
    <t>2025-05-20 00:00:00,6000,,5950,,5700,,5940,,,,,6010,5900,6000,5870,5947</t>
  </si>
  <si>
    <t>2025-05-20 00:00:00,21325,,21400,,21325,,21350,,,,,21400,20300,,,21358</t>
  </si>
  <si>
    <t>2025-05-20 00:00:00,2444193451.775,-401957550.07102,0,0,0,0,0,0,593.72</t>
  </si>
  <si>
    <t>2025-05-20 00:00:00,-100403908.579443,-1281533096.11187,0,0,0,0,0,0,520.34</t>
  </si>
  <si>
    <t>2025-05-20 00:00:00,71826712.6159503,871633.500869435,18.2666666666668,0,494.035333333337,48.37,0.0247038722945587,1.46,5947</t>
  </si>
  <si>
    <t>2025-05-20 00:00:00,193214442.692674,56653.9475441812,0,0,0,0,0,0,21358</t>
  </si>
  <si>
    <t>2025-05-20 00:01:00,600,,,590,580,,592.5,,,,,600,590,,,593.72</t>
  </si>
  <si>
    <t>2025-05-20 00:01:00,525,,,518,500,,521,,,,,525,510,,,520.38</t>
  </si>
  <si>
    <t>2025-05-20 00:01:00,6000,,6000,,5700,,5940,,,,,6000,5900,6000,5870,5947.25</t>
  </si>
  <si>
    <t>2025-05-20 00:01:00,21325,,21400,,21325,,21350,,,,,21400,20300,,,21359</t>
  </si>
  <si>
    <t>2025-05-20 00:01:00,2447896891.8847,-345696325.166789,0,0,0,0,0,0,593.72</t>
  </si>
  <si>
    <t>2025-05-20 00:01:00,-93583061.1267785,-1234414986.99056,0,0,0,0,0,0,520.38</t>
  </si>
  <si>
    <t>2025-05-20 00:01:00,71426566.9273395,976996.857324695,887.733333333333,70,3108.73633333333,248.12,0.317949815415387,9.51,5947.25</t>
  </si>
  <si>
    <t>2025-05-20 00:01:00,193177514.348834,57034.5037726157,0,0,0,0,0,0,21359</t>
  </si>
  <si>
    <t>2025-05-20 00:02:00,600,,,590,580,,592.5,,,,,600,590,,,593.77</t>
  </si>
  <si>
    <t>2025-05-20 00:02:00,525,,,518,500,,521,,,,,525,510,,,520.42</t>
  </si>
  <si>
    <t>2025-05-20 00:02:00,6000,,6000,,5700,,5940,,,,,6000,5900,6000,5870,5947.75</t>
  </si>
  <si>
    <t>2025-05-20 00:02:00,21325,,21400,,21325,,21350,,,,,21400,20300,,,21361</t>
  </si>
  <si>
    <t>2025-05-20 00:02:00,2472753198.21105,-29037239.6324605,0,0,0,0,0,0,593.77</t>
  </si>
  <si>
    <t>2025-05-20 00:02:00,-85810794.7951273,-1176257371.62742,0,0,0,0,0,0,520.42</t>
  </si>
  <si>
    <t>2025-05-20 00:02:00,70749071.5069576,1030564.80477922,340.000000000001,26,1405.175,107.65,0.159361291622192,4.45,5947.75</t>
  </si>
  <si>
    <t>2025-05-20 00:02:00,193100767.540605,57848.2531236606,0,0,0,0,0,0,21361</t>
  </si>
  <si>
    <t>2025-05-20 00:03:00,600,,,590,580,,592.5,,,,,600,590,,,593.77</t>
  </si>
  <si>
    <t>2025-05-20 00:03:00,525,,,518,500,,521,,,,,525,510,,,520.43</t>
  </si>
  <si>
    <t>2025-05-20 00:03:00,6000,,6000,,5700,,5960,,,,,6000,5900,6000,5870,5948</t>
  </si>
  <si>
    <t>2025-05-20 00:03:00,21325,,21400,,21325,,21350,,,,,21400,20300,,,21361.5</t>
  </si>
  <si>
    <t>2025-05-20 00:03:00,2473905931.79679,-621516.194202073,0,0,0,0,0,0,593.77</t>
  </si>
  <si>
    <t>2025-05-20 00:03:00,-83783546.7287034,-1161686816.40266,0,0,0,0,0,0,520.43</t>
  </si>
  <si>
    <t>2025-05-20 00:03:00,70962904.9583253,914417.461893523,401.699999999998,76,8782.19399999996,1709.54,-0.40425324066954,37.73,5948</t>
  </si>
  <si>
    <t>2025-05-20 00:03:00,193093248.948365,57988.8379815026,0,0,0,0,0,0,21361.5</t>
  </si>
  <si>
    <t>2025-05-20 00:04:00,600,,,,580,,592.5,,,,,600,590,,,593.8</t>
  </si>
  <si>
    <t>2025-05-20 00:04:00,525,,,518,500,,520,,,,,525,510,,,520.55</t>
  </si>
  <si>
    <t>2025-05-20 00:04:00,6000,,6000,,5700,,5960,,,,,6000,5900,6000,5870,5948.75</t>
  </si>
  <si>
    <t>2025-05-20 00:04:00,21325,,21400,,21325,,21350,,,,,21400,20300,,,21366.75</t>
  </si>
  <si>
    <t>2025-05-20 00:04:00,2487607947.43617,161939350.253343,0,0,0,0,0,0,593.8</t>
  </si>
  <si>
    <t>2025-05-20 00:04:00,-60573001.2045276,-988319196.478922,0,0,0,0,0,0,520.55</t>
  </si>
  <si>
    <t>2025-05-20 00:04:00,69614591.6132769,925869.19906391,-1.46666666666663,-4,67.0293333333337,-4.15,0.0428728822363131,0.03,5948.75</t>
  </si>
  <si>
    <t>2025-05-20 00:04:00,192798234.072278,59883.3203891012,0,0,0,0,0,0,21366.75</t>
  </si>
  <si>
    <t>2025-05-20 00:05:00,600,,,,580,,592.5,,,,,600,590,,,593.88</t>
  </si>
  <si>
    <t>2025-05-20 00:05:00,525,,,518,500,,520,,,,,525,510,,,520.56</t>
  </si>
  <si>
    <t>2025-05-20 00:05:00,6000,,6000,,5700,,5960,,,,,6000,5900,6000,5870,5948.75</t>
  </si>
  <si>
    <t>2025-05-20 00:05:00,21325,,21400,,21325,,21350,,,,,21400,20300,,,21367</t>
  </si>
  <si>
    <t>2025-05-20 00:05:00,2526408552.58555,666608225.469169,0,0,0,0,0,0,593.88</t>
  </si>
  <si>
    <t>2025-05-20 00:05:00,-58752443.9677419,-974055489.760718,0,0,0,0,0,0,520.56</t>
  </si>
  <si>
    <t>2025-05-20 00:05:00,68434479.4810314,922065.91376572,30.7888888888889,-2,350.016555555555,35.95,0.0738104379805615,0.63,5948.75</t>
  </si>
  <si>
    <t>2025-05-20 00:05:00,192799492.25743,60027.3407928869,0,0,0,0,0,0,21367</t>
  </si>
  <si>
    <t>2025-05-20 00:06:00,600,,,,580,,592.5,,,,,600,590,,,593.85</t>
  </si>
  <si>
    <t>2025-05-20 00:06:00,525,,,518,500,,521,,,,,525,510,,,520.53</t>
  </si>
  <si>
    <t>2025-05-20 00:06:00,6000,,6000,,5700,,5960,,,,,6000,5900,6000,5870,5948.75</t>
  </si>
  <si>
    <t>2025-05-20 00:06:00,21325,,21400,,21325,,21350,,,,,21400,20300,,,21365</t>
  </si>
  <si>
    <t>2025-05-20 00:06:00,2511927280.76622,478830403.38868,0,0,0,0,0,0,593.85</t>
  </si>
  <si>
    <t>2025-05-20 00:06:00,-64395981.9183617,-1017071422.68818,0,0,0,0,0,0,520.53</t>
  </si>
  <si>
    <t>2025-05-20 00:06:00,69430527.5913565,953243.574289615,164.716666666667,20,915.936166666666,77.05,0.0949583487048587,2.86,5948.75</t>
  </si>
  <si>
    <t>2025-05-20 00:06:00,192944409.330804,59272.4524017702,0,0,0,0,0,0,21365</t>
  </si>
  <si>
    <t>2025-05-20 00:07:00,600,,,,580,,592.5,,,,,600,590,,,593.85</t>
  </si>
  <si>
    <t>2025-05-20 00:07:00,525,,,518,500,,521,,,,,525,510,,,520.54</t>
  </si>
  <si>
    <t>2025-05-20 00:07:00,6000,,6000,,5700,,5960,,,,,6000,5900,6000,5870,5948.75</t>
  </si>
  <si>
    <t>2025-05-20 00:07:00,21325,,21400,,21325,,21350,,,,,21400,20300,,,21366</t>
  </si>
  <si>
    <t>2025-05-20 00:07:00,2512132348.68934,479097077.346305,0,0,0,0,0,0,593.85</t>
  </si>
  <si>
    <t>2025-05-20 00:07:00,-62575943.1083315,-1003005892.61122,0,0,0,0,0,0,520.54</t>
  </si>
  <si>
    <t>2025-05-20 00:07:00,69320846.5617168,956728.346346538,2.1333333333333,2,16.3959999999999,7.34,0.0167560148062275,0.33,5948.75</t>
  </si>
  <si>
    <t>2025-05-20 00:07:00,192894319.051574,59687.0018741078,0,0,0,0,0,0,21366</t>
  </si>
  <si>
    <t>2025-05-20 00:08:00,600,,600,,580,,592.5,,,,,600,590,,,593.93</t>
  </si>
  <si>
    <t>2025-05-20 00:08:00,525,,,518,500,,520,,,,,525,510,,,520.61</t>
  </si>
  <si>
    <t>2025-05-20 00:08:00,6000,,6000,,5700,,5960,,,,,6000,5900,6000,5870,5949.25</t>
  </si>
  <si>
    <t>2025-05-20 00:08:00,21325,,21400,,21325,,21350,,,,,21400,20300,,,21369</t>
  </si>
  <si>
    <t>2025-05-20 00:08:00,2548996386.70113,956191479.391387,0,0,0,0,0,0,593.93</t>
  </si>
  <si>
    <t>2025-05-20 00:08:00,-49204862.9500653,-902490878.197743,0,0,0,0,0,0,520.61</t>
  </si>
  <si>
    <t>2025-05-20 00:08:00,69491552.5406958,1044438.38102589,21.0000000000001,1,71.4000000000002,3.4,0.0046067940537553,0.14,5949.25</t>
  </si>
  <si>
    <t>2025-05-20 00:08:00,192721245.242533,60725.0509563789,0,0,0,0,0,0,21369</t>
  </si>
  <si>
    <t>2025-05-20 00:09:00,600,,,,580,,592.5,,,,,600,590,,,593.86</t>
  </si>
  <si>
    <t>2025-05-20 00:09:00,525,,,518,500,,520,,,,,525,510,,,520.67</t>
  </si>
  <si>
    <t>2025-05-20 00:09:00,6000,,6000,,5700,,5960,,,,,6000,5900,6000,5870,5949.5</t>
  </si>
  <si>
    <t>2025-05-20 00:09:00,21325,,21400,,21325,,21350,,,,,21400,20300,,,21371.25</t>
  </si>
  <si>
    <t>2025-05-20 00:09:00,2517375053.05926,539354406.622657,0,0,0,0,0,0,593.86</t>
  </si>
  <si>
    <t>2025-05-20 00:09:00,-37815103.6279717,-817311255.974449,0,0,0,0,0,0,520.67</t>
  </si>
  <si>
    <t>2025-05-20 00:09:00,69073735.1533051,1029374.63085718,-49.3666666666665,-11,534.726666666669,36.25,0.0766294088935153,1.22,5949.5</t>
  </si>
  <si>
    <t>2025-05-20 00:09:00,192588722.378064,61482.804701801,0,0,0,0,0,0,21371.25</t>
  </si>
  <si>
    <t>2025-05-20 00:10:00,600,,595,,580,,592.5,,,,,600,590,,,593.99</t>
  </si>
  <si>
    <t>2025-05-20 00:10:00,525,,,518,500,,519,,,,,525,510,,,520.72</t>
  </si>
  <si>
    <t>2025-05-20 00:10:00,6000,,6000,,5700,,5960,,,,,6000,5900,6000,5870,5950.25</t>
  </si>
  <si>
    <t>2025-05-20 00:10:00,21325,,21400,,21325,,21350,,,,,21400,20300,,,21372.75</t>
  </si>
  <si>
    <t>2025-05-20 00:10:00,2577792846.38584,1359767177.43599,0,0,0,0,0,0,593.99</t>
  </si>
  <si>
    <t>2025-05-20 00:10:00,-28500126.3274825,-745927938.780735,0,0,0,0,0,0,520.72</t>
  </si>
  <si>
    <t>2025-05-20 00:10:00,69373624.5407991,1065703.21359246,131.1,17,772.627000000001,96.65,0.158798520987048,4.04,5950.25</t>
  </si>
  <si>
    <t>2025-05-20 00:10:00,192543231.264833,62055.043738465,0,0,0,0,0,0,21372.75</t>
  </si>
  <si>
    <t>2025-05-20 00:11:00,600,,595,,580,,592.5,,,,,600,590,,,594.08</t>
  </si>
  <si>
    <t>2025-05-20 00:11:00,525,,,518,500,,519,,,,,525,510,,,520.83</t>
  </si>
  <si>
    <t>2025-05-20 00:11:00,6000,,6000,,5700,,5960,,,,,6000,5900,6000,5870,5951</t>
  </si>
  <si>
    <t>2025-05-20 00:11:00,21325,,21400,,21325,,21350,,,,,21400,20300,,,21378</t>
  </si>
  <si>
    <t>2025-05-20 00:11:00,2616247911.69054,1924933602.12874,0,0,0,0,0,0,594.08</t>
  </si>
  <si>
    <t>2025-05-20 00:11:00,-8263017.86886498,-592359771.934857,0,0,0,0,0,0,520.83</t>
  </si>
  <si>
    <t>2025-05-20 00:11:00,67832200.9610245,1080894.90140774,33.7333333333333,6,77.2663333333332,10.2,0.0559659457518327,0.7,5951</t>
  </si>
  <si>
    <t>2025-05-20 00:11:00,192174964.628208,63720.9798931655,0,0,0,0,0,0,21378</t>
  </si>
  <si>
    <t>2025-05-20 00:12:00,600,,595,,580,,592.5,,,,,600,590,,,594.03</t>
  </si>
  <si>
    <t>2025-05-20 00:12:00,525,,,518,500,,519,,,,,525,510,,,520.65</t>
  </si>
  <si>
    <t>2025-05-20 00:12:00,6000,,6000,,5700,,5960,,,,,6000,5900,6000,5880,5950.5</t>
  </si>
  <si>
    <t>2025-05-20 00:12:00,21325,,21400,,21325,,21350,,,,,21400,20300,,,21374.25</t>
  </si>
  <si>
    <t>2025-05-20 00:12:00,2594801314.32646,1606490860.62385,0,0,0,0,0,0,594.03</t>
  </si>
  <si>
    <t>2025-05-20 00:12:00,-35290050.591341,-786642447.865138,0,0,0,0,0,0,520.65</t>
  </si>
  <si>
    <t>2025-05-20 00:12:00,68645051.1789283,1102441.79328476,70.3833333333332,8,2371.855,286.88,0.127613813671302,8.96,5950.5</t>
  </si>
  <si>
    <t>2025-05-20 00:12:00,192458108.187076,62521.40426503,0,0,0,0,0,0,21374.25</t>
  </si>
  <si>
    <t>2025-05-20 00:13:00,600,,595,,580,,592.5,,,,,600,590,,,594.03</t>
  </si>
  <si>
    <t>2025-05-20 00:13:00,525,,,518,500,,519,,,,,525,510,,,520.79</t>
  </si>
  <si>
    <t>2025-05-20 00:13:00,6000,,6000,,5700,,5960,,,,,6000,5900,6000,5870,5950.25</t>
  </si>
  <si>
    <t>2025-05-20 00:13:00,21325,,21400,,21325,,21350,,,,,21400,20300,,,21375.75</t>
  </si>
  <si>
    <t>2025-05-20 00:13:00,2594969461.87265,1606438262.79467,0,0,0,0,0,0,594.03</t>
  </si>
  <si>
    <t>2025-05-20 00:13:00,-15645195.5548866,-648296624.414428,0,0,0,0,0,0,520.79</t>
  </si>
  <si>
    <t>2025-05-20 00:13:00,68779674.2673089,1064094.7038022,-90.8166666666667,-19,-190.637166666666,-54.48,0.148150352223706,-0.93,5950.25</t>
  </si>
  <si>
    <t>2025-05-20 00:13:00,192340720.564753,63022.9326101105,0,0,0,0,0,0,21375.75</t>
  </si>
  <si>
    <t>2025-05-20 00:14:00,600,,595,,580,,592.5,,,,,600,590,,,594.08</t>
  </si>
  <si>
    <t>2025-05-20 00:14:00,525,,,518,500,,519,,,,,525,510,,,520.85</t>
  </si>
  <si>
    <t>2025-05-20 00:14:00,6000,,6000,,5700,,5960,,,,,6000,5900,6000,5870,5951</t>
  </si>
  <si>
    <t>2025-05-20 00:14:00,21325,,21400,,21325,,21350,,,,,21400,20300,,,21378</t>
  </si>
  <si>
    <t>2025-05-20 00:14:00,2616636793.65618,1922706735.96429,0,0,0,0,0,0,594.08</t>
  </si>
  <si>
    <t>2025-05-20 00:14:00,-6391962.69610357,-586039786.479175,0,0,0,0,0,0,520.85</t>
  </si>
  <si>
    <t>2025-05-20 00:14:00,67777115.1085617,1085177.6768028,5.1833333333333,0,-13.8661666666669,-15.68,0.0204677666604194,-0.27,5951</t>
  </si>
  <si>
    <t>2025-05-20 00:14:00,192222877.85246,63738.4033666519,0,0,0,0,0,0,21378</t>
  </si>
  <si>
    <t>2025-05-20 00:15:00,600,,595,,580,,592.5,,,,,600,590,,,594.29</t>
  </si>
  <si>
    <t>2025-05-20 00:15:00,525,,,518,500,,519,,,,,525,510,,,521.05</t>
  </si>
  <si>
    <t>2025-05-20 00:15:00,6000,,6000,,5700,,5960,,,,,6000,5900,6000,5870,5953</t>
  </si>
  <si>
    <t>2025-05-20 00:15:00,21325,,21400,,21325,,21350,,,,,21400,20300,,,21388.75</t>
  </si>
  <si>
    <t>2025-05-20 00:15:00,2686642946.02429,3222844830.40911,0,0,0,0,0,0,594.29</t>
  </si>
  <si>
    <t>2025-05-20 00:15:00,33638279.1464235,-253591963.785067,0,0,0,0,0,0,521.05</t>
  </si>
  <si>
    <t>2025-05-20 00:15:00,65685291.8220415,1230293.50709006,63.9499999999995,33,1698.94983333332,618.21,0.456075719160476,20.84,5953</t>
  </si>
  <si>
    <t>2025-05-20 00:15:00,191449476.662554,67068.0456669724,0,0,0,0,0,0,21388.75</t>
  </si>
  <si>
    <t>2025-05-20 00:16:00,600,,595,,580,,592.5,,,,,600,590,,,594.29</t>
  </si>
  <si>
    <t>2025-05-20 00:16:00,525,,,518,500,,519,,,,,525,510,,,521.09</t>
  </si>
  <si>
    <t>2025-05-20 00:16:00,6000,,6000,,5700,,5960,,,,,6000,5900,6000,5870,5953</t>
  </si>
  <si>
    <t>2025-05-20 00:16:00,21325,,21400,,21325,,21350,,,,,21400,20300,,,21388.5</t>
  </si>
  <si>
    <t>2025-05-20 00:16:00,2688772079.61659,3245523546.4915,0,0,0,0,0,0,594.29</t>
  </si>
  <si>
    <t>2025-05-20 00:16:00,37483495.2874914,-230459167.100266,0,0,0,0,0,0,521.09</t>
  </si>
  <si>
    <t>2025-05-20 00:16:00,65760913.3495801,1252389.51039564,318.333333333335,15,1325.26666666667,97.8,0.239977983430365,4.9,5953</t>
  </si>
  <si>
    <t>2025-05-20 00:16:00,191483006.993162,66958.7453594012,0,0,0,0,0,0,21388.5</t>
  </si>
  <si>
    <t>2025-05-20 00:17:00,600,,595,,580,,592.5,,,,,600,590,,,594.28</t>
  </si>
  <si>
    <t>2025-05-20 00:17:00,525,,,518,500,,519,,,,,525,510,,,521.05</t>
  </si>
  <si>
    <t>2025-05-20 00:17:00,6000,,6000,,5700,,5960,,,,,6000,5900,6000,5870,5953</t>
  </si>
  <si>
    <t>2025-05-20 00:17:00,21325,,21400,,21325,,21350,,,,,21400,20300,,,21387.25</t>
  </si>
  <si>
    <t>2025-05-20 00:17:00,2686038408.20215,3182196014.36841,0,0,0,0,0,0,594.28</t>
  </si>
  <si>
    <t>2025-05-20 00:17:00,30830631.1756728,-285641049.624451,0,0,0,0,0,0,521.05</t>
  </si>
  <si>
    <t>2025-05-20 00:17:00,65953696.1693437,1352166.4884348,410.416666666668,64,1416.74083333334,205.44,0.350273232966229,9.23,5953</t>
  </si>
  <si>
    <t>2025-05-20 00:17:00,191614209.504154,66652.259433557,0,0,0,0,0,0,21387.25</t>
  </si>
  <si>
    <t>2025-05-20 00:18:00,600,,595,,580,,592.5,,,,,600,590,,,594.23</t>
  </si>
  <si>
    <t>2025-05-20 00:18:00,525,,,518,500,,519,,,,,525,510,,,520.97</t>
  </si>
  <si>
    <t>2025-05-20 00:18:00,6000,,6000,,5700,,5960,,,,,6000,5900,6000,5870,5952.75</t>
  </si>
  <si>
    <t>2025-05-20 00:18:00,21325,,21400,,21325,,21350,,,,,21400,20300,,,21385.25</t>
  </si>
  <si>
    <t>2025-05-20 00:18:00,2669944576.42315,2906515543.95944,0,0,0,0,0,0,594.23</t>
  </si>
  <si>
    <t>2025-05-20 00:18:00,16655529.8287299,-397863164.800282,0,0,0,0,0,0,520.97</t>
  </si>
  <si>
    <t>2025-05-20 00:18:00,66477448.852519,1344579.43185244,-8.09999999999991,-1,-5.08699999999975,3.47,0.0262637135606473,0.28,5952.75</t>
  </si>
  <si>
    <t>2025-05-20 00:18:00,191790543.02205,66017.3423393126,0,0,0,0,0,0,21385.25</t>
  </si>
  <si>
    <t>2025-05-20 00:19:00,600,,595,,580,,592.5,,,,,600,590,,,594.28</t>
  </si>
  <si>
    <t>2025-05-20 00:19:00,525,,,518,500,,519,,,,,525,510,,,520.97</t>
  </si>
  <si>
    <t>2025-05-20 00:19:00,6000,,6000,,5700,,5960,,,,,6000,5900,6000,5870,5952.75</t>
  </si>
  <si>
    <t>2025-05-20 00:19:00,21325,,21400,,21325,,21350,,,,,21400,20300,,,21385.5</t>
  </si>
  <si>
    <t>2025-05-20 00:19:00,2686278105.883,3181883494.11716,0,0,0,0,0,0,594.28</t>
  </si>
  <si>
    <t>2025-05-20 00:19:00,16814312.9973948,-397828804.118061,0,0,0,0,0,0,520.97</t>
  </si>
  <si>
    <t>2025-05-20 00:19:00,65965198.8150731,1338043.10459077,26.35,11,-6.93449999999996,1.87,0.0468463431648038,0.35,5952.75</t>
  </si>
  <si>
    <t>2025-05-20 00:19:00,191782660.918988,66081.37238617,0,0,0,0,0,0,21385.5</t>
  </si>
  <si>
    <t>2025-05-20 00:20:00,600,,595,,580,,592.5,,,,,600,590,,,594.28</t>
  </si>
  <si>
    <t>2025-05-20 00:20:00,525,,,518,500,,519,,,,,525,510,,,521.02</t>
  </si>
  <si>
    <t>2025-05-20 00:20:00,6000,,6000,,5700,,5960,,,,,6000,5900,6000,5870,5953</t>
  </si>
  <si>
    <t>2025-05-20 00:20:00,21325,,21400,,21325,,21350,,,,,21400,20300,,,21386.5</t>
  </si>
  <si>
    <t>2025-05-20 00:20:00,2686272392.54151,3178987445.42992,0,0,0,0,0,0,594.28</t>
  </si>
  <si>
    <t>2025-05-20 00:20:00,25586641.1157364,-328200447.623159,0,0,0,0,0,0,521.02</t>
  </si>
  <si>
    <t>2025-05-20 00:20:00,65772025.2695427,1353667.07426862,-31.0000000000001,-2,-76.6500000000002,-4.75,0.00595324380530531,-0.12,5953</t>
  </si>
  <si>
    <t>2025-05-20 00:20:00,191729792.728829,66445.7078770432,0,0,0,0,0,0,21386.5</t>
  </si>
  <si>
    <t>2025-05-20 00:21:00,600,,595,,580,,592.5,,,,,600,590,,,594.32</t>
  </si>
  <si>
    <t>2025-05-20 00:21:00,525,,,518,500,,519,,,,,525,510,,,521.02</t>
  </si>
  <si>
    <t>2025-05-20 00:21:00,6000,,6000,,5700,,5960,,,,,6000,5900,6000,5870,5953.5</t>
  </si>
  <si>
    <t>2025-05-20 00:21:00,21325,,21400,,21325,,21350,,,,,21400,20300,,,21387.75</t>
  </si>
  <si>
    <t>2025-05-20 00:21:00,2696985839.72177,3431599076.31389,0,0,0,0,0,0,594.32</t>
  </si>
  <si>
    <t>2025-05-20 00:21:00,25639113.2881503,-327886446.09175,0,0,0,0,0,0,521.02</t>
  </si>
  <si>
    <t>2025-05-20 00:21:00,65434100.9830873,1431861.59312021,116.300000000003,16,3396.31600000006,342.91,0.209786422564191,11.33,5953.5</t>
  </si>
  <si>
    <t>2025-05-20 00:21:00,191655992.41344,66732.7047301492,0,0,0,0,0,0,21387.75</t>
  </si>
  <si>
    <t>2025-05-20 00:22:00,600,,595,,580,,592.5,,,,,600,590,,,594.2</t>
  </si>
  <si>
    <t>2025-05-20 00:22:00,525,,,518,500,,519,,,,,525,510,,,520.99</t>
  </si>
  <si>
    <t>2025-05-20 00:22:00,6000,,6000,,5700,,5960,,,,,6000,5900,6000,5870,5952.75</t>
  </si>
  <si>
    <t>2025-05-20 00:22:00,21325,,21400,,21325,,21350,,,,,21400,20300,,,21383.75</t>
  </si>
  <si>
    <t>2025-05-20 00:22:00,2643045442.86374,2671611722.04524,0,0,0,0,0,0,594.2</t>
  </si>
  <si>
    <t>2025-05-20 00:22:00,20368089.3672751,-369731047.406277,0,0,0,0,0,0,520.99</t>
  </si>
  <si>
    <t>2025-05-20 00:22:00,66660547.7072865,1442567.25307753,-14.1166666666667,7,718.061833333334,212.57,0.147115363129142,7.11,5952.75</t>
  </si>
  <si>
    <t>2025-05-20 00:22:00,191978215.897667,65615.5111738139,0,0,0,0,0,0,21383.75</t>
  </si>
  <si>
    <t>2025-05-20 00:23:00,600,,595,,580,,592.5,,,,,600,590,,,594.2</t>
  </si>
  <si>
    <t>2025-05-20 00:23:00,525,,,518,500,,519,,,,,525,510,,,520.99</t>
  </si>
  <si>
    <t>2025-05-20 00:23:00,6000,,6000,,5700,,5960,,,,,6000,5900,6000,5870,5953</t>
  </si>
  <si>
    <t>2025-05-20 00:23:00,21325,,21400,,21325,,21350,,,,,21400,20300,,,21384.75</t>
  </si>
  <si>
    <t>2025-05-20 00:23:00,2643204677.43153,2671767731.86266,0,0,0,0,0,0,594.2</t>
  </si>
  <si>
    <t>2025-05-20 00:23:00,20378092.9781076,-370285895.112176,0,0,0,0,0,0,520.99</t>
  </si>
  <si>
    <t>2025-05-20 00:23:00,66099534.6056129,1450254.12402589,-10.5,0,7.92499999999998,10.5,0.0224544862803557,0.5,5953</t>
  </si>
  <si>
    <t>2025-05-20 00:23:00,191924493.407664,65882.6207514545,0,0,0,0,0,0,21384.75</t>
  </si>
  <si>
    <t>2025-05-20 00:24:00,600,,595,,580,,592.5,,,,,600,590,,,594.2</t>
  </si>
  <si>
    <t>2025-05-20 00:24:00,525,,,518,500,,519,,,,,525,510,,,521</t>
  </si>
  <si>
    <t>2025-05-20 00:24:00,6000,,6000,,5700,,5960,,,,,6000,5900,6000,5870,5952.25</t>
  </si>
  <si>
    <t>2025-05-20 00:24:00,21325,,21400,,21325,,21350,,,,,21400,20300,,,21384.5</t>
  </si>
  <si>
    <t>2025-05-20 00:24:00,2643303558.07913,2670981950.33182,0,0,0,0,0,0,594.2</t>
  </si>
  <si>
    <t>2025-05-20 00:24:00,22157513.9383765,-356493282.160588,0,0,0,0,0,0,521</t>
  </si>
  <si>
    <t>2025-05-20 00:24:00,66801441.5300951,1416608.81432271,0,0,0,0,0,0,5952.25</t>
  </si>
  <si>
    <t>2025-05-20 00:24:00,191910680.210931,65803.5808927622,0,0,0,0,0,0,21384.5</t>
  </si>
  <si>
    <t>2025-05-20 00:25:00,600,,595,,580,,592.5,,,,,600,590,,,594.1</t>
  </si>
  <si>
    <t>2025-05-20 00:25:00,525,,,518,500,,519,,,,,525,510,,,520.95</t>
  </si>
  <si>
    <t>2025-05-20 00:25:00,6000,,6000,,5700,,5960,,,,,6000,5900,6000,5870,5952.5</t>
  </si>
  <si>
    <t>2025-05-20 00:25:00,21325,,21400,,21325,,21350,,,,,21400,20300,,,21386.25</t>
  </si>
  <si>
    <t>2025-05-20 00:25:00,2625436846.02785,2045569613.69731,0,0,0,0,0,0,594.1</t>
  </si>
  <si>
    <t>2025-05-20 00:25:00,13315053.5687817,-425941444.050026,0,0,0,0,0,0,520.95</t>
  </si>
  <si>
    <t>2025-05-20 00:25:00,66613272.3486668,1430795.6212072,-0.883333333333328,0,-6.67183333333337,-2.18,0.0242235560197751,0.16,5952.5</t>
  </si>
  <si>
    <t>2025-05-20 00:25:00,191792372.485501,66363.8944464421,0,0,0,0,0,0,21386.25</t>
  </si>
  <si>
    <t>2025-05-20 00:26:00,600,,595,,580,,592.5,,,,,600,590,,,594.2</t>
  </si>
  <si>
    <t>2025-05-20 00:26:00,525,,,518,500,,519,,,,,525,510,,,521.08</t>
  </si>
  <si>
    <t>2025-05-20 00:26:00,6000,,6000,,5700,,5960,,,,,6000,5900,6000,5870,5952.75</t>
  </si>
  <si>
    <t>2025-05-20 00:26:00,21325,,21400,,21325,,21350,,,,,21400,20300,,,21388</t>
  </si>
  <si>
    <t>2025-05-20 00:26:00,2643497850.03505,2672319876.6908,0,0,0,0,0,0,594.2</t>
  </si>
  <si>
    <t>2025-05-20 00:26:00,35973492.6923903,-244839278.900397,0,0,0,0,0,0,521.08</t>
  </si>
  <si>
    <t>2025-05-20 00:26:00,65705580.1213445,1415819.96286664,-64.55,-6,-237.5875,-22.31,0.034526147550255,-0.51,5952.75</t>
  </si>
  <si>
    <t>2025-05-20 00:26:00,191658442.556563,66833.3475730845,0,0,0,0,0,0,21388</t>
  </si>
  <si>
    <t>2025-05-20 00:28:00,600,,595,,580,,592.5,,,,,600,590,,,594.2</t>
  </si>
  <si>
    <t>2025-05-20 00:28:00,525,,,518,500,,519,,,,,525,510,,,521.09</t>
  </si>
  <si>
    <t>2025-05-20 00:28:00,6000,,6000,,5700,,5960,,,,,6000,5900,6000,5870,5953</t>
  </si>
  <si>
    <t>2025-05-20 00:28:00,21325,,21400,,21325,,21350,,,,,21400,20300,,,21388</t>
  </si>
  <si>
    <t>2025-05-20 00:28:00,2643550698.83164,2671966003.37301,0,0,0,0,0,0,594.2</t>
  </si>
  <si>
    <t>2025-05-20 00:28:00,37592516.7093537,-231330379.027516,0,0,0,0,0,0,521.09</t>
  </si>
  <si>
    <t>2025-05-20 00:28:00,65873503.5418777,1449260.49495325,8.5,1,85.775,15.35,0.0170807915108834,0.63,5953</t>
  </si>
  <si>
    <t>2025-05-20 00:28:00,191690109.20654,66807.9066423017,0,0,0,0,0,0,21388</t>
  </si>
  <si>
    <t>2025-05-20 00:29:00,600,,595,,580,,592.5,,,,,600,590,,,594.2</t>
  </si>
  <si>
    <t>2025-05-20 00:29:00,525,,,518,500,,519,,,,,525,510,,,521.1</t>
  </si>
  <si>
    <t>2025-05-20 00:29:00,6000,,6000,,5700,,5960,,,,,6000,5900,6000,5870,5952.75</t>
  </si>
  <si>
    <t>2025-05-20 00:29:00,21325,,21400,,21325,,21350,,,,,21400,20300,,,21388.75</t>
  </si>
  <si>
    <t>2025-05-20 00:29:00,2643583593.63446,2671419420.61306,0,0,0,0,0,0,594.2</t>
  </si>
  <si>
    <t>2025-05-20 00:29:00,39205727.0993686,-218757581.724653,0,0,0,0,0,0,521.1</t>
  </si>
  <si>
    <t>2025-05-20 00:29:00,66092263.286497,1423372.73596231,-24.5,-2,-70.3,-5.5,0.0154439463839591,-0.08,5952.75</t>
  </si>
  <si>
    <t>2025-05-20 00:29:00,191625410.028412,67084.5651958266,0,0,0,0,0,0,21388.75</t>
  </si>
  <si>
    <t>2025-05-20 00:30:00,600,,595,,580,,592.5,,,,,600,590,,,594.2</t>
  </si>
  <si>
    <t>2025-05-20 00:30:00,525,,,518,500,,519,,,,,525,510,,,521.11</t>
  </si>
  <si>
    <t>2025-05-20 00:30:00,6000,,6000,,5700,,5960,,,,,6000,5900,6000,5870,5953.25</t>
  </si>
  <si>
    <t>2025-05-20 00:30:00,21325,,21400,,21325,,21350,,,,,21400,20300,,,21391.75</t>
  </si>
  <si>
    <t>2025-05-20 00:30:00,2643690228.91983,2668750267.1678,0,0,0,0,0,0,594.2</t>
  </si>
  <si>
    <t>2025-05-20 00:30:00,40781296.091482,-205920394.13119,0,0,0,0,0,0,521.11</t>
  </si>
  <si>
    <t>2025-05-20 00:30:00,67050981.0694184,1455451.5473542,3.09999999999999,0,26.122,4.97,0.00746148777281797,0.21,5953.25</t>
  </si>
  <si>
    <t>2025-05-20 00:30:00,191394059.659638,67881.0888962581,0,0,0,0,0,0,21391.75</t>
  </si>
  <si>
    <t>2025-05-20 00:31:00,600,,595,,580,,592.5,,,,,600,590,,,594.35</t>
  </si>
  <si>
    <t>2025-05-20 00:31:00,525,,,518,500,,519,,,,,525,510,,,521.21</t>
  </si>
  <si>
    <t>2025-05-20 00:31:00,6000,,6000,,5700,,5960,,,,,6000,5900,6000,5870,5953.5</t>
  </si>
  <si>
    <t>2025-05-20 00:31:00,21325,,21400,,21325,,21350,,,,,21400,20300,,,21393.75</t>
  </si>
  <si>
    <t>2025-05-20 00:31:00,2711880300.9422,3626105188.94474,0,0,0,0,0,0,594.35</t>
  </si>
  <si>
    <t>2025-05-20 00:31:00,56634542.5188379,-69557440.1920218,0,0,0,0,0,0,521.21</t>
  </si>
  <si>
    <t>2025-05-20 00:31:00,65349111.2741911,1441062.93028995,-70.6500000000001,-8,-591.533166666668,-72.11,0.0802965654059309,-1.31,5953.5</t>
  </si>
  <si>
    <t>2025-05-20 00:31:00,191240449.242773,68508.1258693171,0,0,0,0,0,0,21393.75</t>
  </si>
  <si>
    <t>2025-05-20 00:32:00,600,,595,,580,,592.5,,,,,600,590,,,594.37</t>
  </si>
  <si>
    <t>2025-05-20 00:32:00,525,,,518,500,,519,,,,,525,510,,,521.2</t>
  </si>
  <si>
    <t>2025-05-20 00:32:00,6000,,6000,,5700,,5960,,,,,6000,5900,6000,5870,5953.75</t>
  </si>
  <si>
    <t>2025-05-20 00:32:00,21325,,21400,,21325,,21350,,,,,21400,20300,,,21393</t>
  </si>
  <si>
    <t>2025-05-20 00:32:00,2709463380.73546,3747030951.15902,0,0,0,0,0,0,594.37</t>
  </si>
  <si>
    <t>2025-05-20 00:32:00,54945807.0046051,-83514573.5982744,0,0,0,0,0,0,521.2</t>
  </si>
  <si>
    <t>2025-05-20 00:32:00,64952634.2799501,1460937.9832097,-1.99999999999999,3,135.15,48.5,0.0432510251358414,1.78,5953.75</t>
  </si>
  <si>
    <t>2025-05-20 00:32:00,191338408.22847,68245.9210984111,0,0,0,0,0,0,21393</t>
  </si>
  <si>
    <t>2025-05-20 00:33:00,600,,595,,580,,592.5,,,,,600,590,,,594.19</t>
  </si>
  <si>
    <t>2025-05-20 00:33:00,525,,,518,500,,519,,,,,525,510,,,521</t>
  </si>
  <si>
    <t>2025-05-20 00:33:00,6000,,6000,,5700,,5960,,,,,6000,5900,6000,5870,5952.25</t>
  </si>
  <si>
    <t>2025-05-20 00:33:00,21325,,21400,,21325,,21350,,,,,21400,20300,,,21386.25</t>
  </si>
  <si>
    <t>2025-05-20 00:33:00,2642433616.5607,2607816814.03806,0,0,0,0,0,0,594.19</t>
  </si>
  <si>
    <t>2025-05-20 00:33:00,22171147.6567214,-356704097.789395,0,0,0,0,0,0,521</t>
  </si>
  <si>
    <t>2025-05-20 00:33:00,67637093.2934353,1444152.39591107,-2.84999999999991,0,0.285500000000948,9.17,0.0620839652906983,0.79,5952.25</t>
  </si>
  <si>
    <t>2025-05-20 00:33:00,191802711.554974,66273.8713699047,0,0,0,0,0,0,21386.25</t>
  </si>
  <si>
    <t>2025-05-20 00:34:00,600,,595,,580,,592.5,,,,,600,590,,,594.13</t>
  </si>
  <si>
    <t>2025-05-20 00:34:00,525,,,518,500,,519,,,,,525,510,,,520.92</t>
  </si>
  <si>
    <t>2025-05-20 00:34:00,6000,,6000,,5700,,5960,,,,,6000,5900,6000,5870,5951</t>
  </si>
  <si>
    <t>2025-05-20 00:34:00,21325,,21400,,21325,,21350,,,,,21400,20300,,,21381.5</t>
  </si>
  <si>
    <t>2025-05-20 00:34:00,2636260912.87329,2230813529.78143,0,0,0,0,0,0,594.13</t>
  </si>
  <si>
    <t>2025-05-20 00:34:00,7973658.23771437,-468145854.2566,0,0,0,0,0,0,520.92</t>
  </si>
  <si>
    <t>2025-05-20 00:34:00,69192925.3920064,1397380.75025109,-2.03333333333336,-1,-48.5473333333336,-14.4,0.0265208596306353,-0.23,5951</t>
  </si>
  <si>
    <t>2025-05-20 00:34:00,192151206.295184,64897.531393455,0,0,0,0,0,0,21381.5</t>
  </si>
  <si>
    <t>2025-05-20 00:35:00,600,,595,,580,,592.5,,,,,600,590,,,594.08</t>
  </si>
  <si>
    <t>2025-05-20 00:35:00,525,,,518,500,,519,,,,,525,510,,,520.91</t>
  </si>
  <si>
    <t>2025-05-20 00:35:00,6000,,6000,,5700,,5960,,,,,6000,5900,6000,5870,5950.75</t>
  </si>
  <si>
    <t>2025-05-20 00:35:00,21325,,21400,,21325,,21350,,,,,21400,20300,,,21380.75</t>
  </si>
  <si>
    <t>2025-05-20 00:35:00,2617846855.17355,1915625313.47353,0,0,0,0,0,0,594.08</t>
  </si>
  <si>
    <t>2025-05-20 00:35:00,6220503.73365867,-482450359.420733,0,0,0,0,0,0,520.91</t>
  </si>
  <si>
    <t>2025-05-20 00:35:00,69264413.9429433,1430580.26642728,38.35,7,238.7565,76.29,0.0276888068563938,1.77,5950.75</t>
  </si>
  <si>
    <t>2025-05-20 00:35:00,192211902.654413,64634.6999741015,0,0,0,0,0,0,21380.75</t>
  </si>
  <si>
    <t>2025-05-20 00:36:00,600,,600,,580,,592.5,,,,,600,590,,,593.94</t>
  </si>
  <si>
    <t>2025-05-20 00:36:00,525,,,518,500,,519,,,,,525,510,,,520.78</t>
  </si>
  <si>
    <t>2025-05-20 00:36:00,6000,,6000,,5700,,5930,,,,,6000,5900,6000,5870,5949.75</t>
  </si>
  <si>
    <t>2025-05-20 00:36:00,21325,,21400,,21325,,21350,,,,,21400,20300,,,21375.5</t>
  </si>
  <si>
    <t>2025-05-20 00:36:00,2556967509.23441,1034720945.55301,0,0,0,0,0,0,593.94</t>
  </si>
  <si>
    <t>2025-05-20 00:36:00,-17389762.1113557,-664384669.853163,0,0,0,0,0,0,520.78</t>
  </si>
  <si>
    <t>2025-05-20 00:36:00,71027609.3942033,1464173.61691578,45.7000000000001,7,236.245666666667,36.07,0.0505008668252953,1.48,5949.75</t>
  </si>
  <si>
    <t>2025-05-20 00:36:00,192592857.19101,62998.074366092,0,0,0,0,0,0,21375.5</t>
  </si>
  <si>
    <t>2025-05-20 00:37:00,600,,595,,580,,592.5,,,,,600,590,,,594</t>
  </si>
  <si>
    <t>2025-05-20 00:37:00,525,,,518,500,,519,,,,,525,510,,,520.87</t>
  </si>
  <si>
    <t>2025-05-20 00:37:00,6000,,6000,,5700,,5940,,,,,6000,5900,6000,5870,5950.25</t>
  </si>
  <si>
    <t>2025-05-20 00:37:00,21325,,21400,,21325,,21350,,,,,21400,20300,,,21379</t>
  </si>
  <si>
    <t>2025-05-20 00:37:00,2584613103.04212,1412505167.32524,0,0,0,0,0,0,594</t>
  </si>
  <si>
    <t>2025-05-20 00:37:00,-955379.191384588,-538204247.095298,0,0,0,0,0,0,520.87</t>
  </si>
  <si>
    <t>2025-05-20 00:37:00,68852689.5731945,1426499.10763799,18.3333333333333,-1,269.4778,-23.44,0.0812297491750206,0.58,5950.25</t>
  </si>
  <si>
    <t>2025-05-20 00:37:00,192350278.079364,64098.0181692859,0,0,0,0,0,0,21379</t>
  </si>
  <si>
    <t>2025-05-20 00:39:00,600,,595,,580,,592.5,,,,,600,590,,,594.13</t>
  </si>
  <si>
    <t>2025-05-20 00:39:00,525,,,518,500,,519,,,,,525,510,,,520.95</t>
  </si>
  <si>
    <t>2025-05-20 00:39:00,6000,,6000,,5700,,5960,,,,,6000,5900,6000,5870,5951.5</t>
  </si>
  <si>
    <t>2025-05-20 00:39:00,21325,,21400,,21325,,21350,,,,,21400,20300,,,21384</t>
  </si>
  <si>
    <t>2025-05-20 00:39:00,2636894134.52529,2229564588.56365,0,0,0,0,0,0,594.13</t>
  </si>
  <si>
    <t>2025-05-20 00:39:00,13327094.7090011,-427141631.37781,0,0,0,0,0,0,520.95</t>
  </si>
  <si>
    <t>2025-05-20 00:39:00,67548210.8036417,1455343.34604104,30.2666666666666,7,160.443666666666,30.07,0.054220724226529,1.36,5951.5</t>
  </si>
  <si>
    <t>2025-05-20 00:39:00,192041997.838483,65694.597064146,0,0,0,0,0,0,21384</t>
  </si>
  <si>
    <t>2025-05-20 00:40:00,600,,595,,580,,592.5,,,,,600,590,,,594.05</t>
  </si>
  <si>
    <t>2025-05-20 00:40:00,525,,,518,500,,519,,,,,525,510,,,520.76</t>
  </si>
  <si>
    <t>2025-05-20 00:40:00,6000,,6000,,5700,,5960,,,,,6000,5900,6000,5870,5950.5</t>
  </si>
  <si>
    <t>2025-05-20 00:40:00,21325,,21400,,21325,,21350,,,,,21400,20300,,,21379</t>
  </si>
  <si>
    <t>2025-05-20 00:40:00,2605547066.85627,1723473821.51552,0,0,0,0,0,0,594.05</t>
  </si>
  <si>
    <t>2025-05-20 00:40:00,-21013197.4995361,-692705819.53977,0,0,0,0,0,0,520.76</t>
  </si>
  <si>
    <t>2025-05-20 00:40:00,68556602.9650265,1438009.67016841,8.93333333333331,1,181.577,19.57,0.0299461269616567,0.75,5950.5</t>
  </si>
  <si>
    <t>2025-05-20 00:40:00,192419340.422368,64113.6589320429,0,0,0,0,0,0,21379</t>
  </si>
  <si>
    <t>2025-05-20 00:43:00,600,,600,,580,,592.5,,,,,600,590,,,593.96</t>
  </si>
  <si>
    <t>2025-05-20 00:43:00,525,,,518,500,,519,,,,,525,510,,,520.73</t>
  </si>
  <si>
    <t>2025-05-20 00:43:00,6000,,6000,,5700,,5930,,,,,6000,5900,6000,5870,5949.5</t>
  </si>
  <si>
    <t>2025-05-20 00:43:00,21325,,21400,,21325,,21350,,,,,21400,20300,,,21374</t>
  </si>
  <si>
    <t>2025-05-20 00:43:00,2566974650.07994,1161890544.7771,0,0,0,0,0,0,593.96</t>
  </si>
  <si>
    <t>2025-05-20 00:43:00,-26406333.9047487,-734727161.703259,0,0,0,0,0,0,520.73</t>
  </si>
  <si>
    <t>2025-05-20 00:43:00,71775504.4460651,1466778.74306236,106.79696969697,6,785.378515151514,87.59,0.145644799742133,2.67,5949.5</t>
  </si>
  <si>
    <t>2025-05-20 00:43:00,192781977.226988,62494.7695940555,0,0,0,0,0,0,21374</t>
  </si>
  <si>
    <t>2025-05-20 00:44:00,600,,,,580,,592.5,,,,,600,590,,,593.85</t>
  </si>
  <si>
    <t>2025-05-20 00:44:00,525,,,518,500,,520,,,,,525,510,,,520.64</t>
  </si>
  <si>
    <t>2025-05-20 00:44:00,6000,,6000,,5700,,5940,,,,,6000,5900,6000,5870,5948.5</t>
  </si>
  <si>
    <t>2025-05-20 00:44:00,21325,,21400,,21325,,21350,,,,,21400,20300,,,21369.75</t>
  </si>
  <si>
    <t>2025-05-20 00:44:00,2515032817.80891,466049820.717386,0,0,0,0,0,0,593.85</t>
  </si>
  <si>
    <t>2025-05-20 00:44:00,-43241244.6127142,-862577439.705832,0,0,0,0,0,0,520.64</t>
  </si>
  <si>
    <t>2025-05-20 00:44:00,71691665.9900367,1423175.18678749,276.483333333333,26,2593.87716666665,266.84,0.25419127280578,9.64,5948.5</t>
  </si>
  <si>
    <t>2025-05-20 00:44:00,193051527.06304,61011.1541734286,0,0,0,0,0,0,21369.75</t>
  </si>
  <si>
    <t>2025-05-20 00:45:00,600,,,,580,,592.5,,,,,600,590,,,593.8</t>
  </si>
  <si>
    <t>2025-05-20 00:45:00,525,,,518,500,,520,,,,,525,510,,,520.61</t>
  </si>
  <si>
    <t>2025-05-20 00:45:00,6000,,5950,,5700,,5940,,,,,6000,5900,6000,5870,5948.25</t>
  </si>
  <si>
    <t>2025-05-20 00:45:00,21325,,21400,,21325,,21350,,,,,21400,20300,,,21368</t>
  </si>
  <si>
    <t>2025-05-20 00:45:00,2491006388.13159,148467045.441885,0,0,0,0,0,0,593.8</t>
  </si>
  <si>
    <t>2025-05-20 00:45:00,-48934390.8859065,-904957324.233546,0,0,0,0,0,0,520.61</t>
  </si>
  <si>
    <t>2025-05-20 00:45:00,72050328.7067625,1489874.68874821,361.849999999996,20,5441.01949999993,293.77,0.281329115654251,10.55,5948.25</t>
  </si>
  <si>
    <t>2025-05-20 00:45:00,193181833.523218,60451.2123627147,0,0,0,0,0,0,21368</t>
  </si>
  <si>
    <t>2025-05-20 00:46:00,600,,,590,580,,592.5,,,,,600,590,,,593.72</t>
  </si>
  <si>
    <t>2025-05-20 00:46:00,525,,,518,500,,521,,,,,525,510,,,520.49</t>
  </si>
  <si>
    <t>2025-05-20 00:46:00,6000,,5950,,5700,,5940,,,,,6000,5900,6000,5870,5947.25</t>
  </si>
  <si>
    <t>2025-05-20 00:46:00,21325,,21400,,21325,,21350,,,,,21400,20300,,,21363.5</t>
  </si>
  <si>
    <t>2025-05-20 00:46:00,2451730185.02186,-358856733.12672,0,0,0,0,0,0,593.72</t>
  </si>
  <si>
    <t>2025-05-20 00:46:00,-71792285.688557,-1077299356.95065,0,0,0,0,0,0,520.49</t>
  </si>
  <si>
    <t>2025-05-20 00:46:00,73187181.1878118,1604678.15556908,699.399999999999,44,7528.46799999999,529.51,0.425555918542638,18.86,5947.25</t>
  </si>
  <si>
    <t>2025-05-20 00:46:00,193453852.351876,58873.391637788,0,0,0,0,0,0,21363.5</t>
  </si>
  <si>
    <t>2025-05-20 00:49:00,600,,,590,580,,593.5,,,,,600,590,,,593.56</t>
  </si>
  <si>
    <t>2025-05-20 00:49:00,525,,,518,500,,521,,,,,525,510,,,520.23</t>
  </si>
  <si>
    <t>2025-05-20 00:49:00,6000,,5950,,5700,,5940,,,,,6000,5900,6000,5870,5945.5</t>
  </si>
  <si>
    <t>2025-05-20 00:49:00,21325,,21400,,21325,,21350,,,,,21400,20300,,,21353</t>
  </si>
  <si>
    <t>2025-05-20 00:49:00,2372447511.41332,-1378022683.88525,0,0,0,0,0,0,593.56</t>
  </si>
  <si>
    <t>2025-05-20 00:49:00,-122430824.268978,-1456022118.99598,0,0,0,0,0,0,520.23</t>
  </si>
  <si>
    <t>2025-05-20 00:49:00,74935804.3133954,1797832.9392455,777.766666666672,54,14046.8100000001,932.22,0.653523944977555,32.59,5945.5</t>
  </si>
  <si>
    <t>2025-05-20 00:49:00,194033614.033319,54658.1067294823,0,0,0,0,0,0,21353</t>
  </si>
  <si>
    <t>2025-05-20 00:51:00,600,,,590,580,,593.5,,,,,600,590,,,593.5</t>
  </si>
  <si>
    <t>2025-05-20 00:51:00,525,,,518,500,,522,,,,,525,510,,,520.18</t>
  </si>
  <si>
    <t>2025-05-20 00:51:00,6000,,5950,,5700,,5940,,,,,6000,5900,6000,5870,5945</t>
  </si>
  <si>
    <t>2025-05-20 00:51:00,21325,,21400,,21325,,21350,,,,,21400,20300,,,21350.75</t>
  </si>
  <si>
    <t>2025-05-20 00:51:00,2341133176.93152,-1768558224.73899,0,0,0,0,0,0,593.5</t>
  </si>
  <si>
    <t>2025-05-20 00:51:00,-132469604.510467,-1532119653.30438,0,0,0,0,0,0,520.18</t>
  </si>
  <si>
    <t>2025-05-20 00:51:00,75865973.045378,1854995.87017413,178.15,-5,2781.32249999999,135.51,0.207213105985299,5.17,5945</t>
  </si>
  <si>
    <t>2025-05-20 00:51:00,194160329.943402,53786.3044748108,0,0,0,0,0,0,21350.75</t>
  </si>
  <si>
    <t>2025-05-20 00:52:00,600,,,590,580,,593.5,,,,,600,590,,,593.48</t>
  </si>
  <si>
    <t>2025-05-20 00:52:00,525,,,518,500,,522,,,,,525,510,,,520.14</t>
  </si>
  <si>
    <t>2025-05-20 00:52:00,6000,,5950,,5700,,5940,,,,,6000,5900,6000,5870,5944.75</t>
  </si>
  <si>
    <t>2025-05-20 00:52:00,21325,,21400,,21325,,21350,,,,,21400,20300,,,21349</t>
  </si>
  <si>
    <t>2025-05-20 00:52:00,2330611942.42448,-1899094488.57272,0,0,0,0,0,0,593.48</t>
  </si>
  <si>
    <t>2025-05-20 00:52:00,-140617107.827729,-1593246576.54134,0,0,0,0,0,0,520.14</t>
  </si>
  <si>
    <t>2025-05-20 00:52:00,75957369.4606268,1862610.16255877,80.2166666666668,3,658.934499999999,49.02,0.000515512146451937,1.18,5944.75</t>
  </si>
  <si>
    <t>2025-05-20 00:52:00,194252929.768763,52993.1712999292,0,0,0,0,0,0,21349</t>
  </si>
  <si>
    <t>2025-05-20 00:53:00,600,,,590,580,,593.5,,,,,600,590,,,593.34</t>
  </si>
  <si>
    <t>2025-05-20 00:53:00,525,,,518,500,,522,,,,,525,510,,,520.06</t>
  </si>
  <si>
    <t>2025-05-20 00:53:00,6000,,5950,,5700,,5940,,,,,6000,5900,6000,5870,5943.5</t>
  </si>
  <si>
    <t>2025-05-20 00:53:00,21325,,21400,,21325,,21350,,,,,21400,20300,,,21345.75</t>
  </si>
  <si>
    <t>2025-05-20 00:53:00,2258299897.56311,-2802106387.93063,0,0,0,0,0,0,593.34</t>
  </si>
  <si>
    <t>2025-05-20 00:53:00,-156899738.986228,-1716638434.2181,0,0,0,0,0,0,520.06</t>
  </si>
  <si>
    <t>2025-05-20 00:53:00,77289876.0827976,1996410.03160413,671.833333333333,31,3920.73099999999,162.28,0.167300747093542,5.87,5943.5</t>
  </si>
  <si>
    <t>2025-05-20 00:53:00,194346225.090896,51611.446594509,0,0,0,0,0,0,21345.75</t>
  </si>
  <si>
    <t>2025-05-20 00:55:00,600,,,590,580,,593.5,,,,,600,590,,,593.3</t>
  </si>
  <si>
    <t>2025-05-20 00:55:00,525,,,518,500,,522,,,,,525,510,,,519.99</t>
  </si>
  <si>
    <t>2025-05-20 00:55:00,6000,,5950,,5700,,5940,,,,,6000,5900,6000,5870,5943.25</t>
  </si>
  <si>
    <t>2025-05-20 00:55:00,21325,,21400,,21325,,21350,,,,,21400,20300,,,21343.25</t>
  </si>
  <si>
    <t>2025-05-20 00:55:00,2236630098.76605,-3070668190.00113,0,0,0,0,0,0,593.3</t>
  </si>
  <si>
    <t>2025-05-20 00:55:00,-171590158.51533,-1824795815.1902,0,0,0,0,0,0,519.99</t>
  </si>
  <si>
    <t>2025-05-20 00:55:00,77738481.1206878,2070060.47083035,316.4,27,1681.52833333333,145.23,0.0539694587230099,4.73,5943.25</t>
  </si>
  <si>
    <t>2025-05-20 00:55:00,194492926.0344,50613.5157644999,0,0,0,0,0,0,21343.25</t>
  </si>
  <si>
    <t>2025-05-20 00:56:00,600,,,590,580,,593.5,,,,,600,590,,,593.32</t>
  </si>
  <si>
    <t>2025-05-20 00:56:00,525,,,518,500,,522,,,,,525,510,,,519.99</t>
  </si>
  <si>
    <t>2025-05-20 00:56:00,6000,,5950,,5700,,5940,,,,,6000,5900,6000,5880,5943.25</t>
  </si>
  <si>
    <t>2025-05-20 00:56:00,21325,,21400,,21325,,21350,,,,,21400,20300,,,21343.5</t>
  </si>
  <si>
    <t>2025-05-20 00:56:00,2247614504.42872,-2937826747.10486,0,0,0,0,0,0,593.32</t>
  </si>
  <si>
    <t>2025-05-20 00:56:00,-171494959.340585,-1824691699.88454,0,0,0,0,0,0,519.99</t>
  </si>
  <si>
    <t>2025-05-20 00:56:00,77923133.8061916,2086608.49934505,271.633333333333,22,4587.80799999999,321.02,0.134868166670973,10.9,5943.25</t>
  </si>
  <si>
    <t>2025-05-20 00:56:00,194486857.954056,50606.830367521,0,0,0,0,0,0,21343.5</t>
  </si>
  <si>
    <t>2025-05-20 00:57:00,600,,,590,580,,593.5,,,,,600,590,,,593.29</t>
  </si>
  <si>
    <t>2025-05-20 00:57:00,525,,,518,500,,522,,,,,525,510,,,519.9</t>
  </si>
  <si>
    <t>2025-05-20 00:57:00,6000,,5950,,5700,,5940,,,,,6000,5900,6000,5880,5942.75</t>
  </si>
  <si>
    <t>2025-05-20 00:57:00,21325,,21400,,21325,,21350,,,,,21400,20300,,,21340</t>
  </si>
  <si>
    <t>2025-05-20 00:57:00,2231566488.67633,-3138076727.28103,0,0,0,0,0,0,593.29</t>
  </si>
  <si>
    <t>2025-05-20 00:57:00,-189917026.239444,-1952442285.05797,0,0,0,0,0,0,519.9</t>
  </si>
  <si>
    <t>2025-05-20 00:57:00,78346802.0756945,2204701.06897465,441.533333333334,16,4688.77566666668,182.01,0.131994565695893,6.37,5942.75</t>
  </si>
  <si>
    <t>2025-05-20 00:57:00,194642195.537312,49101.0704620265,0,0,0,0,0,0,21340</t>
  </si>
  <si>
    <t>2025-05-20 01:00:00,600,,,590,580,,594.5,,,,,600,590,,,592.86</t>
  </si>
  <si>
    <t>2025-05-20 01:00:00,525,,,518,500,,521,,,,,525,510,,,519.44</t>
  </si>
  <si>
    <t>2025-05-20 01:00:00,6000,,6000,,5700,,5940,,,,,6000,5900,6000,5870,5938.5</t>
  </si>
  <si>
    <t>2025-05-20 01:00:00,21325,,21400,,21325,,21350,,,,,21400,20300,,,21320</t>
  </si>
  <si>
    <t>2025-05-20 01:00:00,1999798622.03078,-5820936444.70633,0,0,0,0,0,0,592.86</t>
  </si>
  <si>
    <t>2025-05-20 01:00:00,-286992125.809876,-2455589295.69054,0,0,0,0,0,0,519.44</t>
  </si>
  <si>
    <t>2025-05-20 01:00:00,72879589.4567253,195620.373069502,3396.0763888889,201,55824.1517638891,2520.66,0.208149239316354,103,5938.5</t>
  </si>
  <si>
    <t>2025-05-20 01:00:00,195128108.465527,39389.4846975663,0,0,0,0,0,0,21320</t>
  </si>
  <si>
    <t>2025-05-20 01:01:00,600,,,590,580,,594.5,,,,,600,590,,,592.86</t>
  </si>
  <si>
    <t>2025-05-20 01:01:00,525,,,518,500,,522,,,,,525,510,,,519.5</t>
  </si>
  <si>
    <t>2025-05-20 01:01:00,6000,,6000,,5700,,5940,,,,,6000,5900,6000,5870,5938.5</t>
  </si>
  <si>
    <t>2025-05-20 01:01:00,21325,,21400,,21325,,21350,,,,,21400,20300,,,21322.25</t>
  </si>
  <si>
    <t>2025-05-20 01:01:00,1999844168.49998,-5822289675.12097,0,0,0,0,0,0,592.86</t>
  </si>
  <si>
    <t>2025-05-20 01:01:00,-277825610.577806,-2564626312.57421,0,0,0,0,0,0,519.5</t>
  </si>
  <si>
    <t>2025-05-20 01:01:00,72945500.8315812,191037.427521692,616.666666666668,47,8223.63533333336,355.4,-0.00445989196096252,12.85,5938.5</t>
  </si>
  <si>
    <t>2025-05-20 01:01:00,195084940.145901,40587.0921061987,0,0,0,0,0,0,21322.25</t>
  </si>
  <si>
    <t>2025-05-20 01:04:00,600,,,590,580,,594.5,,,,,600,590,,,592.87</t>
  </si>
  <si>
    <t>2025-05-20 01:04:00,525,,,518,500,,521,,,,,525,510,,,519.44</t>
  </si>
  <si>
    <t>2025-05-20 01:04:00,6000,,6000,,5700,,5940,,,,,6000,5900,6000,5870,5938.5</t>
  </si>
  <si>
    <t>2025-05-20 01:04:00,21325,,21400,,21325,,21350,,,,,21400,20300,,,21320</t>
  </si>
  <si>
    <t>2025-05-20 01:04:00,2006020184.9162,-5750880892.26805,0,0,0,0,0,0,592.87</t>
  </si>
  <si>
    <t>2025-05-20 01:04:00,-287000685.178817,-2457215834.23417,0,0,0,0,0,0,519.44</t>
  </si>
  <si>
    <t>2025-05-20 01:04:00,73350693.9141047,213943.396580785,1969.83333333333,118,12112.5723333333,557.18,0.069580762861914,20.12,5938.5</t>
  </si>
  <si>
    <t>2025-05-20 01:04:00,195181187.731517,39385.1079788807,0,0,0,0,0,0,21320</t>
  </si>
  <si>
    <t>2025-05-20 01:05:00,600,,,590,580,,594.5,,,,,600,590,,,592.9</t>
  </si>
  <si>
    <t>2025-05-20 01:05:00,525,,,518,500,,522,,,,,525,510,,,519.51</t>
  </si>
  <si>
    <t>2025-05-20 01:05:00,6000,,6000,,5700,,5940,,,,,6000,5900,6000,5870,5939</t>
  </si>
  <si>
    <t>2025-05-20 01:05:00,21325,,21400,,21325,,21350,,,,,21400,20300,,,21322.75</t>
  </si>
  <si>
    <t>2025-05-20 01:05:00,2022992006.9512,-5534863899.46329,0,0,0,0,0,0,592.9</t>
  </si>
  <si>
    <t>2025-05-20 01:05:00,-275639447.166632,-2555283633.23857,0,0,0,0,0,0,519.51</t>
  </si>
  <si>
    <t>2025-05-20 01:05:00,74157267.3502476,259123.369799983,164.616666666667,17,961.349166666664,61.72,0.012141580111351,2.2,5939</t>
  </si>
  <si>
    <t>2025-05-20 01:05:00,195152910.419096,40781.4602399815,0,0,0,0,0,0,21322.75</t>
  </si>
  <si>
    <t>2025-05-20 01:06:00,600,,,590,580,,594.5,,,,,600,590,,,592.86</t>
  </si>
  <si>
    <t>2025-05-20 01:06:00,525,,,518,500,,522,,,,,525,510,,,519.51</t>
  </si>
  <si>
    <t>2025-05-20 01:06:00,6000,,6000,,5700,,5940,,,,,6000,5900,6000,5870,5938.5</t>
  </si>
  <si>
    <t>2025-05-20 01:06:00,21325,,21400,,21325,,21350,,,,,21400,20300,,,21323.25</t>
  </si>
  <si>
    <t>2025-05-20 01:06:00,2000297073.3041,-5823313406.70914,0,0,0,0,0,0,592.86</t>
  </si>
  <si>
    <t>2025-05-20 01:06:00,-275590554.782585,-2554917158.48738,0,0,0,0,0,0,519.51</t>
  </si>
  <si>
    <t>2025-05-20 01:06:00,74594656.9191935,224641.353339266,936.858333333334,50,5547.43458333334,257.93,0.0313578690540442,8.25,5938.5</t>
  </si>
  <si>
    <t>2025-05-20 01:06:00,195123426.725413,41021.2975474593,0,0,0,0,0,0,21323.25</t>
  </si>
  <si>
    <t>2025-05-20 01:07:00,600,,,590,580,,594.5,,,,,600,590,,,592.74</t>
  </si>
  <si>
    <t>2025-05-20 01:07:00,525,,,518,500,,521,,,,,525,510,,,519.35</t>
  </si>
  <si>
    <t>2025-05-20 01:07:00,6000,,6000,,5700,,5940,,,,,6000,5900,6000,5870,5937.25</t>
  </si>
  <si>
    <t>2025-05-20 01:07:00,21325,,21400,,21325,,21350,,,,,21400,20300,,,21317.25</t>
  </si>
  <si>
    <t>2025-05-20 01:07:00,1937537695.25599,-6628987478.67248,0,0,0,0,0,0,592.74</t>
  </si>
  <si>
    <t>2025-05-20 01:07:00,-308521416.562548,-2608845023.42802,0,0,0,0,0,0,519.35</t>
  </si>
  <si>
    <t>2025-05-20 01:07:00,74381809.2047752,115531.006489548,801.863888888892,37,11371.139638889,421.27,0.0834508904823167,11.65,5937.25</t>
  </si>
  <si>
    <t>2025-05-20 01:07:00,195220926.892688,37946.2426438732,0,0,0,0,0,0,21317.25</t>
  </si>
  <si>
    <t>2025-05-20 01:08:00,600,,,590,580,,594.5,,,,,600,590,,,592.76</t>
  </si>
  <si>
    <t>2025-05-20 01:08:00,525,,,518,500,,521,,,,,525,510,,,519.37</t>
  </si>
  <si>
    <t>2025-05-20 01:08:00,6000,,,5900,5700,,5940,,,,,6000,5900,6000,5870,5937.5</t>
  </si>
  <si>
    <t>2025-05-20 01:08:00,21325,,21400,,21325,,21350,,,,,21400,20300,,,21317.25</t>
  </si>
  <si>
    <t>2025-05-20 01:08:00,1949125163.04919,-6509086800.4365,0,0,0,0,0,0,592.76</t>
  </si>
  <si>
    <t>2025-05-20 01:08:00,-303681827.529418,-2574944059.94299,0,0,0,0,0,0,519.37</t>
  </si>
  <si>
    <t>2025-05-20 01:08:00,74616924.6640769,24934.2756717241,1085.675,101,14041.69375,839.82,-0.345126544852122,26.36,5937.5</t>
  </si>
  <si>
    <t>2025-05-20 01:08:00,195253218.324529,37931.3952761539,0,0,0,0,0,0,21317.25</t>
  </si>
  <si>
    <t>2025-05-20 01:13:00,600,,,590,580,,593.5,,,,,600,590,,,593.11</t>
  </si>
  <si>
    <t>2025-05-20 01:13:00,525,,,518,500,,522,,,,,525,510,,,519.71</t>
  </si>
  <si>
    <t>2025-05-20 01:13:00,6000,,5950,,5700,,5940,,,,,6000,5900,6000,5870,5941</t>
  </si>
  <si>
    <t>2025-05-20 01:13:00,21325,,21400,,21325,,21350,,,,,21400,20300,,,21331.5</t>
  </si>
  <si>
    <t>2025-05-20 01:13:00,2137238432.83392,-4277080454.48655,0,0,0,0,0,0,593.11</t>
  </si>
  <si>
    <t>2025-05-20 01:13:00,-230212679.768078,-2239834142.12169,0,0,0,0,0,0,519.71</t>
  </si>
  <si>
    <t>2025-05-20 01:13:00,78061690.948647,2679019.28550719,4687.485,465,38259.2307166667,2702.83,0.239846709276475,88.84,5941</t>
  </si>
  <si>
    <t>2025-05-20 01:13:00,195054456.231424,45127.2001129172,0,0,0,0,0,0,21331.5</t>
  </si>
  <si>
    <t>2025-05-20 01:16:00,600,,,590,580,,594.5,,,,,600,590,,,592.86</t>
  </si>
  <si>
    <t>2025-05-20 01:16:00,525,,,518,500,,521,,,,,525,510,,,519.43</t>
  </si>
  <si>
    <t>2025-05-20 01:16:00,6000,,6000,,5700,,5940,,,,,6000,5900,6000,5870,5938.5</t>
  </si>
  <si>
    <t>2025-05-20 01:16:00,21325,,21400,,21325,,21350,,,,,21400,20300,,,21319.75</t>
  </si>
  <si>
    <t>2025-05-20 01:16:00,2001508802.98883,-5826114454.34273,0,0,0,0,0,0,592.86</t>
  </si>
  <si>
    <t>2025-05-20 01:16:00,-289268196.815168,-2475638657.17046,0,0,0,0,0,0,519.43</t>
  </si>
  <si>
    <t>2025-05-20 01:16:00,75344015.0522862,287434.105130615,2092.83888888888,112,40465.2040555554,1824.52,0.337849254318961,75.65,5938.5</t>
  </si>
  <si>
    <t>2025-05-20 01:16:00,195304822.790571,39267.3449638754,0,0,0,0,0,0,21319.75</t>
  </si>
  <si>
    <t>2025-05-20 01:19:00,600,,,590,580,,594.5,,,,,600,590,,,592.85</t>
  </si>
  <si>
    <t>2025-05-20 01:19:00,525,,,518,500,,521,,,,,525,510,,,519.4</t>
  </si>
  <si>
    <t>2025-05-20 01:19:00,6000,,6000,,5700,,5940,,,,,6000,5900,6000,5870,5938.25</t>
  </si>
  <si>
    <t>2025-05-20 01:19:00,21325,,21400,,21325,,21350,,,,,21400,20300,,,21319.25</t>
  </si>
  <si>
    <t>2025-05-20 01:19:00,1995934291.59316,-5901357959.74063,0,0,0,0,0,0,592.85</t>
  </si>
  <si>
    <t>2025-05-20 01:19:00,-296391547.357818,-2526641392.30887,0,0,0,0,0,0,519.4</t>
  </si>
  <si>
    <t>2025-05-20 01:19:00,75474048.1590078,273335.423599335,470.158333333334,36,2656.59641666667,151.73,0.00925803031419095,5.29,5938.25</t>
  </si>
  <si>
    <t>2025-05-20 01:19:00,195355092.955251,39006.9077777684,0,0,0,0,0,0,21319.25</t>
  </si>
  <si>
    <t>2025-05-20 01:21:00,600,,,590,580,,593.5,,,,,600,590,,,592.59</t>
  </si>
  <si>
    <t>2025-05-20 01:21:00,525,,,518,500,,521,,,,,525,510,,,519.13</t>
  </si>
  <si>
    <t>2025-05-20 01:21:00,6000,,,5900,5700,,5940,,,,,6000,5900,6000,5870,5935.75</t>
  </si>
  <si>
    <t>2025-05-20 01:21:00,21325,,21400,,21325,,21350,,,,,21400,20300,,,21307.25</t>
  </si>
  <si>
    <t>2025-05-20 01:21:00,1874934156.24495,-6467012572.60999,0,0,0,0,0,0,592.59</t>
  </si>
  <si>
    <t>2025-05-20 01:21:00,-364204271.937712,-3007009254.54288,0,0,0,0,0,0,519.13</t>
  </si>
  <si>
    <t>2025-05-20 01:21:00,74734036.8240352,862.361494692264,2200.5,125,16599.8653333333,764.26,0.00734708155913802,28.2,5935.75</t>
  </si>
  <si>
    <t>2025-05-20 01:21:00,195453203.618671,32483.0153235503,0,0,0,0,0,0,21307.25</t>
  </si>
  <si>
    <t>2025-05-20 01:22:00,600,,,590,580,,593.5,,,,,600,590,,,592.64</t>
  </si>
  <si>
    <t>2025-05-20 01:22:00,525,,,518,500,,521,,,,,525,510,,,519.11</t>
  </si>
  <si>
    <t>2025-05-20 01:22:00,6000,,,5900,5700,,5940,,,,,6000,5900,6000,5870,5936.25</t>
  </si>
  <si>
    <t>2025-05-20 01:22:00,21325,,21400,,21325,,21350,,,,,21400,20300,,,21309.5</t>
  </si>
  <si>
    <t>2025-05-20 01:22:00,1904007589.60704,-6110242716.14115,0,0,0,0,0,0,592.64</t>
  </si>
  <si>
    <t>2025-05-20 01:22:00,-369298833.536163,-3043910192.002,0,0,0,0,0,0,519.11</t>
  </si>
  <si>
    <t>2025-05-20 01:22:00,74281712.7778676,49435.030559002,220.366666666667,13,2390.70566666666,107.82,0.00134681873095451,3.71,5936.25</t>
  </si>
  <si>
    <t>2025-05-20 01:22:00,195470193.260676,33755.9727307387,0,0,0,0,0,0,21309.5</t>
  </si>
  <si>
    <t>2025-05-20 01:22:00,1904017289.6243,-6110312042.03881,0,0,0,0,0,0,592.64</t>
  </si>
  <si>
    <t>2025-05-20 01:22:00,-369298511.571399,-3043933255.48216,0,0,0,0,0,0,519.11</t>
  </si>
  <si>
    <t>2025-05-20 01:22:00,74281683.5713004,49356.0495336778,0,0,0,0,0,0,5936.25</t>
  </si>
  <si>
    <t>2025-05-20 01:22:00,195470781.926545,33756.9448930996,0,0,0,0,0,0,21309.5</t>
  </si>
  <si>
    <t>2025-05-20 01:25:00,600,,,590,580,,593.5,,,,,600,590,,,592.64</t>
  </si>
  <si>
    <t>2025-05-20 01:25:00,525,,,518,500,,521,,,,,525,510,,,519.11</t>
  </si>
  <si>
    <t>2025-05-20 01:25:00,6000,,,5900,5700,,5940,,,,,6000,5900,6000,5870,5936.25</t>
  </si>
  <si>
    <t>2025-05-20 01:25:00,21325,,21400,,21325,,21350,,,,,21400,20300,,,21309.5</t>
  </si>
  <si>
    <t>2025-05-20 01:25:00,1904724866.08699,-6115371535.72662,0,0,0,0,0,0,592.64</t>
  </si>
  <si>
    <t>2025-05-20 01:25:00,-369274857.043333,-3045615065.52793,0,0,0,0,0,0,519.11</t>
  </si>
  <si>
    <t>2025-05-20 01:25:00,74279557.3951537,43593.1292280286,0,0,0,0,0,0,5936.25</t>
  </si>
  <si>
    <t>2025-05-20 01:25:00,195513692.284077,33827.9001482306,0,0,0,0,0,0,21309.5</t>
  </si>
  <si>
    <t>2025-05-20 01:26:00,600,,,590,580,,593.5,,,,,600,590,,,592.64</t>
  </si>
  <si>
    <t>2025-05-20 01:26:00,525,,,518,500,,521,,,,,525,510,,,519.11</t>
  </si>
  <si>
    <t>2025-05-20 01:26:00,6000,,,5900,5700,,5940,,,,,6000,5900,6000,5870,5936.25</t>
  </si>
  <si>
    <t>2025-05-20 01:26:00,21325,,21400,,21325,,21350,,,,,21400,20300,,,21309.5</t>
  </si>
  <si>
    <t>2025-05-20 01:26:00,1905276528.24604,-6119319535.2466,0,0,0,0,0,0,592.64</t>
  </si>
  <si>
    <t>2025-05-20 01:26:00,-369256184.230059,-3046925498.5825,0,0,0,0,0,0,519.11</t>
  </si>
  <si>
    <t>2025-05-20 01:26:00,74277905.6790351,39097.9289978458,0,0,0,0,0,0,5936.25</t>
  </si>
  <si>
    <t>2025-05-20 01:26:00,195547105.781619,33883.2749907841,0,0,0,0,0,0,21309.5</t>
  </si>
  <si>
    <t>2025-05-20 01:27:00,600,,,590,580,,593.5,,,,,600,590,,,592.64</t>
  </si>
  <si>
    <t>2025-05-20 01:27:00,525,,,518,500,,521,,,,,525,510,,,519.11</t>
  </si>
  <si>
    <t>2025-05-20 01:27:00,6000,,,5900,5700,,5940,,,,,6000,5900,6000,5870,5936.25</t>
  </si>
  <si>
    <t>2025-05-20 01:27:00,21325,,21400,,21325,,21350,,,,,21400,20300,,,21309.5</t>
  </si>
  <si>
    <t>2025-05-20 01:27:00,1905589608.96153,-6121561427.65093,0,0,0,0,0,0,592.64</t>
  </si>
  <si>
    <t>2025-05-20 01:27:00,-369245497.184673,-3047668889.88786,0,0,0,0,0,0,519.11</t>
  </si>
  <si>
    <t>2025-05-20 01:27:00,74276970.634244,36545.9791692485,0,0,0,0,0,0,5936.25</t>
  </si>
  <si>
    <t>2025-05-20 01:27:00,195566052.512176,33914.7226354303,0,0,0,0,0,0,21309.5</t>
  </si>
  <si>
    <t>2025-05-20 01:28:00,600,,,590,580,,593.5,,,,,600,590,,,592.64</t>
  </si>
  <si>
    <t>2025-05-20 01:28:00,525,,,518,500,,521,,,,,525,510,,,519.11</t>
  </si>
  <si>
    <t>2025-05-20 01:28:00,6000,,,5900,5700,,5940,,,,,6000,5900,6000,5870,5936.25</t>
  </si>
  <si>
    <t>2025-05-20 01:28:00,21325,,21400,,21325,,21350,,,,,21400,20300,,,21309.5</t>
  </si>
  <si>
    <t>2025-05-20 01:28:00,1905901510.41503,-6123795822.89874,0,0,0,0,0,0,592.64</t>
  </si>
  <si>
    <t>2025-05-20 01:28:00,-369234785.761875,-3048409258.13211,0,0,0,0,0,0,519.11</t>
  </si>
  <si>
    <t>2025-05-20 01:28:00,74276040.8077332,34003.0554179337,0,0,0,0,0,0,5936.25</t>
  </si>
  <si>
    <t>2025-05-20 01:28:00,195584916.235869,33946.0670235292,0,0,0,0,0,0,21309.5</t>
  </si>
  <si>
    <t>2025-05-20 01:30:00,600,,,590,580,,593.5,,,,,600,590,,,592.64</t>
  </si>
  <si>
    <t>2025-05-20 01:30:00,525,,,518,500,,521,,,,,525,510,,,519.11</t>
  </si>
  <si>
    <t>2025-05-20 01:30:00,6000,,,5900,5700,,5940,,,,,6000,5900,6000,5870,5936.25</t>
  </si>
  <si>
    <t>2025-05-20 01:30:00,21325,,21400,,21325,,21350,,,,,21400,20300,,,21309.5</t>
  </si>
  <si>
    <t>2025-05-20 01:30:00,1906455024.20359,-6127763408.35634,0,0,0,0,0,0,592.64</t>
  </si>
  <si>
    <t>2025-05-20 01:30:00,-369215618.054266,-3049722598.46433,0,0,0,0,0,0,519.11</t>
  </si>
  <si>
    <t>2025-05-20 01:30:00,74274394.8916771,29488.8471465414,0,0,0,0,0,0,5936.25</t>
  </si>
  <si>
    <t>2025-05-20 01:30:00,195618364.033416,34001.7293466888,0,0,0,0,0,0,21309.5</t>
  </si>
  <si>
    <t>2025-05-20 01:35:00,600,,,590,580,,593.5,,,,,600,590,,,592.64</t>
  </si>
  <si>
    <t>2025-05-20 01:35:00,525,,,518,500,,521,,,,,525,510,,,519.11</t>
  </si>
  <si>
    <t>2025-05-20 01:35:00,6000,,,5900,5700,,5940,,,,,6000,5900,6000,5870,5936.25</t>
  </si>
  <si>
    <t>2025-05-20 01:35:00,21325,,21400,,21325,,21350,,,,,21400,20300,,,21309.5</t>
  </si>
  <si>
    <t>2025-05-20 01:35:00,1907779347.92582,-6137268293.33498,0,0,0,0,0,0,592.64</t>
  </si>
  <si>
    <t>2025-05-20 01:35:00,-369168934.347104,-3052862002.42898,0,0,0,0,0,0,519.11</t>
  </si>
  <si>
    <t>2025-05-20 01:35:00,74270478.935817,18680.9988067115,0,0,0,0,0,0,5936.25</t>
  </si>
  <si>
    <t>2025-05-20 01:35:00,195698242.29523,34135.097715196,0,0,0,0,0,0,21309.5</t>
  </si>
  <si>
    <t>2025-05-20 01:36:00,600,,,590,580,,593.5,,,,,600,590,,,592.64</t>
  </si>
  <si>
    <t>2025-05-20 01:36:00,525,,,518,500,,521,,,,,525,510,,,519.11</t>
  </si>
  <si>
    <t>2025-05-20 01:36:00,6000,,,5900,5700,,5940,,,,,6000,5900,6000,5870,5936.25</t>
  </si>
  <si>
    <t>2025-05-20 01:36:00,21325,,21400,,21325,,21350,,,,,21400,20300,,,21309.5</t>
  </si>
  <si>
    <t>2025-05-20 01:36:00,1908097086.17637,-6139551305.19044,0,0,0,0,0,0,592.64</t>
  </si>
  <si>
    <t>2025-05-20 01:36:00,-369157561.132141,-3053614620.67845,0,0,0,0,0,0,519.11</t>
  </si>
  <si>
    <t>2025-05-20 01:36:00,74269544.073126,16086.4326342093,0,0,0,0,0,0,5936.25</t>
  </si>
  <si>
    <t>2025-05-20 01:36:00,195717376.054953,34167.1361482418,0,0,0,0,0,0,21309.5</t>
  </si>
  <si>
    <t>2025-05-20 01:37:00,600,,,590,580,,593.5,,,,,600,590,,,592.64</t>
  </si>
  <si>
    <t>2025-05-20 01:37:00,525,,,518,500,,521,,,,,525,510,,,519.11</t>
  </si>
  <si>
    <t>2025-05-20 01:37:00,6000,,,5900,5700,,5940,,,,,6000,5900,6000,5870,5936.25</t>
  </si>
  <si>
    <t>2025-05-20 01:37:00,21325,,21400,,21325,,21350,,,,,21400,20300,,,21309.5</t>
  </si>
  <si>
    <t>2025-05-20 01:37:00,1908412658.30057,-6141819733.42523,0,0,0,0,0,0,592.64</t>
  </si>
  <si>
    <t>2025-05-20 01:37:00,-369146199.37518,-3054361876.28343,0,0,0,0,0,0,519.11</t>
  </si>
  <si>
    <t>2025-05-20 01:37:00,74268617.3913711,13508.992271069,0,0,0,0,0,0,5936.25</t>
  </si>
  <si>
    <t>2025-05-20 01:37:00,195736367.507456,34198.9714156204,0,0,0,0,0,0,21309.5</t>
  </si>
  <si>
    <t>2025-05-20 01:39:00,600,,,590,580,,593.5,,,,,600,590,,,592.64</t>
  </si>
  <si>
    <t>2025-05-20 01:39:00,525,,,518,500,,521,,,,,525,510,,,519.11</t>
  </si>
  <si>
    <t>2025-05-20 01:39:00,6000,,,5900,5700,,5940,,,,,6000,5900,6000,5870,5936.25</t>
  </si>
  <si>
    <t>2025-05-20 01:39:00,21325,,21400,,21325,,21350,,,,,21400,20300,,,21309.5</t>
  </si>
  <si>
    <t>2025-05-20 01:39:00,1909057143.27957,-6146455527.39417,0,0,0,0,0,0,592.64</t>
  </si>
  <si>
    <t>2025-05-20 01:39:00,-369122791.075515,-3055887258.21583,0,0,0,0,0,0,519.11</t>
  </si>
  <si>
    <t>2025-05-20 01:39:00,74266730.4850024,8243.43085493817,0,0,0,0,0,0,5936.25</t>
  </si>
  <si>
    <t>2025-05-20 01:39:00,195775116.571135,34264.0348189993,0,0,0,0,0,0,21309.5</t>
  </si>
  <si>
    <t>2025-05-20 01:41:00,600,,,590,580,,593.5,,,,,600,590,,,592.64</t>
  </si>
  <si>
    <t>2025-05-20 01:41:00,525,,,518,500,,521,,,,,525,510,,,519.11</t>
  </si>
  <si>
    <t>2025-05-20 01:41:00,6000,,,5900,5700,,5940,,,,,6000,5900,6000,5870,5936.25</t>
  </si>
  <si>
    <t>2025-05-20 01:41:00,21325,,21400,,21325,,21350,,,,,21400,20300,,,21309.5</t>
  </si>
  <si>
    <t>2025-05-20 01:41:00,1909878102.79089,-6152366631.24948,0,0,0,0,0,0,592.64</t>
  </si>
  <si>
    <t>2025-05-20 01:41:00,-369092575.762839,-3057828920.96464,0,0,0,0,0,0,519.11</t>
  </si>
  <si>
    <t>2025-05-20 01:41:00,74264337.9497674,1532.75107157707,0,0,0,0,0,0,5936.25</t>
  </si>
  <si>
    <t>2025-05-20 01:41:00,195824404.743773,34347.0050386109,0,0,0,0,0,0,21309.5</t>
  </si>
  <si>
    <t>2025-05-20 01:42:00,600,,,590,580,,593.5,,,,,600,590,,,592.64</t>
  </si>
  <si>
    <t>2025-05-20 01:42:00,525,,,518,500,,521,,,,,525,510,,,519.11</t>
  </si>
  <si>
    <t>2025-05-20 01:42:00,6000,,,5900,5700,,5940,,,,,6000,5900,6000,5870,5936.25</t>
  </si>
  <si>
    <t>2025-05-20 01:42:00,21325,,21400,,21325,,21350,,,,,21400,20300,,,21309.5</t>
  </si>
  <si>
    <t>2025-05-20 01:42:00,1910193421.31566,-6154638768.18216,0,0,0,0,0,0,592.64</t>
  </si>
  <si>
    <t>2025-05-20 01:42:00,-369080852.268059,-3058574265.94656,0,0,0,0,0,0,519.11</t>
  </si>
  <si>
    <t>2025-05-20 01:42:00,74263422.3313663,-1045.68560879931,0,0,0,0,0,0,5936.25</t>
  </si>
  <si>
    <t>2025-05-20 01:42:00,195843314.416939,34378.899639296,0,0,0,0,0,0,21309.5</t>
  </si>
  <si>
    <t>2025-05-20 01:44:00,600,,,590,580,,593.5,,,,,600,590,,,592.64</t>
  </si>
  <si>
    <t>2025-05-20 01:44:00,525,,,518,500,,521,,,,,525,510,,,519.11</t>
  </si>
  <si>
    <t>2025-05-20 01:44:00,6000,,,5900,5700,,5940,,,,,6000,5900,6000,5870,5936.25</t>
  </si>
  <si>
    <t>2025-05-20 01:44:00,21325,,21400,,21325,,21350,,,,,21400,20300,,,21309.5</t>
  </si>
  <si>
    <t>2025-05-20 01:44:00,1910808828.83304,-6159076133.93,0,0,0,0,0,0,592.64</t>
  </si>
  <si>
    <t>2025-05-20 01:44:00,-369057782.625636,-3060028284.22689,0,0,0,0,0,0,519.11</t>
  </si>
  <si>
    <t>2025-05-20 01:44:00,74261640.669729,-6079.53648577964,0,0,0,0,0,0,5936.25</t>
  </si>
  <si>
    <t>2025-05-20 01:44:00,195880186.615695,34441.1912316023,0,0,0,0,0,0,21309.5</t>
  </si>
  <si>
    <t>2025-05-20 01:46:00,600,,,590,580,,593.5,,,,,600,590,,,592.64</t>
  </si>
  <si>
    <t>2025-05-20 01:46:00,525,,,518,500,,521,,,,,525,510,,,519.11</t>
  </si>
  <si>
    <t>2025-05-20 01:46:00,6000,,,5900,5700,,5940,,,,,6000,5900,6000,5870,5936.25</t>
  </si>
  <si>
    <t>2025-05-20 01:46:00,21325,,21400,,21325,,21350,,,,,21400,20300,,,21309.5</t>
  </si>
  <si>
    <t>2025-05-20 01:46:00,1911450986.58127,-6163710383.99216,0,0,0,0,0,0,592.64</t>
  </si>
  <si>
    <t>2025-05-20 01:46:00,-369033444.063927,-3061544554.40092,0,0,0,0,0,0,519.11</t>
  </si>
  <si>
    <t>2025-05-20 01:46:00,74259789.1665932,-11334.2965140496,0,0,0,0,0,0,5936.25</t>
  </si>
  <si>
    <t>2025-05-20 01:46:00,195918613.917732,34506.2506308324,0,0,0,0,0,0,21309.5</t>
  </si>
  <si>
    <t>2025-05-20 01:47:00,600,,,590,580,,593.5,,,,,600,590,,,592.64</t>
  </si>
  <si>
    <t>2025-05-20 01:47:00,525,,,518,500,,521,,,,,525,510,,,519.11</t>
  </si>
  <si>
    <t>2025-05-20 01:47:00,6000,,,5900,5700,,5940,,,,,6000,5900,6000,5870,5936.25</t>
  </si>
  <si>
    <t>2025-05-20 01:47:00,21325,,21400,,21325,,21350,,,,,21400,20300,,,21309.5</t>
  </si>
  <si>
    <t>2025-05-20 01:47:00,1911769439.42504,-6166010077.26591,0,0,0,0,0,0,592.64</t>
  </si>
  <si>
    <t>2025-05-20 01:47:00,-369021273.561269,-3062296127.73034,0,0,0,0,0,0,519.11</t>
  </si>
  <si>
    <t>2025-05-20 01:47:00,74258873.888329,-13940.9707652757,0,0,0,0,0,0,5936.25</t>
  </si>
  <si>
    <t>2025-05-20 01:47:00,195937652.401224,34538.5369518255,0,0,0,0,0,0,21309.5</t>
  </si>
  <si>
    <t>2025-05-20 01:48:00,600,,,590,580,,593.5,,,,,600,590,,,592.64</t>
  </si>
  <si>
    <t>2025-05-20 01:48:00,525,,,518,500,,521,,,,,525,510,,,519.11</t>
  </si>
  <si>
    <t>2025-05-20 01:48:00,6000,,,5900,5700,,5940,,,,,6000,5900,6000,5870,5936.25</t>
  </si>
  <si>
    <t>2025-05-20 01:48:00,21325,,21400,,21325,,21350,,,,,21400,20300,,,21309.5</t>
  </si>
  <si>
    <t>2025-05-20 01:48:00,1912089258.70846,-6168320653.83399,0,0,0,0,0,0,592.64</t>
  </si>
  <si>
    <t>2025-05-20 01:48:00,-369008983.640748,-3063050684.41527,0,0,0,0,0,0,519.11</t>
  </si>
  <si>
    <t>2025-05-20 01:48:00,74257956.6308562,-16559.3455505025,0,0,0,0,0,0,5936.25</t>
  </si>
  <si>
    <t>2025-05-20 01:48:00,195956760.561717,34570.9768798805,0,0,0,0,0,0,21309.5</t>
  </si>
  <si>
    <t>2025-05-20 01:51:00,600,,,590,580,,593.5,,,,,600,590,,,592.64</t>
  </si>
  <si>
    <t>2025-05-20 01:51:00,525,,,518,500,,521,,,,,525,510,,,519.11</t>
  </si>
  <si>
    <t>2025-05-20 01:51:00,6000,,,5900,5700,,5940,,,,,6000,5900,6000,5870,5936.25</t>
  </si>
  <si>
    <t>2025-05-20 01:51:00,21325,,21400,,21325,,21350,,,,,21400,20300,,,21309.5</t>
  </si>
  <si>
    <t>2025-05-20 01:51:00,1912947342.59285,-6174525032.3699,0,0,0,0,0,0,592.64</t>
  </si>
  <si>
    <t>2025-05-20 01:51:00,-368975676.939393,-3065073981.40865,0,0,0,0,0,0,519.11</t>
  </si>
  <si>
    <t>2025-05-20 01:51:00,74255505.3180217,-23587.0301821616,0,0,0,0,0,0,5936.25</t>
  </si>
  <si>
    <t>2025-05-20 01:51:00,196007968.861026,34658.0883672366,0,0,0,0,0,0,21309.5</t>
  </si>
  <si>
    <t>2025-05-20 01:53:00,600,,,590,580,,593.5,,,,,600,590,,,592.64</t>
  </si>
  <si>
    <t>2025-05-20 01:53:00,525,,,518,500,,521,,,,,525,510,,,519.11</t>
  </si>
  <si>
    <t>2025-05-20 01:53:00,6000,,,5900,5700,,5940,,,,,6000,5900,6000,5870,5936.25</t>
  </si>
  <si>
    <t>2025-05-20 01:53:00,21325,,21400,,21325,,21350,,,,,21400,20300,,,21309.5</t>
  </si>
  <si>
    <t>2025-05-20 01:53:00,1913628142.15174,-6179452791.02869,0,0,0,0,0,0,592.64</t>
  </si>
  <si>
    <t>2025-05-20 01:53:00,-368948907.174301,-3066678008.14483,0,0,0,0,0,0,519.11</t>
  </si>
  <si>
    <t>2025-05-20 01:53:00,74253570.6148997,-29165.3149945245,0,0,0,0,0,0,5936.25</t>
  </si>
  <si>
    <t>2025-05-20 01:53:00,196048535.778757,34727.2787321299,0,0,0,0,0,0,21309.5</t>
  </si>
  <si>
    <t>2025-05-20 01:54:00,600,,,590,580,,593.5,,,,,600,590,,,592.64</t>
  </si>
  <si>
    <t>2025-05-20 01:54:00,525,,,518,500,,521,,,,,525,510,,,519.11</t>
  </si>
  <si>
    <t>2025-05-20 01:54:00,6000,,,5900,5700,,5940,,,,,6000,5900,6000,5870,5936.25</t>
  </si>
  <si>
    <t>2025-05-20 01:54:00,21325,,21400,,21325,,21350,,,,,21400,20300,,,21309.5</t>
  </si>
  <si>
    <t>2025-05-20 01:54:00,1913947885.1075,-6181768754.70364,0,0,0,0,0,0,592.64</t>
  </si>
  <si>
    <t>2025-05-20 01:54:00,-368936229.459212,-3067430970.00798,0,0,0,0,0,0,519.11</t>
  </si>
  <si>
    <t>2025-05-20 01:54:00,74252665.0941754,-31785.9653614621,0,0,0,0,0,0,5936.25</t>
  </si>
  <si>
    <t>2025-05-20 01:54:00,196067569.6057,34759.7977731263,0,0,0,0,0,0,21309.5</t>
  </si>
  <si>
    <t>2025-05-20 01:59:00,600,,,590,580,,593.5,,,,,600,590,,,592.64</t>
  </si>
  <si>
    <t>2025-05-20 01:59:00,525,,,518,500,,521,,,,,525,510,,,519.11</t>
  </si>
  <si>
    <t>2025-05-20 01:59:00,6000,,,5900,5700,,5940,,,,,6000,5900,6000,5870,5936.25</t>
  </si>
  <si>
    <t>2025-05-20 01:59:00,21325,,21400,,21325,,21350,,,,,21400,20300,,,21309.5</t>
  </si>
  <si>
    <t>2025-05-20 01:59:00,1915496635.09067,-6193001210.72784,0,0,0,0,0,0,592.64</t>
  </si>
  <si>
    <t>2025-05-20 01:59:00,-368873872.489805,-3071074645.09154,0,0,0,0,0,0,519.11</t>
  </si>
  <si>
    <t>2025-05-20 01:59:00,74248307.6176524,-44486.4190331459,0,0,0,0,0,0,5936.25</t>
  </si>
  <si>
    <t>2025-05-20 01:59:00,196159595.154671,34917.5197990789,0,0,0,0,0,0,21309.5</t>
  </si>
  <si>
    <t>2025-05-20 02:00:00,600,,,590,580,,593.5,,,,,600,590,,,592.64</t>
  </si>
  <si>
    <t>2025-05-20 02:00:00,525,,,518,500,,521,,,,,525,510,,,519.11</t>
  </si>
  <si>
    <t>2025-05-20 02:00:00,6000,,,5900,5700,,5940,,,,,6000,5900,6000,5870,5936.25</t>
  </si>
  <si>
    <t>2025-05-20 02:00:00,21325,,21400,,21325,,21350,,,,,21400,20300,,,21309.5</t>
  </si>
  <si>
    <t>2025-05-20 02:00:00,1915818362.68707,-6195337603.49622,0,0,0,0,0,0,592.64</t>
  </si>
  <si>
    <t>2025-05-20 02:00:00,-368860721.582007,-3071830834.3765,0,0,0,0,0,0,519.11</t>
  </si>
  <si>
    <t>2025-05-20 02:00:00,74247408.4345274,-47126.0939713598,0,0,0,0,0,0,5936.25</t>
  </si>
  <si>
    <t>2025-05-20 02:00:00,196178676.830134,34950.327014034,0,0,0,0,0,0,21309.5</t>
  </si>
  <si>
    <t>2025-05-20 02:01:00,600,,,590,580,,593.5,,,,,600,590,,,592.64</t>
  </si>
  <si>
    <t>2025-05-20 02:01:00,525,,,518,500,,521,,,,,525,510,,,519.11</t>
  </si>
  <si>
    <t>2025-05-20 02:01:00,6000,,,5900,5700,,5940,,,,,6000,5900,6000,5870,5936.25</t>
  </si>
  <si>
    <t>2025-05-20 02:01:00,21325,,21400,,21325,,21350,,,,,21400,20300,,,21309.5</t>
  </si>
  <si>
    <t>2025-05-20 02:01:00,1916141581.49566,-6197685879.08262,0,0,0,0,0,0,592.64</t>
  </si>
  <si>
    <t>2025-05-20 02:01:00,-368847441.452971,-3072590276.52365,0,0,0,0,0,0,519.11</t>
  </si>
  <si>
    <t>2025-05-20 02:01:00,74246507.1865325,-49778.4636897041,0,0,0,0,0,0,5936.25</t>
  </si>
  <si>
    <t>2025-05-20 02:01:00,196197834.800866,34983.3010884548,0,0,0,0,0,0,21309.5</t>
  </si>
  <si>
    <t>2025-05-20 02:02:00,600,,,590,580,,593.5,,,,,600,590,,,592.64</t>
  </si>
  <si>
    <t>2025-05-20 02:02:00,525,,,518,500,,521,,,,,525,510,,,519.11</t>
  </si>
  <si>
    <t>2025-05-20 02:02:00,6000,,,5900,5700,,5940,,,,,6000,5900,6000,5870,5936.25</t>
  </si>
  <si>
    <t>2025-05-20 02:02:00,21325,,21400,,21325,,21350,,,,,21400,20300,,,21309.5</t>
  </si>
  <si>
    <t>2025-05-20 02:02:00,1916465711.57605,-6200041837.16713,0,0,0,0,0,0,592.64</t>
  </si>
  <si>
    <t>2025-05-20 02:02:00,-368834055.197687,-3073351605.63975,0,0,0,0,0,0,519.11</t>
  </si>
  <si>
    <t>2025-05-20 02:02:00,74245605.5232879,-52438.7688758264,0,0,0,0,0,0,5936.25</t>
  </si>
  <si>
    <t>2025-05-20 02:02:00,196217034.566484,35016.3829747257,0,0,0,0,0,0,21309.5</t>
  </si>
  <si>
    <t>2025-05-20 02:04:00,600,,,590,580,,593.5,,,,,600,590,,,592.64</t>
  </si>
  <si>
    <t>2025-05-20 02:04:00,525,,,518,500,,521,,,,,525,510,,,519.11</t>
  </si>
  <si>
    <t>2025-05-20 02:04:00,6000,,,5900,5700,,5940,,,,,6000,5900,6000,5870,5936.25</t>
  </si>
  <si>
    <t>2025-05-20 02:04:00,21325,,21400,,21325,,21350,,,,,21400,20300,,,21309.5</t>
  </si>
  <si>
    <t>2025-05-20 02:04:00,1917186789.09465,-6205286851.40112,0,0,0,0,0,0,592.64</t>
  </si>
  <si>
    <t>2025-05-20 02:04:00,-368804028.841201,-3075044384.86772,0,0,0,0,0,0,519.11</t>
  </si>
  <si>
    <t>2025-05-20 02:04:00,74243607.3151006,-58358.6452191205,0,0,0,0,0,0,5936.25</t>
  </si>
  <si>
    <t>2025-05-20 02:04:00,196259703.578121,35090.0318272969,0,0,0,0,0,0,21309.5</t>
  </si>
  <si>
    <t>2025-05-20 02:05:00,600,,,590,580,,593.5,,,,,600,590,,,592.64</t>
  </si>
  <si>
    <t>2025-05-20 02:05:00,525,,,518,500,,521,,,,,525,510,,,519.11</t>
  </si>
  <si>
    <t>2025-05-20 02:05:00,6000,,,5900,5700,,5940,,,,,6000,5900,6000,5870,5936.25</t>
  </si>
  <si>
    <t>2025-05-20 02:05:00,21325,,21400,,21325,,21350,,,,,21400,20300,,,21309.5</t>
  </si>
  <si>
    <t>2025-05-20 02:05:00,1917513365.81196,-6207664061.17475,0,0,0,0,0,0,592.64</t>
  </si>
  <si>
    <t>2025-05-20 02:05:00,-368790318.014637,-3075810629.77125,0,0,0,0,0,0,519.11</t>
  </si>
  <si>
    <t>2025-05-20 02:05:00,74242705.8324796,-61040.484074532,0,0,0,0,0,0,5936.25</t>
  </si>
  <si>
    <t>2025-05-20 02:05:00,196279008.53743,35123.4114470095,0,0,0,0,0,0,21309.5</t>
  </si>
  <si>
    <t>2025-05-20 02:06:00,600,,,590,580,,593.5,,,,,600,590,,,592.64</t>
  </si>
  <si>
    <t>2025-05-20 02:06:00,525,,,518,500,,521,,,,,525,510,,,519.11</t>
  </si>
  <si>
    <t>2025-05-20 02:06:00,6000,,,5900,5700,,5940,,,,,6000,5900,6000,5870,5936.25</t>
  </si>
  <si>
    <t>2025-05-20 02:06:00,21325,,21400,,21325,,21350,,,,,21400,20300,,,21309.5</t>
  </si>
  <si>
    <t>2025-05-20 02:06:00,1917837929.98418,-6210027696.55392,0,0,0,0,0,0,592.64</t>
  </si>
  <si>
    <t>2025-05-20 02:06:00,-368776622.629161,-3076571894.77554,0,0,0,0,0,0,519.11</t>
  </si>
  <si>
    <t>2025-05-20 02:06:00,74241812.0849238,-63706.2336262976,0,0,0,0,0,0,5936.25</t>
  </si>
  <si>
    <t>2025-05-20 02:06:00,196298182.264503,35156.6001064002,0,0,0,0,0,0,21309.5</t>
  </si>
  <si>
    <t>2025-05-20 02:07:00,600,,,590,580,,593.5,,,,,600,590,,,592.64</t>
  </si>
  <si>
    <t>2025-05-20 02:07:00,525,,,518,500,,521,,,,,525,510,,,519.11</t>
  </si>
  <si>
    <t>2025-05-20 02:07:00,6000,,,5900,5700,,5940,,,,,6000,5900,6000,5870,5936.25</t>
  </si>
  <si>
    <t>2025-05-20 02:07:00,21325,,21400,,21325,,21350,,,,,21400,20300,,,21309.5</t>
  </si>
  <si>
    <t>2025-05-20 02:07:00,1918163784.32951,-6212401807.34447,0,0,0,0,0,0,592.64</t>
  </si>
  <si>
    <t>2025-05-20 02:07:00,-368762803.58374,-3077335926.81818,0,0,0,0,0,0,519.11</t>
  </si>
  <si>
    <t>2025-05-20 02:07:00,74240916.9796884,-66383.0131771957,0,0,0,0,0,0,5936.25</t>
  </si>
  <si>
    <t>2025-05-20 02:07:00,196317419.919413,35189.9354288751,0,0,0,0,0,0,21309.5</t>
  </si>
  <si>
    <t>2025-05-20 02:10:00,600,,,590,580,,593.5,,,,,600,590,,,592.64</t>
  </si>
  <si>
    <t>2025-05-20 02:10:00,525,,,518,500,,521,,,,,525,510,,,519.11</t>
  </si>
  <si>
    <t>2025-05-20 02:10:00,6000,,,5900,5700,,5940,,,,,6000,5900,6000,5870,5936.25</t>
  </si>
  <si>
    <t>2025-05-20 02:10:00,21325,,21400,,21325,,21350,,,,,21400,20300,,,21309.5</t>
  </si>
  <si>
    <t>2025-05-20 02:10:00,1919056512.02048,-6218911599.42344,0,0,0,0,0,0,592.64</t>
  </si>
  <si>
    <t>2025-05-20 02:10:00,-368724589.158276,-3079427775.81446,0,0,0,0,0,0,519.11</t>
  </si>
  <si>
    <t>2025-05-20 02:10:00,74238476.0435104,-73718.638861302,0,0,0,0,0,0,5936.25</t>
  </si>
  <si>
    <t>2025-05-20 02:10:00,196370061.411279,35281.3378526701,0,0,0,0,0,0,21309.5</t>
  </si>
  <si>
    <t>2025-05-20 02:13:00,600,,,590,580,,593.5,,,,,600,590,,,592.64</t>
  </si>
  <si>
    <t>2025-05-20 02:13:00,525,,,518,500,,521,,,,,525,510,,,519.11</t>
  </si>
  <si>
    <t>2025-05-20 02:13:00,6000,,,5900,5700,,5940,,,,,6000,5900,6000,5870,5936.25</t>
  </si>
  <si>
    <t>2025-05-20 02:13:00,21325,,21400,,21325,,21350,,,,,21400,20300,,,21309.5</t>
  </si>
  <si>
    <t>2025-05-20 02:13:00,1920073543.63975,-6226337763.10457,0,0,0,0,0,0,592.64</t>
  </si>
  <si>
    <t>2025-05-20 02:13:00,-368680420.488148,-3081808505.13287,0,0,0,0,0,0,519.11</t>
  </si>
  <si>
    <t>2025-05-20 02:13:00,74235715.6705836,-82079.4570117448,0,0,0,0,0,0,5936.25</t>
  </si>
  <si>
    <t>2025-05-20 02:13:00,196429920.468016,35385.6004386707,0,0,0,0,0,0,21309.5</t>
  </si>
  <si>
    <t>2025-05-20 02:14:00,600,,,590,580,,593.5,,,,,600,590,,,592.64</t>
  </si>
  <si>
    <t>2025-05-20 02:14:00,525,,,518,500,,521,,,,,525,510,,,519.11</t>
  </si>
  <si>
    <t>2025-05-20 02:14:00,6000,,,5900,5700,,5940,,,,,6000,5900,6000,5870,5936.25</t>
  </si>
  <si>
    <t>2025-05-20 02:14:00,21325,,21400,,21325,,21350,,,,,21400,20300,,,21309.5</t>
  </si>
  <si>
    <t>2025-05-20 02:14:00,1920402915.95955,-6228745051.85609,0,0,0,0,0,0,592.64</t>
  </si>
  <si>
    <t>2025-05-20 02:14:00,-368665971.742486,-3082578972.00916,0,0,0,0,0,0,519.11</t>
  </si>
  <si>
    <t>2025-05-20 02:14:00,74234826.4166969,-84787.9979358616,0,0,0,0,0,0,5936.25</t>
  </si>
  <si>
    <t>2025-05-20 02:14:00,196449280.628988,35419.3967316094,0,0,0,0,0,0,21309.5</t>
  </si>
  <si>
    <t>2025-05-20 02:20:00,600,,,590,580,,593.5,,,,,600,590,,,592.64</t>
  </si>
  <si>
    <t>2025-05-20 02:20:00,525,,,518,500,,521,,,,,525,510,,,519.11</t>
  </si>
  <si>
    <t>2025-05-20 02:20:00,6000,,,5900,5700,,5940,,,,,6000,5900,6000,5870,5936.25</t>
  </si>
  <si>
    <t>2025-05-20 02:20:00,21325,,21400,,21325,,21350,,,,,21400,20300,,,21309.5</t>
  </si>
  <si>
    <t>2025-05-20 02:20:00,1922190446.60724,-6241829117.67789,0,0,0,0,0,0,592.64</t>
  </si>
  <si>
    <t>2025-05-20 02:20:00,-368586326.607945,-3086755658.75765,0,0,0,0,0,0,519.11</t>
  </si>
  <si>
    <t>2025-05-20 02:20:00,74230041.0816298,-99494.2823408361,0,0,0,0,0,0,5936.25</t>
  </si>
  <si>
    <t>2025-05-20 02:20:00,196554132.084372,35603.0665011634,0,0,0,0,0,0,21309.5</t>
  </si>
  <si>
    <t>2025-05-20 02:21:00,600,,,590,580,,593.5,,,,,600,590,,,592.64</t>
  </si>
  <si>
    <t>2025-05-20 02:21:00,525,,,518,500,,521,,,,,525,510,,,519.11</t>
  </si>
  <si>
    <t>2025-05-20 02:21:00,6000,,,5900,5700,,5940,,,,,6000,5900,6000,5870,5936.25</t>
  </si>
  <si>
    <t>2025-05-20 02:21:00,21325,,21400,,21325,,21350,,,,,21400,20300,,,21309.5</t>
  </si>
  <si>
    <t>2025-05-20 02:21:00,1922522051.45729,-6244259978.27539,0,0,0,0,0,0,592.64</t>
  </si>
  <si>
    <t>2025-05-20 02:21:00,-368571323.374533,-3087529599.38951,0,0,0,0,0,0,519.11</t>
  </si>
  <si>
    <t>2025-05-20 02:21:00,74229160.991266,-102223.663835502,0,0,0,0,0,0,5936.25</t>
  </si>
  <si>
    <t>2025-05-20 02:21:00,196573542.731125,35637.1859142159,0,0,0,0,0,0,21309.5</t>
  </si>
  <si>
    <t>2025-05-20 02:24:00,600,,,590,580,,593.5,,,,,600,590,,,592.64</t>
  </si>
  <si>
    <t>2025-05-20 02:24:00,525,,,518,500,,521,,,,,525,510,,,519.11</t>
  </si>
  <si>
    <t>2025-05-20 02:24:00,6000,,,5900,5700,,5940,,,,,6000,5900,6000,5870,5936.25</t>
  </si>
  <si>
    <t>2025-05-20 02:24:00,21325,,21400,,21325,,21350,,,,,21400,20300,,,21309.5</t>
  </si>
  <si>
    <t>2025-05-20 02:24:00,1923357226.89781,-6250387371.41304,0,0,0,0,0,0,592.64</t>
  </si>
  <si>
    <t>2025-05-20 02:24:00,-368533220.353028,-3089477613.77684,0,0,0,0,0,0,519.11</t>
  </si>
  <si>
    <t>2025-05-20 02:24:00,74226955.1244827,-109099.458511044,0,0,0,0,0,0,5936.25</t>
  </si>
  <si>
    <t>2025-05-20 02:24:00,196622374.309714,35723.1828091255,0,0,0,0,0,0,21309.5</t>
  </si>
  <si>
    <t>2025-05-20 02:26:00,600,,,590,580,,593.5,,,,,600,590,,,592.64</t>
  </si>
  <si>
    <t>2025-05-20 02:26:00,525,,,518,500,,521,,,,,525,510,,,519.11</t>
  </si>
  <si>
    <t>2025-05-20 02:26:00,6000,,,5900,5700,,5940,,,,,6000,5900,6000,5870,5936.25</t>
  </si>
  <si>
    <t>2025-05-20 02:26:00,21325,,21400,,21325,,21350,,,,,21400,20300,,,21309.5</t>
  </si>
  <si>
    <t>2025-05-20 02:26:00,1924232647.50751,-6256817827.80523,0,0,0,0,0,0,592.64</t>
  </si>
  <si>
    <t>2025-05-20 02:26:00,-368492795.987574,-3091517614.03227,0,0,0,0,0,0,519.11</t>
  </si>
  <si>
    <t>2025-05-20 02:26:00,74224659.5644436,-116308.975842282,0,0,0,0,0,0,5936.25</t>
  </si>
  <si>
    <t>2025-05-20 02:26:00,196673473.353759,35813.4215799241,0,0,0,0,0,0,21309.5</t>
  </si>
  <si>
    <t>2025-05-20 02:27:00,600,,,590,580,,593.5,,,,,600,590,,,592.64</t>
  </si>
  <si>
    <t>2025-05-20 02:27:00,525,,,518,500,,521,,,,,525,510,,,519.11</t>
  </si>
  <si>
    <t>2025-05-20 02:27:00,6000,,,5900,5700,,5940,,,,,6000,5900,6000,5870,5936.25</t>
  </si>
  <si>
    <t>2025-05-20 02:27:00,21325,,21400,,21325,,21350,,,,,21400,20300,,,21309.5</t>
  </si>
  <si>
    <t>2025-05-20 02:27:00,1924562714.97506,-6259244436.58136,0,0,0,0,0,0,592.64</t>
  </si>
  <si>
    <t>2025-05-20 02:27:00,-368477425.633402,-3092286270.63482,0,0,0,0,0,0,519.11</t>
  </si>
  <si>
    <t>2025-05-20 02:27:00,74223798.4961714,-119027.857127379,0,0,0,0,0,0,5936.25</t>
  </si>
  <si>
    <t>2025-05-20 02:27:00,196692716.963718,35847.4708895665,0,0,0,0,0,0,21309.5</t>
  </si>
  <si>
    <t>2025-05-20 02:30:00,600,,,590,580,,593.5,,,,,600,590,,,592.64</t>
  </si>
  <si>
    <t>2025-05-20 02:30:00,525,,,518,500,,521,,,,,525,510,,,519.11</t>
  </si>
  <si>
    <t>2025-05-20 02:30:00,6000,,,5900,5700,,5940,,,,,6000,5900,6000,5870,5936.25</t>
  </si>
  <si>
    <t>2025-05-20 02:30:00,21325,,21400,,21325,,21350,,,,,21400,20300,,,21309.5</t>
  </si>
  <si>
    <t>2025-05-20 02:30:00,1925425149.82181,-6265590319.37223,0,0,0,0,0,0,592.64</t>
  </si>
  <si>
    <t>2025-05-20 02:30:00,-368436931.781392,-3094293393.62504,0,0,0,0,0,0,519.11</t>
  </si>
  <si>
    <t>2025-05-20 02:30:00,74221560.1931288,-126133.564348571,0,0,0,0,0,0,5936.25</t>
  </si>
  <si>
    <t>2025-05-20 02:30:00,196742940.093232,35936.5046222222,0,0,0,0,0,0,21309.5</t>
  </si>
  <si>
    <t>2025-05-20 02:31:00,600,,,590,580,,593.5,,,,,600,590,,,592.64</t>
  </si>
  <si>
    <t>2025-05-20 02:31:00,525,,,518,500,,521,,,,,525,510,,,519.11</t>
  </si>
  <si>
    <t>2025-05-20 02:31:00,6000,,,5900,5700,,5940,,,,,6000,5900,6000,5870,5936.25</t>
  </si>
  <si>
    <t>2025-05-20 02:31:00,21325,,21400,,21325,,21350,,,,,21400,20300,,,21309.5</t>
  </si>
  <si>
    <t>2025-05-20 02:31:00,1925757861.22199,-6268040529.87309,0,0,0,0,0,0,592.64</t>
  </si>
  <si>
    <t>2025-05-20 02:31:00,-368421181.513603,-3095067199.21225,0,0,0,0,0,0,519.11</t>
  </si>
  <si>
    <t>2025-05-20 02:31:00,74220701.2032884,-128875.389495901,0,0,0,0,0,0,5936.25</t>
  </si>
  <si>
    <t>2025-05-20 02:31:00,196762292.624069,35970.8775979986,0,0,0,0,0,0,21309.5</t>
  </si>
  <si>
    <t>2025-05-20 02:32:00,600,,,590,580,,593.5,,,,,600,590,,,592.64</t>
  </si>
  <si>
    <t>2025-05-20 02:32:00,525,,,518,500,,521,,,,,525,510,,,519.11</t>
  </si>
  <si>
    <t>2025-05-20 02:32:00,6000,,,5900,5700,,5940,,,,,6000,5900,6000,5870,5936.25</t>
  </si>
  <si>
    <t>2025-05-20 02:32:00,21325,,21400,,21325,,21350,,,,,21400,20300,,,21309.5</t>
  </si>
  <si>
    <t>2025-05-20 02:32:00,1926090915.8228,-6270494433.64679,0,0,0,0,0,0,592.64</t>
  </si>
  <si>
    <t>2025-05-20 02:32:00,-368405343.404702,-3095841520.47461,0,0,0,0,0,0,519.11</t>
  </si>
  <si>
    <t>2025-05-20 02:32:00,74219843.8547943,-131620.35421153,0,0,0,0,0,0,5936.25</t>
  </si>
  <si>
    <t>2025-05-20 02:32:00,196781652.519141,36005.3001106033,0,0,0,0,0,0,21309.5</t>
  </si>
  <si>
    <t>2025-05-20 02:35:00,600,,,590,580,,593.5,,,,,600,590,,,592.64</t>
  </si>
  <si>
    <t>2025-05-20 02:35:00,525,,,518,500,,521,,,,,525,510,,,519.11</t>
  </si>
  <si>
    <t>2025-05-20 02:35:00,6000,,,5900,5700,,5940,,,,,6000,5900,6000,5870,5936.25</t>
  </si>
  <si>
    <t>2025-05-20 02:35:00,21325,,21400,,21325,,21350,,,,,21400,20300,,,21309.5</t>
  </si>
  <si>
    <t>2025-05-20 02:35:00,1927203895.02052,-6278703204.17039,0,0,0,0,0,0,592.64</t>
  </si>
  <si>
    <t>2025-05-20 02:35:00,-368351897.517914,-3098427037.60718,0,0,0,0,0,0,519.11</t>
  </si>
  <si>
    <t>2025-05-20 02:35:00,74216997.2943787,-140795.47176255,0,0,0,0,0,0,5936.25</t>
  </si>
  <si>
    <t>2025-05-20 02:35:00,196846256.79986,36120.4323593961,0,0,0,0,0,0,21309.5</t>
  </si>
  <si>
    <t>2025-05-20 02:38:00,600,,,590,580,,593.5,,,,,600,590,,,592.64</t>
  </si>
  <si>
    <t>2025-05-20 02:38:00,525,,,518,500,,521,,,,,525,510,,,519.11</t>
  </si>
  <si>
    <t>2025-05-20 02:38:00,6000,,,5900,5700,,5940,,,,,6000,5900,6000,5870,5936.25</t>
  </si>
  <si>
    <t>2025-05-20 02:38:00,21325,,21400,,21325,,21350,,,,,21400,20300,,,21309.5</t>
  </si>
  <si>
    <t>2025-05-20 02:38:00,1928147902.39363,-6285675990.74985,0,0,0,0,0,0,592.64</t>
  </si>
  <si>
    <t>2025-05-20 02:38:00,-368305940.124012,-3100617530.99644,0,0,0,0,0,0,519.11</t>
  </si>
  <si>
    <t>2025-05-20 02:38:00,74214605.3804709,-148580.133298406,0,0,0,0,0,0,5936.25</t>
  </si>
  <si>
    <t>2025-05-20 02:38:00,196900942.97388,36218.2064532307,0,0,0,0,0,0,21309.5</t>
  </si>
  <si>
    <t>2025-05-20 02:39:00,600,,,590,580,,593.5,,,,,600,590,,,592.64</t>
  </si>
  <si>
    <t>2025-05-20 02:39:00,525,,,518,500,,521,,,,,525,510,,,519.11</t>
  </si>
  <si>
    <t>2025-05-20 02:39:00,6000,,,5900,5700,,5940,,,,,6000,5900,6000,5870,5936.25</t>
  </si>
  <si>
    <t>2025-05-20 02:39:00,21325,,21400,,21325,,21350,,,,,21400,20300,,,21309.5</t>
  </si>
  <si>
    <t>2025-05-20 02:39:00,1928485357.97386,-6288170855.8172,0,0,0,0,0,0,592.64</t>
  </si>
  <si>
    <t>2025-05-20 02:39:00,-368289372.520401,-3101400012.31198,0,0,0,0,0,0,519.11</t>
  </si>
  <si>
    <t>2025-05-20 02:39:00,74213755.3914698,-151363.456083753,0,0,0,0,0,0,5936.25</t>
  </si>
  <si>
    <t>2025-05-20 02:39:00,196920467.285702,36253.1845921429,0,0,0,0,0,0,21309.5</t>
  </si>
  <si>
    <t>2025-05-20 02:42:00,600,,,590,580,,593.5,,,,,600,590,,,592.64</t>
  </si>
  <si>
    <t>2025-05-20 02:42:00,525,,,518,500,,521,,,,,525,510,,,519.11</t>
  </si>
  <si>
    <t>2025-05-20 02:42:00,6000,,,5900,5700,,5940,,,,,6000,5900,6000,5870,5936.25</t>
  </si>
  <si>
    <t>2025-05-20 02:42:00,21325,,21400,,21325,,21350,,,,,21400,20300,,,21309.5</t>
  </si>
  <si>
    <t>2025-05-20 02:42:00,1929404427.04289,-6294971829.40883,0,0,0,0,0,0,592.64</t>
  </si>
  <si>
    <t>2025-05-20 02:42:00,-368243879.040659,-3103529626.63814,0,0,0,0,0,0,519.11</t>
  </si>
  <si>
    <t>2025-05-20 02:42:00,74211454.0242025,-158945.252130246,0,0,0,0,0,0,5936.25</t>
  </si>
  <si>
    <t>2025-05-20 02:42:00,196973577.149528,36348.519087487,0,0,0,0,0,0,21309.5</t>
  </si>
  <si>
    <t>2025-05-20 02:45:00,600,,,590,580,,593.5,,,,,600,590,,,592.64</t>
  </si>
  <si>
    <t>2025-05-20 02:45:00,525,,,518,500,,521,,,,,525,510,,,519.11</t>
  </si>
  <si>
    <t>2025-05-20 02:45:00,6000,,,5900,5700,,5940,,,,,6000,5900,6000,5870,5936.25</t>
  </si>
  <si>
    <t>2025-05-20 02:45:00,21325,,21400,,21325,,21350,,,,,21400,20300,,,21309.5</t>
  </si>
  <si>
    <t>2025-05-20 02:45:00,1930352327.39031,-6301995592.68162,0,0,0,0,0,0,592.64</t>
  </si>
  <si>
    <t>2025-05-20 02:45:00,-368196390.286613,-3105723749.06387,0,0,0,0,0,0,519.11</t>
  </si>
  <si>
    <t>2025-05-20 02:45:00,74209101.4712449,-166766.841681066,0,0,0,0,0,0,5936.25</t>
  </si>
  <si>
    <t>2025-05-20 02:45:00,197028253.496391,36446.9513939559,0,0,0,0,0,0,21309.5</t>
  </si>
  <si>
    <t>2025-05-20 02:46:00,600,,,590,580,,593.5,,,,,600,590,,,592.64</t>
  </si>
  <si>
    <t>2025-05-20 02:46:00,525,,,518,500,,521,,,,,525,510,,,519.11</t>
  </si>
  <si>
    <t>2025-05-20 02:46:00,6000,,,5900,5700,,5940,,,,,6000,5900,6000,5870,5936.25</t>
  </si>
  <si>
    <t>2025-05-20 02:46:00,21325,,21400,,21325,,21350,,,,,21400,20300,,,21309.5</t>
  </si>
  <si>
    <t>2025-05-20 02:46:00,1930692086.31238,-6304515483.65286,0,0,0,0,0,0,592.64</t>
  </si>
  <si>
    <t>2025-05-20 02:46:00,-368179228.456625,-3106509625.02177,0,0,0,0,0,0,519.11</t>
  </si>
  <si>
    <t>2025-05-20 02:46:00,74208263.4731626,-169570.814655391,0,0,0,0,0,0,5936.25</t>
  </si>
  <si>
    <t>2025-05-20 02:46:00,197047826.743985,36482.2590233725,0,0,0,0,0,0,21309.5</t>
  </si>
  <si>
    <t>2025-05-20 02:49:00,600,,,590,580,,593.5,,,,,600,590,,,592.64</t>
  </si>
  <si>
    <t>2025-05-20 02:49:00,525,,,518,500,,521,,,,,525,510,,,519.11</t>
  </si>
  <si>
    <t>2025-05-20 02:49:00,6000,,,5900,5700,,5940,,,,,6000,5900,6000,5870,5936.25</t>
  </si>
  <si>
    <t>2025-05-20 02:49:00,21325,,21400,,21325,,21350,,,,,21400,20300,,,21309.5</t>
  </si>
  <si>
    <t>2025-05-20 02:49:00,1931648656.81998,-6311616739.06865,0,0,0,0,0,0,592.64</t>
  </si>
  <si>
    <t>2025-05-20 02:49:00,-368130513.230244,-3108720588.11343,0,0,0,0,0,0,519.11</t>
  </si>
  <si>
    <t>2025-05-20 02:49:00,74205919.0975014,-177466.444514803,0,0,0,0,0,0,5936.25</t>
  </si>
  <si>
    <t>2025-05-20 02:49:00,197102864.531281,36581.7390643411,0,0,0,0,0,0,21309.5</t>
  </si>
  <si>
    <t>2025-05-20 02:52:00,600,,,590,580,,593.5,,,,,600,590,,,592.64</t>
  </si>
  <si>
    <t>2025-05-20 02:52:00,525,,,518,500,,521,,,,,525,510,,,519.11</t>
  </si>
  <si>
    <t>2025-05-20 02:52:00,6000,,,5900,5700,,5940,,,,,6000,5900,6000,5870,5936.25</t>
  </si>
  <si>
    <t>2025-05-20 02:52:00,21325,,21400,,21325,,21350,,,,,21400,20300,,,21309.5</t>
  </si>
  <si>
    <t>2025-05-20 02:52:00,1932636742.4947,-6318962298.34819,0,0,0,0,0,0,592.64</t>
  </si>
  <si>
    <t>2025-05-20 02:52:00,-368079578.411343,-3111001869.19044,0,0,0,0,0,0,519.11</t>
  </si>
  <si>
    <t>2025-05-20 02:52:00,74203520.8474906,-185623.964809005,0,0,0,0,0,0,5936.25</t>
  </si>
  <si>
    <t>2025-05-20 02:52:00,197159608.126367,36684.6093426377,0,0,0,0,0,0,21309.5</t>
  </si>
  <si>
    <t>2025-05-20 02:53:00,600,,,590,580,,593.5,,,,,600,590,,,592.64</t>
  </si>
  <si>
    <t>2025-05-20 02:53:00,525,,,518,500,,521,,,,,525,510,,,519.11</t>
  </si>
  <si>
    <t>2025-05-20 02:53:00,6000,,,5900,5700,,5940,,,,,6000,5900,6000,5870,5936.25</t>
  </si>
  <si>
    <t>2025-05-20 02:53:00,21325,,21400,,21325,,21350,,,,,21400,20300,,,21309.5</t>
  </si>
  <si>
    <t>2025-05-20 02:53:00,1932974819.16397,-6321478026.40628,0,0,0,0,0,0,592.64</t>
  </si>
  <si>
    <t>2025-05-20 02:53:00,-368062007.670171,-3111781825.44957,0,0,0,0,0,0,519.11</t>
  </si>
  <si>
    <t>2025-05-20 02:53:00,74202705.7735852,-188415.468888167,0,0,0,0,0,0,5936.25</t>
  </si>
  <si>
    <t>2025-05-20 02:53:00,197178998.104893,36719.8327619305,0,0,0,0,0,0,21309.5</t>
  </si>
  <si>
    <t>2025-05-20 02:54:00,600,,,590,580,,593.5,,,,,600,590,,,592.64</t>
  </si>
  <si>
    <t>2025-05-20 02:54:00,525,,,518,500,,521,,,,,525,510,,,519.11</t>
  </si>
  <si>
    <t>2025-05-20 02:54:00,6000,,,5900,5700,,5940,,,,,6000,5900,6000,5870,5936.25</t>
  </si>
  <si>
    <t>2025-05-20 02:54:00,21325,,21400,,21325,,21350,,,,,21400,20300,,,21309.5</t>
  </si>
  <si>
    <t>2025-05-20 02:54:00,1933315484.83116,-6324014271.60841,0,0,0,0,0,0,592.64</t>
  </si>
  <si>
    <t>2025-05-20 02:54:00,-368044228.572432,-3112567448.77612,0,0,0,0,0,0,519.11</t>
  </si>
  <si>
    <t>2025-05-20 02:54:00,74201887.3081247,-191228.536870471,0,0,0,0,0,0,5936.25</t>
  </si>
  <si>
    <t>2025-05-20 02:54:00,197198523.686291,36755.3392357673,0,0,0,0,0,0,21309.5</t>
  </si>
  <si>
    <t>2025-05-20 02:55:00,600,,,590,580,,593.5,,,,,600,590,,,592.64</t>
  </si>
  <si>
    <t>2025-05-20 02:55:00,525,,,518,500,,521,,,,,525,510,,,519.11</t>
  </si>
  <si>
    <t>2025-05-20 02:55:00,6000,,,5900,5700,,5940,,,,,6000,5900,6000,5870,5936.25</t>
  </si>
  <si>
    <t>2025-05-20 02:55:00,21325,,21400,,21325,,21350,,,,,21400,20300,,,21309.5</t>
  </si>
  <si>
    <t>2025-05-20 02:55:00,1933657459.12963,-6326561524.94545,0,0,0,0,0,0,592.64</t>
  </si>
  <si>
    <t>2025-05-20 02:55:00,-368026306.712329,-3113355780.65608,0,0,0,0,0,0,519.11</t>
  </si>
  <si>
    <t>2025-05-20 02:55:00,74201068.5863975,-194052.592610193,0,0,0,0,0,0,5936.25</t>
  </si>
  <si>
    <t>2025-05-20 02:55:00,197218111.275465,36790.9954770421,0,0,0,0,0,0,21309.5</t>
  </si>
  <si>
    <t>2025-05-20 02:58:00,600,,,590,580,,593.5,,,,,600,590,,,592.64</t>
  </si>
  <si>
    <t>2025-05-20 02:58:00,525,,,518,500,,521,,,,,525,510,,,519.11</t>
  </si>
  <si>
    <t>2025-05-20 02:58:00,6000,,,5900,5700,,5940,,,,,6000,5900,6000,5870,5936.25</t>
  </si>
  <si>
    <t>2025-05-20 02:58:00,21325,,21400,,21325,,21350,,,,,21400,20300,,,21309.5</t>
  </si>
  <si>
    <t>2025-05-20 02:58:00,1934715988.67588,-6334454215.97216,0,0,0,0,0,0,592.64</t>
  </si>
  <si>
    <t>2025-05-20 02:58:00,-367970359.888586,-3115793972.03491,0,0,0,0,0,0,519.11</t>
  </si>
  <si>
    <t>2025-05-20 02:58:00,74198552.8054454,-202795.110053996,0,0,0,0,0,0,5936.25</t>
  </si>
  <si>
    <t>2025-05-20 02:58:00,197278659.275455,36901.44814813,0,0,0,0,0,0,21309.5</t>
  </si>
  <si>
    <t>2025-05-20 03:01:00,600,,,590,580,,593.5,,,,,600,590,,,592.64</t>
  </si>
  <si>
    <t>2025-05-20 03:01:00,525,,,518,500,,521,,,,,525,510,,,519.11</t>
  </si>
  <si>
    <t>2025-05-20 03:01:00,6000,,,5900,5700,,5940,,,,,6000,5900,6000,5870,5936.25</t>
  </si>
  <si>
    <t>2025-05-20 03:01:00,21325,,21400,,21325,,21350,,,,,21400,20300,,,21309.5</t>
  </si>
  <si>
    <t>2025-05-20 03:01:00,1935738567.28639,-6342090447.57984,0,0,0,0,0,0,592.64</t>
  </si>
  <si>
    <t>2025-05-20 03:01:00,-367915635.956382,-3118146514.62696,0,0,0,0,0,0,519.11</t>
  </si>
  <si>
    <t>2025-05-20 03:01:00,74196149.1681109,-211242.112632529,0,0,0,0,0,0,5936.25</t>
  </si>
  <si>
    <t>2025-05-20 03:01:00,197337032.840242,37008.2688722975,0,0,0,0,0,0,21309.5</t>
  </si>
  <si>
    <t>2025-05-20 03:02:00,600,,,590,580,,593.5,,,,,600,590,,,592.64</t>
  </si>
  <si>
    <t>2025-05-20 03:02:00,525,,,518,500,,521,,,,,525,510,,,519.11</t>
  </si>
  <si>
    <t>2025-05-20 03:02:00,6000,,,5900,5700,,5940,,,,,6000,5900,6000,5870,5936.25</t>
  </si>
  <si>
    <t>2025-05-20 03:02:00,21325,,21400,,21325,,21350,,,,,21400,20300,,,21309.5</t>
  </si>
  <si>
    <t>2025-05-20 03:02:00,1936079989.08762,-6344642603.87116,0,0,0,0,0,0,592.64</t>
  </si>
  <si>
    <t>2025-05-20 03:02:00,-367897216.559147,-3118931364.88341,0,0,0,0,0,0,519.11</t>
  </si>
  <si>
    <t>2025-05-20 03:02:00,74195352.5244419,-214062.701216811,0,0,0,0,0,0,5936.25</t>
  </si>
  <si>
    <t>2025-05-20 03:02:00,197356497.018473,37043.9603104081,0,0,0,0,0,0,21309.5</t>
  </si>
  <si>
    <t>2025-05-20 03:05:00,600,,,590,580,,593.5,,,,,600,590,,,592.64</t>
  </si>
  <si>
    <t>2025-05-20 03:05:00,525,,,518,500,,521,,,,,525,510,,,519.11</t>
  </si>
  <si>
    <t>2025-05-20 03:05:00,6000,,,5900,5700,,5940,,,,,6000,5900,6000,5870,5936.25</t>
  </si>
  <si>
    <t>2025-05-20 03:05:00,21325,,21400,,21325,,21350,,,,,21400,20300,,,21309.5</t>
  </si>
  <si>
    <t>2025-05-20 03:05:00,1937129999.42056,-6352499534.91045,0,0,0,0,0,0,592.64</t>
  </si>
  <si>
    <t>2025-05-20 03:05:00,-367840105.796703,-3121343131.02014,0,0,0,0,0,0,519.11</t>
  </si>
  <si>
    <t>2025-05-20 03:05:00,74192921.1505324,-222737.921772872,0,0,0,0,0,0,5936.25</t>
  </si>
  <si>
    <t>2025-05-20 03:05:00,197416276.572316,37153.8058332801,0,0,0,0,0,0,21309.5</t>
  </si>
  <si>
    <t>2025-05-20 03:09:00,600,,,590,580,,593.5,,,,,600,590,,,592.64</t>
  </si>
  <si>
    <t>2025-05-20 03:09:00,525,,,518,500,,521,,,,,525,510,,,519.11</t>
  </si>
  <si>
    <t>2025-05-20 03:09:00,6000,,,5900,5700,,5940,,,,,6000,5900,6000,5870,5936.25</t>
  </si>
  <si>
    <t>2025-05-20 03:09:00,21325,,21400,,21325,,21350,,,,,21400,20300,,,21309.5</t>
  </si>
  <si>
    <t>2025-05-20 03:09:00,1938425872.98644,-6362212932.47581,0,0,0,0,0,0,592.64</t>
  </si>
  <si>
    <t>2025-05-20 03:09:00,-367768659.147283,-3124315509.41261,0,0,0,0,0,0,519.11</t>
  </si>
  <si>
    <t>2025-05-20 03:09:00,74189959.5650874,-233445.840499042,0,0,0,0,0,0,5936.25</t>
  </si>
  <si>
    <t>2025-05-20 03:09:00,197489886.244625,37289.5358578349,0,0,0,0,0,0,21309.5</t>
  </si>
  <si>
    <t>2025-05-20 03:10:00,600,,,590,580,,593.5,,,,,600,590,,,592.64</t>
  </si>
  <si>
    <t>2025-05-20 03:10:00,525,,,518,500,,521,,,,,525,510,,,519.11</t>
  </si>
  <si>
    <t>2025-05-20 03:10:00,6000,,,5900,5700,,5940,,,,,6000,5900,6000,5870,5936.25</t>
  </si>
  <si>
    <t>2025-05-20 03:10:00,21325,,21400,,21325,,21350,,,,,21400,20300,,,21309.5</t>
  </si>
  <si>
    <t>2025-05-20 03:10:00,1938770964.17548,-6364802740.63409,0,0,0,0,0,0,592.64</t>
  </si>
  <si>
    <t>2025-05-20 03:10:00,-367749453.757896,-3125106284.66048,0,0,0,0,0,0,519.11</t>
  </si>
  <si>
    <t>2025-05-20 03:10:00,74189178.2424492,-236297.571465666,0,0,0,0,0,0,5936.25</t>
  </si>
  <si>
    <t>2025-05-20 03:10:00,197509457.388444,37325.71083367,0,0,0,0,0,0,21309.5</t>
  </si>
  <si>
    <t>2025-05-20 03:13:00,600,,,590,580,,593.5,,,,,600,590,,,592.64</t>
  </si>
  <si>
    <t>2025-05-20 03:13:00,525,,,518,500,,521,,,,,525,510,,,519.11</t>
  </si>
  <si>
    <t>2025-05-20 03:13:00,6000,,,5900,5700,,5940,,,,,6000,5900,6000,5870,5936.25</t>
  </si>
  <si>
    <t>2025-05-20 03:13:00,21325,,21400,,21325,,21350,,,,,21400,20300,,,21309.5</t>
  </si>
  <si>
    <t>2025-05-20 03:13:00,1939919425.63414,-6373431123.65796,0,0,0,0,0,0,592.64</t>
  </si>
  <si>
    <t>2025-05-20 03:13:00,-367684996.605026,-3127735638.69022,0,0,0,0,0,0,519.11</t>
  </si>
  <si>
    <t>2025-05-20 03:13:00,74186600.4612769,-245788.621096872,0,0,0,0,0,0,5936.25</t>
  </si>
  <si>
    <t>2025-05-20 03:13:00,197574496.035779,37446.1905701382,0,0,0,0,0,0,21309.5</t>
  </si>
  <si>
    <t>2025-05-20 03:14:00,600,,,590,580,,593.5,,,,,600,590,,,592.64</t>
  </si>
  <si>
    <t>2025-05-20 03:14:00,525,,,518,500,,521,,,,,525,510,,,519.11</t>
  </si>
  <si>
    <t>2025-05-20 03:14:00,6000,,,5900,5700,,5940,,,,,6000,5900,6000,5870,5936.25</t>
  </si>
  <si>
    <t>2025-05-20 03:14:00,21325,,21400,,21325,,21350,,,,,21400,20300,,,21309.5</t>
  </si>
  <si>
    <t>2025-05-20 03:14:00,1940264720.38946,-6376028189.55915,0,0,0,0,0,0,592.64</t>
  </si>
  <si>
    <t>2025-05-20 03:14:00,-367665454.293329,-3128525470.16055,0,0,0,0,0,0,519.11</t>
  </si>
  <si>
    <t>2025-05-20 03:14:00,74185832.2213058,-248642.311395616,0,0,0,0,0,0,5936.25</t>
  </si>
  <si>
    <t>2025-05-20 03:14:00,197594022.242338,37482.4404969654,0,0,0,0,0,0,21309.5</t>
  </si>
  <si>
    <t>2025-05-20 03:18:00,600,,,590,580,,593.5,,,,,600,590,,,592.64</t>
  </si>
  <si>
    <t>2025-05-20 03:18:00,525,,,518,500,,521,,,,,525,510,,,519.11</t>
  </si>
  <si>
    <t>2025-05-20 03:18:00,6000,,,5900,5700,,5940,,,,,6000,5900,6000,5870,5936.25</t>
  </si>
  <si>
    <t>2025-05-20 03:18:00,21325,,21400,,21325,,21350,,,,,21400,20300,,,21309.5</t>
  </si>
  <si>
    <t>2025-05-20 03:18:00,1941588029.91704,-6385993527.50434,0,0,0,0,0,0,592.64</t>
  </si>
  <si>
    <t>2025-05-20 03:18:00,-367589864.825713,-3131549386.18332,0,0,0,0,0,0,519.11</t>
  </si>
  <si>
    <t>2025-05-20 03:18:00,74182917.3488331,-259579.168146107,0,0,0,0,0,0,5936.25</t>
  </si>
  <si>
    <t>2025-05-20 03:18:00,197668734.097768,37621.4771674519,0,0,0,0,0,0,21309.5</t>
  </si>
  <si>
    <t>2025-05-20 03:19:00,600,,,590,580,,593.5,,,,,600,590,,,592.64</t>
  </si>
  <si>
    <t>2025-05-20 03:19:00,525,,,518,500,,521,,,,,525,510,,,519.11</t>
  </si>
  <si>
    <t>2025-05-20 03:19:00,6000,,,5900,5700,,5940,,,,,6000,5900,6000,5870,5936.25</t>
  </si>
  <si>
    <t>2025-05-20 03:19:00,21325,,21400,,21325,,21350,,,,,21400,20300,,,21309.5</t>
  </si>
  <si>
    <t>2025-05-20 03:19:00,1941937379.47994,-6388627616.9105,0,0,0,0,0,0,592.64</t>
  </si>
  <si>
    <t>2025-05-20 03:19:00,-367569725.639958,-3132346883.60653,0,0,0,0,0,0,519.11</t>
  </si>
  <si>
    <t>2025-05-20 03:19:00,74182155.6435438,-262466.525147197,0,0,0,0,0,0,5936.25</t>
  </si>
  <si>
    <t>2025-05-20 03:19:00,197688425.968152,37658.2117552065,0,0,0,0,0,0,21309.5</t>
  </si>
  <si>
    <t>2025-05-20 03:20:00,600,,,590,580,,593.5,,,,,600,590,,,592.64</t>
  </si>
  <si>
    <t>2025-05-20 03:20:00,525,,,518,500,,521,,,,,525,510,,,519.11</t>
  </si>
  <si>
    <t>2025-05-20 03:20:00,6000,,,5900,5700,,5940,,,,,6000,5900,6000,5870,5936.25</t>
  </si>
  <si>
    <t>2025-05-20 03:20:00,21325,,21400,,21325,,21350,,,,,21400,20300,,,21309.5</t>
  </si>
  <si>
    <t>2025-05-20 03:20:00,1942287560.05274,-6391269347.30409,0,0,0,0,0,0,592.64</t>
  </si>
  <si>
    <t>2025-05-20 03:20:00,-367549461.592286,-3133145938.60579,0,0,0,0,0,0,519.11</t>
  </si>
  <si>
    <t>2025-05-20 03:20:00,74181395.4216589,-265360.761855139,0,0,0,0,0,0,5936.25</t>
  </si>
  <si>
    <t>2025-05-20 03:20:00,197708151.364291,37695.045872268,0,0,0,0,0,0,21309.5</t>
  </si>
  <si>
    <t>2025-05-20 03:21:00,600,,,590,580,,593.5,,,,,600,590,,,592.64</t>
  </si>
  <si>
    <t>2025-05-20 03:21:00,525,,,518,500,,521,,,,,525,510,,,519.11</t>
  </si>
  <si>
    <t>2025-05-20 03:21:00,6000,,,5900,5700,,5940,,,,,6000,5900,6000,5870,5936.25</t>
  </si>
  <si>
    <t>2025-05-20 03:21:00,21325,,21400,,21325,,21350,,,,,21400,20300,,,21309.5</t>
  </si>
  <si>
    <t>2025-05-20 03:21:00,1942638055.72553,-6393914835.42602,0,0,0,0,0,0,592.64</t>
  </si>
  <si>
    <t>2025-05-20 03:21:00,-367529102.20922,-3133945371.66875,0,0,0,0,0,0,519.11</t>
  </si>
  <si>
    <t>2025-05-20 03:21:00,74180637.8300164,-268257.606947404,0,0,0,0,0,0,5936.25</t>
  </si>
  <si>
    <t>2025-05-20 03:21:00,197727881.173173,37731.9252314669,0,0,0,0,0,0,21309.5</t>
  </si>
  <si>
    <t>2025-05-20 03:24:00,600,,,590,580,,593.5,,,,,600,590,,,592.64</t>
  </si>
  <si>
    <t>2025-05-20 03:24:00,525,,,518,500,,521,,,,,525,510,,,519.11</t>
  </si>
  <si>
    <t>2025-05-20 03:24:00,6000,,,5900,5700,,5940,,,,,6000,5900,6000,5870,5936.25</t>
  </si>
  <si>
    <t>2025-05-20 03:24:00,21325,,21400,,21325,,21350,,,,,21400,20300,,,21309.5</t>
  </si>
  <si>
    <t>2025-05-20 03:24:00,1943692765.77242,-6401883978.64976,0,0,0,0,0,0,592.64</t>
  </si>
  <si>
    <t>2025-05-20 03:24:00,-367467372.049559,-3136348958.27443,0,0,0,0,0,0,519.11</t>
  </si>
  <si>
    <t>2025-05-20 03:24:00,74178378.1973426,-276974.730511523,0,0,0,0,0,0,5936.25</t>
  </si>
  <si>
    <t>2025-05-20 03:24:00,197787171.675567,37842.9746340358,0,0,0,0,0,0,21309.5</t>
  </si>
  <si>
    <t>2025-05-20 03:27:00,600,,,590,580,,593.5,,,,,600,590,,,592.64</t>
  </si>
  <si>
    <t>2025-05-20 03:27:00,525,,,518,500,,521,,,,,525,510,,,519.11</t>
  </si>
  <si>
    <t>2025-05-20 03:27:00,6000,,,5900,5700,,5940,,,,,6000,5900,6000,5870,5936.25</t>
  </si>
  <si>
    <t>2025-05-20 03:27:00,21325,,21400,,21325,,21350,,,,,21400,20300,,,21309.5</t>
  </si>
  <si>
    <t>2025-05-20 03:27:00,1944866611.04779,-6410768073.16491,0,0,0,0,0,0,592.64</t>
  </si>
  <si>
    <t>2025-05-20 03:27:00,-367397850.070423,-3139020383.7366,0,0,0,0,0,0,519.11</t>
  </si>
  <si>
    <t>2025-05-20 03:27:00,74175899.0974697,-286676.218071473,0,0,0,0,0,0,5936.25</t>
  </si>
  <si>
    <t>2025-05-20 03:27:00,197853017.880766,37966.6929718131,0,0,0,0,0,0,21309.5</t>
  </si>
  <si>
    <t>2025-05-20 03:29:00,600,,,590,580,,593.5,,,,,600,590,,,592.64</t>
  </si>
  <si>
    <t>2025-05-20 03:29:00,525,,,518,500,,521,,,,,525,510,,,519.11</t>
  </si>
  <si>
    <t>2025-05-20 03:29:00,6000,,,5900,5700,,5940,,,,,6000,5900,6000,5870,5936.25</t>
  </si>
  <si>
    <t>2025-05-20 03:29:00,21325,,21400,,21325,,21350,,,,,21400,20300,,,21309.5</t>
  </si>
  <si>
    <t>2025-05-20 03:29:00,1945221017.9804,-6413453429.28511,0,0,0,0,0,0,592.64</t>
  </si>
  <si>
    <t>2025-05-20 03:29:00,-367376690.715226,-3139826178.46412,0,0,0,0,0,0,519.11</t>
  </si>
  <si>
    <t>2025-05-20 03:29:00,74175158.0719917,-289605.188784917,0,0,0,0,0,0,5936.25</t>
  </si>
  <si>
    <t>2025-05-20 03:29:00,197872868.92155,38004.071464984,0,0,0,0,0,0,21309.5</t>
  </si>
  <si>
    <t>2025-05-20 03:30:00,600,,,590,580,,593.5,,,,,600,590,,,592.64</t>
  </si>
  <si>
    <t>2025-05-20 03:30:00,525,,,518,500,,521,,,,,525,510,,,519.11</t>
  </si>
  <si>
    <t>2025-05-20 03:30:00,6000,,,5900,5700,,5940,,,,,6000,5900,6000,5870,5936.25</t>
  </si>
  <si>
    <t>2025-05-20 03:30:00,21325,,21400,,21325,,21350,,,,,21400,20300,,,21309.5</t>
  </si>
  <si>
    <t>2025-05-20 03:30:00,1945575630.95664,-6416141777.03357,0,0,0,0,0,0,592.64</t>
  </si>
  <si>
    <t>2025-05-20 03:30:00,-367355440.559633,-3140632087.20196,0,0,0,0,0,0,519.11</t>
  </si>
  <si>
    <t>2025-05-20 03:30:00,74174420.0996758,-292535.80276623,0,0,0,0,0,0,5936.25</t>
  </si>
  <si>
    <t>2025-05-20 03:30:00,197892717.962704,38041.4833740291,0,0,0,0,0,0,21309.5</t>
  </si>
  <si>
    <t>2025-05-20 03:36:00,600,,,590,580,,593.5,,,,,600,590,,,592.64</t>
  </si>
  <si>
    <t>2025-05-20 03:36:00,525,,,518,500,,521,,,,,525,510,,,519.11</t>
  </si>
  <si>
    <t>2025-05-20 03:36:00,6000,,,5900,5700,,5940,,,,,6000,5900,6000,5870,5936.25</t>
  </si>
  <si>
    <t>2025-05-20 03:36:00,21325,,21400,,21325,,21350,,,,,21400,20300,,,21309.5</t>
  </si>
  <si>
    <t>2025-05-20 03:36:00,1947864599.70683,-6433529187.63565,0,0,0,0,0,0,592.64</t>
  </si>
  <si>
    <t>2025-05-20 03:36:00,-367216388.709766,-3145825520.53562,0,0,0,0,0,0,519.11</t>
  </si>
  <si>
    <t>2025-05-20 03:36:00,74169741.1969893,-311450.476892719,0,0,0,0,0,0,5936.25</t>
  </si>
  <si>
    <t>2025-05-20 03:36:00,198020515.328036,38283.2464710686,0,0,0,0,0,0,21309.5</t>
  </si>
  <si>
    <t>2025-05-20 03:40:00,600,,,590,580,,593.5,,,,,600,590,,,592.64</t>
  </si>
  <si>
    <t>2025-05-20 03:40:00,525,,,518,500,,521,,,,,525,510,,,519.11</t>
  </si>
  <si>
    <t>2025-05-20 03:40:00,6000,,,5900,5700,,5940,,,,,6000,5900,6000,5870,5936.25</t>
  </si>
  <si>
    <t>2025-05-20 03:40:00,21325,,21400,,21325,,21350,,,,,21400,20300,,,21309.5</t>
  </si>
  <si>
    <t>2025-05-20 03:40:00,1949092495.00958,-6442881294.01836,0,0,0,0,0,0,592.64</t>
  </si>
  <si>
    <t>2025-05-20 03:40:00,-367140453.438123,-3148605326.09563,0,0,0,0,0,0,519.11</t>
  </si>
  <si>
    <t>2025-05-20 03:40:00,74167292.2897899,-321595.187123159,0,0,0,0,0,0,5936.25</t>
  </si>
  <si>
    <t>2025-05-20 03:40:00,198088839.955949,38413.1289874881,0,0,0,0,0,0,21309.5</t>
  </si>
  <si>
    <t>2025-05-20 03:41:00,600,,,590,580,,593.5,,,,,600,590,,,592.64</t>
  </si>
  <si>
    <t>2025-05-20 03:41:00,525,,,518,500,,521,,,,,525,510,,,519.11</t>
  </si>
  <si>
    <t>2025-05-20 03:41:00,6000,,,5900,5700,,5940,,,,,6000,5900,6000,5870,5936.25</t>
  </si>
  <si>
    <t>2025-05-20 03:41:00,21325,,21400,,21325,,21350,,,,,21400,20300,,,21309.5</t>
  </si>
  <si>
    <t>2025-05-20 03:41:00,1949448102.03936,-6445592979.53294,0,0,0,0,0,0,592.64</t>
  </si>
  <si>
    <t>2025-05-20 03:41:00,-367118287.474931,-3149409568.14372,0,0,0,0,0,0,519.11</t>
  </si>
  <si>
    <t>2025-05-20 03:41:00,74166591.1176971,-324532.856369911,0,0,0,0,0,0,5936.25</t>
  </si>
  <si>
    <t>2025-05-20 03:41:00,198108597.22837,38450.7680560646,0,0,0,0,0,0,21309.5</t>
  </si>
  <si>
    <t>2025-05-20 03:45:00,600,,,590,580,,593.5,,,,,600,590,,,592.64</t>
  </si>
  <si>
    <t>2025-05-20 03:45:00,525,,,518,500,,521,,,,,525,510,,,519.11</t>
  </si>
  <si>
    <t>2025-05-20 03:45:00,6000,,,5900,5700,,5940,,,,,6000,5900,6000,5870,5936.25</t>
  </si>
  <si>
    <t>2025-05-20 03:45:00,21325,,21400,,21325,,21350,,,,,21400,20300,,,21309.5</t>
  </si>
  <si>
    <t>2025-05-20 03:45:00,1950850388.70356,-6456300418.96925,0,0,0,0,0,0,592.64</t>
  </si>
  <si>
    <t>2025-05-20 03:45:00,-367030116.369257,-3152577424.08274,0,0,0,0,0,0,519.11</t>
  </si>
  <si>
    <t>2025-05-20 03:45:00,74163861.673593,-336115.574243595,0,0,0,0,0,0,5936.25</t>
  </si>
  <si>
    <t>2025-05-20 03:45:00,198186376.253056,38599.2958804417,0,0,0,0,0,0,21309.5</t>
  </si>
  <si>
    <t>2025-05-20 03:48:00,600,,,590,580,,593.5,,,,,600,590,,,592.64</t>
  </si>
  <si>
    <t>2025-05-20 03:48:00,525,,,518,500,,521,,,,,525,510,,,519.11</t>
  </si>
  <si>
    <t>2025-05-20 03:48:00,6000,,,5900,5700,,5940,,,,,6000,5900,6000,5870,5936.25</t>
  </si>
  <si>
    <t>2025-05-20 03:48:00,21325,,21400,,21325,,21350,,,,,21400,20300,,,21309.5</t>
  </si>
  <si>
    <t>2025-05-20 03:48:00,1952118271.1626,-6466001288.55167,0,0,0,0,0,0,592.64</t>
  </si>
  <si>
    <t>2025-05-20 03:48:00,-366949350.782967,-3155436736.333,0,0,0,0,0,0,519.11</t>
  </si>
  <si>
    <t>2025-05-20 03:48:00,74161443.0447046,-346585.671313843,0,0,0,0,0,0,5936.25</t>
  </si>
  <si>
    <t>2025-05-20 03:48:00,198256521.019499,38733.7263878071,0,0,0,0,0,0,21309.5</t>
  </si>
  <si>
    <t>2025-05-20 03:49:00,600,,,590,580,,593.5,,,,,600,590,,,592.64</t>
  </si>
  <si>
    <t>2025-05-20 03:49:00,525,,,518,500,,521,,,,,525,510,,,519.11</t>
  </si>
  <si>
    <t>2025-05-20 03:49:00,6000,,,5900,5700,,5940,,,,,6000,5900,6000,5870,5936.25</t>
  </si>
  <si>
    <t>2025-05-20 03:49:00,21325,,21400,,21325,,21350,,,,,21400,20300,,,21309.5</t>
  </si>
  <si>
    <t>2025-05-20 03:49:00,1952481215.27796,-6468781718.44086,0,0,0,0,0,0,592.64</t>
  </si>
  <si>
    <t>2025-05-20 03:49:00,-366926048.430423,-3156254379.11365,0,0,0,0,0,0,519.11</t>
  </si>
  <si>
    <t>2025-05-20 03:49:00,74160759.3630264,-349582.359212464,0,0,0,0,0,0,5936.25</t>
  </si>
  <si>
    <t>2025-05-20 03:49:00,198276569.388853,38772.2320819992,0,0,0,0,0,0,21309.5</t>
  </si>
  <si>
    <t>2025-05-20 03:53:00,600,,,590,580,,593.5,,,,,600,590,,,592.64</t>
  </si>
  <si>
    <t>2025-05-20 03:53:00,525,,,518,500,,521,,,,,525,510,,,519.11</t>
  </si>
  <si>
    <t>2025-05-20 03:53:00,6000,,,5900,5700,,5940,,,,,6000,5900,6000,5870,5936.25</t>
  </si>
  <si>
    <t>2025-05-20 03:53:00,21325,,21400,,21325,,21350,,,,,21400,20300,,,21309.5</t>
  </si>
  <si>
    <t>2025-05-20 03:53:00,1953770137.93524,-6478668341.81763,0,0,0,0,0,0,592.64</t>
  </si>
  <si>
    <t>2025-05-20 03:53:00,-366842640.072498,-3159154947.52946,0,0,0,0,0,0,519.11</t>
  </si>
  <si>
    <t>2025-05-20 03:53:00,74158362.8595978,-360222.569893994,0,0,0,0,0,0,5936.25</t>
  </si>
  <si>
    <t>2025-05-20 03:53:00,198347654.934546,38909.0600400299,0,0,0,0,0,0,21309.5</t>
  </si>
  <si>
    <t>2025-05-20 03:56:00,600,,,590,580,,593.5,,,,,600,590,,,592.64</t>
  </si>
  <si>
    <t>2025-05-20 03:56:00,525,,,518,500,,521,,,,,525,510,,,519.11</t>
  </si>
  <si>
    <t>2025-05-20 03:56:00,6000,,,5900,5700,,5940,,,,,6000,5900,6000,5870,5936.25</t>
  </si>
  <si>
    <t>2025-05-20 03:56:00,21325,,21400,,21325,,21350,,,,,21400,20300,,,21309.5</t>
  </si>
  <si>
    <t>2025-05-20 03:56:00,1955073187.66727,-6488683215.56507,0,0,0,0,0,0,592.64</t>
  </si>
  <si>
    <t>2025-05-20 03:56:00,-366757280.996871,-3162082324.25825,0,0,0,0,0,0,519.11</t>
  </si>
  <si>
    <t>2025-05-20 03:56:00,74155990.3824153,-370976.058097898,0,0,0,0,0,0,5936.25</t>
  </si>
  <si>
    <t>2025-05-20 03:56:00,198419342.153655,39047.5154859136,0,0,0,0,0,0,21309.5</t>
  </si>
  <si>
    <t>2025-05-20 03:57:00,600,,,590,580,,593.5,,,,,600,590,,,592.64</t>
  </si>
  <si>
    <t>2025-05-20 03:57:00,525,,,518,500,,521,,,,,525,510,,,519.11</t>
  </si>
  <si>
    <t>2025-05-20 03:57:00,6000,,,5900,5700,,5940,,,,,6000,5900,6000,5870,5936.25</t>
  </si>
  <si>
    <t>2025-05-20 03:57:00,21325,,21400,,21325,,21350,,,,,21400,20300,,,21309.5</t>
  </si>
  <si>
    <t>2025-05-20 03:57:00,1955435166.70567,-6491468847.84918,0,0,0,0,0,0,592.64</t>
  </si>
  <si>
    <t>2025-05-20 03:57:00,-366733384.19592,-3162894637.19651,0,0,0,0,0,0,519.11</t>
  </si>
  <si>
    <t>2025-05-20 03:57:00,74155340.3684869,-373962.660023171,0,0,0,0,0,0,5936.25</t>
  </si>
  <si>
    <t>2025-05-20 03:57:00,198439224.838371,39085.9997170354,0,0,0,0,0,0,21309.5</t>
  </si>
  <si>
    <t>2025-05-20 04:01:00,600,,,590,580,,593.5,,,,,600,590,,,592.64</t>
  </si>
  <si>
    <t>2025-05-20 04:01:00,525,,,518,500,,521,,,,,525,510,,,519.11</t>
  </si>
  <si>
    <t>2025-05-20 04:01:00,6000,,,5900,5700,,5940,,,,,6000,5900,6000,5870,5936.25</t>
  </si>
  <si>
    <t>2025-05-20 04:01:00,21325,,21400,,21325,,21350,,,,,21400,20300,,,21309.5</t>
  </si>
  <si>
    <t>2025-05-20 04:01:00,1956762852.62158,-6501699453.19605,0,0,0,0,0,0,592.64</t>
  </si>
  <si>
    <t>2025-05-20 04:01:00,-366645048.645474,-3165870736.26267,0,0,0,0,0,0,519.11</t>
  </si>
  <si>
    <t>2025-05-20 04:01:00,74152990.1462902,-384914.458340625,0,0,0,0,0,0,5936.25</t>
  </si>
  <si>
    <t>2025-05-20 04:01:00,198512034.421101,39227.2343679332,0,0,0,0,0,0,21309.5</t>
  </si>
  <si>
    <t>2025-05-20 04:05:00,600,,,590,580,,593.5,,,,,600,590,,,592.64</t>
  </si>
  <si>
    <t>2025-05-20 04:05:00,525,,,518,500,,521,,,,,525,510,,,519.11</t>
  </si>
  <si>
    <t>2025-05-20 04:05:00,6000,,,5900,5700,,5940,,,,,6000,5900,6000,5870,5936.25</t>
  </si>
  <si>
    <t>2025-05-20 04:05:00,21325,,21400,,21325,,21350,,,,,21400,20300,,,21309.5</t>
  </si>
  <si>
    <t>2025-05-20 04:05:00,1958123239.87876,-6512203834.87843,0,0,0,0,0,0,592.64</t>
  </si>
  <si>
    <t>2025-05-20 04:05:00,-366553422.220606,-3168914654.0872,0,0,0,0,0,0,519.11</t>
  </si>
  <si>
    <t>2025-05-20 04:05:00,74150637.7907483,-396131.399896802,0,0,0,0,0,0,5936.25</t>
  </si>
  <si>
    <t>2025-05-20 04:05:00,198586446.879743,39372.07428811,0,0,0,0,0,0,21309.5</t>
  </si>
  <si>
    <t>2025-05-20 04:06:00,600,,,590,580,,593.5,,,,,600,590,,,592.64</t>
  </si>
  <si>
    <t>2025-05-20 04:06:00,525,,,518,500,,521,,,,,525,510,,,519.11</t>
  </si>
  <si>
    <t>2025-05-20 04:06:00,6000,,,5900,5700,,5940,,,,,6000,5900,6000,5870,5936.25</t>
  </si>
  <si>
    <t>2025-05-20 04:06:00,21325,,21400,,21325,,21350,,,,,21400,20300,,,21309.5</t>
  </si>
  <si>
    <t>2025-05-20 04:06:00,1958487616.87305,-6515021172.9316,0,0,0,0,0,0,592.64</t>
  </si>
  <si>
    <t>2025-05-20 04:06:00,-366528689.038723,-3169729013.70779,0,0,0,0,0,0,519.11</t>
  </si>
  <si>
    <t>2025-05-20 04:06:00,74150017.3742425,-399134.986345687,0,0,0,0,0,0,5936.25</t>
  </si>
  <si>
    <t>2025-05-20 04:06:00,198606345.474459,39410.8904298471,0,0,0,0,0,0,21309.5</t>
  </si>
  <si>
    <t>2025-05-20 04:10:00,600,,,590,580,,593.5,,,,,600,590,,,592.64</t>
  </si>
  <si>
    <t>2025-05-20 04:10:00,525,,,518,500,,521,,,,,525,510,,,519.11</t>
  </si>
  <si>
    <t>2025-05-20 04:10:00,6000,,,5900,5700,,5940,,,,,6000,5900,6000,5870,5936.25</t>
  </si>
  <si>
    <t>2025-05-20 04:10:00,21325,,21400,,21325,,21350,,,,,21400,20300,,,21309.5</t>
  </si>
  <si>
    <t>2025-05-20 04:10:00,1959873672.87138,-6525752640.44764,0,0,0,0,0,0,592.64</t>
  </si>
  <si>
    <t>2025-05-20 04:10:00,-366433869.758896,-3172823082.21109,0,0,0,0,0,0,519.11</t>
  </si>
  <si>
    <t>2025-05-20 04:10:00,74147694.9451427,-410556.843430768,0,0,0,0,0,0,5936.25</t>
  </si>
  <si>
    <t>2025-05-20 04:10:00,198681912.271286,39558.6219182706,0,0,0,0,0,0,21309.5</t>
  </si>
  <si>
    <t>2025-05-20 04:13:00,600,,,590,580,,593.5,,,,,600,590,,,592.64</t>
  </si>
  <si>
    <t>2025-05-20 04:13:00,525,,,518,500,,521,,,,,525,510,,,519.11</t>
  </si>
  <si>
    <t>2025-05-20 04:13:00,6000,,,5900,5700,,5940,,,,,6000,5900,6000,5870,5936.25</t>
  </si>
  <si>
    <t>2025-05-20 04:13:00,21325,,21400,,21325,,21350,,,,,21400,20300,,,21309.5</t>
  </si>
  <si>
    <t>2025-05-20 04:13:00,1961256195.90772,-6536479846.113,0,0,0,0,0,0,592.64</t>
  </si>
  <si>
    <t>2025-05-20 04:13:00,-366338132.811182,-3175903426.05363,0,0,0,0,0,0,519.11</t>
  </si>
  <si>
    <t>2025-05-20 04:13:00,74145438.1861373,-421943.694284669,0,0,0,0,0,0,5936.25</t>
  </si>
  <si>
    <t>2025-05-20 04:13:00,198757088.919291,39706.0962384155,0,0,0,0,0,0,21309.5</t>
  </si>
  <si>
    <t>2025-05-20 04:15:00,600,,,590,580,,593.5,,,,,600,590,,,592.64</t>
  </si>
  <si>
    <t>2025-05-20 04:15:00,525,,,518,500,,521,,,,,525,510,,,519.11</t>
  </si>
  <si>
    <t>2025-05-20 04:15:00,6000,,,5900,5700,,5940,,,,,6000,5900,6000,5870,5936.25</t>
  </si>
  <si>
    <t>2025-05-20 04:15:00,21325,,21400,,21325,,21350,,,,,21400,20300,,,21309.5</t>
  </si>
  <si>
    <t>2025-05-20 04:15:00,1961628604.18882,-6539373377.45086,0,0,0,0,0,0,592.64</t>
  </si>
  <si>
    <t>2025-05-20 04:15:00,-366312146.789706,-3176732171.31087,0,0,0,0,0,0,519.11</t>
  </si>
  <si>
    <t>2025-05-20 04:15:00,74144840.5681004,-425009.885683461,0,0,0,0,0,0,5936.25</t>
  </si>
  <si>
    <t>2025-05-20 04:15:00,198777305.522867,39745.8407991262,0,0,0,0,0,0,21309.5</t>
  </si>
  <si>
    <t>2025-05-20 04:18:00,600,,,590,580,,593.5,,,,,600,590,,,592.64</t>
  </si>
  <si>
    <t>2025-05-20 04:18:00,525,,,518,500,,521,,,,,525,510,,,519.11</t>
  </si>
  <si>
    <t>2025-05-20 04:18:00,6000,,,5900,5700,,5940,,,,,6000,5900,6000,5870,5936.25</t>
  </si>
  <si>
    <t>2025-05-20 04:18:00,21325,,21400,,21325,,21350,,,,,21400,20300,,,21309.5</t>
  </si>
  <si>
    <t>2025-05-20 04:18:00,1963045559.46945,-6550398234.53382,0,0,0,0,0,0,592.64</t>
  </si>
  <si>
    <t>2025-05-20 04:18:00,-366212509.677917,-3179881504.82025,0,0,0,0,0,0,519.11</t>
  </si>
  <si>
    <t>2025-05-20 04:18:00,74142606.9252516,-436671.873608573,0,0,0,0,0,0,5936.25</t>
  </si>
  <si>
    <t>2025-05-20 04:18:00,198854096.500584,39897.1356487361,0,0,0,0,0,0,21309.5</t>
  </si>
  <si>
    <t>2025-05-20 04:19:00,600,,,590,580,,593.5,,,,,600,590,,,592.64</t>
  </si>
  <si>
    <t>2025-05-20 04:19:00,525,,,518,500,,521,,,,,525,510,,,519.11</t>
  </si>
  <si>
    <t>2025-05-20 04:19:00,6000,,,5900,5700,,5940,,,,,6000,5900,6000,5870,5936.25</t>
  </si>
  <si>
    <t>2025-05-20 04:19:00,21325,,21400,,21325,,21350,,,,,21400,20300,,,21309.5</t>
  </si>
  <si>
    <t>2025-05-20 04:19:00,1963419390.89537,-6553310975.97318,0,0,0,0,0,0,592.64</t>
  </si>
  <si>
    <t>2025-05-20 04:19:00,-366186021.200877,-3180711347.59756,0,0,0,0,0,0,519.11</t>
  </si>
  <si>
    <t>2025-05-20 04:19:00,74142028.2996975,-439747.420202675,0,0,0,0,0,0,5936.25</t>
  </si>
  <si>
    <t>2025-05-20 04:19:00,198874321.791932,39937.0700732937,0,0,0,0,0,0,21309.5</t>
  </si>
  <si>
    <t>2025-05-20 04:24:00,600,,,590,580,,593.5,,,,,600,590,,,592.64</t>
  </si>
  <si>
    <t>2025-05-20 04:24:00,525,,,518,500,,521,,,,,525,510,,,519.11</t>
  </si>
  <si>
    <t>2025-05-20 04:24:00,6000,,,5900,5700,,5940,,,,,6000,5900,6000,5870,5936.25</t>
  </si>
  <si>
    <t>2025-05-20 04:24:00,21325,,21400,,21325,,21350,,,,,21400,20300,,,21309.5</t>
  </si>
  <si>
    <t>2025-05-20 04:24:00,1965121120.37305,-6566591798.22566,0,0,0,0,0,0,592.64</t>
  </si>
  <si>
    <t>2025-05-20 04:24:00,-366064381.944528,-3184483391.88793,0,0,0,0,0,0,519.11</t>
  </si>
  <si>
    <t>2025-05-20 04:24:00,74139451.092279,-453740.980368878,0,0,0,0,0,0,5936.25</t>
  </si>
  <si>
    <t>2025-05-20 04:24:00,198966209.815731,40118.9507484413,0,0,0,0,0,0,21309.5</t>
  </si>
  <si>
    <t>2025-05-20 04:25:00,600,,,590,580,,593.5,,,,,600,590,,,592.64</t>
  </si>
  <si>
    <t>2025-05-20 04:25:00,525,,,518,500,,521,,,,,525,510,,,519.11</t>
  </si>
  <si>
    <t>2025-05-20 04:25:00,6000,,,5900,5700,,5940,,,,,6000,5900,6000,5870,5936.25</t>
  </si>
  <si>
    <t>2025-05-20 04:25:00,21325,,21400,,21325,,21350,,,,,21400,20300,,,21309.5</t>
  </si>
  <si>
    <t>2025-05-20 04:25:00,1965495396.56885,-6569517541.35611,0,0,0,0,0,0,592.64</t>
  </si>
  <si>
    <t>2025-05-20 04:25:00,-366037395.961014,-3185311793.09509,0,0,0,0,0,0,519.11</t>
  </si>
  <si>
    <t>2025-05-20 04:25:00,74138896.8265996,-456817.166931877,0,0,0,0,0,0,5936.25</t>
  </si>
  <si>
    <t>2025-05-20 04:25:00,198986380.016192,40158.9732709181,0,0,0,0,0,0,21309.5</t>
  </si>
  <si>
    <t>2025-05-20 04:26:00,600,,,590,580,,593.5,,,,,600,590,,,592.64</t>
  </si>
  <si>
    <t>2025-05-20 04:26:00,525,,,518,500,,521,,,,,525,510,,,519.11</t>
  </si>
  <si>
    <t>2025-05-20 04:26:00,6000,,,5900,5700,,5940,,,,,6000,5900,6000,5870,5936.25</t>
  </si>
  <si>
    <t>2025-05-20 04:26:00,21325,,21400,,21325,,21350,,,,,21400,20300,,,21309.5</t>
  </si>
  <si>
    <t>2025-05-20 04:26:00,1965871072.10538,-6572455960.50339,0,0,0,0,0,0,592.64</t>
  </si>
  <si>
    <t>2025-05-20 04:26:00,-366010224.828779,-3186142848.06007,0,0,0,0,0,0,519.11</t>
  </si>
  <si>
    <t>2025-05-20 04:26:00,74138345.0700397,-459904.27530525,0,0,0,0,0,0,5936.25</t>
  </si>
  <si>
    <t>2025-05-20 04:26:00,199006611.328721,40199.1523784073,0,0,0,0,0,0,21309.5</t>
  </si>
  <si>
    <t>2025-05-20 04:30:00,600,,,590,580,,593.5,,,,,600,590,,,592.64</t>
  </si>
  <si>
    <t>2025-05-20 04:30:00,525,,,518,500,,521,,,,,525,510,,,519.11</t>
  </si>
  <si>
    <t>2025-05-20 04:30:00,6000,,,5900,5700,,5940,,,,,6000,5900,6000,5870,5936.25</t>
  </si>
  <si>
    <t>2025-05-20 04:30:00,21325,,21400,,21325,,21350,,,,,21400,20300,,,21309.5</t>
  </si>
  <si>
    <t>2025-05-20 04:30:00,1967369939.37614,-6584197016.99329,0,0,0,0,0,0,592.64</t>
  </si>
  <si>
    <t>2025-05-20 04:30:00,-365900978.894712,-3189454143.13356,0,0,0,0,0,0,519.11</t>
  </si>
  <si>
    <t>2025-05-20 04:30:00,74136189.6060936,-472215.221597529,0,0,0,0,0,0,5936.25</t>
  </si>
  <si>
    <t>2025-05-20 04:30:00,199087187.764313,40359.5254308201,0,0,0,0,0,0,21309.5</t>
  </si>
  <si>
    <t>2025-05-20 04:38:00,600,,,590,580,,593.5,,,,,600,590,,,592.64</t>
  </si>
  <si>
    <t>2025-05-20 04:38:00,525,,,518,500,,521,,,,,525,510,,,519.11</t>
  </si>
  <si>
    <t>2025-05-20 04:38:00,6000,,,5900,5700,,5940,,,,,6000,5900,6000,5870,5936.25</t>
  </si>
  <si>
    <t>2025-05-20 04:38:00,21325,,21400,,21325,,21350,,,,,21400,20300,,,21309.5</t>
  </si>
  <si>
    <t>2025-05-20 04:38:00,1970336184.24719,-6607514871.986,0,0,0,0,0,0,592.64</t>
  </si>
  <si>
    <t>2025-05-20 04:38:00,-365680843.342713,-3195986035.1656,0,0,0,0,0,0,519.11</t>
  </si>
  <si>
    <t>2025-05-20 04:38:00,74132142.9073852,-496548.315210528,0,0,0,0,0,0,5936.25</t>
  </si>
  <si>
    <t>2025-05-20 04:38:00,199245980.241062,40677.1909310962,0,0,0,0,0,0,21309.5</t>
  </si>
  <si>
    <t>2025-05-20 04:39:00,600,,,590,580,,593.5,,,,,600,590,,,592.64</t>
  </si>
  <si>
    <t>2025-05-20 04:39:00,525,,,518,500,,521,,,,,525,510,,,519.11</t>
  </si>
  <si>
    <t>2025-05-20 04:39:00,6000,,,5900,5700,,5940,,,,,6000,5900,6000,5870,5936.25</t>
  </si>
  <si>
    <t>2025-05-20 04:39:00,21325,,21400,,21325,,21350,,,,,21400,20300,,,21309.5</t>
  </si>
  <si>
    <t>2025-05-20 04:39:00,1970717289.42559,-6610518752.11766,0,0,0,0,0,0,592.64</t>
  </si>
  <si>
    <t>2025-05-20 04:39:00,-365652182.257879,-3196823202.77516,0,0,0,0,0,0,519.11</t>
  </si>
  <si>
    <t>2025-05-20 04:39:00,74131644.3068689,-499671.549530536,0,0,0,0,0,0,5936.25</t>
  </si>
  <si>
    <t>2025-05-20 04:39:00,199266318.016063,40718.0300666911,0,0,0,0,0,0,21309.5</t>
  </si>
  <si>
    <t>2025-05-20 04:43:00,600,,,590,580,,593.5,,,,,600,590,,,592.64</t>
  </si>
  <si>
    <t>2025-05-20 04:43:00,525,,,518,500,,521,,,,,525,510,,,519.11</t>
  </si>
  <si>
    <t>2025-05-20 04:43:00,6000,,,5900,5700,,5940,,,,,6000,5900,6000,5870,5936.25</t>
  </si>
  <si>
    <t>2025-05-20 04:43:00,21325,,21400,,21325,,21350,,,,,21400,20300,,,21309.5</t>
  </si>
  <si>
    <t>2025-05-20 04:43:00,1972286752.72421,-6622908582.00111,0,0,0,0,0,0,592.64</t>
  </si>
  <si>
    <t>2025-05-20 04:43:00,-365533247.166101,-3200265840.31764,0,0,0,0,0,0,519.11</t>
  </si>
  <si>
    <t>2025-05-20 04:43:00,74129642.7094332,-512525.711149629,0,0,0,0,0,0,5936.25</t>
  </si>
  <si>
    <t>2025-05-20 04:43:00,199349920.004988,40886.2676456391,0,0,0,0,0,0,21309.5</t>
  </si>
  <si>
    <t>2025-05-20 04:47:00,600,,,590,580,,593.5,,,,,600,590,,,592.64</t>
  </si>
  <si>
    <t>2025-05-20 04:47:00,525,,,518,500,,521,,,,,525,510,,,519.11</t>
  </si>
  <si>
    <t>2025-05-20 04:47:00,6000,,,5900,5700,,5940,,,,,6000,5900,6000,5870,5936.25</t>
  </si>
  <si>
    <t>2025-05-20 04:47:00,21325,,21400,,21325,,21350,,,,,21400,20300,,,21309.5</t>
  </si>
  <si>
    <t>2025-05-20 04:47:00,1973873017.44573,-6635462716.09523,0,0,0,0,0,0,592.64</t>
  </si>
  <si>
    <t>2025-05-20 04:47:00,-365411566.04051,-3203737136.76243,0,0,0,0,0,0,519.11</t>
  </si>
  <si>
    <t>2025-05-20 04:47:00,74127704.9404305,-525503.98642749,0,0,0,0,0,0,5936.25</t>
  </si>
  <si>
    <t>2025-05-20 04:47:00,199434167.952923,41056.3874398794,0,0,0,0,0,0,21309.5</t>
  </si>
  <si>
    <t>2025-05-20 04:48:00,600,,,590,580,,593.5,,,,,600,590,,,592.64</t>
  </si>
  <si>
    <t>2025-05-20 04:48:00,525,,,518,500,,521,,,,,525,510,,,519.11</t>
  </si>
  <si>
    <t>2025-05-20 04:48:00,6000,,,5900,5700,,5940,,,,,6000,5900,6000,5870,5936.25</t>
  </si>
  <si>
    <t>2025-05-20 04:48:00,21325,,21400,,21325,,21350,,,,,21400,20300,,,21309.5</t>
  </si>
  <si>
    <t>2025-05-20 04:48:00,1974257878.83806,-6638513434.85966,0,0,0,0,0,0,592.64</t>
  </si>
  <si>
    <t>2025-05-20 04:48:00,-365381821.077272,-3204578096.10109,0,0,0,0,0,0,519.11</t>
  </si>
  <si>
    <t>2025-05-20 04:48:00,74127247.8169508,-528650.660564498,0,0,0,0,0,0,5936.25</t>
  </si>
  <si>
    <t>2025-05-20 04:48:00,199454570.682027,41097.6732471245,0,0,0,0,0,0,21309.5</t>
  </si>
  <si>
    <t>2025-05-20 04:53:00,600,,,590,580,,593.5,,,,,600,590,,,592.64</t>
  </si>
  <si>
    <t>2025-05-20 04:53:00,525,,,518,500,,521,,,,,525,510,,,519.11</t>
  </si>
  <si>
    <t>2025-05-20 04:53:00,6000,,,5900,5700,,5940,,,,,6000,5900,6000,5870,5936.25</t>
  </si>
  <si>
    <t>2025-05-20 04:53:00,21325,,21400,,21325,,21350,,,,,21400,20300,,,21309.5</t>
  </si>
  <si>
    <t>2025-05-20 04:53:00,1975855808.46189,-6651200120.40753,0,0,0,0,0,0,592.64</t>
  </si>
  <si>
    <t>2025-05-20 04:53:00,-365257394.425773,-3208064466.25588,0,0,0,0,0,0,519.11</t>
  </si>
  <si>
    <t>2025-05-20 04:53:00,74125404.6572553,-541706.272449001,0,0,0,0,0,0,5936.25</t>
  </si>
  <si>
    <t>2025-05-20 04:53:00,199539125.512282,41269.1319145115,0,0,0,0,0,0,21309.5</t>
  </si>
  <si>
    <t>2025-05-20 04:57:00,600,,,590,580,,593.5,,,,,600,590,,,592.64</t>
  </si>
  <si>
    <t>2025-05-20 04:57:00,525,,,518,500,,521,,,,,525,510,,,519.11</t>
  </si>
  <si>
    <t>2025-05-20 04:57:00,6000,,,5900,5700,,5940,,,,,6000,5900,6000,5870,5936.25</t>
  </si>
  <si>
    <t>2025-05-20 04:57:00,21325,,21400,,21325,,21350,,,,,21400,20300,,,21309.5</t>
  </si>
  <si>
    <t>2025-05-20 04:57:00,1977489817.20373,-6664207103.05086,0,0,0,0,0,0,592.64</t>
  </si>
  <si>
    <t>2025-05-20 04:57:00,-365128618.43921,-3211620722.02859,0,0,0,0,0,0,519.11</t>
  </si>
  <si>
    <t>2025-05-20 04:57:00,74123611.9265113,-555040.619486495,0,0,0,0,0,0,5936.25</t>
  </si>
  <si>
    <t>2025-05-20 04:57:00,199625329.528262,41444.5227231777,0,0,0,0,0,0,21309.5</t>
  </si>
  <si>
    <t>2025-05-20 04:58:00,600,,,590,580,,593.5,,,,,600,590,,,592.64</t>
  </si>
  <si>
    <t>2025-05-20 04:58:00,525,,,518,500,,521,,,,,525,510,,,519.11</t>
  </si>
  <si>
    <t>2025-05-20 04:58:00,6000,,,5900,5700,,5940,,,,,6000,5900,6000,5870,5936.25</t>
  </si>
  <si>
    <t>2025-05-20 04:58:00,21325,,21400,,21325,,21350,,,,,21400,20300,,,21309.5</t>
  </si>
  <si>
    <t>2025-05-20 04:58:00,1977880584.94993,-6667322772.95401,0,0,0,0,0,0,592.64</t>
  </si>
  <si>
    <t>2025-05-20 04:58:00,-365097592.080456,-3212469855.83008,0,0,0,0,0,0,519.11</t>
  </si>
  <si>
    <t>2025-05-20 04:58:00,74123197.0969153,-558226.988217272,0,0,0,0,0,0,5936.25</t>
  </si>
  <si>
    <t>2025-05-20 04:58:00,199645906.123233,41486.4746763553,0,0,0,0,0,0,21309.5</t>
  </si>
  <si>
    <t>2025-05-20 05:02:00,600,,,590,580,,593.5,,,,,600,590,,,592.64</t>
  </si>
  <si>
    <t>2025-05-20 05:02:00,525,,,518,500,,521,,,,,525,510,,,519.11</t>
  </si>
  <si>
    <t>2025-05-20 05:02:00,6000,,,5900,5700,,5940,,,,,6000,5900,6000,5870,5936.25</t>
  </si>
  <si>
    <t>2025-05-20 05:02:00,21325,,21400,,21325,,21350,,,,,21400,20300,,,21309.5</t>
  </si>
  <si>
    <t>2025-05-20 05:02:00,1979562778.35719,-6680757786.24057,0,0,0,0,0,0,592.64</t>
  </si>
  <si>
    <t>2025-05-20 05:02:00,-364963018.005204,-3216119323.73302,0,0,0,0,0,0,519.11</t>
  </si>
  <si>
    <t>2025-05-20 05:02:00,74121473.0383691,-571932.383498153,0,0,0,0,0,0,5936.25</t>
  </si>
  <si>
    <t>2025-05-20 05:02:00,199734314.693878,41667.0997987445,0,0,0,0,0,0,21309.5</t>
  </si>
  <si>
    <t>2025-05-20 05:07:00,600,,,590,580,,593.5,,,,,600,590,,,592.64</t>
  </si>
  <si>
    <t>2025-05-20 05:07:00,525,,,518,500,,521,,,,,525,510,,,519.11</t>
  </si>
  <si>
    <t>2025-05-20 05:07:00,6000,,,5900,5700,,5940,,,,,6000,5900,6000,5870,5936.25</t>
  </si>
  <si>
    <t>2025-05-20 05:07:00,21325,,21400,,21325,,21350,,,,,21400,20300,,,21309.5</t>
  </si>
  <si>
    <t>2025-05-20 05:07:00,1981275480.88751,-6694474225.32,0,0,0,0,0,0,592.64</t>
  </si>
  <si>
    <t>2025-05-20 05:07:00,-364824323.830078,-3219825034.06187,0,0,0,0,0,0,519.11</t>
  </si>
  <si>
    <t>2025-05-20 05:07:00,74119821.4220704,-585866.59119805,0,0,0,0,0,0,5936.25</t>
  </si>
  <si>
    <t>2025-05-20 05:07:00,199824043.576519,41851.0383097884,0,0,0,0,0,0,21309.5</t>
  </si>
  <si>
    <t>2025-05-20 05:08:00,600,,,590,580,,593.5,,,,,600,590,,,592.64</t>
  </si>
  <si>
    <t>2025-05-20 05:08:00,525,,,518,500,,521,,,,,525,510,,,519.11</t>
  </si>
  <si>
    <t>2025-05-20 05:08:00,6000,,,5900,5700,,5940,,,,,6000,5900,6000,5870,5936.25</t>
  </si>
  <si>
    <t>2025-05-20 05:08:00,21325,,21400,,21325,,21350,,,,,21400,20300,,,21309.5</t>
  </si>
  <si>
    <t>2025-05-20 05:08:00,1981670598.44987,-6697644017.12957,0,0,0,0,0,0,592.64</t>
  </si>
  <si>
    <t>2025-05-20 05:08:00,-364792087.56658,-3220678499.30999,0,0,0,0,0,0,519.11</t>
  </si>
  <si>
    <t>2025-05-20 05:08:00,74119455.3667782,-589078.256404897,0,0,0,0,0,0,5936.25</t>
  </si>
  <si>
    <t>2025-05-20 05:08:00,199844703.474969,41893.4765005375,0,0,0,0,0,0,21309.5</t>
  </si>
  <si>
    <t>2025-05-20 05:12:00,600,,,590,580,,593.5,,,,,600,590,,,592.64</t>
  </si>
  <si>
    <t>2025-05-20 05:12:00,525,,,518,500,,521,,,,,525,510,,,519.11</t>
  </si>
  <si>
    <t>2025-05-20 05:12:00,6000,,,5900,5700,,5940,,,,,6000,5900,6000,5870,5936.25</t>
  </si>
  <si>
    <t>2025-05-20 05:12:00,21325,,21400,,21325,,21350,,,,,21400,20300,,,21309.5</t>
  </si>
  <si>
    <t>2025-05-20 05:12:00,1983376523.39218,-6711353114.73067,0,0,0,0,0,0,592.64</t>
  </si>
  <si>
    <t>2025-05-20 05:12:00,-364651878.767419,-3224357117.52368,0,0,0,0,0,0,519.11</t>
  </si>
  <si>
    <t>2025-05-20 05:12:00,74117939.8372714,-602931.589812969,0,0,0,0,0,0,5936.25</t>
  </si>
  <si>
    <t>2025-05-20 05:12:00,199933729.606901,42076.7141420962,0,0,0,0,0,0,21309.5</t>
  </si>
  <si>
    <t>2025-05-20 05:17:00,600,,,590,580,,593.5,,,,,600,590,,,592.64</t>
  </si>
  <si>
    <t>2025-05-20 05:17:00,525,,,518,500,,521,,,,,525,510,,,519.11</t>
  </si>
  <si>
    <t>2025-05-20 05:17:00,6000,,,5900,5700,,5940,,,,,6000,5900,6000,5870,5936.25</t>
  </si>
  <si>
    <t>2025-05-20 05:17:00,21325,,21400,,21325,,21350,,,,,21400,20300,,,21309.5</t>
  </si>
  <si>
    <t>2025-05-20 05:17:00,1985437198.04168,-6727964131.75077,0,0,0,0,0,0,592.64</t>
  </si>
  <si>
    <t>2025-05-20 05:17:00,-364480294.716632,-3228787103.4142,0,0,0,0,0,0,519.11</t>
  </si>
  <si>
    <t>2025-05-20 05:17:00,74116250.8966151,-619636.373260832,0,0,0,0,0,0,5936.25</t>
  </si>
  <si>
    <t>2025-05-20 05:17:00,200040895.220719,42298.0628542389,0,0,0,0,0,0,21309.5</t>
  </si>
  <si>
    <t>2025-05-20 05:18:00,600,,,590,580,,593.5,,,,,600,590,,,592.64</t>
  </si>
  <si>
    <t>2025-05-20 05:18:00,525,,,518,500,,521,,,,,525,510,,,519.11</t>
  </si>
  <si>
    <t>2025-05-20 05:18:00,6000,,,5900,5700,,5940,,,,,6000,5900,6000,5870,5936.25</t>
  </si>
  <si>
    <t>2025-05-20 05:18:00,21325,,21400,,21325,,21350,,,,,21400,20300,,,21309.5</t>
  </si>
  <si>
    <t>2025-05-20 05:18:00,1985835745.93134,-6731183292.22548,0,0,0,0,0,0,592.64</t>
  </si>
  <si>
    <t>2025-05-20 05:18:00,-364446830.138699,-3229642158.12162,0,0,0,0,0,0,519.11</t>
  </si>
  <si>
    <t>2025-05-20 05:18:00,74115942.2897748,-622863.342706404,0,0,0,0,0,0,5936.25</t>
  </si>
  <si>
    <t>2025-05-20 05:18:00,200061574.755365,42340.8719582747,0,0,0,0,0,0,21309.5</t>
  </si>
  <si>
    <t>2025-05-20 05:27:00,600,,,590,580,,593.5,,,,,600,590,,,592.64</t>
  </si>
  <si>
    <t>2025-05-20 05:27:00,525,,,518,500,,521,,,,,525,510,,,519.11</t>
  </si>
  <si>
    <t>2025-05-20 05:27:00,6000,,,5900,5700,,5940,,,,,6000,5900,6000,5870,5936.25</t>
  </si>
  <si>
    <t>2025-05-20 05:27:00,21325,,21400,,21325,,21350,,,,,21400,20300,,,21309.5</t>
  </si>
  <si>
    <t>2025-05-20 05:27:00,1989318329.15329,-6759402864.18878,0,0,0,0,0,0,592.64</t>
  </si>
  <si>
    <t>2025-05-20 05:27:00,-364150582.496055,-3237089568.6811,0,0,0,0,0,0,519.11</t>
  </si>
  <si>
    <t>2025-05-20 05:27:00,74113497.3398098,-651005.481240678,0,0,0,0,0,0,5936.25</t>
  </si>
  <si>
    <t>2025-05-20 05:27:00,200241631.86972,42714.889144667,0,0,0,0,0,0,21309.5</t>
  </si>
  <si>
    <t>2025-05-20 05:28:00,600,,,590,580,,593.5,,,,,600,590,,,592.64</t>
  </si>
  <si>
    <t>2025-05-20 05:28:00,525,,,518,500,,521,,,,,525,510,,,519.11</t>
  </si>
  <si>
    <t>2025-05-20 05:28:00,6000,,,5900,5700,,5940,,,,,6000,5900,6000,5870,5936.25</t>
  </si>
  <si>
    <t>2025-05-20 05:28:00,21325,,21400,,21325,,21350,,,,,21400,20300,,,21309.5</t>
  </si>
  <si>
    <t>2025-05-20 05:28:00,1989721304.99673,-6762678670.82839,0,0,0,0,0,0,592.64</t>
  </si>
  <si>
    <t>2025-05-20 05:28:00,-364115861.451626,-3237948490.75711,0,0,0,0,0,0,519.11</t>
  </si>
  <si>
    <t>2025-05-20 05:28:00,74113243.8269768,-654255.179305267,0,0,0,0,0,0,5936.25</t>
  </si>
  <si>
    <t>2025-05-20 05:28:00,200262392.251342,42758.1573689554,0,0,0,0,0,0,21309.5</t>
  </si>
  <si>
    <t>2025-05-20 05:29:00,600,,,590,580,,593.5,,,,,600,590,,,592.64</t>
  </si>
  <si>
    <t>2025-05-20 05:29:00,525,,,518,500,,521,,,,,525,510,,,519.11</t>
  </si>
  <si>
    <t>2025-05-20 05:29:00,6000,,,5900,5700,,5940,,,,,6000,5900,6000,5870,5936.25</t>
  </si>
  <si>
    <t>2025-05-20 05:29:00,21325,,21400,,21325,,21350,,,,,21400,20300,,,21309.5</t>
  </si>
  <si>
    <t>2025-05-20 05:29:00,1990122955.50194,-6765945874.59861,0,0,0,0,0,0,592.64</t>
  </si>
  <si>
    <t>2025-05-20 05:29:00,-364081163.797183,-3238803998.14572,0,0,0,0,0,0,519.11</t>
  </si>
  <si>
    <t>2025-05-20 05:29:00,74112997.2642035,-657492.764244646,0,0,0,0,0,0,5936.25</t>
  </si>
  <si>
    <t>2025-05-20 05:29:00,200283069.072017,42801.2805166225,0,0,0,0,0,0,21309.5</t>
  </si>
  <si>
    <t>2025-05-20 05:34:00,600,,,590,580,,593.5,,,,,600,590,,,592.64</t>
  </si>
  <si>
    <t>2025-05-20 05:34:00,525,,,518,500,,521,,,,,525,510,,,519.11</t>
  </si>
  <si>
    <t>2025-05-20 05:34:00,6000,,,5900,5700,,5940,,,,,6000,5900,6000,5870,5936.25</t>
  </si>
  <si>
    <t>2025-05-20 05:34:00,21325,,21400,,21325,,21350,,,,,21400,20300,,,21309.5</t>
  </si>
  <si>
    <t>2025-05-20 05:34:00,1991971308.107,-6781009208.76794,0,0,0,0,0,0,592.64</t>
  </si>
  <si>
    <t>2025-05-20 05:34:00,-363920323.342481,-3242733317.08313,0,0,0,0,0,0,519.11</t>
  </si>
  <si>
    <t>2025-05-20 05:34:00,74111941.7022643,-672373.067050117,0,0,0,0,0,0,5936.25</t>
  </si>
  <si>
    <t>2025-05-20 05:34:00,200378025.41224,42999.6871385388,0,0,0,0,0,0,21309.5</t>
  </si>
  <si>
    <t>2025-05-20 05:39:00,600,,,590,580,,593.5,,,,,600,590,,,592.64</t>
  </si>
  <si>
    <t>2025-05-20 05:39:00,525,,,518,500,,521,,,,,525,510,,,519.11</t>
  </si>
  <si>
    <t>2025-05-20 05:39:00,6000,,,5900,5700,,5940,,,,,6000,5900,6000,5870,5936.25</t>
  </si>
  <si>
    <t>2025-05-20 05:39:00,21325,,21400,,21325,,21350,,,,,21400,20300,,,21309.5</t>
  </si>
  <si>
    <t>2025-05-20 05:39:00,1993868417.61029,-6796517955.54978,0,0,0,0,0,0,592.64</t>
  </si>
  <si>
    <t>2025-05-20 05:39:00,-363753256.577291,-3246753120.79385,0,0,0,0,0,0,519.11</t>
  </si>
  <si>
    <t>2025-05-20 05:39:00,74110994.4601583,-687612.905709928,0,0,0,0,0,0,5936.25</t>
  </si>
  <si>
    <t>2025-05-20 05:39:00,200475152.68465,43203.240858414,0,0,0,0,0,0,21309.5</t>
  </si>
  <si>
    <t>2025-05-20 05:40:00,600,,,590,580,,593.5,,,,,600,590,,,592.64</t>
  </si>
  <si>
    <t>2025-05-20 05:40:00,525,,,518,500,,521,,,,,525,510,,,519.11</t>
  </si>
  <si>
    <t>2025-05-20 05:40:00,6000,,,5900,5700,,5940,,,,,6000,5900,6000,5870,5936.25</t>
  </si>
  <si>
    <t>2025-05-20 05:40:00,21325,,21400,,21325,,21350,,,,,21400,20300,,,21309.5</t>
  </si>
  <si>
    <t>2025-05-20 05:40:00,1994276279.67669,-6799858587.00051,0,0,0,0,0,0,592.64</t>
  </si>
  <si>
    <t>2025-05-20 05:40:00,-363717077.282775,-3247615585.55083,0,0,0,0,0,0,519.11</t>
  </si>
  <si>
    <t>2025-05-20 05:40:00,74110808.9623739,-690884.840386376,0,0,0,0,0,0,5936.25</t>
  </si>
  <si>
    <t>2025-05-20 05:40:00,200495990.200028,43246.9895760518,0,0,0,0,0,0,21309.5</t>
  </si>
  <si>
    <t>2025-05-20 05:41:00,600,,,590,580,,593.5,,,,,600,590,,,592.64</t>
  </si>
  <si>
    <t>2025-05-20 05:41:00,525,,,518,500,,521,,,,,525,510,,,519.11</t>
  </si>
  <si>
    <t>2025-05-20 05:41:00,6000,,,5900,5700,,5940,,,,,6000,5900,6000,5870,5936.25</t>
  </si>
  <si>
    <t>2025-05-20 05:41:00,21325,,21400,,21325,,21350,,,,,21400,20300,,,21309.5</t>
  </si>
  <si>
    <t>2025-05-20 05:41:00,1994684476.88799,-6803204232.16204,0,0,0,0,0,0,592.64</t>
  </si>
  <si>
    <t>2025-05-20 05:41:00,-363680775.883474,-3248478132.20579,0,0,0,0,0,0,519.11</t>
  </si>
  <si>
    <t>2025-05-20 05:41:00,74110629.7749629,-694157.838565566,0,0,0,0,0,0,5936.25</t>
  </si>
  <si>
    <t>2025-05-20 05:41:00,200516829.284441,43290.7689417601,0,0,0,0,0,0,21309.5</t>
  </si>
  <si>
    <t>2025-05-20 05:42:00,600,,,590,580,,593.5,,,,,600,590,,,592.64</t>
  </si>
  <si>
    <t>2025-05-20 05:42:00,525,,,518,500,,521,,,,,525,510,,,519.11</t>
  </si>
  <si>
    <t>2025-05-20 05:42:00,6000,,,5900,5700,,5940,,,,,6000,5900,6000,5870,5936.25</t>
  </si>
  <si>
    <t>2025-05-20 05:42:00,21325,,21400,,21325,,21350,,,,,21400,20300,,,21309.5</t>
  </si>
  <si>
    <t>2025-05-20 05:42:00,1995094016.0635,-6806563159.79077,0,0,0,0,0,0,592.64</t>
  </si>
  <si>
    <t>2025-05-20 05:42:00,-363644262.383061,-3249342882.60392,0,0,0,0,0,0,519.11</t>
  </si>
  <si>
    <t>2025-05-20 05:42:00,74110456.5099961,-697439.948865019,0,0,0,0,0,0,5936.25</t>
  </si>
  <si>
    <t>2025-05-20 05:42:00,200537721.25913,43334.6866781415,0,0,0,0,0,0,21309.5</t>
  </si>
  <si>
    <t>2025-05-20 05:47:00,600,,,590,580,,593.5,,,,,600,590,,,592.64</t>
  </si>
  <si>
    <t>2025-05-20 05:47:00,525,,,518,500,,521,,,,,525,510,,,519.11</t>
  </si>
  <si>
    <t>2025-05-20 05:47:00,6000,,,5900,5700,,5940,,,,,6000,5900,6000,5870,5936.25</t>
  </si>
  <si>
    <t>2025-05-20 05:47:00,21325,,21400,,21325,,21350,,,,,21400,20300,,,21309.5</t>
  </si>
  <si>
    <t>2025-05-20 05:47:00,1997037882.85129,-6822537496.27632,0,0,0,0,0,0,592.64</t>
  </si>
  <si>
    <t>2025-05-20 05:47:00,-363469688.362523,-3253438710.54585,0,0,0,0,0,0,519.11</t>
  </si>
  <si>
    <t>2025-05-20 05:47:00,74109723.4952321,-712995.447331277,0,0,0,0,0,0,5936.25</t>
  </si>
  <si>
    <t>2025-05-20 05:47:00,200636671.639474,43543.0581140335,0,0,0,0,0,0,21309.5</t>
  </si>
  <si>
    <t>2025-05-20 05:52:00,600,,,590,580,,593.5,,,,,600,590,,,592.64</t>
  </si>
  <si>
    <t>2025-05-20 05:52:00,525,,,518,500,,521,,,,,525,510,,,519.11</t>
  </si>
  <si>
    <t>2025-05-20 05:52:00,6000,,,5900,5700,,5940,,,,,6000,5900,6000,5870,5936.25</t>
  </si>
  <si>
    <t>2025-05-20 05:52:00,21325,,21400,,21325,,21350,,,,,21400,20300,,,21309.5</t>
  </si>
  <si>
    <t>2025-05-20 05:52:00,1999288099.55933,-6841094160.76583,0,0,0,0,0,0,592.64</t>
  </si>
  <si>
    <t>2025-05-20 05:52:00,-363265006.734869,-3258161921.06997,0,0,0,0,0,0,519.11</t>
  </si>
  <si>
    <t>2025-05-20 05:52:00,74109060.8420291,-730953.599834631,0,0,0,0,0,0,5936.25</t>
  </si>
  <si>
    <t>2025-05-20 05:52:00,200750779.197823,43784.0728707003,0,0,0,0,0,0,21309.5</t>
  </si>
  <si>
    <t>2025-05-20 05:53:00,600,,,590,580,,593.5,,,,,600,590,,,592.64</t>
  </si>
  <si>
    <t>2025-05-20 05:53:00,525,,,518,500,,521,,,,,525,510,,,519.11</t>
  </si>
  <si>
    <t>2025-05-20 05:53:00,6000,,,5900,5700,,5940,,,,,6000,5900,6000,5870,5936.25</t>
  </si>
  <si>
    <t>2025-05-20 05:53:00,21325,,21400,,21325,,21350,,,,,21400,20300,,,21309.5</t>
  </si>
  <si>
    <t>2025-05-20 05:53:00,1999699770.48853,-6844496607.25817,0,0,0,0,0,0,592.64</t>
  </si>
  <si>
    <t>2025-05-20 05:53:00,-363227260.866105,-3259023893.61994,0,0,0,0,0,0,519.11</t>
  </si>
  <si>
    <t>2025-05-20 05:53:00,74108961.3667514,-734233.143184147,0,0,0,0,0,0,5936.25</t>
  </si>
  <si>
    <t>2025-05-20 05:53:00,200771604.30245,43828.1402430846,0,0,0,0,0,0,21309.5</t>
  </si>
  <si>
    <t>2025-05-20 05:54:00,600,,,590,580,,593.5,,,,,600,590,,,592.64</t>
  </si>
  <si>
    <t>2025-05-20 05:54:00,525,,,518,500,,521,,,,,525,510,,,519.11</t>
  </si>
  <si>
    <t>2025-05-20 05:54:00,6000,,,5900,5700,,5940,,,,,6000,5900,6000,5870,5936.25</t>
  </si>
  <si>
    <t>2025-05-20 05:54:00,21325,,21400,,21325,,21350,,,,,21400,20300,,,21309.5</t>
  </si>
  <si>
    <t>2025-05-20 05:54:00,2000114297.42994,-6847925026.59254,0,0,0,0,0,0,592.64</t>
  </si>
  <si>
    <t>2025-05-20 05:54:00,-363189159.684076,-3259891177.00805,0,0,0,0,0,0,519.11</t>
  </si>
  <si>
    <t>2025-05-20 05:54:00,74108868.0363368,-737533.572878584,0,0,0,0,0,0,5936.25</t>
  </si>
  <si>
    <t>2025-05-20 05:54:00,200792558.125609,43872.5047201307,0,0,0,0,0,0,21309.5</t>
  </si>
  <si>
    <t>2025-05-20 05:59:00,600,,,590,580,,593.5,,,,,600,590,,,592.64</t>
  </si>
  <si>
    <t>2025-05-20 05:59:00,525,,,518,500,,521,,,,,525,510,,,519.11</t>
  </si>
  <si>
    <t>2025-05-20 05:59:00,6000,,,5900,5700,,5940,,,,,6000,5900,6000,5870,5936.25</t>
  </si>
  <si>
    <t>2025-05-20 05:59:00,21325,,21400,,21325,,21350,,,,,21400,20300,,,21309.5</t>
  </si>
  <si>
    <t>2025-05-20 05:59:00,2002124896.47209,-6864587842.94529,0,0,0,0,0,0,592.64</t>
  </si>
  <si>
    <t>2025-05-20 05:59:00,-363003029.196995,-3264088209.64504,0,0,0,0,0,0,519.11</t>
  </si>
  <si>
    <t>2025-05-20 05:59:00,74108513.1288321,-753514.743008322,0,0,0,0,0,0,5936.25</t>
  </si>
  <si>
    <t>2025-05-20 05:59:00,200893967.626225,44087.5569198363,0,0,0,0,0,0,21309.5</t>
  </si>
  <si>
    <t>2025-05-20 06:09:00,600,,,590,580,,593.5,,,,,600,590,,,592.64</t>
  </si>
  <si>
    <t>2025-05-20 06:09:00,525,,,518,500,,521,,,,,525,510,,,519.11</t>
  </si>
  <si>
    <t>2025-05-20 06:09:00,6000,,,5900,5700,,5940,,,,,6000,5900,6000,5870,5936.25</t>
  </si>
  <si>
    <t>2025-05-20 06:09:00,21325,,21400,,21325,,21350,,,,,21400,20300,,,21309.5</t>
  </si>
  <si>
    <t>2025-05-20 06:09:00,2006120787.33074,-6897870998.25271,0,0,0,0,0,0,592.64</t>
  </si>
  <si>
    <t>2025-05-20 06:09:00,-362626624.287833,-3272381497.58686,0,0,0,0,0,0,519.11</t>
  </si>
  <si>
    <t>2025-05-20 06:09:00,74108294.24155,-785137.239698325,0,0,0,0,0,0,5936.25</t>
  </si>
  <si>
    <t>2025-05-20 06:09:00,201094414.723606,44514.2174878491,0,0,0,0,0,0,21309.5</t>
  </si>
  <si>
    <t>2025-05-20 06:10:00,600,,,590,580,,593.5,,,,,600,590,,,592.64</t>
  </si>
  <si>
    <t>2025-05-20 06:10:00,525,,,518,500,,521,,,,,525,510,,,519.11</t>
  </si>
  <si>
    <t>2025-05-20 06:10:00,6000,,,5900,5700,,5940,,,,,6000,5900,6000,5870,5936.25</t>
  </si>
  <si>
    <t>2025-05-20 06:10:00,21325,,21400,,21325,,21350,,,,,21400,20300,,,21309.5</t>
  </si>
  <si>
    <t>2025-05-20 06:10:00,2006540849.6235,-6901382835.49607,0,0,0,0,0,0,592.64</t>
  </si>
  <si>
    <t>2025-05-20 06:10:00,-362586557.287234,-3273249553.41602,0,0,0,0,0,0,519.11</t>
  </si>
  <si>
    <t>2025-05-20 06:10:00,74108309.2249343,-788450.36071995,0,0,0,0,0,0,5936.25</t>
  </si>
  <si>
    <t>2025-05-20 06:10:00,201115402.234257,44559.0052811988,0,0,0,0,0,0,21309.5</t>
  </si>
  <si>
    <t>2025-05-20 06:15:00,600,,,590,580,,593.5,,,,,600,590,,,592.64</t>
  </si>
  <si>
    <t>2025-05-20 06:15:00,525,,,518,500,,521,,,,,525,510,,,519.11</t>
  </si>
  <si>
    <t>2025-05-20 06:15:00,6000,,,5900,5700,,5940,,,,,6000,5900,6000,5870,5936.25</t>
  </si>
  <si>
    <t>2025-05-20 06:15:00,21325,,21400,,21325,,21350,,,,,21400,20300,,,21309.5</t>
  </si>
  <si>
    <t>2025-05-20 06:15:00,2008656667.70963,-6919109429.85304,0,0,0,0,0,0,592.64</t>
  </si>
  <si>
    <t>2025-05-20 06:15:00,-362383312.80875,-3277610812.3822,0,0,0,0,0,0,519.11</t>
  </si>
  <si>
    <t>2025-05-20 06:15:00,74108495.7466437,-805104.74763615,0,0,0,0,0,0,5936.25</t>
  </si>
  <si>
    <t>2025-05-20 06:15:00,201220872.310701,44784.3895596567,0,0,0,0,0,0,21309.5</t>
  </si>
  <si>
    <t>2025-05-20 06:24:00,600,,,590,580,,593.5,,,,,,,,,592.64</t>
  </si>
  <si>
    <t>2025-05-20 06:24:00,525,,,518,500,,521,,,,,,,,,519.11</t>
  </si>
  <si>
    <t>2025-05-20 06:24:00,6000,,,5900,5700,,5940,,,,,,,6000,5870,5936.25</t>
  </si>
  <si>
    <t>2025-05-20 06:24:00,21325,,21400,,21325,,21350,,,,,,,,,21309.5</t>
  </si>
  <si>
    <t>2025-05-20 06:24:00,2012402354.68961,-6950646499.83828,0,0,0,0,0,0,592.64</t>
  </si>
  <si>
    <t>2025-05-20 06:24:00,-362017690.415152,-3285285662.98958,0,0,0,0,0,0,519.11</t>
  </si>
  <si>
    <t>2025-05-20 06:24:00,73971364.7809854,-834446.185972581,0,0,0,0,0,0,5936.25</t>
  </si>
  <si>
    <t>2025-05-20 06:24:00,201141214.380732,20152.710387725,0,-37,0,0,-0.0692682612686477,0,21309.5</t>
  </si>
  <si>
    <t>2025-05-20 06:25:00,600,,,,580,,,,,,,,,,,594.27</t>
  </si>
  <si>
    <t>2025-05-20 06:25:00,525,,,,500,,,,,,,,,,,521.12</t>
  </si>
  <si>
    <t>2025-05-20 06:25:00,6000,,5950,,5700,,6030,,,,,6000,5900,6000,5900,5952.75</t>
  </si>
  <si>
    <t>2025-05-20 06:25:00,21325,,,,21325,,,,,,,,,,,21389.25</t>
  </si>
  <si>
    <t>2025-05-20 06:25:00,2527328381.66037,0,0,0,0,0,0,0,594.27</t>
  </si>
  <si>
    <t>2025-05-20 06:25:00,149363235.324461,0,0,0,0,0,0,0,521.12</t>
  </si>
  <si>
    <t>2025-05-20 06:25:00,69385352.7472875,7988466.24991663,36082.9663114488,2752,457905.993439246,101254.74,82.1861066989335,2203.17,5952.75</t>
  </si>
  <si>
    <t>2025-05-20 06:25:00,190650970.555497,0,155.00287018848,-75,-1919.73356283777,-1747.24,0.0609110002364508,-1.96,21389.25</t>
  </si>
  <si>
    <t>2025-05-20 06:26:00,600,,,,580,,,,,,,,,,,594.27</t>
  </si>
  <si>
    <t>2025-05-20 06:26:00,525,,,,500,,,,,,,,,,,521.16</t>
  </si>
  <si>
    <t>2025-05-20 06:26:00,6000,,5950,,5700,,6030,,,,,6000,5900,6000,5900,5953</t>
  </si>
  <si>
    <t>2025-05-20 06:26:00,21325,,,,21325,,,,,,,,,,,21390.75</t>
  </si>
  <si>
    <t>2025-05-20 06:26:00,2527341455.05447,0,0,0,0,0,0,0,594.27</t>
  </si>
  <si>
    <t>2025-05-20 06:26:00,162359006.215675,0,0,0,0,0,0,0,521.16</t>
  </si>
  <si>
    <t>2025-05-20 06:26:00,69594730.8885142,7995114.40778613,67.2,3,2042.553,133.59,0.135717034901666,4.88,5953</t>
  </si>
  <si>
    <t>2025-05-20 06:26:00,190566690.972329,0,0,0,0,0,0,0,21390.75</t>
  </si>
  <si>
    <t>2025-05-20 06:27:00,600,,,,580,,,,,,,,,,,594.32</t>
  </si>
  <si>
    <t>2025-05-20 06:27:00,525,,,,500,,,,,,,,,,,521.15</t>
  </si>
  <si>
    <t>2025-05-20 06:27:00,6000,,5950,,5700,,6030,,,,,6000,5900,6000,5900,5953.25</t>
  </si>
  <si>
    <t>2025-05-20 06:27:00,21325,,,,21325,,,,,,,,,,,21390.5</t>
  </si>
  <si>
    <t>2025-05-20 06:27:00,2571687456.24758,0,0,0,0,0,0,0,594.32</t>
  </si>
  <si>
    <t>2025-05-20 06:27:00,159142914.213848,0,0,0,0,0,0,0,521.15</t>
  </si>
  <si>
    <t>2025-05-20 06:27:00,68397886.6161162,7869897.51214323,-15.1500000000002,12,-1429.38150000001,31.96,0.204242993244248,2.42,5953.25</t>
  </si>
  <si>
    <t>2025-05-20 06:27:00,190626608.853371,0,0,0,0,0,0,0,21390.5</t>
  </si>
  <si>
    <t>2025-05-20 06:28:00,600,,,,580,,,,,,,,,,,594.27</t>
  </si>
  <si>
    <t>2025-05-20 06:28:00,525,,,,500,,,,,,,,,,,521.1</t>
  </si>
  <si>
    <t>2025-05-20 06:28:00,6000,,5950,,5700,,6030,,,,,6000,5900,6000,5900,5952.75</t>
  </si>
  <si>
    <t>2025-05-20 06:28:00,21325,,,,21325,,,,,,,,,,,21388.5</t>
  </si>
  <si>
    <t>2025-05-20 06:28:00,2527524262.07496,0,0,0,0,0,0,0,594.27</t>
  </si>
  <si>
    <t>2025-05-20 06:28:00,142955787.731288,0,0,0,0,0,0,0,521.1</t>
  </si>
  <si>
    <t>2025-05-20 06:28:00,70552815.9369798,8169751.8686276,131.348888888889,11,1057.13024444445,166.16,0.289038506987051,5.33,5952.75</t>
  </si>
  <si>
    <t>2025-05-20 06:28:00,190755409.223232,0,0,0,0,0,0,0,21388.5</t>
  </si>
  <si>
    <t>2025-05-20 06:29:00,600,,,,580,,,,,,,,,,,594.27</t>
  </si>
  <si>
    <t>2025-05-20 06:29:00,525,,,,500,,,,,,,,,,,521.1</t>
  </si>
  <si>
    <t>2025-05-20 06:29:00,6000,,5950,,5700,,6030,,,,,6000,5900,6000,5900,5953</t>
  </si>
  <si>
    <t>2025-05-20 06:29:00,21325,,,,21325,,,,,,,,,,,21388.5</t>
  </si>
  <si>
    <t>2025-05-20 06:29:00,2527516411.45814,0,0,0,0,0,0,0,594.27</t>
  </si>
  <si>
    <t>2025-05-20 06:29:00,142867491.977141,0,0,0,0,0,0,0,521.1</t>
  </si>
  <si>
    <t>2025-05-20 06:29:00,70056721.6757273,8068362.46150168,25.5500000000005,2,1171.80350000001,81.41,0.0939688211586452,3.15,5953</t>
  </si>
  <si>
    <t>2025-05-20 06:29:00,190785179.675207,0,0,0,0,0,0,0,21388.5</t>
  </si>
  <si>
    <t>2025-05-20 06:30:00,600,,,,580,,,,,,,,,,,594.37</t>
  </si>
  <si>
    <t>2025-05-20 06:30:00,525,,,,500,,,,,,,,,,,521.18</t>
  </si>
  <si>
    <t>2025-05-20 06:30:00,6000,,5950,,5700,,6030,,,,,6000,5900,6000,5900,5954</t>
  </si>
  <si>
    <t>2025-05-20 06:30:00,21325,,,,21325,,,,,,,,,,,21390.5</t>
  </si>
  <si>
    <t>2025-05-20 06:30:00,2612142239.11069,0,0,0,0,0,0,0,594.37</t>
  </si>
  <si>
    <t>2025-05-20 06:30:00,168841109.42703,0,0,0,0,0,0,0,521.18</t>
  </si>
  <si>
    <t>2025-05-20 06:30:00,68350715.2687673,7891165.05588655,-562.5,-23,-7505.51100000001,-322.63,0.222604548307946,-6.4,5954</t>
  </si>
  <si>
    <t>2025-05-20 06:30:00,190710269.71417,0,0,0,0,0,0,0,21390.5</t>
  </si>
  <si>
    <t>2025-05-20 06:31:00,600,,,,580,,,,,,,,,,,594.33</t>
  </si>
  <si>
    <t>2025-05-20 06:31:00,525,,,,500,,,,,,,,,,,521.13</t>
  </si>
  <si>
    <t>2025-05-20 06:31:00,6000,,5950,,5700,,6030,,,,,6000,5900,6000,5900,5953.25</t>
  </si>
  <si>
    <t>2025-05-20 06:31:00,21325,,,,21325,,,,,,,,,,,21389.25</t>
  </si>
  <si>
    <t>2025-05-20 06:31:00,2581575023.83546,0,0,0,0,0,0,0,594.33</t>
  </si>
  <si>
    <t>2025-05-20 06:31:00,152381556.774715,0,0,0,0,0,0,0,521.13</t>
  </si>
  <si>
    <t>2025-05-20 06:31:00,68607305.218523,7811196.0625634,138.6,9,1829.178,121.82,0.115182500588211,4.4,5953.25</t>
  </si>
  <si>
    <t>2025-05-20 06:31:00,190698943.720376,0,0,0,0,0,0,0,21389.25</t>
  </si>
  <si>
    <t>2025-05-20 06:32:00,600,,,,580,,,,,,,,,,,594.3</t>
  </si>
  <si>
    <t>2025-05-20 06:32:00,525,,,,500,,,,,,,,,,,521.05</t>
  </si>
  <si>
    <t>2025-05-20 06:32:00,6000,,5950,,5700,,6030,,,,,6000,5900,6010,5900,5953.25</t>
  </si>
  <si>
    <t>2025-05-20 06:32:00,21325,,,,21325,,,,,,,,,,,21385.75</t>
  </si>
  <si>
    <t>2025-05-20 06:32:00,2557425266.99984,0,0,0,0,0,0,0,594.3</t>
  </si>
  <si>
    <t>2025-05-20 06:32:00,125642229.263287,0,0,0,0,0,0,0,521.05</t>
  </si>
  <si>
    <t>2025-05-20 06:32:00,70174623.4916405,8098564.40780863,983.749999999999,50,11.685499999996,10.21,0.286953956708079,2.24,5953.25</t>
  </si>
  <si>
    <t>2025-05-20 06:32:00,190972736.401527,0,0,0,0,0,0,0,21385.75</t>
  </si>
  <si>
    <t>2025-05-20 06:33:00,600,,,,580,,,,,,,,,,,594.37</t>
  </si>
  <si>
    <t>2025-05-20 06:33:00,525,,,,500,,,,,,,,,,,521.16</t>
  </si>
  <si>
    <t>2025-05-20 06:33:00,6000,,5950,,5700,,6030,,,,,6000,5900,6010,5900,5953.75</t>
  </si>
  <si>
    <t>2025-05-20 06:33:00,21325,,,,21325,,,,,,,,,,,21391</t>
  </si>
  <si>
    <t>2025-05-20 06:33:00,2618957601.86652,0,0,0,0,0,0,0,594.37</t>
  </si>
  <si>
    <t>2025-05-20 06:33:00,162265206.825392,0,0,0,0,0,0,0,521.16</t>
  </si>
  <si>
    <t>2025-05-20 06:33:00,67347544.8479253,7998798.1553569,2323.71666666666,111,5946.72116666665,333.13,0.497440376375804,11.44,5953.75</t>
  </si>
  <si>
    <t>2025-05-20 06:33:00,190639387.517023,0,0,0,0,0,0,0,21391</t>
  </si>
  <si>
    <t>2025-05-20 06:34:00,600,,,,580,,,,,,,,,,,594.21</t>
  </si>
  <si>
    <t>2025-05-20 06:34:00,525,,,,500,,,,,,,,,,,520.93</t>
  </si>
  <si>
    <t>2025-05-20 06:34:00,6000,,5950,,5700,,6030,,,,,6000,5900,6010,5900,5952.25</t>
  </si>
  <si>
    <t>2025-05-20 06:34:00,21325,,,,21325,,,,,,,,,,,21381</t>
  </si>
  <si>
    <t>2025-05-20 06:34:00,2458204360.26359,0,0,0,0,0,0,0,594.21</t>
  </si>
  <si>
    <t>2025-05-20 06:34:00,84468553.3370752,0,0,0,0,0,0,0,520.93</t>
  </si>
  <si>
    <t>2025-05-20 06:34:00,71395063.0062218,8430850.50648374,142.716666666667,9,903.347166666677,45.26,0.254512546542142,4.2,5952.25</t>
  </si>
  <si>
    <t>2025-05-20 06:34:00,191254122.33938,0,0,0,0,0,0,0,21381</t>
  </si>
  <si>
    <t>2025-05-20 06:35:00,600,,,,580,,,,,,,,,,,594.18</t>
  </si>
  <si>
    <t>2025-05-20 06:35:00,525,,,,500,,,,,,,,,,,520.9</t>
  </si>
  <si>
    <t>2025-05-20 06:35:00,6000,,5950,,5700,,6030,,,,,6000,5900,6010,5900,5952</t>
  </si>
  <si>
    <t>2025-05-20 06:35:00,21325,,,,21325,,,,,,,,,,,21379.75</t>
  </si>
  <si>
    <t>2025-05-20 06:35:00,2440108084.24722,0,0,0,0,0,0,0,594.18</t>
  </si>
  <si>
    <t>2025-05-20 06:35:00,74065437.7002705,0,0,0,0,0,0,0,520.9</t>
  </si>
  <si>
    <t>2025-05-20 06:35:00,71818759.1567135,8408098.48147007,-52.7491341991343,96,-4288.68256926408,6346.59,-0.234453326793243,75.65,5952</t>
  </si>
  <si>
    <t>2025-05-20 06:35:00,191324315.032383,0,0,0,0,0,0,0,21379.75</t>
  </si>
  <si>
    <t>2025-05-20 06:36:00,600,,,,580,,,,,,,,,,,594.19</t>
  </si>
  <si>
    <t>2025-05-20 06:36:00,525,,,,500,,,,,,,,,,,520.98</t>
  </si>
  <si>
    <t>2025-05-20 06:36:00,6000,,5950,,5700,,6030,,,,,6000,5900,6010,5900,5952</t>
  </si>
  <si>
    <t>2025-05-20 06:36:00,21325,,,,21325,,,,,,,,,,,21383.25</t>
  </si>
  <si>
    <t>2025-05-20 06:36:00,2447431935.06948,0,0,0,0,0,0,0,594.19</t>
  </si>
  <si>
    <t>2025-05-20 06:36:00,101607172.253882,0,0,0,0,0,0,0,520.98</t>
  </si>
  <si>
    <t>2025-05-20 06:36:00,71510276.1485541,8363766.53268455,-8.73333333333404,3,696.583666666655,104.49,0.277879332795242,5.49,5952</t>
  </si>
  <si>
    <t>2025-05-20 06:36:00,191112069.626723,0,0,0,0,0,0,0,21383.25</t>
  </si>
  <si>
    <t>2025-05-20 06:37:00,600,,,,580,,,,,,,,,,,594.21</t>
  </si>
  <si>
    <t>2025-05-20 06:37:00,525,,,,500,,,,,,,,,,,521</t>
  </si>
  <si>
    <t>2025-05-20 06:37:00,6000,,5950,,5700,,6030,,,,,6000,5900,6010,5900,5952.25</t>
  </si>
  <si>
    <t>2025-05-20 06:37:00,21325,,,,21325,,,,,,,,,,,21383.75</t>
  </si>
  <si>
    <t>2025-05-20 06:37:00,2458424425.85352,0,0,0,0,0,0,0,594.21</t>
  </si>
  <si>
    <t>2025-05-20 06:37:00,108550830.659873,0,0,0,0,0,0,0,521</t>
  </si>
  <si>
    <t>2025-05-20 06:37:00,70589117.2550448,8141453.40342744,27.9344256518672,114,-4039.10569591262,6460.45,-0.257082886295082,78.39,5952.25</t>
  </si>
  <si>
    <t>2025-05-20 06:37:00,191109231.714517,0,0,0,0,0,0,0,21383.75</t>
  </si>
  <si>
    <t>2025-05-20 06:38:00,600,,,,580,,,,,,,,,,,594.27</t>
  </si>
  <si>
    <t>2025-05-20 06:38:00,525,,,,500,,,,,,,,,,,521.06</t>
  </si>
  <si>
    <t>2025-05-20 06:38:00,6000,,5950,,5700,,6030,,,,,6000,5900,6010,5900,5953</t>
  </si>
  <si>
    <t>2025-05-20 06:38:00,21325,,,,21325,,,,,,,,,,,21386.5</t>
  </si>
  <si>
    <t>2025-05-20 06:38:00,2527526250.2378,0,0,0,0,0,0,0,594.27</t>
  </si>
  <si>
    <t>2025-05-20 06:38:00,129035773.080349,0,0,0,0,0,0,0,521.06</t>
  </si>
  <si>
    <t>2025-05-20 06:38:00,69262891.2022596,8030077.0291988,64.5666666666667,-1,927.742666666668,76.91,0.16032146135035,3.28,5953</t>
  </si>
  <si>
    <t>2025-05-20 06:38:00,190994447.094723,0,0,0,0,0,0,0,21386.5</t>
  </si>
  <si>
    <t>2025-05-20 06:39:00,600,,,,580,,,,,,,,,,,594.29</t>
  </si>
  <si>
    <t>2025-05-20 06:39:00,525,,,,500,,,,,,,,,,,521.07</t>
  </si>
  <si>
    <t>2025-05-20 06:39:00,6000,,5950,,5700,,6030,,,,,6000,5900,6010,5900,5953.25</t>
  </si>
  <si>
    <t>2025-05-20 06:39:00,21325,,,,21325,,,,,,,,,,,21387</t>
  </si>
  <si>
    <t>2025-05-20 06:39:00,2545750294.36034,0,0,0,0,0,0,0,594.29</t>
  </si>
  <si>
    <t>2025-05-20 06:39:00,132313534.001811,0,0,0,0,0,0,0,521.07</t>
  </si>
  <si>
    <t>2025-05-20 06:39:00,69169050.6518799,7911542.8090581,-79.3000000000001,-13,-238.394333333334,-13.38,0.0646531959893873,0.13,5953.25</t>
  </si>
  <si>
    <t>2025-05-20 06:39:00,190990539.684637,0,0,0,0,0,0,0,21387</t>
  </si>
  <si>
    <t>2025-05-20 06:40:00,600,,,,580,,,,,,,,,,,594.24</t>
  </si>
  <si>
    <t>2025-05-20 06:40:00,525,,,,500,,,,,,,,,,,521.06</t>
  </si>
  <si>
    <t>2025-05-20 06:40:00,6000,,5950,,5700,,6030,,,,,6000,5900,6010,5900,5952.5</t>
  </si>
  <si>
    <t>2025-05-20 06:40:00,21325,,,,21325,,,,,,,,,,,21386.5</t>
  </si>
  <si>
    <t>2025-05-20 06:40:00,2493825153.61484,0,0,0,0,0,0,0,594.24</t>
  </si>
  <si>
    <t>2025-05-20 06:40:00,128926699.52118,0,0,0,0,0,0,0,521.06</t>
  </si>
  <si>
    <t>2025-05-20 06:40:00,69897401.1085342,8056777.71243073,16.2500000000008,6,1367.64350000001,114.5,0.172225243351137,4.64,5952.5</t>
  </si>
  <si>
    <t>2025-05-20 06:40:00,190986046.174338,0,0,0,0,0,0,0,21386.5</t>
  </si>
  <si>
    <t>2025-05-20 06:41:00,600,,,,580,,,,,,,,,,,594.18</t>
  </si>
  <si>
    <t>2025-05-20 06:41:00,525,,,,500,,,,,,,,,,,520.97</t>
  </si>
  <si>
    <t>2025-05-20 06:41:00,6000,,5950,,5700,,6030,,,,,6000,5900,6010,5900,5952.25</t>
  </si>
  <si>
    <t>2025-05-20 06:41:00,21325,,,,21325,,,,,,,,,,,21383.25</t>
  </si>
  <si>
    <t>2025-05-20 06:41:00,2440407726.33412,0,0,0,0,0,0,0,594.18</t>
  </si>
  <si>
    <t>2025-05-20 06:41:00,98043173.3609477,0,0,0,0,0,0,0,520.97</t>
  </si>
  <si>
    <t>2025-05-20 06:41:00,69585824.4487271,7440552.47418673,23.0000000000005,-2,-1367.12199999999,-97.45,0.0845347535697515,-2.1,5952.25</t>
  </si>
  <si>
    <t>2025-05-20 06:41:00,191207016.594576,0,0,0,0,0,0,0,21383.25</t>
  </si>
  <si>
    <t>2025-05-20 06:42:00,600,,,,580,,,,,,,,,,,594.2</t>
  </si>
  <si>
    <t>2025-05-20 06:42:00,525,,,,500,,,,,,,,,,,521.02</t>
  </si>
  <si>
    <t>2025-05-20 06:42:00,6000,,5950,,5700,,6030,,,,,6000,5900,6010,5900,5952.25</t>
  </si>
  <si>
    <t>2025-05-20 06:42:00,21325,,,,21325,,,,,,,,,,,21385.25</t>
  </si>
  <si>
    <t>2025-05-20 06:42:00,2449395195.88711,0,0,0,0,0,0,0,594.2</t>
  </si>
  <si>
    <t>2025-05-20 06:42:00,115203866.393495,0,0,0,0,0,0,0,521.02</t>
  </si>
  <si>
    <t>2025-05-20 06:42:00,71502321.5811669,8291956.76108419,2.50000000000013,-1,380.355000000003,13.14,0.0545296546500087,0.81,5952.25</t>
  </si>
  <si>
    <t>2025-05-20 06:42:00,191085370.238709,0,0,0,0,0,0,0,21385.25</t>
  </si>
  <si>
    <t>2025-05-20 06:43:00,600,,,,580,,,,,,,,,,,594.2</t>
  </si>
  <si>
    <t>2025-05-20 06:43:00,525,,,,500,,,,,,,,,,,521</t>
  </si>
  <si>
    <t>2025-05-20 06:43:00,6000,,5950,,5700,,6030,,,,,6000,5900,6010,5900,5952.25</t>
  </si>
  <si>
    <t>2025-05-20 06:43:00,21325,,,,21325,,,,,,,,,,,21384.5</t>
  </si>
  <si>
    <t>2025-05-20 06:43:00,2449316753.89995,0,0,0,0,0,0,0,594.2</t>
  </si>
  <si>
    <t>2025-05-20 06:43:00,108316945.818849,0,0,0,0,0,0,0,521</t>
  </si>
  <si>
    <t>2025-05-20 06:43:00,69349377.3858104,7371756.34358641,-193.850000000001,-17,-34.2095000000124,-8.67,0.082835208048354,0.38,5952.25</t>
  </si>
  <si>
    <t>2025-05-20 06:43:00,191144792.11592,0,0,0,0,0,0,0,21384.5</t>
  </si>
  <si>
    <t>2025-05-20 06:44:00,600,,,,580,,,,,,,,,,,594.16</t>
  </si>
  <si>
    <t>2025-05-20 06:44:00,525,,,,500,,,,,,,,,,,520.97</t>
  </si>
  <si>
    <t>2025-05-20 06:44:00,6000,,5950,,5700,,6030,,,,,6000,5900,6010,5900,5951.75</t>
  </si>
  <si>
    <t>2025-05-20 06:44:00,21325,,,,21325,,,,,,,,,,,21382.75</t>
  </si>
  <si>
    <t>2025-05-20 06:44:00,2421754919.02138,0,0,0,0,0,0,0,594.16</t>
  </si>
  <si>
    <t>2025-05-20 06:44:00,97990133.0445435,0,0,0,0,0,0,0,520.97</t>
  </si>
  <si>
    <t>2025-05-20 06:44:00,69394936.2163819,7355635.60174966,-59.1833333333336,-2,-413.033833333335,-16.99,0.172374748291919,0.57,5951.75</t>
  </si>
  <si>
    <t>2025-05-20 06:44:00,191255626.919341,0,0,0,0,0,0,0,21382.75</t>
  </si>
  <si>
    <t>2025-05-20 06:45:00,600,,,,580,,,,,,,,,,,594.03</t>
  </si>
  <si>
    <t>2025-05-20 06:45:00,525,,,,500,,,,,,,,,,,520.8</t>
  </si>
  <si>
    <t>2025-05-20 06:45:00,6000,,5950,,5700,,6030,,,,,6000,5900,6010,5900,5950.75</t>
  </si>
  <si>
    <t>2025-05-20 06:45:00,21325,,,,21325,,,,,,,,,,,21376</t>
  </si>
  <si>
    <t>2025-05-20 06:45:00,2282944022.14916,0,0,0,0,0,0,0,594.03</t>
  </si>
  <si>
    <t>2025-05-20 06:45:00,39165379.2448254,0,0,0,0,0,0,0,520.8</t>
  </si>
  <si>
    <t>2025-05-20 06:45:00,72721692.9062559,7572927.50195066,-1131.75,-69,-453.5215,-43.85,0.29531175739303,0.38,5950.75</t>
  </si>
  <si>
    <t>2025-05-20 06:45:00,191622617.581239,0,0,0,0,0,0,0,21376</t>
  </si>
  <si>
    <t>2025-05-20 06:46:00,600,,,,580,,,,,,,,,,,594.06</t>
  </si>
  <si>
    <t>2025-05-20 06:46:00,525,,,,500,,,,,,,,,,,520.87</t>
  </si>
  <si>
    <t>2025-05-20 06:46:00,6000,,5950,,5700,,6030,,,,,6000,5900,6010,5900,5951</t>
  </si>
  <si>
    <t>2025-05-20 06:46:00,21325,,,,21325,,,,,,,,,,,21378.75</t>
  </si>
  <si>
    <t>2025-05-20 06:46:00,2314455645.7794,0,0,0,0,0,0,0,594.06</t>
  </si>
  <si>
    <t>2025-05-20 06:46:00,63512472.8115728,0,0,0,0,0,0,0,520.87</t>
  </si>
  <si>
    <t>2025-05-20 06:46:00,71489204.6975722,7450513.65465453,-244.416666666667,-22,-520.644833333332,-62.25,0.106916400697653,-1.05,5951</t>
  </si>
  <si>
    <t>2025-05-20 06:46:00,191487001.738109,0,0,0,0,0,0,0,21378.75</t>
  </si>
  <si>
    <t>2025-05-20 06:47:00,600,,,,580,,,,,,,,,,,594.1</t>
  </si>
  <si>
    <t>2025-05-20 06:47:00,525,,,,500,,,,,,,,,,,520.89</t>
  </si>
  <si>
    <t>2025-05-20 06:47:00,6000,,5950,,5700,,6030,,,,,6000,5900,6010,5900,5951.25</t>
  </si>
  <si>
    <t>2025-05-20 06:47:00,21325,,,,21325,,,,,,,,,,,21380.25</t>
  </si>
  <si>
    <t>2025-05-20 06:47:00,2359057877.48758,0,0,0,0,0,0,0,594.1</t>
  </si>
  <si>
    <t>2025-05-20 06:47:00,70518750.1837183,0,0,0,0,0,0,0,520.89</t>
  </si>
  <si>
    <t>2025-05-20 06:47:00,70973444.0415725,7383332.35841447,-1085.55,-52,-2857.17350000003,-130.68,0.37132838309607,-0.94,5951.25</t>
  </si>
  <si>
    <t>2025-05-20 06:47:00,191423838.498616,0,0,0,0,0,0,0,21380.25</t>
  </si>
  <si>
    <t>2025-05-20 06:48:00,600,,,,580,,,,,,,,,,,594.18</t>
  </si>
  <si>
    <t>2025-05-20 06:48:00,525,,,,500,,,,,,,,,,,520.98</t>
  </si>
  <si>
    <t>2025-05-20 06:48:00,6000,,5950,,5700,,6030,,,,,6000,5900,6010,5900,5952.25</t>
  </si>
  <si>
    <t>2025-05-20 06:48:00,21325,,,,21325,,,,,,,,,,,21384.25</t>
  </si>
  <si>
    <t>2025-05-20 06:48:00,2440978123.70547,0,0,0,0,0,0,0,594.18</t>
  </si>
  <si>
    <t>2025-05-20 06:48:00,101380064.261905,0,0,0,0,0,0,0,520.98</t>
  </si>
  <si>
    <t>2025-05-20 06:48:00,69484517.8097373,7379848.2924574,-523.365384615385,-22,-523.135269230784,93.32,0.3325638299822,3.99,5952.25</t>
  </si>
  <si>
    <t>2025-05-20 06:48:00,191232135.865517,0,0,0,0,0,0,0,21384.25</t>
  </si>
  <si>
    <t>2025-05-20 06:49:00,600,,,,580,,,,,,,,,,,594.24</t>
  </si>
  <si>
    <t>2025-05-20 06:49:00,525,,,,500,,,,,,,,,,,521.05</t>
  </si>
  <si>
    <t>2025-05-20 06:49:00,6000,,5950,,5700,,6030,,,,,6000,5900,6010,5900,5953</t>
  </si>
  <si>
    <t>2025-05-20 06:49:00,21325,,,,21325,,,,,,,,,,,21387.25</t>
  </si>
  <si>
    <t>2025-05-20 06:49:00,2494116522.12562,0,0,0,0,0,0,0,594.24</t>
  </si>
  <si>
    <t>2025-05-20 06:49:00,125217345.195758,0,0,0,0,0,0,0,521.05</t>
  </si>
  <si>
    <t>2025-05-20 06:49:00,69232014.3090958,8044737.1681184,-46.8999999999999,-2,1026.937,70.46,0.170340899666975,3.52,5953</t>
  </si>
  <si>
    <t>2025-05-20 06:49:00,191097537.398768,0,0,0,0,0,0,0,21387.25</t>
  </si>
  <si>
    <t>2025-05-20 06:50:00,600,,,,580,,,,,,,,,,,594.19</t>
  </si>
  <si>
    <t>2025-05-20 06:50:00,525,,,,500,,,,,,,,,,,520.97</t>
  </si>
  <si>
    <t>2025-05-20 06:50:00,6000,,5950,,5700,,6030,,,,,6000,5900,6010,5900,5952.25</t>
  </si>
  <si>
    <t>2025-05-20 06:50:00,21325,,,,21325,,,,,,,,,,,21383</t>
  </si>
  <si>
    <t>2025-05-20 06:50:00,2447316256.20913,0,0,0,0,0,0,0,594.19</t>
  </si>
  <si>
    <t>2025-05-20 06:50:00,97916436.7660224,0,0,0,0,0,0,0,520.97</t>
  </si>
  <si>
    <t>2025-05-20 06:50:00,68868080.0768687,7342152.62540646,86.8,6,310.656,22.76,0.0365023565475811,0.83,5952.25</t>
  </si>
  <si>
    <t>2025-05-20 06:50:00,191357200.008024,0,0,0,0,0,0,0,21383</t>
  </si>
  <si>
    <t>2025-05-20 06:51:00,600,,,,580,,,,,,,,,,,594.12</t>
  </si>
  <si>
    <t>2025-05-20 06:51:00,525,,,,500,,,,,,,,,,,520.85</t>
  </si>
  <si>
    <t>2025-05-20 06:51:00,6000,,5950,,5700,,6030,,,,,6000,5900,6010,5900,5951.75</t>
  </si>
  <si>
    <t>2025-05-20 06:51:00,21325,,,,21325,,,,,,,,,,,21378.5</t>
  </si>
  <si>
    <t>2025-05-20 06:51:00,2381252056.60943,0,0,0,0,0,0,0,594.12</t>
  </si>
  <si>
    <t>2025-05-20 06:51:00,56323790.5248085,0,0,0,0,0,0,0,520.85</t>
  </si>
  <si>
    <t>2025-05-20 06:51:00,70428830.3047173,7495394.88150689,43.9500000000001,3,1260.7265,62.87,0.0521040683148303,2.23,5951.75</t>
  </si>
  <si>
    <t>2025-05-20 06:51:00,191628694.442663,0,0,0,0,0,0,0,21378.5</t>
  </si>
  <si>
    <t>2025-05-20 06:52:00,600,,,,580,,,,,,,,,,,594.19</t>
  </si>
  <si>
    <t>2025-05-20 06:52:00,525,,,,500,,,,,,,,,,,521.02</t>
  </si>
  <si>
    <t>2025-05-20 06:52:00,6000,,5950,,5700,,6030,,,,,6000,5900,6010,5900,5952.25</t>
  </si>
  <si>
    <t>2025-05-20 06:52:00,21325,,,,21325,,,,,,,,,,,21385.75</t>
  </si>
  <si>
    <t>2025-05-20 06:52:00,2447811227.55438,0,0,0,0,0,0,0,594.19</t>
  </si>
  <si>
    <t>2025-05-20 06:52:00,115118026.093767,0,0,0,0,0,0,0,521.02</t>
  </si>
  <si>
    <t>2025-05-20 06:52:00,68873139.2396619,7325500.52453865,-79,-5,-30.8500000000001,-1,0.0214353999226329,0.12,5952.25</t>
  </si>
  <si>
    <t>2025-05-20 06:52:00,191189152.2829,0,0,0,0,0,0,0,21385.75</t>
  </si>
  <si>
    <t>2025-05-20 06:53:00,600,,,,580,,,,,,,,,,,594.19</t>
  </si>
  <si>
    <t>2025-05-20 06:53:00,525,,,,500,,,,,,,,,,,520.99</t>
  </si>
  <si>
    <t>2025-05-20 06:53:00,6000,,5950,,5700,,6030,,,,,6000,5900,6010,5900,5952.5</t>
  </si>
  <si>
    <t>2025-05-20 06:53:00,21325,,,,21325,,,,,,,,,,,21384.5</t>
  </si>
  <si>
    <t>2025-05-20 06:53:00,2447520920.96457,0,0,0,0,0,0,0,594.19</t>
  </si>
  <si>
    <t>2025-05-20 06:53:00,104730127.323569,0,0,0,0,0,0,0,520.99</t>
  </si>
  <si>
    <t>2025-05-20 06:53:00,70924637.028448,8283827.65081757,29.2666666666671,2,1312.76700000001,81.24,0.106939918663538,3.47,5952.5</t>
  </si>
  <si>
    <t>2025-05-20 06:53:00,191299956.720593,0,0,0,0,0,0,0,21384.5</t>
  </si>
  <si>
    <t>2025-05-20 06:54:00,600,,,,580,,,,,,,,,,,594.05</t>
  </si>
  <si>
    <t>2025-05-20 06:54:00,525,,,,500,,,,,,,,,,,520.82</t>
  </si>
  <si>
    <t>2025-05-20 06:54:00,6000,,5950,,5700,,6030,,,,,6000,5900,6010,5900,5950.75</t>
  </si>
  <si>
    <t>2025-05-20 06:54:00,21325,,,,21325,,,,,,,,,,,21376.75</t>
  </si>
  <si>
    <t>2025-05-20 06:54:00,2304715426.66028,0,0,0,0,0,0,0,594.05</t>
  </si>
  <si>
    <t>2025-05-20 06:54:00,46025652.4237506,0,0,0,0,0,0,0,520.82</t>
  </si>
  <si>
    <t>2025-05-20 06:54:00,72531931.103397,7575989.22662173,-1253.35,-61,-5733.78349999999,-279.9,0.335590616654678,-5.75,5950.75</t>
  </si>
  <si>
    <t>2025-05-20 06:54:00,191700218.108363,0,0,0,0,0,0,0,21376.75</t>
  </si>
  <si>
    <t>2025-05-20 06:55:00,600,,,,580,,,,,,,,,,,594.09</t>
  </si>
  <si>
    <t>2025-05-20 06:55:00,525,,,,500,,,,,,,,,,,520.85</t>
  </si>
  <si>
    <t>2025-05-20 06:55:00,6000,,5950,,5700,,6030,,,,,6000,5900,6010,5900,5951</t>
  </si>
  <si>
    <t>2025-05-20 06:55:00,21325,,,,21325,,,,,,,,,,,21378.25</t>
  </si>
  <si>
    <t>2025-05-20 06:55:00,2348721391.94634,0,0,0,0,0,0,0,594.09</t>
  </si>
  <si>
    <t>2025-05-20 06:55:00,56398053.2193294,0,0,0,0,0,0,0,520.85</t>
  </si>
  <si>
    <t>2025-05-20 06:55:00,71650421.3350794,7463856.06492357,-159.050000000002,-9,-408.207500000012,-41.43,0.32381165036828,1,5951</t>
  </si>
  <si>
    <t>2025-05-20 06:55:00,191650547.015893,0,0,0,0,0,0,0,21378.25</t>
  </si>
  <si>
    <t>2025-05-20 06:56:00,600,,,,580,,,,,,,,,,,594.05</t>
  </si>
  <si>
    <t>2025-05-20 06:56:00,525,,,,500,,,,,,,,,,,520.79</t>
  </si>
  <si>
    <t>2025-05-20 06:56:00,6000,,5950,,5700,,6030,,,,,6000,5900,6010,5900,5950.75</t>
  </si>
  <si>
    <t>2025-05-20 06:56:00,21325,,,,21325,,,,,,,,,,,21376</t>
  </si>
  <si>
    <t>2025-05-20 06:56:00,2304936538.44144,0,0,0,0,0,0,0,594.05</t>
  </si>
  <si>
    <t>2025-05-20 06:56:00,35531461.2369707,0,0,0,0,0,0,0,520.79</t>
  </si>
  <si>
    <t>2025-05-20 06:56:00,72455299.2787646,7581116.19900996,-130.75,-7,18.0074999999999,1.14,0.0498743219809594,0.33,5950.75</t>
  </si>
  <si>
    <t>2025-05-20 06:56:00,191783983.698421,0,0,0,0,0,0,0,21376</t>
  </si>
  <si>
    <t>2025-05-20 06:57:00,600,,,,580,,,,,,,,,,,594.02</t>
  </si>
  <si>
    <t>2025-05-20 06:57:00,525,,,,500,,,,,,,,,,,520.76</t>
  </si>
  <si>
    <t>2025-05-20 06:57:00,6000,,5950,,5700,,6030,,,,,6000,5900,6010,5900,5950.5</t>
  </si>
  <si>
    <t>2025-05-20 06:57:00,21325,,,,21325,,,,,,,,,,,21375</t>
  </si>
  <si>
    <t>2025-05-20 06:57:00,2272341568.82688,0,0,0,0,0,0,0,594.02</t>
  </si>
  <si>
    <t>2025-05-20 06:57:00,24976948.3301138,0,0,0,0,0,0,0,520.76</t>
  </si>
  <si>
    <t>2025-05-20 06:57:00,72189131.9534103,7579523.52675981,-55.166666666667,-2,-408.908333333335,-22.35,0.0198703583563914,-0.48,5950.5</t>
  </si>
  <si>
    <t>2025-05-20 06:57:00,191833378.925991,0,0,0,0,0,0,0,21375</t>
  </si>
  <si>
    <t>2025-05-20 06:58:00,600,,,,580,,,,,,,,,,,594.08</t>
  </si>
  <si>
    <t>2025-05-20 06:58:00,525,,,,500,,,,,,,,,,,520.8</t>
  </si>
  <si>
    <t>2025-05-20 06:58:00,6000,,5950,,5700,,6030,,,,,6000,5900,6010,5900,5951.25</t>
  </si>
  <si>
    <t>2025-05-20 06:58:00,21325,,,,21325,,,,,,,,,,,21376.5</t>
  </si>
  <si>
    <t>2025-05-20 06:58:00,2337532576.30545,0,0,0,0,0,0,0,594.08</t>
  </si>
  <si>
    <t>2025-05-20 06:58:00,39003905.7778945,0,0,0,0,0,0,0,520.8</t>
  </si>
  <si>
    <t>2025-05-20 06:58:00,71974524.2308483,7631880.28401502,1259.6,48,1587.74699999999,4.94999999999999,0.249852238374516,1.75,5951.25</t>
  </si>
  <si>
    <t>2025-05-20 06:58:00,191807864.544499,0,0,0,0,0,0,0,21376.5</t>
  </si>
  <si>
    <t>2025-05-20 06:59:00,600,,,,580,,,,,,,,,,,594</t>
  </si>
  <si>
    <t>2025-05-20 06:59:00,525,,,,500,,,,,,,,,,,520.74</t>
  </si>
  <si>
    <t>2025-05-20 06:59:00,6000,,5950,,5700,,6030,,,,,6000,5900,6010,5900,5950.25</t>
  </si>
  <si>
    <t>2025-05-20 06:59:00,21325,,,,21325,,,,,,,,,,,21374</t>
  </si>
  <si>
    <t>2025-05-20 06:59:00,2250593797.26288,0,0,0,0,0,0,0,594</t>
  </si>
  <si>
    <t>2025-05-20 06:59:00,18027696.0133208,0,0,0,0,0,0,0,520.74</t>
  </si>
  <si>
    <t>2025-05-20 06:59:00,73243003.8021391,7697104.59241751,473.950000000001,18,2384.4965,119.82,0.152742065371827,4.85,5950.25</t>
  </si>
  <si>
    <t>2025-05-20 06:59:00,191906169.213951,0,0,0,0,0,0,0,21374</t>
  </si>
  <si>
    <t>2025-05-20 07:00:00,600,,,,580,,,,,,,,,,,594.05</t>
  </si>
  <si>
    <t>2025-05-20 07:00:00,525,,,,500,,,,,,,,,,,520.84</t>
  </si>
  <si>
    <t>2025-05-20 07:00:00,6000,,5950,,5700,,6030,,,,,6000,5900,6010,5900,5950.75</t>
  </si>
  <si>
    <t>2025-05-20 07:00:00,21325,,,,21325,,,,,,,,,,,21378</t>
  </si>
  <si>
    <t>2025-05-20 07:00:00,2304871430.85876,0,0,0,0,0,0,0,594.05</t>
  </si>
  <si>
    <t>2025-05-20 07:00:00,52817192.7266405,0,0,0,0,0,0,0,520.84</t>
  </si>
  <si>
    <t>2025-05-20 07:00:00,71670659.3868366,7749466.92127324,1116.05,16,3464.84549999999,191.57,0.426736238375104,7.2,5950.75</t>
  </si>
  <si>
    <t>2025-05-20 07:00:00,191709022.021219,0,0,0,0,0,0,0,21378</t>
  </si>
  <si>
    <t>2025-05-20 07:01:00,600,,,,580,,,,,,,,,,,594.04</t>
  </si>
  <si>
    <t>2025-05-20 07:01:00,525,,,,500,,,,,,,,,,,520.83</t>
  </si>
  <si>
    <t>2025-05-20 07:01:00,6000,,5950,,5700,,6030,,,,,6000,5900,6010,5900,5950.75</t>
  </si>
  <si>
    <t>2025-05-20 07:01:00,21325,,,,21325,,,,,,,,,,,21377.75</t>
  </si>
  <si>
    <t>2025-05-20 07:01:00,2294593749.32185,0,0,0,0,0,0,0,594.04</t>
  </si>
  <si>
    <t>2025-05-20 07:01:00,49325002.0119642,0,0,0,0,0,0,0,520.83</t>
  </si>
  <si>
    <t>2025-05-20 07:01:00,71792178.3863711,7748774.79395085,-126.400000000001,-6,-1299.52600000001,-87.23,0.109828337451918,-1.59,5950.75</t>
  </si>
  <si>
    <t>2025-05-20 07:01:00,191750051.615339,0,0,0,0,0,0,0,21377.75</t>
  </si>
  <si>
    <t>2025-05-20 07:03:00,600,,,,580,,,,,,,,,,,593.92</t>
  </si>
  <si>
    <t>2025-05-20 07:03:00,525,,,,500,,,,,,,,,,,520.65</t>
  </si>
  <si>
    <t>2025-05-20 07:03:00,6000,,5950,,5700,,6030,,,,,6000,5900,6010,5900,5949.25</t>
  </si>
  <si>
    <t>2025-05-20 07:03:00,21325,,,,21325,,,,,,,,,,,21370.25</t>
  </si>
  <si>
    <t>2025-05-20 07:03:00,2158055979.64553,0,0,0,0,0,0,0,593.92</t>
  </si>
  <si>
    <t>2025-05-20 07:03:00,-14003167.0644624,0,0,0,0,0,0,0,520.65</t>
  </si>
  <si>
    <t>2025-05-20 07:03:00,74841239.3386793,8085309.10256587,279.65,9,1570.8905,43.55,0.0806583997420587,1.68,5949.25</t>
  </si>
  <si>
    <t>2025-05-20 07:03:00,192093627.527196,0,0,0,0,0,0,0,21370.25</t>
  </si>
  <si>
    <t>2025-05-20 07:04:00,600,,,,580,,,,,,,,,,,593.88</t>
  </si>
  <si>
    <t>2025-05-20 07:04:00,525,,,,500,,,,,,,,,,,520.59</t>
  </si>
  <si>
    <t>2025-05-20 07:04:00,6000,,5950,,5700,,6030,,,,,6000,5900,6010,5900,5949.25</t>
  </si>
  <si>
    <t>2025-05-20 07:04:00,21325,,,,21325,,,,,,,,,,,21368.25</t>
  </si>
  <si>
    <t>2025-05-20 07:04:00,2111029965.47898,0,0,0,0,0,0,0,593.88</t>
  </si>
  <si>
    <t>2025-05-20 07:04:00,-35321764.0649558,0,0,0,0,0,0,0,520.59</t>
  </si>
  <si>
    <t>2025-05-20 07:04:00,75193123.3348901,8088263.50123553,-1987.18333333333,-252,-4399.14516666666,-465.41,0.627096571502126,-9.74,5949.25</t>
  </si>
  <si>
    <t>2025-05-20 07:04:00,192214166.026731,0,0,0,0,0,0,0,21368.25</t>
  </si>
  <si>
    <t>2025-05-20 07:05:00,600,,,,580,,,,,,,,,,,593.97</t>
  </si>
  <si>
    <t>2025-05-20 07:05:00,525,,,,500,,,,,,,,,,,520.69</t>
  </si>
  <si>
    <t>2025-05-20 07:05:00,6000,,5950,,5700,,6030,,,,,6000,5900,6010,5900,5950</t>
  </si>
  <si>
    <t>2025-05-20 07:05:00,21325,,,,21325,,,,,,,,,,,21371.5</t>
  </si>
  <si>
    <t>2025-05-20 07:05:00,2216778860.85571,0,0,0,0,0,0,0,593.97</t>
  </si>
  <si>
    <t>2025-05-20 07:05:00,229037.483961697,0,0,0,0,0,0,0,520.69</t>
  </si>
  <si>
    <t>2025-05-20 07:05:00,72756009.942832,7830313.29726947,16.4833333333346,-2,1869.98983333337,72.06,0.174170560355213,4.44,5950</t>
  </si>
  <si>
    <t>2025-05-20 07:05:00,192094111.570398,0,0,0,0,0,0,0,21371.5</t>
  </si>
  <si>
    <t>2025-05-20 07:06:00,600,,,,580,,,,,,,,,,,594.03</t>
  </si>
  <si>
    <t>2025-05-20 07:06:00,525,,,,500,,,,,,,,,,,520.73</t>
  </si>
  <si>
    <t>2025-05-20 07:06:00,6000,,5950,,5700,,6030,,,,,6000,5900,6010,5900,5950.75</t>
  </si>
  <si>
    <t>2025-05-20 07:06:00,21325,,,,21325,,,,,,,,,,,21373.25</t>
  </si>
  <si>
    <t>2025-05-20 07:06:00,2284094846.22695,0,0,0,0,0,0,0,594.03</t>
  </si>
  <si>
    <t>2025-05-20 07:06:00,14441444.4044288,0,0,0,0,0,0,0,520.73</t>
  </si>
  <si>
    <t>2025-05-20 07:06:00,72401648.4169533,7918436.79274946,640.849999999987,-1,-18551.3505000002,-1727.73,2.94353387196767,-21.79,5950.75</t>
  </si>
  <si>
    <t>2025-05-20 07:06:00,192052511.254824,0,0,0,0,0,0,0,21373.25</t>
  </si>
  <si>
    <t>2025-05-20 07:07:00,600,,,,580,,,,,,,,,,,594.1</t>
  </si>
  <si>
    <t>2025-05-20 07:07:00,525,,,,500,,,,,,,,,,,520.8</t>
  </si>
  <si>
    <t>2025-05-20 07:07:00,6000,,5950,,5700,,6030,,,,,6000,5900,6010,5900,5951.5</t>
  </si>
  <si>
    <t>2025-05-20 07:07:00,21325,,,,21325,,,,,,,,,,,21376</t>
  </si>
  <si>
    <t>2025-05-20 07:07:00,2359179948.16586,0,0,0,0,0,0,0,594.1</t>
  </si>
  <si>
    <t>2025-05-20 07:07:00,38835200.5860893,0,0,0,0,0,0,0,520.8</t>
  </si>
  <si>
    <t>2025-05-20 07:07:00,70180930.1746933,7632261.147251,-229.996666666665,-14,1116.5433,-86.05,0.303258108522371,2.2,5951.5</t>
  </si>
  <si>
    <t>2025-05-20 07:07:00,191952752.899445,0,0,0,0,0,0,0,21376</t>
  </si>
  <si>
    <t>2025-05-20 07:08:00,600,,,,580,,,,,,,,,,,594.2</t>
  </si>
  <si>
    <t>2025-05-20 07:08:00,525,,,,500,,,,,,,,,,,520.9</t>
  </si>
  <si>
    <t>2025-05-20 07:08:00,6000,,5950,,5700,,6030,,,,,6000,5900,6010,5900,5952.75</t>
  </si>
  <si>
    <t>2025-05-20 07:08:00,21325,,,,21325,,,,,,,,,,,21380.25</t>
  </si>
  <si>
    <t>2025-05-20 07:08:00,2450454681.32911,0,0,0,0,0,0,0,594.2</t>
  </si>
  <si>
    <t>2025-05-20 07:08:00,73562242.7607399,0,0,0,0,0,0,0,520.9</t>
  </si>
  <si>
    <t>2025-05-20 07:08:00,68017666.0622184,7547521.56717886,-908.666666666668,-31,-4622.23366666667,-163.43,0.304905305192517,-2.46,5952.75</t>
  </si>
  <si>
    <t>2025-05-20 07:08:00,191798096.837299,0,0,0,0,0,0,0,21380.25</t>
  </si>
  <si>
    <t>2025-05-20 07:09:00,600,,,,580,,,,,,,,,,,594.1</t>
  </si>
  <si>
    <t>2025-05-20 07:09:00,525,,,,500,,,,,,,,,,,520.76</t>
  </si>
  <si>
    <t>2025-05-20 07:09:00,6000,,5950,,5700,,6030,,,,,6000,5900,6010,5900,5951.25</t>
  </si>
  <si>
    <t>2025-05-20 07:09:00,21325,,,,21325,,,,,,,,,,,21374.25</t>
  </si>
  <si>
    <t>2025-05-20 07:09:00,2359624930.71183,0,0,0,0,0,0,0,594.1</t>
  </si>
  <si>
    <t>2025-05-20 07:09:00,24863582.147306,0,0,0,0,0,0,0,520.76</t>
  </si>
  <si>
    <t>2025-05-20 07:09:00,71173533.1963276,7624709.98609236,34.35,0,-1748.60350000001,-106.28,0.107747816796043,-1.6,5951.25</t>
  </si>
  <si>
    <t>2025-05-20 07:09:00,192084643.71845,0,0,0,0,0,0,0,21374.25</t>
  </si>
  <si>
    <t>2025-05-20 07:10:00,600,,,,580,,,,,,,,,,,594</t>
  </si>
  <si>
    <t>2025-05-20 07:10:00,525,,,,500,,,,,,,,,,,520.65</t>
  </si>
  <si>
    <t>2025-05-20 07:10:00,6000,,5950,,5700,,6030,,,,,6000,5900,6010,5900,5950.25</t>
  </si>
  <si>
    <t>2025-05-20 07:10:00,21325,,,,21325,,,,,,,,,,,21369.75</t>
  </si>
  <si>
    <t>2025-05-20 07:10:00,2251053317.14267,0,0,0,0,0,0,0,594</t>
  </si>
  <si>
    <t>2025-05-20 07:10:00,-13956776.9714865,0,0,0,0,0,0,0,520.65</t>
  </si>
  <si>
    <t>2025-05-20 07:10:00,71869545.8112593,7511331.68114199,-1407.3,-94,-3293.26400000001,-248.66,0.460569702326544,-3.22,5950.25</t>
  </si>
  <si>
    <t>2025-05-20 07:10:00,192283984.131483,0,0,0,0,0,0,0,21369.75</t>
  </si>
  <si>
    <t>2025-05-20 07:11:00,600,,,,580,,,,,,,,,,,593.99</t>
  </si>
  <si>
    <t>2025-05-20 07:11:00,525,,,,500,,,,,,,,,,,520.64</t>
  </si>
  <si>
    <t>2025-05-20 07:11:00,6000,,5950,,5700,,6030,,,,,6000,5900,6010,5900,5950.5</t>
  </si>
  <si>
    <t>2025-05-20 07:11:00,21325,,,,21325,,,,,,,,,,,21369.5</t>
  </si>
  <si>
    <t>2025-05-20 07:11:00,2239180943.71106,0,0,0,0,0,0,0,593.99</t>
  </si>
  <si>
    <t>2025-05-20 07:11:00,-17636168.058734,0,0,0,0,0,0,0,520.64</t>
  </si>
  <si>
    <t>2025-05-20 07:11:00,72823413.3541844,7759238.13576322,-158,-9,-1404.53,-87.08,0.074233081343699,-1.89,5950.5</t>
  </si>
  <si>
    <t>2025-05-20 07:11:00,192246228.383846,0,0,0,0,0,0,0,21369.5</t>
  </si>
  <si>
    <t>2025-05-20 07:12:00,600,,,,580,,,,,,,,,,,594.08</t>
  </si>
  <si>
    <t>2025-05-20 07:12:00,525,,,,500,,,,,,,,,,,520.73</t>
  </si>
  <si>
    <t>2025-05-20 07:12:00,6000,,5950,,5700,,6030,,,,,6000,5900,6010,5900,5951.5</t>
  </si>
  <si>
    <t>2025-05-20 07:12:00,21325,,,,21325,,,,,,,,,,,21373.25</t>
  </si>
  <si>
    <t>2025-05-20 07:12:00,2337708921.12946,0,0,0,0,0,0,0,594.08</t>
  </si>
  <si>
    <t>2025-05-20 07:12:00,14406540.7435512,0,0,0,0,0,0,0,520.73</t>
  </si>
  <si>
    <t>2025-05-20 07:12:00,71293651.6994676,7784449.17336094,173.499999999999,7,1110.59999999999,23.63,0.0678500086825986,1.09,5951.5</t>
  </si>
  <si>
    <t>2025-05-20 07:12:00,192120829.681861,0,0,0,0,0,0,0,21373.25</t>
  </si>
  <si>
    <t>2025-05-20 07:13:00,600,,,,580,,,,,,,,,,,594.12</t>
  </si>
  <si>
    <t>2025-05-20 07:13:00,525,,,,500,,,,,,,,,,,520.74</t>
  </si>
  <si>
    <t>2025-05-20 07:13:00,6000,,5950,,5700,,6030,,,,,6000,5900,6010,5900,5951.5</t>
  </si>
  <si>
    <t>2025-05-20 07:13:00,21325,,,,21325,,,,,,,,,,,21373.25</t>
  </si>
  <si>
    <t>2025-05-20 07:13:00,2381576346.1431,0,0,0,0,0,0,0,594.12</t>
  </si>
  <si>
    <t>2025-05-20 07:13:00,17936884.5264933,0,0,0,0,0,0,0,520.74</t>
  </si>
  <si>
    <t>2025-05-20 07:13:00,69976426.9540616,7507152.0290631,-13.15,-1,-77.9794999999999,-5.93,0.0136190824312125,-0.1,5951.5</t>
  </si>
  <si>
    <t>2025-05-20 07:13:00,192146531.522051,0,0,0,0,0,0,0,21373.25</t>
  </si>
  <si>
    <t>2025-05-20 07:14:00,600,,,,580,,,,,,,,,,,594.11</t>
  </si>
  <si>
    <t>2025-05-20 07:14:00,525,,,,500,,,,,,,,,,,520.73</t>
  </si>
  <si>
    <t>2025-05-20 07:14:00,6000,,5950,,5700,,6030,,,,,6000,5900,6010,5900,5951.75</t>
  </si>
  <si>
    <t>2025-05-20 07:14:00,21325,,,,21325,,,,,,,,,,,21374</t>
  </si>
  <si>
    <t>2025-05-20 07:14:00,2370693318.89547,0,0,0,0,0,0,0,594.11</t>
  </si>
  <si>
    <t>2025-05-20 07:14:00,14404021.7778043,0,0,0,0,0,0,0,520.73</t>
  </si>
  <si>
    <t>2025-05-20 07:14:00,69919417.1432448,7627506.23922986,-73.9000000000001,-10,-229.927000000001,-25.58,0.0471607044876603,-0.34,5951.75</t>
  </si>
  <si>
    <t>2025-05-20 07:14:00,192134583.46785,0,0,0,0,0,0,0,21374</t>
  </si>
  <si>
    <t>2025-05-20 07:15:00,600,,,,580,,,,,,,,,,,594.1</t>
  </si>
  <si>
    <t>2025-05-20 07:15:00,525,,,,500,,,,,,,,,,,520.73</t>
  </si>
  <si>
    <t>2025-05-20 07:15:00,6000,,5950,,5700,,6030,,,,,6000,5900,6010,5900,5951.5</t>
  </si>
  <si>
    <t>2025-05-20 07:15:00,21325,,,,21325,,,,,,,,,,,21375.5</t>
  </si>
  <si>
    <t>2025-05-20 07:15:00,2359979290.04615,0,0,0,0,0,0,0,594.1</t>
  </si>
  <si>
    <t>2025-05-20 07:15:00,14437644.3080014,0,0,0,0,0,0,0,520.73</t>
  </si>
  <si>
    <t>2025-05-20 07:15:00,70429108.4629222,7503167.65290367,-696.45,-39,-4013.7005,-241.54,0.220823673694631,-4.88,5951.5</t>
  </si>
  <si>
    <t>2025-05-20 07:15:00,192031114.220349,0,0,0,0,0,0,0,21375.5</t>
  </si>
  <si>
    <t>2025-05-20 07:16:00,600,,,,580,,,,,,,,,,,594.12</t>
  </si>
  <si>
    <t>2025-05-20 07:16:00,525,,,,500,,,,,,,,,,,520.75</t>
  </si>
  <si>
    <t>2025-05-20 07:16:00,6000,,5950,,5700,,6030,,,,,6000,5900,6010,5900,5951.75</t>
  </si>
  <si>
    <t>2025-05-20 07:16:00,21325,,,,21325,,,,,,,,,,,21375.75</t>
  </si>
  <si>
    <t>2025-05-20 07:16:00,2381695198.19194,0,0,0,0,0,0,0,594.12</t>
  </si>
  <si>
    <t>2025-05-20 07:16:00,21349453.4993873,0,0,0,0,0,0,0,520.75</t>
  </si>
  <si>
    <t>2025-05-20 07:16:00,69946210.0138919,7630292.51843411,473.449999999998,24,7018.78149999997,344.67,0.299035739616807,12.36,5951.75</t>
  </si>
  <si>
    <t>2025-05-20 07:16:00,192054251.863688,0,0,0,0,0,0,0,21375.75</t>
  </si>
  <si>
    <t>2025-05-20 07:17:00,600,,,,580,,,,,,,,,,,594.09</t>
  </si>
  <si>
    <t>2025-05-20 07:17:00,525,,,,500,,,,,,,,,,,520.76</t>
  </si>
  <si>
    <t>2025-05-20 07:17:00,6000,,5950,,5700,,6030,,,,,6000,5900,6010,5900,5951.25</t>
  </si>
  <si>
    <t>2025-05-20 07:17:00,21325,,,,21325,,,,,,,,,,,21375.75</t>
  </si>
  <si>
    <t>2025-05-20 07:17:00,2348381558.39431,0,0,0,0,0,0,0,594.09</t>
  </si>
  <si>
    <t>2025-05-20 07:17:00,24845570.4155244,0,0,0,0,0,0,0,520.76</t>
  </si>
  <si>
    <t>2025-05-20 07:17:00,70933217.2836524,7702906.06163825,500.999999999999,19,2313.90699999999,76.8,0.274752218216588,4.09,5951.25</t>
  </si>
  <si>
    <t>2025-05-20 07:17:00,192036928.366301,0,0,0,0,0,0,0,21375.75</t>
  </si>
  <si>
    <t>2025-05-20 07:18:00,600,,,,580,,,,,,,,,,,594.13</t>
  </si>
  <si>
    <t>2025-05-20 07:18:00,525,,,,500,,,,,,,,,,,520.8</t>
  </si>
  <si>
    <t>2025-05-20 07:18:00,6000,,5950,,5700,,6030,,,,,6000,5900,6010,5900,5952</t>
  </si>
  <si>
    <t>2025-05-20 07:18:00,21325,,,,21325,,,,,,,,,,,21377.75</t>
  </si>
  <si>
    <t>2025-05-20 07:18:00,2392197449.1689,0,0,0,0,0,0,0,594.13</t>
  </si>
  <si>
    <t>2025-05-20 07:18:00,38672148.6765713,0,0,0,0,0,0,0,520.8</t>
  </si>
  <si>
    <t>2025-05-20 07:18:00,70043242.233964,7681861.60190123,19.933333333334,-1,313.61533333335,-10.72,0.0746097729331898,1.46,5952</t>
  </si>
  <si>
    <t>2025-05-20 07:18:00,191978056.4506,0,0,0,0,0,0,0,21377.75</t>
  </si>
  <si>
    <t>2025-05-20 07:19:00,600,,,,580,,,,,,,,,,,594.2</t>
  </si>
  <si>
    <t>2025-05-20 07:19:00,525,,,,500,,,,,,,,,,,520.89</t>
  </si>
  <si>
    <t>2025-05-20 07:19:00,6000,,5950,,5700,,6030,,,,,6000,5900,6010,5900,5952.75</t>
  </si>
  <si>
    <t>2025-05-20 07:19:00,21325,,,,21325,,,,,,,,,,,21381</t>
  </si>
  <si>
    <t>2025-05-20 07:19:00,2450503084.37767,0,0,0,0,0,0,0,594.2</t>
  </si>
  <si>
    <t>2025-05-20 07:19:00,69999702.3362283,0,0,0,0,0,0,0,520.89</t>
  </si>
  <si>
    <t>2025-05-20 07:19:00,69842434.2230505,8469281.33831131,-81.3499999999999,-5,-224.0235,-10.83,0.0567935892144934,0.04,5952.75</t>
  </si>
  <si>
    <t>2025-05-20 07:19:00,191845298.348308,0,0,0,0,0,0,0,21381</t>
  </si>
  <si>
    <t>2025-05-20 07:20:00,600,,,,580,,,,,,,,,,,594.16</t>
  </si>
  <si>
    <t>2025-05-20 07:20:00,525,,,,500,,,,,,,,,,,520.79</t>
  </si>
  <si>
    <t>2025-05-20 07:20:00,6000,,5950,,5700,,6030,,,,,6000,5900,6010,5900,5952.25</t>
  </si>
  <si>
    <t>2025-05-20 07:20:00,21325,,,,21325,,,,,,,,,,,21377.25</t>
  </si>
  <si>
    <t>2025-05-20 07:20:00,2423216625.89122,0,0,0,0,0,0,0,594.16</t>
  </si>
  <si>
    <t>2025-05-20 07:20:00,35255266.2218797,0,0,0,0,0,0,0,520.79</t>
  </si>
  <si>
    <t>2025-05-20 07:20:00,69541479.0550874,7701512.80639642,-1526.95000000001,-50,-11353.9865,-370.27,0.367916459863037,-8.06,5952.25</t>
  </si>
  <si>
    <t>2025-05-20 07:20:00,192058599.557695,0,0,0,0,0,0,0,21377.25</t>
  </si>
  <si>
    <t>2025-05-20 07:21:00,600,,,,580,,,,,,,,,,,594.08</t>
  </si>
  <si>
    <t>2025-05-20 07:21:00,525,,,,500,,,,,,,,,,,520.67</t>
  </si>
  <si>
    <t>2025-05-20 07:21:00,6000,,5950,,5700,,6030,,,,,6000,5900,6010,5900,5951.25</t>
  </si>
  <si>
    <t>2025-05-20 07:21:00,21325,,,,21325,,,,,,,,,,,21372</t>
  </si>
  <si>
    <t>2025-05-20 07:21:00,2337752984.93348,0,0,0,0,0,0,0,594.08</t>
  </si>
  <si>
    <t>2025-05-20 07:21:00,-6978882.11226892,0,0,0,0,0,0,0,520.67</t>
  </si>
  <si>
    <t>2025-05-20 07:21:00,72193536.4127175,7731562.89699988,-189.050000000001,-13,-4989.65650000002,-331.8,0.211089686562062,-6.77,5951.25</t>
  </si>
  <si>
    <t>2025-05-20 07:21:00,192319646.650167,0,0,0,0,0,0,0,21372</t>
  </si>
  <si>
    <t>2025-05-20 07:22:00,600,,,,580,,,,,,,,,,,594.11</t>
  </si>
  <si>
    <t>2025-05-20 07:22:00,525,,,,500,,,,,,,,,,,520.68</t>
  </si>
  <si>
    <t>2025-05-20 07:22:00,6000,,5950,,5700,,6030,,,,,6000,5900,6010,5900,5951.75</t>
  </si>
  <si>
    <t>2025-05-20 07:22:00,21325,,,,21325,,,,,,,,,,,21372.5</t>
  </si>
  <si>
    <t>2025-05-20 07:22:00,2370539673.85179,0,0,0,0,0,0,0,594.11</t>
  </si>
  <si>
    <t>2025-05-20 07:22:00,-3575187.29453273,0,0,0,0,0,0,0,520.68</t>
  </si>
  <si>
    <t>2025-05-20 07:22:00,70418238.0518123,7872419.30128947,2.83333333333384,0,615.348333333341,19.63,0.0889264073909953,1.33,5951.75</t>
  </si>
  <si>
    <t>2025-05-20 07:22:00,192338432.779798,0,0,0,0,0,0,0,21372.5</t>
  </si>
  <si>
    <t>2025-05-20 07:23:00,600,,,,580,,,,,,,,,,,593.96</t>
  </si>
  <si>
    <t>2025-05-20 07:23:00,525,,,,500,,,,,,,,,,,520.53</t>
  </si>
  <si>
    <t>2025-05-20 07:23:00,6000,,5950,,5700,,6030,,,,,6000,5900,6010,5900,5950</t>
  </si>
  <si>
    <t>2025-05-20 07:23:00,21325,,,,21325,,,,,,,,,,,21366.25</t>
  </si>
  <si>
    <t>2025-05-20 07:23:00,2205562907.63124,0,0,0,0,0,0,0,593.96</t>
  </si>
  <si>
    <t>2025-05-20 07:23:00,-56830701.4076286,0,0,0,0,0,0,0,520.53</t>
  </si>
  <si>
    <t>2025-05-20 07:23:00,72976555.0999397,7850164.1417781,-138.300000000001,-13,-2592.84600000001,-241.58,0.157712853645717,-4.68,5950</t>
  </si>
  <si>
    <t>2025-05-20 07:23:00,192564118.935967,0,0,0,0,0,0,0,21366.25</t>
  </si>
  <si>
    <t>2025-05-20 07:24:00,600,,,,580,,,,,,,,,,,593.96</t>
  </si>
  <si>
    <t>2025-05-20 07:24:00,525,,,,500,,,,,,,,,,,520.52</t>
  </si>
  <si>
    <t>2025-05-20 07:24:00,6000,,5950,,5700,,6030,,,,,6000,5900,6010,5900,5950</t>
  </si>
  <si>
    <t>2025-05-20 07:24:00,21325,,,,21325,,,,,,,,,,,21365.75</t>
  </si>
  <si>
    <t>2025-05-20 07:24:00,2205540066.37845,0,0,0,0,0,0,0,593.96</t>
  </si>
  <si>
    <t>2025-05-20 07:24:00,-60521859.9591794,0,0,0,0,0,0,0,520.52</t>
  </si>
  <si>
    <t>2025-05-20 07:24:00,73282256.0855432,7978540.54426329,2654.6,91,4946.82099999999,133.81,0.384516368468839,4.48,5950</t>
  </si>
  <si>
    <t>2025-05-20 07:24:00,192606236.068144,0,0,0,0,0,0,0,21365.75</t>
  </si>
  <si>
    <t>2025-05-20 07:25:00,600,,,,580,,,,,,,,,,,593.93</t>
  </si>
  <si>
    <t>2025-05-20 07:25:00,525,,,,500,,,,,,,,,,,520.5</t>
  </si>
  <si>
    <t>2025-05-20 07:25:00,6000,,5950,,5700,,6030,,,,,6010,5900,6010,5900,5949.75</t>
  </si>
  <si>
    <t>2025-05-20 07:25:00,21325,,,,21325,,,,,,,,,,,21365</t>
  </si>
  <si>
    <t>2025-05-20 07:25:00,2169957828.78495,0,0,0,0,0,0,0,593.93</t>
  </si>
  <si>
    <t>2025-05-20 07:25:00,-67745672.3835506,0,0,0,0,0,0,0,520.5</t>
  </si>
  <si>
    <t>2025-05-20 07:25:00,73838914.8058619,8068861.5269755,1067.18333333333,77,2015.5245,137.23,0.479954512294851,5.4,5949.75</t>
  </si>
  <si>
    <t>2025-05-20 07:25:00,192652345.453932,0,0,0,0,0,0,0,21365</t>
  </si>
  <si>
    <t>2025-05-20 07:26:00,600,,,,580,,,,,,,,,,,593.87</t>
  </si>
  <si>
    <t>2025-05-20 07:26:00,525,,,,500,,,,,,,,,,,520.45</t>
  </si>
  <si>
    <t>2025-05-20 07:26:00,6000,,5950,,5700,,6030,,,,,6010,5900,6010,5900,5949.5</t>
  </si>
  <si>
    <t>2025-05-20 07:26:00,21325,,,,21325,,,,,,,,,,,21362.5</t>
  </si>
  <si>
    <t>2025-05-20 07:26:00,2100393688.86547,0,0,0,0,0,0,0,593.87</t>
  </si>
  <si>
    <t>2025-05-20 07:26:00,-85666974.1330716,0,0,0,0,0,0,0,520.45</t>
  </si>
  <si>
    <t>2025-05-20 07:26:00,74815142.3304715,8259235.64365616,521.400000000001,21,4615.48300000001,177.39,0.224714408013402,6.48,5949.5</t>
  </si>
  <si>
    <t>2025-05-20 07:26:00,192769897.178761,0,0,0,0,0,0,0,21362.5</t>
  </si>
  <si>
    <t>2025-05-20 07:27:00,600,,,,580,,,,,,,,,,,593.95</t>
  </si>
  <si>
    <t>2025-05-20 07:27:00,525,,,,500,,,,,,,,,,,520.46</t>
  </si>
  <si>
    <t>2025-05-20 07:27:00,6000,,5950,,5700,,6030,,,,,6010,5900,6010,5900,5950</t>
  </si>
  <si>
    <t>2025-05-20 07:27:00,21325,,,,21325,,,,,,,,,,,21363.5</t>
  </si>
  <si>
    <t>2025-05-20 07:27:00,2194268684.17524,0,0,0,0,0,0,0,593.95</t>
  </si>
  <si>
    <t>2025-05-20 07:27:00,-82141505.0726642,0,0,0,0,0,0,0,520.46</t>
  </si>
  <si>
    <t>2025-05-20 07:27:00,73301388.9937494,8145225.39448994,8.66666666666719,-3,867.370666666674,18,0.120270252253365,1.41,5950</t>
  </si>
  <si>
    <t>2025-05-20 07:27:00,192769997.274019,0,0,0,0,0,0,0,21363.5</t>
  </si>
  <si>
    <t>2025-05-20 07:28:00,600,,,,580,,,,,,,,,,,593.88</t>
  </si>
  <si>
    <t>2025-05-20 07:28:00,525,,,,500,,,,,,,,,,,520.36</t>
  </si>
  <si>
    <t>2025-05-20 07:28:00,6000,,5950,,5700,,6030,,,,,6010,5900,6010,5900,5949.5</t>
  </si>
  <si>
    <t>2025-05-20 07:28:00,21325,,,,21325,,,,,,,,,,,21359.5</t>
  </si>
  <si>
    <t>2025-05-20 07:28:00,2111652663.77369,0,0,0,0,0,0,0,593.88</t>
  </si>
  <si>
    <t>2025-05-20 07:28:00,-118492395.388198,0,0,0,0,0,0,0,520.36</t>
  </si>
  <si>
    <t>2025-05-20 07:28:00,75200712.7278969,8426110.4109016,-21.9666666666668,-1,-129.950000000001,-3.54,0.0274056699805198,0.0500000000000001,5949.5</t>
  </si>
  <si>
    <t>2025-05-20 07:28:00,192925064.222429,0,0,0,0,0,0,0,21359.5</t>
  </si>
  <si>
    <t>2025-05-20 07:29:00,600,,,,580,,,,,,,,,,,593.85</t>
  </si>
  <si>
    <t>2025-05-20 07:29:00,525,,,,500,,,,,,,,,,,520.34</t>
  </si>
  <si>
    <t>2025-05-20 07:29:00,6000,,5950,,5700,,6030,,,,,6010,5900,6010,5900,5949.25</t>
  </si>
  <si>
    <t>2025-05-20 07:29:00,21325,,,,21325,,,,,,,,,,,21358</t>
  </si>
  <si>
    <t>2025-05-20 07:29:00,2076398745.90879,0,0,0,0,0,0,0,593.85</t>
  </si>
  <si>
    <t>2025-05-20 07:29:00,-125652848.740332,0,0,0,0,0,0,0,520.34</t>
  </si>
  <si>
    <t>2025-05-20 07:29:00,75082903.379788,8447872.79661516,130.016666666667,6,1515.8625,59.02,0.12167137771147,2.59,5949.25</t>
  </si>
  <si>
    <t>2025-05-20 07:29:00,192988741.302569,0,0,0,0,0,0,0,21358</t>
  </si>
  <si>
    <t>2025-05-20 07:30:00,600,,,,580,,,,,,,,,,,593.85</t>
  </si>
  <si>
    <t>2025-05-20 07:30:00,525,,,,500,,,,,,,,,,,520.31</t>
  </si>
  <si>
    <t>2025-05-20 07:30:00,6000,,5950,,5700,,6030,,,,,6010,5900,6010,5900,5949.25</t>
  </si>
  <si>
    <t>2025-05-20 07:30:00,21325,,,,21325,,,,,,,,,,,21357.25</t>
  </si>
  <si>
    <t>2025-05-20 07:30:00,2076702269.11206,0,0,0,0,0,0,0,593.85</t>
  </si>
  <si>
    <t>2025-05-20 07:30:00,-136644435.511853,0,0,0,0,0,0,0,520.31</t>
  </si>
  <si>
    <t>2025-05-20 07:30:00,76238331.4388802,8788067.69150518,-45.2,-5,-163.407000000001,-28.06,0.0931242120288944,-0.21,5949.25</t>
  </si>
  <si>
    <t>2025-05-20 07:30:00,193039462.390603,0,0,0,0,0,0,0,21357.25</t>
  </si>
  <si>
    <t>2025-05-20 07:31:00,600,,,,580,,,,,,,,,,,593.89</t>
  </si>
  <si>
    <t>2025-05-20 07:31:00,525,,,,500,,,,,,,,,,,520.37</t>
  </si>
  <si>
    <t>2025-05-20 07:31:00,6000,,5950,,5700,,6030,,,,,6010,5900,6010,5900,5949.5</t>
  </si>
  <si>
    <t>2025-05-20 07:31:00,21325,,,,21325,,,,,,,,,,,21359.5</t>
  </si>
  <si>
    <t>2025-05-20 07:31:00,2123118499.60159,0,0,0,0,0,0,0,593.89</t>
  </si>
  <si>
    <t>2025-05-20 07:31:00,-114755848.419038,0,0,0,0,0,0,0,520.37</t>
  </si>
  <si>
    <t>2025-05-20 07:31:00,74311781.3508137,9059218.3925031,2957.05000000001,101,60470.1325000002,2109.36,2.04617020578092,80.47,5949.5</t>
  </si>
  <si>
    <t>2025-05-20 07:31:00,192983141.909005,0,0,0,0,0,0,0,21359.5</t>
  </si>
  <si>
    <t>2025-05-20 07:32:00,600,,,,580,,,,,,,,,,,593.82</t>
  </si>
  <si>
    <t>2025-05-20 07:32:00,525,,,,500,,,,,,,,,,,520.34</t>
  </si>
  <si>
    <t>2025-05-20 07:32:00,6000,,5950,,5700,,6030,,,,,6010,5900,6010,5900,5948.75</t>
  </si>
  <si>
    <t>2025-05-20 07:32:00,21325,,,,21325,,,,,,,,,,,21359.25</t>
  </si>
  <si>
    <t>2025-05-20 07:32:00,2040617740.18675,0,0,0,0,0,0,0,593.82</t>
  </si>
  <si>
    <t>2025-05-20 07:32:00,-125660883.886193,0,0,0,0,0,0,0,520.34</t>
  </si>
  <si>
    <t>2025-05-20 07:32:00,76974960.4152286,9602901.17076244,1700.9,66,13441.711,538.97,0.667423126684853,18.71,5948.75</t>
  </si>
  <si>
    <t>2025-05-20 07:32:00,192948781.951258,0,0,0,0,0,0,0,21359.25</t>
  </si>
  <si>
    <t>2025-05-20 07:33:00,600,,,,580,,,,,,,,,,,593.72</t>
  </si>
  <si>
    <t>2025-05-20 07:33:00,525,,,,500,,,,,,,,,,,520.24</t>
  </si>
  <si>
    <t>2025-05-20 07:33:00,6000,,5950,,5700,,6030,,,,,6010,5900,6010,5900,5948</t>
  </si>
  <si>
    <t>2025-05-20 07:33:00,21325,,,,21325,,,,,,,,,,,21354.5</t>
  </si>
  <si>
    <t>2025-05-20 07:33:00,1921238727.97954,0,0,0,0,0,0,0,593.72</t>
  </si>
  <si>
    <t>2025-05-20 07:33:00,-161539458.638024,0,0,0,0,0,0,0,520.24</t>
  </si>
  <si>
    <t>2025-05-20 07:33:00,80274211.5627091,10557834.0660133,528,19,1531.555,-12.81,0.135951959940187,0.0799999999999998,5948</t>
  </si>
  <si>
    <t>2025-05-20 07:33:00,193101103.850736,0,0,0,0,0,0,0,21354.5</t>
  </si>
  <si>
    <t>2025-05-20 07:34:00,600,,,,580,,,,,,,,,,,593.75</t>
  </si>
  <si>
    <t>2025-05-20 07:34:00,525,,,,500,,,,,,,,,,,520.26</t>
  </si>
  <si>
    <t>2025-05-20 07:34:00,6000,,5950,,5700,,6030,,,,,6000,5900,6010,5900,5948</t>
  </si>
  <si>
    <t>2025-05-20 07:34:00,21325,,,,21325,,,,,,,,,,,21355.25</t>
  </si>
  <si>
    <t>2025-05-20 07:34:00,1956646763.05361,0,0,0,0,0,0,0,593.75</t>
  </si>
  <si>
    <t>2025-05-20 07:34:00,-154700097.979636,0,0,0,0,0,0,0,520.26</t>
  </si>
  <si>
    <t>2025-05-20 07:34:00,78105461.3401361,10375848.825442,4918.20000000001,200,14333.234,444.57,1.04294481510309,12.88,5948</t>
  </si>
  <si>
    <t>2025-05-20 07:34:00,193088131.289347,0,0,0,0,0,0,0,21355.25</t>
  </si>
  <si>
    <t>2025-05-20 07:35:00,600,,,,580,,,,,,,,,,,593.68</t>
  </si>
  <si>
    <t>2025-05-20 07:35:00,525,,,,500,,,,,,,,,,,520.14</t>
  </si>
  <si>
    <t>2025-05-20 07:35:00,6000,,5950,,5700,,6030,,,,,6000,5900,6010,5900,5947.5</t>
  </si>
  <si>
    <t>2025-05-20 07:35:00,21325,,,,21325,,,,,,,,,,,21350</t>
  </si>
  <si>
    <t>2025-05-20 07:35:00,1873814421.75458,0,0,0,0,0,0,0,593.68</t>
  </si>
  <si>
    <t>2025-05-20 07:35:00,-199351553.179665,0,0,0,0,0,0,0,520.14</t>
  </si>
  <si>
    <t>2025-05-20 07:35:00,81646041.3954695,11459302.044665,7982.45000000001,316,26000.0775,876.47,1.04919659904304,23.92,5947.5</t>
  </si>
  <si>
    <t>2025-05-20 07:35:00,193254925.401524,0,0,0,0,0,0,0,21350</t>
  </si>
  <si>
    <t>2025-05-20 07:36:00,600,,,,580,,,,,,,,,,,593.5</t>
  </si>
  <si>
    <t>2025-05-20 07:36:00,525,,,,500,,,,,,,,,,,519.92</t>
  </si>
  <si>
    <t>2025-05-20 07:36:00,6000,,6000,,5700,,6030,,,,,6000,5900,6010,5900,5945.75</t>
  </si>
  <si>
    <t>2025-05-20 07:36:00,21325,,,,21325,,,,,,,,,,,21341.5</t>
  </si>
  <si>
    <t>2025-05-20 07:36:00,1653425871.54873,0,0,0,0,0,0,0,593.5</t>
  </si>
  <si>
    <t>2025-05-20 07:36:00,-282593928.86727,0,0,0,0,0,0,0,519.92</t>
  </si>
  <si>
    <t>2025-05-20 07:36:00,69453730.6350863,4162661.63024479,383.10528138528,-4,8352.45676883116,485.88,0.472505517888725,9.21,5945.75</t>
  </si>
  <si>
    <t>2025-05-20 07:36:00,193402423.246754,0,0,0,0,0,0,0,21341.5</t>
  </si>
  <si>
    <t>2025-05-20 07:37:00,600,,,,580,,,,,,,,,,,593.4</t>
  </si>
  <si>
    <t>2025-05-20 07:37:00,525,,,,500,,,,,,,,,,,519.88</t>
  </si>
  <si>
    <t>2025-05-20 07:37:00,6000,,,5900,5700,,6030,,,,,6000,5900,6010,5900,5944.75</t>
  </si>
  <si>
    <t>2025-05-20 07:37:00,21325,,,,21325,,,,,,,,,,,21338.75</t>
  </si>
  <si>
    <t>2025-05-20 07:37:00,1529932426.75869,0,0,0,0,0,0,0,593.4</t>
  </si>
  <si>
    <t>2025-05-20 07:37:00,-296592283.30547,0,0,0,0,0,0,0,519.88</t>
  </si>
  <si>
    <t>2025-05-20 07:37:00,69146093.3225993,3726549.39143036,1003.56666666667,23,7836.34316666667,200.79,0.339886949795208,6.54,5944.75</t>
  </si>
  <si>
    <t>2025-05-20 07:37:00,193411202.938237,0,0,0,0,0,0,0,21338.75</t>
  </si>
  <si>
    <t>2025-05-20 07:38:00,600,,,,580,,,,,,,,,,,593.29</t>
  </si>
  <si>
    <t>2025-05-20 07:38:00,525,,,,500,,,,,,,,,,,519.73</t>
  </si>
  <si>
    <t>2025-05-20 07:38:00,6000,,,5900,5700,,6030,,,,,6000,5900,6010,5900,5943.5</t>
  </si>
  <si>
    <t>2025-05-20 07:38:00,21325,,,,21325,,,,,,,,,,,21333.25</t>
  </si>
  <si>
    <t>2025-05-20 07:38:00,1391473378.18471,0,0,0,0,0,0,0,593.29</t>
  </si>
  <si>
    <t>2025-05-20 07:38:00,-356710288.976258,0,0,0,0,0,0,0,519.73</t>
  </si>
  <si>
    <t>2025-05-20 07:38:00,68946340.5508754,3183085.90395027,466.050000000004,-25,14333.4235,100.18,0.417307734018412,6.92,5943.5</t>
  </si>
  <si>
    <t>2025-05-20 07:38:00,193439760.647947,0,0,0,0,0,0,0,21333.25</t>
  </si>
  <si>
    <t>2025-05-20 07:39:00,600,,,,580,,,,,,,,,,,593.32</t>
  </si>
  <si>
    <t>2025-05-20 07:39:00,525,,,,500,,,,,,,,,,,519.74</t>
  </si>
  <si>
    <t>2025-05-20 07:39:00,6000,,,5900,5700,,6030,,,,,6000,5900,6010,5900,5944</t>
  </si>
  <si>
    <t>2025-05-20 07:39:00,21325,,,,21325,,,,,,,,,,,21333.5</t>
  </si>
  <si>
    <t>2025-05-20 07:39:00,1428905719.87963,0,0,0,0,0,0,0,593.32</t>
  </si>
  <si>
    <t>2025-05-20 07:39:00,-352616927.208962,0,0,0,0,0,0,0,519.74</t>
  </si>
  <si>
    <t>2025-05-20 07:39:00,69547288.4468375,3472152.00047334,1968,30,20424.6655,606.5,0.354970224169891,16.12,5944</t>
  </si>
  <si>
    <t>2025-05-20 07:39:00,193484806.36679,0,0,0,0,0,0,0,21333.5</t>
  </si>
  <si>
    <t>2025-05-20 07:40:00,600,,,,580,,,,,,,,,,,593.39</t>
  </si>
  <si>
    <t>2025-05-20 07:40:00,525,,,,500,,,,,,,,,,,519.85</t>
  </si>
  <si>
    <t>2025-05-20 07:40:00,6000,,,5900,5700,,6030,,,,,6000,5900,6010,5900,5944.5</t>
  </si>
  <si>
    <t>2025-05-20 07:40:00,21325,,,,21325,,,,,,,,,,,21338.5</t>
  </si>
  <si>
    <t>2025-05-20 07:40:00,1518057350.38016,0,0,0,0,0,0,0,593.39</t>
  </si>
  <si>
    <t>2025-05-20 07:40:00,-308610212.224441,0,0,0,0,0,0,0,519.85</t>
  </si>
  <si>
    <t>2025-05-20 07:40:00,68377817.5864852,3731747.40248597,885.750000000001,27,10739.0875,355.92,0.171933154226434,12.59,5944.5</t>
  </si>
  <si>
    <t>2025-05-20 07:40:00,193442473.716662,0,0,0,0,0,0,0,21338.5</t>
  </si>
  <si>
    <t>2025-05-20 07:41:00,600,,,,580,,,,,,,,,,,593.45</t>
  </si>
  <si>
    <t>2025-05-20 07:41:00,525,,,,500,,,,,,,,,,,519.93</t>
  </si>
  <si>
    <t>2025-05-20 07:41:00,6000,,6000,,5700,,6030,,,,,6000,5900,6010,5900,5945</t>
  </si>
  <si>
    <t>2025-05-20 07:41:00,21325,,,,21325,,,,,,,,,,,21341</t>
  </si>
  <si>
    <t>2025-05-20 07:41:00,1591868904.51591,0,0,0,0,0,0,0,593.45</t>
  </si>
  <si>
    <t>2025-05-20 07:41:00,-278902701.093953,0,0,0,0,0,0,0,519.93</t>
  </si>
  <si>
    <t>2025-05-20 07:41:00,68134544.7797687,3987268.3623905,1374.13333333333,51,10165.1426666666,417.74,0.265742752559211,14.35,5945</t>
  </si>
  <si>
    <t>2025-05-20 07:41:00,193436694.885946,0,0,0,0,0,0,0,21341</t>
  </si>
  <si>
    <t>2025-05-20 07:42:00,600,,,,580,,,,,,,,,,,593.4</t>
  </si>
  <si>
    <t>2025-05-20 07:42:00,525,,,,500,,,,,,,,,,,519.88</t>
  </si>
  <si>
    <t>2025-05-20 07:42:00,6000,,,5900,5700,,6030,,,,,6000,5900,6010,5900,5944.5</t>
  </si>
  <si>
    <t>2025-05-20 07:42:00,21325,,,,21325,,,,,,,,,,,21338.5</t>
  </si>
  <si>
    <t>2025-05-20 07:42:00,1530432224.6774,0,0,0,0,0,0,0,593.4</t>
  </si>
  <si>
    <t>2025-05-20 07:42:00,-296610835.152731,0,0,0,0,0,0,0,519.88</t>
  </si>
  <si>
    <t>2025-05-20 07:42:00,68722453.7974578,3765707.70547072,423.537878787879,27,6100.50899999999,734.7,0.046638752335932,15.16,5944.5</t>
  </si>
  <si>
    <t>2025-05-20 07:42:00,193482328.565104,0,0,0,0,0,0,0,21338.5</t>
  </si>
  <si>
    <t>2025-05-20 07:43:00,600,,,,580,,,,,,,,,,,593.49</t>
  </si>
  <si>
    <t>2025-05-20 07:43:00,525,,,,500,,,,,,,,,,,519.96</t>
  </si>
  <si>
    <t>2025-05-20 07:43:00,6000,,6000,,5700,,6030,,,,,6000,5900,6010,5900,5945.5</t>
  </si>
  <si>
    <t>2025-05-20 07:43:00,21325,,,,21325,,,,,,,,,,,21342.25</t>
  </si>
  <si>
    <t>2025-05-20 07:43:00,1640585235.7184,0,0,0,0,0,0,0,593.49</t>
  </si>
  <si>
    <t>2025-05-20 07:43:00,-267673195.216507,0,0,0,0,0,0,0,519.96</t>
  </si>
  <si>
    <t>2025-05-20 07:43:00,67087550.0072101,4244633.90115092,467.850000000001,8,6271.19950000002,120.1,0.258437948936616,5.45,5945.5</t>
  </si>
  <si>
    <t>2025-05-20 07:43:00,193480110.731204,0,0,0,0,0,0,0,21342.25</t>
  </si>
  <si>
    <t>2025-05-20 07:44:00,600,,,,580,,,,,,,,,,,593.45</t>
  </si>
  <si>
    <t>2025-05-20 07:44:00,525,,,,500,,,,,,,,,,,519.93</t>
  </si>
  <si>
    <t>2025-05-20 07:44:00,6000,,6000,,5700,,6030,,,,,6000,5900,6010,5900,5945</t>
  </si>
  <si>
    <t>2025-05-20 07:44:00,21325,,,,21325,,,,,,,,,,,21341</t>
  </si>
  <si>
    <t>2025-05-20 07:44:00,1592191191.23525,0,0,0,0,0,0,0,593.45</t>
  </si>
  <si>
    <t>2025-05-20 07:44:00,-278959111.795534,0,0,0,0,0,0,0,519.93</t>
  </si>
  <si>
    <t>2025-05-20 07:44:00,68607878.5285723,4042758.85253091,492.799999999999,14,3641.24599999999,104.48,0.147722847182051,3.46,5945</t>
  </si>
  <si>
    <t>2025-05-20 07:44:00,193492222.952545,0,0,0,0,0,0,0,21341</t>
  </si>
  <si>
    <t>2025-05-20 07:45:00,600,,,,580,,,,,,,,,,,593.57</t>
  </si>
  <si>
    <t>2025-05-20 07:45:00,525,,,,500,,,,,,,,,,,520.02</t>
  </si>
  <si>
    <t>2025-05-20 07:45:00,6000,,6000,,5700,,6030,,,,,6000,5900,6010,5900,5946.5</t>
  </si>
  <si>
    <t>2025-05-20 07:45:00,21325,,,,21325,,,,,,,,,,,21345.25</t>
  </si>
  <si>
    <t>2025-05-20 07:45:00,1739030089.57108,0,0,0,0,0,0,0,593.57</t>
  </si>
  <si>
    <t>2025-05-20 07:45:00,-244912581.393032,0,0,0,0,0,0,0,520.02</t>
  </si>
  <si>
    <t>2025-05-20 07:45:00,68098096.6140954,4707959.83812923,305.924999999999,-3,4317.37074999998,114.75,0.215076147188363,3.54,5946.5</t>
  </si>
  <si>
    <t>2025-05-20 07:45:00,193493938.683685,0,0,0,0,0,0,0,21345.25</t>
  </si>
  <si>
    <t>2025-05-20 07:46:00,600,,,,580,,,,,,,,,,,593.45</t>
  </si>
  <si>
    <t>2025-05-20 07:46:00,525,,,,500,,,,,,,,,,,519.86</t>
  </si>
  <si>
    <t>2025-05-20 07:46:00,6000,,6000,,5700,,6030,,,,,6000,5900,6010,5900,5945.25</t>
  </si>
  <si>
    <t>2025-05-20 07:46:00,21325,,,,21325,,,,,,,,,,,21338.75</t>
  </si>
  <si>
    <t>2025-05-20 07:46:00,1592153903.3346,0,0,0,0,0,0,0,593.45</t>
  </si>
  <si>
    <t>2025-05-20 07:46:00,-304527489.705917,0,0,0,0,0,0,0,519.86</t>
  </si>
  <si>
    <t>2025-05-20 07:46:00,69235129.6177849,4238212.20187942,854.683333333332,23,9892.16749999998,392.55,0.240068478098677,14.14,5945.25</t>
  </si>
  <si>
    <t>2025-05-20 07:46:00,193573405.592314,0,0,0,0,0,0,0,21338.75</t>
  </si>
  <si>
    <t>2025-05-20 07:47:00,600,,,,580,,,,,,,,,,,593.65</t>
  </si>
  <si>
    <t>2025-05-20 07:47:00,525,,,,500,,,,,,,,,,,520.06</t>
  </si>
  <si>
    <t>2025-05-20 07:47:00,6000,,5950,,5700,,6030,,,,,6000,5900,6010,5900,5947.25</t>
  </si>
  <si>
    <t>2025-05-20 07:47:00,21325,,,,21325,,,,,,,,,,,21347.25</t>
  </si>
  <si>
    <t>2025-05-20 07:47:00,1836802139.46175,0,0,0,0,0,0,0,593.65</t>
  </si>
  <si>
    <t>2025-05-20 07:47:00,-229235974.307687,0,0,0,0,0,0,0,520.06</t>
  </si>
  <si>
    <t>2025-05-20 07:47:00,83579639.7560189,13536869.1592644,370.25,-4,1289.3135,-83.19,0.178681675101639,-1.54,5947.25</t>
  </si>
  <si>
    <t>2025-05-20 07:47:00,193503636.687569,0,0,0,0,0,0,0,21347.25</t>
  </si>
  <si>
    <t>2025-05-20 07:48:00,600,,,,580,,,,,,,,,,,593.7</t>
  </si>
  <si>
    <t>2025-05-20 07:48:00,525,,,,500,,,,,,,,,,,520.14</t>
  </si>
  <si>
    <t>2025-05-20 07:48:00,6000,,5950,,5700,,6030,,,,,6000,5900,6010,5900,5947.5</t>
  </si>
  <si>
    <t>2025-05-20 07:48:00,21325,,,,21325,,,,,,,,,,,21350.25</t>
  </si>
  <si>
    <t>2025-05-20 07:48:00,1898063467.6788,0,0,0,0,0,0,0,593.7</t>
  </si>
  <si>
    <t>2025-05-20 07:48:00,-199480901.403451,0,0,0,0,0,0,0,520.14</t>
  </si>
  <si>
    <t>2025-05-20 07:48:00,80782963.8855628,12515552.645241,896.166666666664,49,10432.5616666666,442.75,0.554846245545126,16.85,5947.5</t>
  </si>
  <si>
    <t>2025-05-20 07:48:00,193452142.371349,0,0,0,0,0,0,0,21350.25</t>
  </si>
  <si>
    <t>2025-05-20 07:49:00,600,,,,580,,,,,,,,,,,593.68</t>
  </si>
  <si>
    <t>2025-05-20 07:49:00,525,,,,500,,,,,,,,,,,520.11</t>
  </si>
  <si>
    <t>2025-05-20 07:49:00,6000,,5950,,5700,,6030,,,,,6000,5900,6010,5900,5947.5</t>
  </si>
  <si>
    <t>2025-05-20 07:49:00,21325,,,,21325,,,,,,,,,,,21349.25</t>
  </si>
  <si>
    <t>2025-05-20 07:49:00,1874238168.67798,0,0,0,0,0,0,0,593.68</t>
  </si>
  <si>
    <t>2025-05-20 07:49:00,-210547569.793038,0,0,0,0,0,0,0,520.11</t>
  </si>
  <si>
    <t>2025-05-20 07:49:00,81180128.4636071,12588960.5072794,-104.7,-6,58.2226666666651,-20.83,0.0884376049313005,0.04,5947.5</t>
  </si>
  <si>
    <t>2025-05-20 07:49:00,193494235.331874,0,0,0,0,0,0,0,21349.25</t>
  </si>
  <si>
    <t>2025-05-20 07:50:00,600,,,,580,,,,,,,,,,,593.58</t>
  </si>
  <si>
    <t>2025-05-20 07:50:00,525,,,,500,,,,,,,,,,,520.05</t>
  </si>
  <si>
    <t>2025-05-20 07:50:00,6000,,5950,,5700,,6030,,,,,6000,5900,6010,5900,5946.25</t>
  </si>
  <si>
    <t>2025-05-20 07:50:00,21325,,,,21325,,,,,,,,,,,21346.25</t>
  </si>
  <si>
    <t>2025-05-20 07:50:00,1751244232.65598,0,0,0,0,0,0,0,593.58</t>
  </si>
  <si>
    <t>2025-05-20 07:50:00,-233472068.011221,0,0,0,0,0,0,0,520.05</t>
  </si>
  <si>
    <t>2025-05-20 07:50:00,93730048.958979,18394649.9199792,401.799999999999,13,4604.19099999999,150.39,0.267462517150076,5.88,5946.25</t>
  </si>
  <si>
    <t>2025-05-20 07:50:00,193444888.28689,0,0,0,0,0,0,0,21346.25</t>
  </si>
  <si>
    <t>2025-05-20 07:51:00,600,,,,580,,,,,,,,,,,593.55</t>
  </si>
  <si>
    <t>2025-05-20 07:51:00,525,,,,500,,,,,,,,,,,519.98</t>
  </si>
  <si>
    <t>2025-05-20 07:51:00,6000,,6000,,5700,,6030,,,,,6000,5900,6010,5900,5946.25</t>
  </si>
  <si>
    <t>2025-05-20 07:51:00,21325,,,,21325,,,,,,,,,,,21344.25</t>
  </si>
  <si>
    <t>2025-05-20 07:51:00,1714796501.83276,0,0,0,0,0,0,0,593.55</t>
  </si>
  <si>
    <t>2025-05-20 07:51:00,-260186464.161662,0,0,0,0,0,0,0,519.98</t>
  </si>
  <si>
    <t>2025-05-20 07:51:00,68969624.2859527,4825301.35232494,293.716666666666,7,1906.20849999999,147.76,0.154927182366676,3.53,5946.25</t>
  </si>
  <si>
    <t>2025-05-20 07:51:00,193515905.507865,0,0,0,0,0,0,0,21344.25</t>
  </si>
  <si>
    <t>2025-05-20 07:52:00,600,,,,580,,,,,,,,,,,593.4</t>
  </si>
  <si>
    <t>2025-05-20 07:52:00,525,,,,500,,,,,,,,,,,519.87</t>
  </si>
  <si>
    <t>2025-05-20 07:52:00,6000,,,5900,5700,,6030,,,,,6000,5900,6010,5900,5944.75</t>
  </si>
  <si>
    <t>2025-05-20 07:52:00,21325,,,,21325,,,,,,,,,,,21339.5</t>
  </si>
  <si>
    <t>2025-05-20 07:52:00,1531041200.41058,0,0,0,0,0,0,0,593.4</t>
  </si>
  <si>
    <t>2025-05-20 07:52:00,-300535212.717913,0,0,0,0,0,0,0,519.87</t>
  </si>
  <si>
    <t>2025-05-20 07:52:00,69600948.5324483,4166709.11654454,152.283333333334,-4,2526.71983333334,18.44,0.118105670810879,2.34,5944.75</t>
  </si>
  <si>
    <t>2025-05-20 07:52:00,193546862.189148,0,0,0,0,0,0,0,21339.5</t>
  </si>
  <si>
    <t>2025-05-20 07:54:00,600,,,,580,,,,,,,,,,,593.47</t>
  </si>
  <si>
    <t>2025-05-20 07:54:00,525,,,,500,,,,,,,,,,,519.95</t>
  </si>
  <si>
    <t>2025-05-20 07:54:00,6000,,6000,,5700,,6030,,,,,6000,5900,6010,5900,5945.25</t>
  </si>
  <si>
    <t>2025-05-20 07:54:00,21325,,,,21325,,,,,,,,,,,21342</t>
  </si>
  <si>
    <t>2025-05-20 07:54:00,1617069036.60594,0,0,0,0,0,0,0,593.47</t>
  </si>
  <si>
    <t>2025-05-20 07:54:00,-271501526.820077,0,0,0,0,0,0,0,519.95</t>
  </si>
  <si>
    <t>2025-05-20 07:54:00,68331989.2936548,4345795.02648886,357.1,15,2375.867,85.76,0.059577815208736,2.79,5945.25</t>
  </si>
  <si>
    <t>2025-05-20 07:54:00,193532814.646711,0,0,0,0,0,0,0,21342</t>
  </si>
  <si>
    <t>2025-05-20 07:55:00,600,,,,580,,,,,,,,,,,593.51</t>
  </si>
  <si>
    <t>2025-05-20 07:55:00,525,,,,500,,,,,,,,,,,519.93</t>
  </si>
  <si>
    <t>2025-05-20 07:55:00,6000,,6000,,5700,,6030,,,,,6000,5900,6010,5900,5945.75</t>
  </si>
  <si>
    <t>2025-05-20 07:55:00,21325,,,,21325,,,,,,,,,,,21341.5</t>
  </si>
  <si>
    <t>2025-05-20 07:55:00,1665716616.11859,0,0,0,0,0,0,0,593.51</t>
  </si>
  <si>
    <t>2025-05-20 07:55:00,-278831033.391455,0,0,0,0,0,0,0,519.93</t>
  </si>
  <si>
    <t>2025-05-20 07:55:00,69237122.4666066,4579409.15558116,-381.218888888888,-26,-842.507411111109,-12.76,0.12960378893305,-1.51,5945.75</t>
  </si>
  <si>
    <t>2025-05-20 07:55:00,193603122.663945,0,0,0,0,0,0,0,21341.5</t>
  </si>
  <si>
    <t>2025-05-20 07:56:00,600,,,,580,,,,,,,,,,,593.48</t>
  </si>
  <si>
    <t>2025-05-20 07:56:00,525,,,,500,,,,,,,,,,,519.89</t>
  </si>
  <si>
    <t>2025-05-20 07:56:00,6000,,,5900,5700,,6030,,,,,6000,5900,6010,5900,5945.25</t>
  </si>
  <si>
    <t>2025-05-20 07:56:00,21325,,,,21325,,,,,,,,,,,21340</t>
  </si>
  <si>
    <t>2025-05-20 07:56:00,1628922932.81799,0,0,0,0,0,0,0,593.48</t>
  </si>
  <si>
    <t>2025-05-20 07:56:00,-292564343.434614,0,0,0,0,0,0,0,519.89</t>
  </si>
  <si>
    <t>2025-05-20 07:56:00,69245248.3977911,4256330.20428602,902.1,42,2405.842,80.07,0.110853823771638,2.67,5945.25</t>
  </si>
  <si>
    <t>2025-05-20 07:56:00,193622477.004325,0,0,0,0,0,0,0,21340</t>
  </si>
  <si>
    <t>2025-05-20 07:57:00,600,,,,580,,,,,,,,,,,593.55</t>
  </si>
  <si>
    <t>2025-05-20 07:57:00,525,,,,500,,,,,,,,,,,519.99</t>
  </si>
  <si>
    <t>2025-05-20 07:57:00,6000,,6000,,5700,,6030,,,,,6000,5900,6010,5900,5946.25</t>
  </si>
  <si>
    <t>2025-05-20 07:57:00,21325,,,,21325,,,,,,,,,,,21344.75</t>
  </si>
  <si>
    <t>2025-05-20 07:57:00,1714691796.47748,0,0,0,0,0,0,0,593.55</t>
  </si>
  <si>
    <t>2025-05-20 07:57:00,-256274048.686615,0,0,0,0,0,0,0,519.99</t>
  </si>
  <si>
    <t>2025-05-20 07:57:00,68725869.5066749,4743355.36362801,514.633333333333,22,2278.44466666666,46.7,0.100491441082435,2.32,5946.25</t>
  </si>
  <si>
    <t>2025-05-20 07:57:00,193586946.588692,0,0,0,0,0,0,0,21344.75</t>
  </si>
  <si>
    <t>2025-05-20 07:58:00,600,,,,580,,,,,,,,,,,593.54</t>
  </si>
  <si>
    <t>2025-05-20 07:58:00,525,,,,500,,,,,,,,,,,519.97</t>
  </si>
  <si>
    <t>2025-05-20 07:58:00,6000,,6000,,5700,,6030,,,,,6000,5900,6010,5900,5946.25</t>
  </si>
  <si>
    <t>2025-05-20 07:58:00,21325,,,,21325,,,,,,,,,,,21343.75</t>
  </si>
  <si>
    <t>2025-05-20 07:58:00,1702862783.05313,0,0,0,0,0,0,0,593.54</t>
  </si>
  <si>
    <t>2025-05-20 07:58:00,-263898787.223666,0,0,0,0,0,0,0,519.97</t>
  </si>
  <si>
    <t>2025-05-20 07:58:00,69278002.1664262,4741206.91935299,-235.483333333333,-30,-6.19249999999971,-34.38,0.084050058122174,-0.56,5946.25</t>
  </si>
  <si>
    <t>2025-05-20 07:58:00,193625561.955652,0,0,0,0,0,0,0,21343.75</t>
  </si>
  <si>
    <t>2025-05-20 07:59:00,600,,,,580,,,,,,,,,,,593.49</t>
  </si>
  <si>
    <t>2025-05-20 07:59:00,525,,,,500,,,,,,,,,,,519.97</t>
  </si>
  <si>
    <t>2025-05-20 07:59:00,6000,,6000,,5700,,6030,,,,,6000,5900,6010,5900,5945.5</t>
  </si>
  <si>
    <t>2025-05-20 07:59:00,21325,,,,21325,,,,,,,,,,,21343</t>
  </si>
  <si>
    <t>2025-05-20 07:59:00,1641726910.73083,0,0,0,0,0,0,0,593.49</t>
  </si>
  <si>
    <t>2025-05-20 07:59:00,-263881522.242851,0,0,0,0,0,0,0,519.97</t>
  </si>
  <si>
    <t>2025-05-20 07:59:00,69059974.3420024,4485936.83015074,55.6333333333333,6,496.203333333332,104.3,0.0128291893551007,2.53,5945.5</t>
  </si>
  <si>
    <t>2025-05-20 07:59:00,193612878.582985,0,0,0,0,0,0,0,21343</t>
  </si>
  <si>
    <t>2025-05-20 08:00:00,600,,,,580,,,,,,,,,,,593.49</t>
  </si>
  <si>
    <t>2025-05-20 08:00:00,525,,,,500,,,,,,,,,,,519.99</t>
  </si>
  <si>
    <t>2025-05-20 08:00:00,6000,,6000,,5700,,6030,,,,,6000,5900,6010,5900,5945.75</t>
  </si>
  <si>
    <t>2025-05-20 08:00:00,21325,,,,21325,,,,,,,,,,,21344</t>
  </si>
  <si>
    <t>2025-05-20 08:00:00,1641805216.17912,0,0,0,0,0,0,0,593.49</t>
  </si>
  <si>
    <t>2025-05-20 08:00:00,-256316636.024641,0,0,0,0,0,0,0,519.99</t>
  </si>
  <si>
    <t>2025-05-20 08:00:00,68242005.5593419,4597479.94577225,24.9999999999999,-4,408.2,14.75,0.028125408307425,0.5,5945.75</t>
  </si>
  <si>
    <t>2025-05-20 08:00:00,193618802.935141,0,0,0,0,0,0,0,21344</t>
  </si>
  <si>
    <t>2025-05-20 08:01:00,600,,,,580,,,,,,,,,,,593.74</t>
  </si>
  <si>
    <t>2025-05-20 08:01:00,525,,,,500,,,,,,,,,,,520.21</t>
  </si>
  <si>
    <t>2025-05-20 08:01:00,6000,,5950,,5700,,6030,,,,,6000,5900,6010,5900,5948.25</t>
  </si>
  <si>
    <t>2025-05-20 08:01:00,21325,,,,21325,,,,,,,,,,,21353.5</t>
  </si>
  <si>
    <t>2025-05-20 08:01:00,1945955128.13443,0,0,0,0,0,0,0,593.74</t>
  </si>
  <si>
    <t>2025-05-20 08:01:00,-173307351.956345,0,0,0,0,0,0,0,520.21</t>
  </si>
  <si>
    <t>2025-05-20 08:01:00,79871937.1082883,12028165.2223385,648,14,8134.87699999998,63.5399999999999,0.38513214918255,5.22,5948.25</t>
  </si>
  <si>
    <t>2025-05-20 08:01:00,193502783.434715,0,0,0,0,0,0,0,21353.5</t>
  </si>
  <si>
    <t>2025-05-20 08:02:00,600,,,,580,,,,,,,,,,,593.78</t>
  </si>
  <si>
    <t>2025-05-20 08:02:00,525,,,,500,,,,,,,,,,,520.2</t>
  </si>
  <si>
    <t>2025-05-20 08:02:00,6000,,5950,,5700,,6030,,,,,6000,5900,6010,5900,5948.25</t>
  </si>
  <si>
    <t>2025-05-20 08:02:00,21325,,,,21325,,,,,,,,,,,21353</t>
  </si>
  <si>
    <t>2025-05-20 08:02:00,1993672827.26828,0,0,0,0,0,0,0,593.78</t>
  </si>
  <si>
    <t>2025-05-20 08:02:00,-177008831.512785,0,0,0,0,0,0,0,520.2</t>
  </si>
  <si>
    <t>2025-05-20 08:02:00,76083337.8945308,10950132.3088782,-76.4500000000005,-5,-678.176500000004,-90.79,0.102795752422066,-1.55,5948.25</t>
  </si>
  <si>
    <t>2025-05-20 08:02:00,193532901.043342,0,0,0,0,0,0,0,21353</t>
  </si>
  <si>
    <t>2025-05-20 08:03:00,600,,,,580,,,,,,,,,,,593.84</t>
  </si>
  <si>
    <t>2025-05-20 08:03:00,525,,,,500,,,,,,,,,,,520.3</t>
  </si>
  <si>
    <t>2025-05-20 08:03:00,6000,,5950,,5700,,6030,,,,,6000,5900,6010,5900,5949</t>
  </si>
  <si>
    <t>2025-05-20 08:03:00,21325,,,,21325,,,,,,,,,,,21357</t>
  </si>
  <si>
    <t>2025-05-20 08:03:00,2065707348.70392,0,0,0,0,0,0,0,593.84</t>
  </si>
  <si>
    <t>2025-05-20 08:03:00,-140301349.927045,0,0,0,0,0,0,0,520.3</t>
  </si>
  <si>
    <t>2025-05-20 08:03:00,76887170.8119284,11204871.884894,159.283333333334,-18,2324.57550000001,-89.99,0.41991256319209,-0.27,5949</t>
  </si>
  <si>
    <t>2025-05-20 08:03:00,193435711.366341,0,0,0,0,0,0,0,21357</t>
  </si>
  <si>
    <t>2025-05-20 08:04:00,600,,,,580,,,,,,,,,,,593.86</t>
  </si>
  <si>
    <t>2025-05-20 08:04:00,525,,,,500,,,,,,,,,,,520.35</t>
  </si>
  <si>
    <t>2025-05-20 08:04:00,6000,,5950,,5700,,6030,,,,,6000,5900,6010,5900,5949.25</t>
  </si>
  <si>
    <t>2025-05-20 08:04:00,21325,,,,21325,,,,,,,,,,,21358.75</t>
  </si>
  <si>
    <t>2025-05-20 08:04:00,2089128756.31225,0,0,0,0,0,0,0,593.86</t>
  </si>
  <si>
    <t>2025-05-20 08:04:00,-122154103.225724,0,0,0,0,0,0,0,520.35</t>
  </si>
  <si>
    <t>2025-05-20 08:04:00,74915011.1303695,10854551.3230434,315.7,8,2579.584,132.27,0.134878620420022,3.72,5949.25</t>
  </si>
  <si>
    <t>2025-05-20 08:04:00,193393742.616014,0,0,0,0,0,0,0,21358.75</t>
  </si>
  <si>
    <t>2025-05-20 08:05:00,600,,,,580,,,,,,,,,,,593.9</t>
  </si>
  <si>
    <t>2025-05-20 08:05:00,525,,,,500,,,,,,,,,,,520.33</t>
  </si>
  <si>
    <t>2025-05-20 08:05:00,6000,,5950,,5700,,6030,,,,,6000,5900,6010,5900,5949.75</t>
  </si>
  <si>
    <t>2025-05-20 08:05:00,21325,,,,21325,,,,,,,,,,,21358.5</t>
  </si>
  <si>
    <t>2025-05-20 08:05:00,2135541193.98259,0,0,0,0,0,0,0,593.9</t>
  </si>
  <si>
    <t>2025-05-20 08:05:00,-129528463.095222,0,0,0,0,0,0,0,520.33</t>
  </si>
  <si>
    <t>2025-05-20 08:05:00,75210807.2842519,10926369.7144319,443.033333333335,11,4795.28766666669,93.35,0.256733589838916,4.48,5949.75</t>
  </si>
  <si>
    <t>2025-05-20 08:05:00,193445304.704539,0,0,0,0,0,0,0,21358.5</t>
  </si>
  <si>
    <t>2025-05-20 08:06:00,600,,,,580,,,,,,,,,,,593.92</t>
  </si>
  <si>
    <t>2025-05-20 08:06:00,525,,,,500,,,,,,,,,,,520.4</t>
  </si>
  <si>
    <t>2025-05-20 08:06:00,6000,,5950,,5700,,6030,,,,,6000,5900,6010,5900,5949.75</t>
  </si>
  <si>
    <t>2025-05-20 08:06:00,21325,,,,21325,,,,,,,,,,,21361.25</t>
  </si>
  <si>
    <t>2025-05-20 08:06:00,2159554182.40804,0,0,0,0,0,0,0,593.92</t>
  </si>
  <si>
    <t>2025-05-20 08:06:00,-104056441.030618,0,0,0,0,0,0,0,520.4</t>
  </si>
  <si>
    <t>2025-05-20 08:06:00,73583281.4647654,10716443.5031172,467.8,13,7184.98500000001,250.04,0.399060703690042,10.33,5949.75</t>
  </si>
  <si>
    <t>2025-05-20 08:06:00,193349573.237446,0,0,0,0,0,0,0,21361.25</t>
  </si>
  <si>
    <t>2025-05-20 08:07:00,600,,,,580,,,,,,,,,,,593.87</t>
  </si>
  <si>
    <t>2025-05-20 08:07:00,525,,,,500,,,,,,,,,,,520.33</t>
  </si>
  <si>
    <t>2025-05-20 08:07:00,6000,,5950,,5700,,6030,,,,,6000,5900,6000,5900,5949.5</t>
  </si>
  <si>
    <t>2025-05-20 08:07:00,21325,,,,21325,,,,,,,,,,,21358.5</t>
  </si>
  <si>
    <t>2025-05-20 08:07:00,2100895386.90007,0,0,0,0,0,0,0,593.87</t>
  </si>
  <si>
    <t>2025-05-20 08:07:00,-129522252.305118,0,0,0,0,0,0,0,520.33</t>
  </si>
  <si>
    <t>2025-05-20 08:07:00,75519599.6981803,11082061.2883528,1497.5,30,4294.576,34.72,0.246487674305822,1.97,5949.5</t>
  </si>
  <si>
    <t>2025-05-20 08:07:00,193466835.766092,0,0,0,0,0,0,0,21358.5</t>
  </si>
  <si>
    <t>2025-05-20 08:08:00,600,,,,580,,,,,,,,,,,593.79</t>
  </si>
  <si>
    <t>2025-05-20 08:08:00,525,,,,500,,,,,,,,,,,520.26</t>
  </si>
  <si>
    <t>2025-05-20 08:08:00,6000,,5950,,5700,,6030,,,,,6000,5900,6000,5900,5948.5</t>
  </si>
  <si>
    <t>2025-05-20 08:08:00,21325,,,,21325,,,,,,,,,,,21355.25</t>
  </si>
  <si>
    <t>2025-05-20 08:08:00,2006433148.00728,0,0,0,0,0,0,0,593.79</t>
  </si>
  <si>
    <t>2025-05-20 08:08:00,-154497482.388668,0,0,0,0,0,0,0,520.26</t>
  </si>
  <si>
    <t>2025-05-20 08:08:00,77622867.8322324,11610548.1879554,545.533333333334,10,8992.01733333335,171.88,0.426827655660696,9.04,5948.5</t>
  </si>
  <si>
    <t>2025-05-20 08:08:00,193551977.049797,0,0,0,0,0,0,0,21355.25</t>
  </si>
  <si>
    <t>2025-05-20 08:09:00,600,,,,580,,,,,,,,,,,593.83</t>
  </si>
  <si>
    <t>2025-05-20 08:09:00,525,,,,500,,,,,,,,,,,520.28</t>
  </si>
  <si>
    <t>2025-05-20 08:09:00,6000,,5950,,5700,,6030,,,,,6000,5900,6000,5900,5949</t>
  </si>
  <si>
    <t>2025-05-20 08:09:00,21325,,,,21325,,,,,,,,,,,21356.5</t>
  </si>
  <si>
    <t>2025-05-20 08:09:00,2053542061.76353,0,0,0,0,0,0,0,593.83</t>
  </si>
  <si>
    <t>2025-05-20 08:09:00,-147517159.67902,0,0,0,0,0,0,0,520.28</t>
  </si>
  <si>
    <t>2025-05-20 08:09:00,75650019.9091169,11132869.7864745,258.383333333333,8,2439.76516666666,66.58,0.115889438271424,2.79,5949</t>
  </si>
  <si>
    <t>2025-05-20 08:09:00,193550223.508431,0,0,0,0,0,0,0,21356.5</t>
  </si>
  <si>
    <t>2025-05-20 08:10:00,600,,,,580,,,,,,,,,,,593.91</t>
  </si>
  <si>
    <t>2025-05-20 08:10:00,525,,,,500,,,,,,,,,,,520.35</t>
  </si>
  <si>
    <t>2025-05-20 08:10:00,6000,,5950,,5700,,6030,,,,,6000,5900,6000,5900,5949.75</t>
  </si>
  <si>
    <t>2025-05-20 08:10:00,21325,,,,21325,,,,,,,,,,,21358.5</t>
  </si>
  <si>
    <t>2025-05-20 08:10:00,2148154122.38801,0,0,0,0,0,0,0,593.91</t>
  </si>
  <si>
    <t>2025-05-20 08:10:00,-122200153.046368,0,0,0,0,0,0,0,520.35</t>
  </si>
  <si>
    <t>2025-05-20 08:10:00,74706129.3242386,11006603.0523289,-76.4833333333335,-10,1088.72283333334,9.36000000000001,0.155900686623724,1.65,5949.75</t>
  </si>
  <si>
    <t>2025-05-20 08:10:00,193530053.502377,0,0,0,0,0,0,0,21358.5</t>
  </si>
  <si>
    <t>2025-05-20 08:11:00,600,,,,580,,,,,,,,,,,593.83</t>
  </si>
  <si>
    <t>2025-05-20 08:11:00,525,,,,500,,,,,,,,,,,520.27</t>
  </si>
  <si>
    <t>2025-05-20 08:11:00,6000,,5950,,5700,,6030,,,,,6000,5900,6000,5900,5949</t>
  </si>
  <si>
    <t>2025-05-20 08:11:00,21325,,,,21325,,,,,,,,,,,21355.75</t>
  </si>
  <si>
    <t>2025-05-20 08:11:00,2053129892.96704,0,0,0,0,0,0,0,593.83</t>
  </si>
  <si>
    <t>2025-05-20 08:11:00,-151116914.395726,0,0,0,0,0,0,0,520.27</t>
  </si>
  <si>
    <t>2025-05-20 08:11:00,76740124.6371238,11426508.8960088,-977.316666666666,-68,-4851.80183333333,-221.34,0.321770644890457,-4.44,5949</t>
  </si>
  <si>
    <t>2025-05-20 08:11:00,193597168.098098,0,0,0,0,0,0,0,21355.75</t>
  </si>
  <si>
    <t>2025-05-20 08:12:00,600,,,,580,,,,,,,,,,,593.77</t>
  </si>
  <si>
    <t>2025-05-20 08:12:00,525,,,,500,,,,,,,,,,,520.24</t>
  </si>
  <si>
    <t>2025-05-20 08:12:00,6000,,5950,,5700,,6030,,,,,6000,5900,6000,5900,5948.5</t>
  </si>
  <si>
    <t>2025-05-20 08:12:00,21325,,,,21325,,,,,,,,,,,21354.25</t>
  </si>
  <si>
    <t>2025-05-20 08:12:00,1982288530.12915,0,0,0,0,0,0,0,593.77</t>
  </si>
  <si>
    <t>2025-05-20 08:12:00,-161528640.891206,0,0,0,0,0,0,0,520.24</t>
  </si>
  <si>
    <t>2025-05-20 08:12:00,78853066.388514,11770141.2642899,-1755.38333333333,-164,-8581.12449999999,-887.18,1.09833926983035,-19.03,5948.5</t>
  </si>
  <si>
    <t>2025-05-20 08:12:00,193649382.47275,0,0,0,0,0,0,0,21354.25</t>
  </si>
  <si>
    <t>2025-05-20 08:13:00,600,,,,580,,,,,,,,,,,593.78</t>
  </si>
  <si>
    <t>2025-05-20 08:13:00,525,,,,500,,,,,,,,,,,520.24</t>
  </si>
  <si>
    <t>2025-05-20 08:13:00,6000,,5950,,5700,,6030,,,,,6000,5900,6000,5900,5948.5</t>
  </si>
  <si>
    <t>2025-05-20 08:13:00,21325,,,,21325,,,,,,,,,,,21353.75</t>
  </si>
  <si>
    <t>2025-05-20 08:13:00,1993961685.03118,0,0,0,0,0,0,0,593.78</t>
  </si>
  <si>
    <t>2025-05-20 08:13:00,-161538092.844753,0,0,0,0,0,0,0,520.24</t>
  </si>
  <si>
    <t>2025-05-20 08:13:00,79803640.7030925,12091313.7261106,-8.79999999999979,-5,326.274000000001,-30.97,0.0675125035264614,-0.34,5948.5</t>
  </si>
  <si>
    <t>2025-05-20 08:13:00,193684382.386248,0,0,0,0,0,0,0,21353.75</t>
  </si>
  <si>
    <t>2025-05-20 08:14:00,600,,,,580,,,,,,,,,,,593.73</t>
  </si>
  <si>
    <t>2025-05-20 08:14:00,525,,,,500,,,,,,,,,,,520.24</t>
  </si>
  <si>
    <t>2025-05-20 08:14:00,6000,,5950,,5700,,6030,,,,,6000,5900,6000,5900,5948.25</t>
  </si>
  <si>
    <t>2025-05-20 08:14:00,21325,,,,21325,,,,,,,,,,,21354.25</t>
  </si>
  <si>
    <t>2025-05-20 08:14:00,1934502694.08427,0,0,0,0,0,0,0,593.73</t>
  </si>
  <si>
    <t>2025-05-20 08:14:00,-161537906.296737,0,0,0,0,0,0,0,520.24</t>
  </si>
  <si>
    <t>2025-05-20 08:14:00,81182340.3330276,12560346.9533177,37.5833333333344,-9,3197.48416666668,70.6,0.274508556974521,4.01,5948.25</t>
  </si>
  <si>
    <t>2025-05-20 08:14:00,193661672.948094,0,0,0,0,0,0,0,21354.25</t>
  </si>
  <si>
    <t>2025-05-20 08:15:00,600,,,,580,,,,,,,,,,,593.73</t>
  </si>
  <si>
    <t>2025-05-20 08:15:00,525,,,,500,,,,,,,,,,,520.11</t>
  </si>
  <si>
    <t>2025-05-20 08:15:00,6000,,5950,,5700,,6030,,,,,6000,5900,6000,5900,5947.75</t>
  </si>
  <si>
    <t>2025-05-20 08:15:00,21325,,,,21325,,,,,,,,,,,21349</t>
  </si>
  <si>
    <t>2025-05-20 08:15:00,1934721032.23887,0,0,0,0,0,0,0,593.73</t>
  </si>
  <si>
    <t>2025-05-20 08:15:00,-210545741.050203,0,0,0,0,0,0,0,520.11</t>
  </si>
  <si>
    <t>2025-05-20 08:15:00,80500425.535969,12694772.0662326,891.616666666667,32,7193.70483333333,202.78,0.317926645625052,7.78,5947.75</t>
  </si>
  <si>
    <t>2025-05-20 08:15:00,193829129.247334,0,0,0,0,0,0,0,21349</t>
  </si>
  <si>
    <t>2025-05-20 08:16:00,600,,,,580,,,,,,,,,,,593.89</t>
  </si>
  <si>
    <t>2025-05-20 08:16:00,525,,,,500,,,,,,,,,,,520.37</t>
  </si>
  <si>
    <t>2025-05-20 08:16:00,6000,,5950,,5700,,6030,,,,,6000,5900,6000,5900,5949.5</t>
  </si>
  <si>
    <t>2025-05-20 08:16:00,21325,,,,21325,,,,,,,,,,,21359.5</t>
  </si>
  <si>
    <t>2025-05-20 08:16:00,2124165996.45461,0,0,0,0,0,0,0,593.89</t>
  </si>
  <si>
    <t>2025-05-20 08:16:00,-114896643.359191,0,0,0,0,0,0,0,520.37</t>
  </si>
  <si>
    <t>2025-05-20 08:16:00,75099754.9804304,11005248.7609034,2138.18333333333,43,11608.9241666666,240.91,0.683689110266717,10.48,5949.5</t>
  </si>
  <si>
    <t>2025-05-20 08:16:00,193553878.676942,0,0,0,0,0,0,0,21359.5</t>
  </si>
  <si>
    <t>2025-05-20 08:17:00,600,,,,580,,,,,,,,,,,593.97</t>
  </si>
  <si>
    <t>2025-05-20 08:17:00,525,,,,500,,,,,,,,,,,520.46</t>
  </si>
  <si>
    <t>2025-05-20 08:17:00,6000,,5950,,5700,,6030,,,,,6000,5900,6000,5900,5950.5</t>
  </si>
  <si>
    <t>2025-05-20 08:17:00,21325,,,,21325,,,,,,,,,,,21363.25</t>
  </si>
  <si>
    <t>2025-05-20 08:17:00,2217496139.53666,0,0,0,0,0,0,0,593.97</t>
  </si>
  <si>
    <t>2025-05-20 08:17:00,-82578520.7215745,0,0,0,0,0,0,0,520.46</t>
  </si>
  <si>
    <t>2025-05-20 08:17:00,72802327.8980994,10543760.1549641,305.034848484848,-8,2318.77184848485,-250.61,0.305588586331127,-1.33,5950.5</t>
  </si>
  <si>
    <t>2025-05-20 08:17:00,193464131.680225,0,0,0,0,0,0,0,21363.25</t>
  </si>
  <si>
    <t>2025-05-20 08:18:00,600,,,,580,,,,,,,,,,,593.92</t>
  </si>
  <si>
    <t>2025-05-20 08:18:00,525,,,,500,,,,,,,,,,,520.39</t>
  </si>
  <si>
    <t>2025-05-20 08:18:00,6000,,5950,,5700,,6030,,,,,6000,5900,6000,5900,5949.75</t>
  </si>
  <si>
    <t>2025-05-20 08:18:00,21325,,,,21325,,,,,,,,,,,21360.5</t>
  </si>
  <si>
    <t>2025-05-20 08:18:00,2159333117.5445,0,0,0,0,0,0,0,593.92</t>
  </si>
  <si>
    <t>2025-05-20 08:18:00,-107616506.860336,0,0,0,0,0,0,0,520.39</t>
  </si>
  <si>
    <t>2025-05-20 08:18:00,74976072.4073323,10935922.3218485,343.566666666668,12,742.289666666667,-32.68,0.230215198742046,0.430000000000001,5949.75</t>
  </si>
  <si>
    <t>2025-05-20 08:18:00,193570922.572311,0,0,0,0,0,0,0,21360.5</t>
  </si>
  <si>
    <t>2025-05-20 08:19:00,600,,,,580,,,,,,,,,,,593.9</t>
  </si>
  <si>
    <t>2025-05-20 08:19:00,525,,,,500,,,,,,,,,,,520.36</t>
  </si>
  <si>
    <t>2025-05-20 08:19:00,6000,,5950,,5700,,6030,,,,,6000,5900,6000,5900,5949.75</t>
  </si>
  <si>
    <t>2025-05-20 08:19:00,21325,,,,21325,,,,,,,,,,,21359.5</t>
  </si>
  <si>
    <t>2025-05-20 08:19:00,2136274585.75814,0,0,0,0,0,0,0,593.9</t>
  </si>
  <si>
    <t>2025-05-20 08:19:00,-118715172.41669,0,0,0,0,0,0,0,520.36</t>
  </si>
  <si>
    <t>2025-05-20 08:19:00,75818480.1437252,11149464.0270139,110.45,4,1031.2965,39.05,0.057410805372813,1.41,5949.75</t>
  </si>
  <si>
    <t>2025-05-20 08:19:00,193631526.57831,0,0,0,0,0,0,0,21359.5</t>
  </si>
  <si>
    <t>2025-05-20 08:20:00,600,,,,580,,,,,,,,,,,593.93</t>
  </si>
  <si>
    <t>2025-05-20 08:20:00,525,,,,500,,,,,,,,,,,520.43</t>
  </si>
  <si>
    <t>2025-05-20 08:20:00,6000,,5950,,5700,,6030,,,,,6000,5900,6000,5900,5950</t>
  </si>
  <si>
    <t>2025-05-20 08:20:00,21325,,,,21325,,,,,,,,,,,21362.75</t>
  </si>
  <si>
    <t>2025-05-20 08:20:00,2171520941.8052,0,0,0,0,0,0,0,593.93</t>
  </si>
  <si>
    <t>2025-05-20 08:20:00,-93263304.7713934,0,0,0,0,0,0,0,520.43</t>
  </si>
  <si>
    <t>2025-05-20 08:20:00,75294176.4664164,11032681.3718337,62.7000000000001,3,1140.319,44.32,0.100982718496581,1.91,5950</t>
  </si>
  <si>
    <t>2025-05-20 08:20:00,193509774.297763,0,0,0,0,0,0,0,21362.75</t>
  </si>
  <si>
    <t>2025-05-20 08:21:00,600,,,,580,,,,,,,,,,,593.98</t>
  </si>
  <si>
    <t>2025-05-20 08:21:00,525,,,,500,,,,,,,,,,,520.41</t>
  </si>
  <si>
    <t>2025-05-20 08:21:00,6000,,5950,,5700,,6030,,,,,6000,5900,6000,5900,5950.5</t>
  </si>
  <si>
    <t>2025-05-20 08:21:00,21325,,,,21325,,,,,,,,,,,21361.75</t>
  </si>
  <si>
    <t>2025-05-20 08:21:00,2229289341.11159,0,0,0,0,0,0,0,593.98</t>
  </si>
  <si>
    <t>2025-05-20 08:21:00,-100577284.700149,0,0,0,0,0,0,0,520.41</t>
  </si>
  <si>
    <t>2025-05-20 08:21:00,73575802.8271003,10846306.7294962,4451.44999999999,100,13313.8745,242.93,0.61891193298458,8.52,5950.5</t>
  </si>
  <si>
    <t>2025-05-20 08:21:00,193603408.092731,0,0,0,0,0,0,0,21361.75</t>
  </si>
  <si>
    <t>2025-05-20 08:22:00,600,,,,580,,,,,,,,,,,593.98</t>
  </si>
  <si>
    <t>2025-05-20 08:22:00,525,,,,500,,,,,,,,,,,520.42</t>
  </si>
  <si>
    <t>2025-05-20 08:22:00,6000,,5950,,5700,,6030,,,,,6000,5900,6000,5900,5950.5</t>
  </si>
  <si>
    <t>2025-05-20 08:22:00,21325,,,,21325,,,,,,,,,,,21362.25</t>
  </si>
  <si>
    <t>2025-05-20 08:22:00,2229500857.63876,0,0,0,0,0,0,0,593.98</t>
  </si>
  <si>
    <t>2025-05-20 08:22:00,-96970810.6965201,0,0,0,0,0,0,0,520.42</t>
  </si>
  <si>
    <t>2025-05-20 08:22:00,73140243.9377379,10773756.8281475,-473.716666666668,1,-5212.20350000002,-379.19,0.893759334827323,-5.53,5950.5</t>
  </si>
  <si>
    <t>2025-05-20 08:22:00,193592656.254302,0,0,0,0,0,0,0,21362.25</t>
  </si>
  <si>
    <t>2025-05-20 08:23:00,600,,,,580,,,,,,,,,,,593.9</t>
  </si>
  <si>
    <t>2025-05-20 08:23:00,525,,,,500,,,,,,,,,,,520.35</t>
  </si>
  <si>
    <t>2025-05-20 08:23:00,6000,,5950,,5700,,6030,,,,,6000,5900,6000,5900,5949.75</t>
  </si>
  <si>
    <t>2025-05-20 08:23:00,21325,,,,21325,,,,,,,,,,,21359.25</t>
  </si>
  <si>
    <t>2025-05-20 08:23:00,2136656510.65466,0,0,0,0,0,0,0,593.9</t>
  </si>
  <si>
    <t>2025-05-20 08:23:00,-122304516.689828,0,0,0,0,0,0,0,520.35</t>
  </si>
  <si>
    <t>2025-05-20 08:23:00,73473786.2744501,10755930.5912973,152.616666666668,5,4266.75416666671,214.28,0.116331861718007,8.19,5949.75</t>
  </si>
  <si>
    <t>2025-05-20 08:23:00,193692280.826618,0,0,0,0,0,0,0,21359.25</t>
  </si>
  <si>
    <t>2025-05-20 08:24:00,600,,,,580,,,,,,,,,,,593.58</t>
  </si>
  <si>
    <t>2025-05-20 08:24:00,525,,,,500,,,,,,,,,,,519.98</t>
  </si>
  <si>
    <t>2025-05-20 08:24:00,6000,,6000,,5700,,6030,,,,,6000,5900,6000,5900,5946.5</t>
  </si>
  <si>
    <t>2025-05-20 08:24:00,21325,,,,21325,,,,,,,,,,,21343.5</t>
  </si>
  <si>
    <t>2025-05-20 08:24:00,1752996422.2277,0,0,0,0,0,0,0,593.58</t>
  </si>
  <si>
    <t>2025-05-20 08:24:00,-260066513.349368,0,0,0,0,0,0,0,519.98</t>
  </si>
  <si>
    <t>2025-05-20 08:24:00,69454275.0126387,5288328.06381428,2601.28585271318,100,26134.9463042635,4105.47,0.869356583890147,52.85,5946.5</t>
  </si>
  <si>
    <t>2025-05-20 08:24:00,194069364.86586,0,0,0,0,0,0,0,21343.5</t>
  </si>
  <si>
    <t>2025-05-20 08:25:00,600,,,,580,,,,,,,,,,,593.78</t>
  </si>
  <si>
    <t>2025-05-20 08:25:00,525,,,,500,,,,,,,,,,,520.15</t>
  </si>
  <si>
    <t>2025-05-20 08:25:00,6000,,6000,,5700,,6030,,,,,6000,5900,6000,5900,5947.75</t>
  </si>
  <si>
    <t>2025-05-20 08:25:00,21325,,,,21325,,,,,,,,,,,21351</t>
  </si>
  <si>
    <t>2025-05-20 08:25:00,1974994117.32268,0,0,0,0,0,0,0,593.78</t>
  </si>
  <si>
    <t>2025-05-20 08:25:00,-197972488.060366,0,0,0,0,0,0,0,520.15</t>
  </si>
  <si>
    <t>2025-05-20 08:25:00,83138525.3386742,5636108.29597549,-9.46689219302396,-23,51.1074051570009,-144.38,0.012822118230924,-5.76,5947.75</t>
  </si>
  <si>
    <t>2025-05-20 08:25:00,193926562.171768,0,0,0,0,0,0,0,21351</t>
  </si>
  <si>
    <t>2025-05-20 08:26:00,600,,,,580,,,,,,,,,,,593.56</t>
  </si>
  <si>
    <t>2025-05-20 08:26:00,525,,,,500,,,,,,,,,,,519.87</t>
  </si>
  <si>
    <t>2025-05-20 08:26:00,6000,,6000,,5700,,6030,,,,,6000,5900,6000,5900,5946</t>
  </si>
  <si>
    <t>2025-05-20 08:26:00,21325,,,,21325,,,,,,,,,,,21339.25</t>
  </si>
  <si>
    <t>2025-05-20 08:26:00,1728341074.97931,0,0,0,0,0,0,0,593.56</t>
  </si>
  <si>
    <t>2025-05-20 08:26:00,-300671116.880085,0,0,0,0,0,0,0,519.87</t>
  </si>
  <si>
    <t>2025-05-20 08:26:00,80449689.3770057,4795978.80191268,0,0,0,0,0,0,5946</t>
  </si>
  <si>
    <t>2025-05-20 08:26:00,194166887.375502,0,0,0,0,0,0,0,21339.25</t>
  </si>
  <si>
    <t>2025-05-20 08:27:00,600,,,,580,,,,,,,,,,,593.48</t>
  </si>
  <si>
    <t>2025-05-20 08:27:00,525,,,,500,,,,,,,,,,,519.85</t>
  </si>
  <si>
    <t>2025-05-20 08:27:00,6000,,6000,,5700,,6030,,,,,6000,5900,6000,5900,5945.5</t>
  </si>
  <si>
    <t>2025-05-20 08:27:00,21325,,,,21325,,,,,,,,,,,21338.75</t>
  </si>
  <si>
    <t>2025-05-20 08:27:00,1630797808.77361,0,0,0,0,0,0,0,593.48</t>
  </si>
  <si>
    <t>2025-05-20 08:27:00,-308571650.275154,0,0,0,0,0,0,0,519.85</t>
  </si>
  <si>
    <t>2025-05-20 08:27:00,79712674.6346235,4566859.38687369,0,0,0,0,0,0,5945.5</t>
  </si>
  <si>
    <t>2025-05-20 08:27:00,194151517.905252,0,0,0,0,0,0,0,21338.75</t>
  </si>
  <si>
    <t>2025-05-20 08:28:00,600,,,,580,,,,,,,,,,,593.18</t>
  </si>
  <si>
    <t>2025-05-20 08:28:00,525,,,,500,,,,,,,,,,,519.35</t>
  </si>
  <si>
    <t>2025-05-20 08:28:00,6000,,6000,,5700,,6030,,,,,6000,5900,6000,5900,5942</t>
  </si>
  <si>
    <t>2025-05-20 08:28:00,21325,,,,21325,,,,,,,,,,,21318</t>
  </si>
  <si>
    <t>2025-05-20 08:28:00,1256138524.97048,0,0,0,0,0,0,0,593.18</t>
  </si>
  <si>
    <t>2025-05-20 08:28:00,-498576799.685438,0,0,0,0,0,0,0,519.35</t>
  </si>
  <si>
    <t>2025-05-20 08:28:00,74136431.1617631,2950292.06076602,0,0,0,0,0,0,5942</t>
  </si>
  <si>
    <t>2025-05-20 08:28:00,194155651.437822,0,0,0,0,0,0,0,21318</t>
  </si>
  <si>
    <t>2025-05-20 08:29:00,600,,,,580,,,,,,,,,,,593.27</t>
  </si>
  <si>
    <t>2025-05-20 08:29:00,525,,,,500,,,,,,,,,,,519.39</t>
  </si>
  <si>
    <t>2025-05-20 08:29:00,6000,,6000,,5700,,6030,,,,,6000,5900,6000,5900,5943.25</t>
  </si>
  <si>
    <t>2025-05-20 08:29:00,21325,,,,21325,,,,,,,,,,,21319.75</t>
  </si>
  <si>
    <t>2025-05-20 08:29:00,1368380021.91612,0,0,0,0,0,0,0,593.27</t>
  </si>
  <si>
    <t>2025-05-20 08:29:00,-481855551.749185,0,0,0,0,0,0,0,519.39</t>
  </si>
  <si>
    <t>2025-05-20 08:29:00,76136177.4429498,3530455.85928209,0,0,0,0,0,0,5943.25</t>
  </si>
  <si>
    <t>2025-05-20 08:29:00,194177343.936481,0,0,0,0,0,0,0,21319.75</t>
  </si>
  <si>
    <t>2025-05-20 08:30:00,600,,595,,580,,592.5,,,,,595,590,593,595,593.4</t>
  </si>
  <si>
    <t>2025-05-20 08:30:00,525,,521,,500,,519,,520,,,522,518,518,519,519.83</t>
  </si>
  <si>
    <t>2025-05-20 08:30:00,6000,,6000,,5700,,6030,,5950,,,6000,5900,6000,5900,5945</t>
  </si>
  <si>
    <t>2025-05-20 08:30:00,21325,,,21150,21325,,,,,,,21475,20650,,21150,21338.25</t>
  </si>
  <si>
    <t>2025-05-20 08:30:00,2186129586.64876,51120193.1493662,12765.7292817675,126,-3119.63482273336,-3142.27,11.3709845738638,-1103.2,593.4</t>
  </si>
  <si>
    <t>2025-05-20 08:30:00,17304024.5056819,14781354.9179283,-2268.54893869571,-3115,-2354.85040916073,-3885.98,-250.133801785464,-1152.62,519.83</t>
  </si>
  <si>
    <t>2025-05-20 08:30:00,36234061.9659971,5609983.27679219,-2769.57843137255,-1397,-117594.495605042,-50802.08,4.22825447471574,-1126.28,5945</t>
  </si>
  <si>
    <t>2025-05-20 08:30:00,183820884.787135,-2652.2769396571,-9.98376623376623,-7,-154.427058441558,-107.67,0.00521621961519317,-1.06,21338.25</t>
  </si>
  <si>
    <t>2025-05-20 08:31:00,600,,595,,580,,592.5,,,,,595,590,598,594,593.45</t>
  </si>
  <si>
    <t>2025-05-20 08:31:00,525,,520,,500,,519,,520,,,520,518,525,521,519.54</t>
  </si>
  <si>
    <t>2025-05-20 08:31:00,6000,,6000,,5700,,6030,,,,,6000,5900,6010,5900,5944.75</t>
  </si>
  <si>
    <t>2025-05-20 08:31:00,21325,,,,21325,,21375,,,,,21500,20650,21400,21150,21328.5</t>
  </si>
  <si>
    <t>2025-05-20 08:31:00,2234091702.04939,312298225.098117,48536.7697730572,7733,-3918.85290043291,-14748.37,-665.478894291106,-5232.38,593.45</t>
  </si>
  <si>
    <t>2025-05-20 08:31:00,-18791179.4010401,65894303.9772453,-2535.21529581529,-5956,-2611.3539047619,-5823.2,-90.2717558941212,-2095.31,519.54</t>
  </si>
  <si>
    <t>2025-05-20 08:31:00,36306615.6271102,7644411.13842138,-2387.75071428572,-2483,-22326.8990571429,-27765.33,-8.95420318582745,-977.63,5944.75</t>
  </si>
  <si>
    <t>2025-05-20 08:31:00,184731494.072221,-3568.30704611604,22.7434766987398,34,1094.81148689907,1691.98,-0.000822292528502537,11.75,21328.5</t>
  </si>
  <si>
    <t>2025-05-20 08:32:00,600,,595,,580,,592.5,594,,,,595,590,598,596,593.52</t>
  </si>
  <si>
    <t>2025-05-20 08:32:00,525,,,518,500,,519,,,,,530,518,530,519,519.76</t>
  </si>
  <si>
    <t>2025-05-20 08:32:00,6000,,6000,,5700,,6030,,,,,6000,5900,6010,5900,5946</t>
  </si>
  <si>
    <t>2025-05-20 08:32:00,21325,,,,21325,,21375,,,,,21500,20650,21400,21350,21336.75</t>
  </si>
  <si>
    <t>2025-05-20 08:32:00,2311806397.7739,568972956.429397,35618.1130136992,5977,1148.9226643625,-2634.3,223.717198048205,-890.79,593.52</t>
  </si>
  <si>
    <t>2025-05-20 08:32:00,37120623.5114505,85536750.9762981,-4495.35238095239,1709,-9478.5446904762,-1045.81,13.9041329380224,-227.73,519.76</t>
  </si>
  <si>
    <t>2025-05-20 08:32:00,39774116.9199395,8615479.98225628,-2346.25,-2689,-36371.5281666666,-28617.24,-4.59974068079319,-668.64,5946</t>
  </si>
  <si>
    <t>2025-05-20 08:32:00,187449149.170009,-8402.95378895836,-72.3046107131705,-49,-2625.71237950604,-1922.05,0.00998817188088479,-13.38,21336.75</t>
  </si>
  <si>
    <t>2025-05-20 08:33:00,600,,595,,580,,592.5,,,,,595,590,598,596,593.54</t>
  </si>
  <si>
    <t>2025-05-20 08:33:00,525,,521,,500,,519,,,,,530,518,530,521,519.94</t>
  </si>
  <si>
    <t>2025-05-20 08:33:00,6000,,6000,,5700,,5940,,,,,6000,5900,6010,5900,5946.25</t>
  </si>
  <si>
    <t>2025-05-20 08:33:00,21325,,,,21325,,21375,,,,,21500,21125,20875,21125,21342.25</t>
  </si>
  <si>
    <t>2025-05-20 08:33:00,2242801837.12389,661826190.049175,10846.4494506776,2637,1389.54061827061,-20.48,377.419726311352,298.05,593.54</t>
  </si>
  <si>
    <t>2025-05-20 08:33:00,52333880.4614775,142573473.000391,-2950.86349206349,-4030,-3648.87390873015,-4080.05,-57.8895181812977,-1103.88,519.94</t>
  </si>
  <si>
    <t>2025-05-20 08:33:00,37841163.0390617,9299109.76080523,398.492757475084,795,-13425.3571718716,-10880.13,-0.669106699744651,31.63,5946.25</t>
  </si>
  <si>
    <t>2025-05-20 08:33:00,185186471.650513,-1886.16706139718,-80.7636098752067,-126,-1376.38062105872,-5302.94,0.0392019628746405,-34.33,21342.25</t>
  </si>
  <si>
    <t>2025-05-20 08:34:00,600,,595,,580,,592.5,,,,,595,590,600,596,593.29</t>
  </si>
  <si>
    <t>2025-05-20 08:34:00,525,,521,,500,,519,520,,,,530,518,530,521,519.66</t>
  </si>
  <si>
    <t>2025-05-20 08:34:00,6000,,6000,,5700,,5940,,,,,6000,5900,6000,5900,5943.5</t>
  </si>
  <si>
    <t>2025-05-20 08:34:00,21325,,,,21325,,21325,,,,,21500,21125,21500,21125,21330</t>
  </si>
  <si>
    <t>2025-05-20 08:34:00,2149092070.33469,797257323.886395,40946.0032051278,20808,-3645.10876984127,-5571.19,-48.8901160003217,-2180.03,593.29</t>
  </si>
  <si>
    <t>2025-05-20 08:34:00,6537748.63295332,149355198.276154,-1787.96579091406,-3970,738.040640941449,-874.6,60.6834927148237,-490.69,519.66</t>
  </si>
  <si>
    <t>2025-05-20 08:34:00,36297808.5912249,8089269.95713501,-651.154492753624,120,-3504.82557681128,-2132.53,6.36942707735971,-323.05,5943.5</t>
  </si>
  <si>
    <t>2025-05-20 08:34:00,185273293.717873,-8007.8931981279,42.5844086506882,80,1269.22805063358,1692.67,0.00734785655182652,14.82,21330</t>
  </si>
  <si>
    <t>2025-05-20 08:35:00,600,,595,,580,,592.5,,,,593,595,590,598,596,593.25</t>
  </si>
  <si>
    <t>2025-05-20 08:35:00,525,,,518,500,,519,,,,,530,518,530,519,519.45</t>
  </si>
  <si>
    <t>2025-05-20 08:35:00,6000,,,5900,5700,,5940,,,,,6000,5900,6000,5960,5942.5</t>
  </si>
  <si>
    <t>2025-05-20 08:35:00,21325,,,,21325,,21350,,,,21350,21500,21125,21500,21350,21326.5</t>
  </si>
  <si>
    <t>2025-05-20 08:35:00,2189396036.87356,796008717.485385,29880.373973397,-1489,-6457.52528282828,-4747.39,-375.311824434625,-1341.81,593.25</t>
  </si>
  <si>
    <t>2025-05-20 08:35:00,-3590173.61944083,127143554.764561,-148.308308575956,2296,200.884181153267,2025.39,-243.093871442182,629.14,519.45</t>
  </si>
  <si>
    <t>2025-05-20 08:35:00,35028984.3818129,7570036.61924381,763.651904761912,3354,2352.55729523823,15816.58,-4.02582401987366,743.07,5942.5</t>
  </si>
  <si>
    <t>2025-05-20 08:35:00,185468754.776215,-45996.7247563804,-74.0363892643304,-21,-2800.16328306627,-2474.23,0.032717566531339,-15.63,21326.5</t>
  </si>
  <si>
    <t>2025-05-20 08:36:00,600,,595,,580,,592.5,,,593,,595,590,598,596,593.16</t>
  </si>
  <si>
    <t>2025-05-20 08:36:00,525,,,518,500,,519,,,519,,530,518,531,521,519.39</t>
  </si>
  <si>
    <t>2025-05-20 08:36:00,6000,,,5900,5700,,5940,,,,,6000,5900,6000,5960,5942</t>
  </si>
  <si>
    <t>2025-05-20 08:36:00,21325,,,,21325,,21350,,,,,21500,21125,21500,21350,21319.75</t>
  </si>
  <si>
    <t>2025-05-20 08:36:00,2151419410.72099,824714679.527733,31700.220594966,1096,12733.5765128205,12530.28,405.113812836662,4692.81,593.16</t>
  </si>
  <si>
    <t>2025-05-20 08:36:00,-18103081.650424,80659150.723286,4446.42992277986,4645,4090.16279343619,3165.94,-71.0891083448188,1095.23,519.39</t>
  </si>
  <si>
    <t>2025-05-20 08:36:00,34034475.8436703,7101386.11207576,534.895290960746,243,2962.02056766279,4833.31,5.48141044369423,191.18,5942</t>
  </si>
  <si>
    <t>2025-05-20 08:36:00,184810706.977955,-46957.5966915406,1.00634569840842,-2,150.171306263684,-95.78,-0.00534684362438391,-0.83,21319.75</t>
  </si>
  <si>
    <t>2025-05-20 08:37:00,600,,595,,580,,592.5,,,,,595,590,594,596,593.16</t>
  </si>
  <si>
    <t>2025-05-20 08:37:00,525,,,518,500,,519,,,519,,530,518,531,510,519.4</t>
  </si>
  <si>
    <t>2025-05-20 08:37:00,6000,,,5900,5700,,5940,,,,,6000,5900,6000,5960,5942.25</t>
  </si>
  <si>
    <t>2025-05-20 08:37:00,21325,,,,21325,,21350,,,,,21500,21125,21500,21350,21319.25</t>
  </si>
  <si>
    <t>2025-05-20 08:37:00,2135732659.47976,905451706.733782,33031.9999999999,20031,12235.3516,10147.67,-265.464816920142,2842.48,593.16</t>
  </si>
  <si>
    <t>2025-05-20 08:37:00,-27889848.5409999,71311393.5262948,7127.91984126987,5930,8979.83815079367,5673.25,-72.112422119076,1854.92,519.4</t>
  </si>
  <si>
    <t>2025-05-20 08:37:00,34090670.8083403,8021757.69417825,1244.87333333333,1348,12838.1438666665,5293.51,-2.10562004194994,191.49,5942.25</t>
  </si>
  <si>
    <t>2025-05-20 08:37:00,184286590.872808,-48120.0901092949,18.1505108167841,16,1495.51193637475,757.07,0.0149157931327783,6.12,21319.25</t>
  </si>
  <si>
    <t>2025-05-20 08:38:00,600,,595,,580,,592.5,,,593,,595,590,594,596,593.26</t>
  </si>
  <si>
    <t>2025-05-20 08:38:00,525,,,518,500,,519,,520,,,530,518,531,521,519.61</t>
  </si>
  <si>
    <t>2025-05-20 08:38:00,6000,,,5900,5700,,5940,,,,,6000,5900,6000,5960,5943</t>
  </si>
  <si>
    <t>2025-05-20 08:38:00,21325,,,,21325,,21350,,,,,21500,21125,21500,21350,21329.5</t>
  </si>
  <si>
    <t>2025-05-20 08:38:00,2144368891.40628,922265228.023846,1932.30449064012,-1431,-18076.1406698302,-10318.28,-652.453815804062,-3690.5,593.26</t>
  </si>
  <si>
    <t>2025-05-20 08:38:00,-2101176.56221862,-27938199.7465041,-14144.7047619048,-2561,-22809.1268690478,-3035.1,-380.178350457802,-768.07,519.61</t>
  </si>
  <si>
    <t>2025-05-20 08:38:00,33082786.1744164,7585465.928874,-6769.92607142855,-4021,-63264.0571845236,-20373.61,1.88205235557984,-724.29,5943</t>
  </si>
  <si>
    <t>2025-05-20 08:38:00,183375160.800296,-49188.0106704923,-161.683535777088,-83,-3845.305499073,-1548.22,0.0208678179687783,-12.17,21329.5</t>
  </si>
  <si>
    <t>2025-05-20 08:39:00,600,,595,,580,,592.5,,,,,595,590,594,596,593.28</t>
  </si>
  <si>
    <t>2025-05-20 08:39:00,525,,,518,500,,519,,520,,,521,518,531,510,519.64</t>
  </si>
  <si>
    <t>2025-05-20 08:39:00,6000,,5970,,5700,,5940,,,,,6000,5900,6010,5960,5943.25</t>
  </si>
  <si>
    <t>2025-05-20 08:39:00,21325,,,,21325,,21350,,,,,21500,21125,21500,21350,21330.5</t>
  </si>
  <si>
    <t>2025-05-20 08:39:00,2170523960.90467,1066661700.57849,25549.3984771567,11263,5038.82696969697,1953.61,64.004845579916,910.65,593.28</t>
  </si>
  <si>
    <t>2025-05-20 08:39:00,-518752.793478468,-10153599.0415729,-671.63660714273,3938,-6018.56224107116,438.82,-32.1095154696969,357.1,519.64</t>
  </si>
  <si>
    <t>2025-05-20 08:39:00,35380645.5904346,8761514.83356877,575.782380952375,-173,7476.04160476184,2578.78,-6.51899446319156,61.47,5943.25</t>
  </si>
  <si>
    <t>2025-05-20 08:39:00,184443839.749305,-44909.1673915056,23.1177387318564,28,790.331177565573,866.55,0.00937692723243687,7.73,21330.5</t>
  </si>
  <si>
    <t>2025-05-20 08:40:00,600,,595,,580,,592.5,,,,,595,590,594,596,593.22</t>
  </si>
  <si>
    <t>2025-05-20 08:40:00,525,,,518,500,,519,,,,,521,518,531,510,519.78</t>
  </si>
  <si>
    <t>2025-05-20 08:40:00,6000,,,5900,5700,,5940,,,,,6000,5900,6000,5890,5942.5</t>
  </si>
  <si>
    <t>2025-05-20 08:40:00,21325,,,,21325,,21350,,,,,21500,21125,21500,21350,21330.5</t>
  </si>
  <si>
    <t>2025-05-20 08:40:00,2066680435.82722,1044091899.06289,40601.3882673023,21639,31699.6016428572,13868.92,-552.962741389708,4194.57,593.22</t>
  </si>
  <si>
    <t>2025-05-20 08:40:00,8831390.98868928,19665187.2831174,8735.83095238095,9424,9308.46285714286,9492.5,20.4461450481926,3039.08,519.78</t>
  </si>
  <si>
    <t>2025-05-20 08:40:00,34463943.1212746,7604569.46318927,1220.01166666667,622,27328.1621166666,12425.6,3.44984084239327,407.55,5942.5</t>
  </si>
  <si>
    <t>2025-05-20 08:40:00,184297972.582085,-46107.2038471955,85.810312808966,43,3163.69304562329,1436.48,0.000924965513318204,12.31,21330.5</t>
  </si>
  <si>
    <t>2025-05-20 08:41:00,600,,595,,580,,592.5,,,593,,595,592,594,596,593.07</t>
  </si>
  <si>
    <t>2025-05-20 08:41:00,525,,,518,500,,519,,,519,,521,518,531,510,519.47</t>
  </si>
  <si>
    <t>2025-05-20 08:41:00,6000,,,5900,5700,,5940,,5950,,,6000,5900,6000,5850,5941</t>
  </si>
  <si>
    <t>2025-05-20 08:41:00,21325,,,,21325,,21350,,,,,21500,21125,21500,21350,21322</t>
  </si>
  <si>
    <t>2025-05-20 08:41:00,2088708635.05789,1059684018.25109,36225.0690030956,26189,8032.49921418199,8339.82,-56.5888891700708,3355.56,593.07</t>
  </si>
  <si>
    <t>2025-05-20 08:41:00,-11124739.1313042,38998963.5278671,1237.36666666668,4058,2952.04259523812,6456.1,287.568021600031,2027.06,519.47</t>
  </si>
  <si>
    <t>2025-05-20 08:41:00,32963411.9654056,3527809.54273266,-2556.585,-3246,-4108.58054999999,-4049.53,4.27767347706325,-116.49,5941</t>
  </si>
  <si>
    <t>2025-05-20 08:41:00,182731997.087826,-65351.6243803122,-142.123625460614,-25,-3116.47296309849,-1620.64,0.0299901185956865,-10.28,21322</t>
  </si>
  <si>
    <t>2025-05-20 08:42:00,600,,595,,580,,592.5,,,,,595,592,594,596,593.28</t>
  </si>
  <si>
    <t>2025-05-20 08:42:00,525,,,518,500,,519,,,,,521,518,518,510,519.67</t>
  </si>
  <si>
    <t>2025-05-20 08:42:00,6000,,,5900,5700,,5940,,,,,6000,5900,6000,5850,5943.25</t>
  </si>
  <si>
    <t>2025-05-20 08:42:00,21325,,,,21325,,21350,,,,,21500,21125,21500,21350,21331.5</t>
  </si>
  <si>
    <t>2025-05-20 08:42:00,2151510021.6242,1164881582.73413,-1109.07117224831,-2599,-16403.5051388888,-7996.21,540.863423684796,-2555.41,593.28</t>
  </si>
  <si>
    <t>2025-05-20 08:42:00,22229374.9840234,79183234.2353278,-858.377960927996,1027,-441.674191697239,802.93,-6.19553250459012,326.91,519.67</t>
  </si>
  <si>
    <t>2025-05-20 08:42:00,33901025.731357,6804227.89020703,1038.79583333333,1840,11407.9329416665,14778.07,4.05316265192113,412.02,5943.25</t>
  </si>
  <si>
    <t>2025-05-20 08:42:00,183827897.868088,-58319.9445311393,-58.7230158730159,-35,-1277.28953174603,-612.56,0.00373760149516352,-5.32,21331.5</t>
  </si>
  <si>
    <t>2025-05-20 08:43:00,600,,595,,580,,592.5,,,,,595,592,594,596,593.08</t>
  </si>
  <si>
    <t>2025-05-20 08:43:00,525,,,518,500,,519,,,,,521,518,531,510,519.48</t>
  </si>
  <si>
    <t>2025-05-20 08:43:00,6000,,,5900,5700,,5940,,,,,6000,5900,6000,5850,5941.25</t>
  </si>
  <si>
    <t>2025-05-20 08:43:00,21325,,,,21325,,21350,,,,,21500,21125,21500,21350,21327</t>
  </si>
  <si>
    <t>2025-05-20 08:43:00,2099077113.6525,1145725619.91759,25132.0584297012,11419,-4553.50584848485,-3945.55,-187.626406098092,-1759.02,593.08</t>
  </si>
  <si>
    <t>2025-05-20 08:43:00,-11125152.0819167,68194926.296039,-3879.89417989418,-3226,-6585.70880820106,-5188.7,84.4395847045313,-1310.84,519.48</t>
  </si>
  <si>
    <t>2025-05-20 08:43:00,32996154.8333585,3331709.98138915,-1718.05,-1729,-11434.8734999999,-5766.43,2.01944883967445,-264.15,5941.25</t>
  </si>
  <si>
    <t>2025-05-20 08:43:00,184101245.062085,-67924.8494678032,9.6216374269006,24,351.678546365916,83.05,-0.00735194140429441,1.44,21327</t>
  </si>
  <si>
    <t>2025-05-20 08:44:00,600,,595,,580,,592.5,,,,,595,592,594,596,592.97</t>
  </si>
  <si>
    <t>2025-05-20 08:44:00,525,,,518,500,,519,,,,,521,518,531,510,519.41</t>
  </si>
  <si>
    <t>2025-05-20 08:44:00,6000,,,5900,5700,,5940,,,,,6000,5900,6000,5850,5940</t>
  </si>
  <si>
    <t>2025-05-20 08:44:00,21325,,,,21325,,21350,,,,,21500,21100,21500,21100,21320.25</t>
  </si>
  <si>
    <t>2025-05-20 08:44:00,2041074921.92778,1235199701.9115,48662.86076696,22361,-3594.13821645022,-7989.04,467.056364918139,-2619.67,592.97</t>
  </si>
  <si>
    <t>2025-05-20 08:44:00,-35594827.9111936,42591342.0367447,-4241.23448275862,-4203,-8245.18857635468,-6789.01,9.00479875165912,-1737.95,519.41</t>
  </si>
  <si>
    <t>2025-05-20 08:44:00,31160663.7253511,1021484.05231187,-1956.34603174603,-2941,-12950.7598492063,-12277.46,0.0379074560500504,-535.04,5940</t>
  </si>
  <si>
    <t>2025-05-20 08:44:00,182872094.525186,-116210.118817486,-180.370434627101,-194,-1483.64201793392,-1657.74,0.143146526786303,-17.6,21320.25</t>
  </si>
  <si>
    <t>2025-05-20 08:45:00,600,,595,,580,,592.5,,,,,595,592,594,596,593.2</t>
  </si>
  <si>
    <t>2025-05-20 08:45:00,525,,,518,500,,519,,520,520,,521,518,531,510,519.56</t>
  </si>
  <si>
    <t>2025-05-20 08:45:00,6000,,,5900,5700,,5940,,,,,6000,5900,6000,5850,5942.5</t>
  </si>
  <si>
    <t>2025-05-20 08:45:00,21325,,,,21325,,21350,,,,,21500,21100,21500,21100,21327</t>
  </si>
  <si>
    <t>2025-05-20 08:45:00,2141938614.01559,1409324099.83613,10579.1629213485,7649,323.600756132769,2594.45,177.707097022282,911.23,593.2</t>
  </si>
  <si>
    <t>2025-05-20 08:45:00,-9545909.65943625,96144692.246363,1609.12026203016,1902,1598.50186882201,1104.36,-66.2171929751632,422.23,519.56</t>
  </si>
  <si>
    <t>2025-05-20 08:45:00,33642196.0181128,5012586.83208566,-1791.16833333333,-2201,-13759.2620166667,-12778.98,-3.08944347011133,-497.43,5942.5</t>
  </si>
  <si>
    <t>2025-05-20 08:45:00,183733896.699284,-109863.385317284,-29.3215354135517,-21,-1037.27948803079,-753.41,0.00617628597251839,-5.74,21327</t>
  </si>
  <si>
    <t>2025-05-20 08:47:00,600,,595,,580,,592.5,593,,,,595,592,594,596,592.85</t>
  </si>
  <si>
    <t>2025-05-20 08:47:00,525,,,518,500,,519,,,,,521,518,518,510,519.14</t>
  </si>
  <si>
    <t>2025-05-20 08:47:00,6000,,,5900,5700,,5940,,,,,6000,5900,6000,5850,5938.75</t>
  </si>
  <si>
    <t>2025-05-20 08:47:00,21325,,,,21325,,21350,,,,,21500,21100,21500,21100,21309.5</t>
  </si>
  <si>
    <t>2025-05-20 08:47:00,1996550447.85574,1172106394.89982,31372.828474498,16220,3116.53133333335,5143.83,612.399122961979,2019.83,592.85</t>
  </si>
  <si>
    <t>2025-05-20 08:47:00,-77009632.475549,-8930781.69877124,1402.15238095238,1766,1859.34828571429,2412.85,133.577832039479,868.67,519.14</t>
  </si>
  <si>
    <t>2025-05-20 08:47:00,29754002.657195,-2309649.22126739,167.529999999997,222,7785.62569999999,4081.63,2.62693512243579,131.34,5938.75</t>
  </si>
  <si>
    <t>2025-05-20 08:47:00,182966870.990648,-140299.527562538,-45.2936726508785,-27,-1032.42256782743,-705.77,0.048455624520009,-6.37,21309.5</t>
  </si>
  <si>
    <t>2025-05-20 08:48:00,600,,595,,580,,592.5,,,592,,595,592,594,596,592.2</t>
  </si>
  <si>
    <t>2025-05-20 08:48:00,525,,,518,500,,519,,,,,521,518,531,519,518.33</t>
  </si>
  <si>
    <t>2025-05-20 08:48:00,6000,,,5900,5700,,5940,,,,,6000,5900,6010,5900,5932.5</t>
  </si>
  <si>
    <t>2025-05-20 08:48:00,21325,,,21100,21325,,21350,,,,,21500,21050,21050,20975,21275.75</t>
  </si>
  <si>
    <t>2025-05-20 08:48:00,1743625297.48118,421480309.700145,145661.247224212,43652,12930.5454545455,23255.31,-1409.48528372278,7305.45,592.2</t>
  </si>
  <si>
    <t>2025-05-20 08:48:00,-189921344.86391,-262994706.504693,387.115836940869,-3834,-9355.90905230874,-9495.68,1215.84932370545,-2689.14,518.33</t>
  </si>
  <si>
    <t>2025-05-20 08:48:00,25099908.1538286,-16926839.6881085,2549.64976190477,3147,29318.6846928571,25055.4,-19.1438746248115,838.92,5932.5</t>
  </si>
  <si>
    <t>2025-05-20 08:48:00,181917446.569161,-473682.759584732,251.200059391342,997,10723.072687561,14108.99,-1.12205881712564,140.45,21275.75</t>
  </si>
  <si>
    <t>2025-05-20 08:49:00,600,,595,,580,,592.5,,,,592,595,592,594,596,592.47</t>
  </si>
  <si>
    <t>2025-05-20 08:49:00,525,,,518,500,,519,,,,,521,518,522,519,518.68</t>
  </si>
  <si>
    <t>2025-05-20 08:49:00,6000,,,5900,5700,,5940,,,,5930,6000,5900,6010,5900,5935</t>
  </si>
  <si>
    <t>2025-05-20 08:49:00,21325,,,21050,21325,,21350,,,,,21500,21050,21100,21125,21291.5</t>
  </si>
  <si>
    <t>2025-05-20 08:49:00,1864626190.18919,483257127.319202,55075.0647307922,-5749,-12319.5523822844,-7073.28,698.559261763254,-1705.69,592.47</t>
  </si>
  <si>
    <t>2025-05-20 08:49:00,-135492456.893804,-289966413.919715,-17819.0480121328,-14930,-19179.4897376899,-14916.48,210.639281853617,-5119.6,518.68</t>
  </si>
  <si>
    <t>2025-05-20 08:49:00,26740014.008867,-13342632.0488769,-4235.04915138916,-3950,-69843.8845459024,-44408.93,4.43106372579033,-1236.6,5935</t>
  </si>
  <si>
    <t>2025-05-20 08:49:00,181757168.95591,-602490.083189432,-1638.41800032183,-609,-16788.120881371,-6301.24,0.623464923417358,-57.09,21291.5</t>
  </si>
  <si>
    <t>2025-05-20 08:50:00,600,,595,,580,,592.5,,,,592,595,592,594,596,592.35</t>
  </si>
  <si>
    <t>2025-05-20 08:50:00,525,,,518,500,,519,,,,,521,518,522,519,518.56</t>
  </si>
  <si>
    <t>2025-05-20 08:50:00,6000,,,5900,5700,,5940,,,,,6000,5900,6010,5900,5933.75</t>
  </si>
  <si>
    <t>2025-05-20 08:50:00,21325,,,21050,21325,,21350,,,,,21500,21050,21100,21125,21280.5</t>
  </si>
  <si>
    <t>2025-05-20 08:50:00,1769163552.66748,158197395.236207,20635.5382113823,-8027,-424.226047979811,6657.45,230.869765092593,2701.98,592.35</t>
  </si>
  <si>
    <t>2025-05-20 08:50:00,-156053245.106093,-390571372.477534,-2383.85833333334,-3686,-3051.09408333334,-4670.59,151.382992440767,-1448.87,518.56</t>
  </si>
  <si>
    <t>2025-05-20 08:50:00,23608337.0588229,-18532027.7753491,-317.168333333331,-819,-11799.4526333333,-12946.12,-3.04655834754724,-290.94,5933.75</t>
  </si>
  <si>
    <t>2025-05-20 08:50:00,179865705.550136,-646102.069093854,-79.7356923076923,-80,-1389.0744291453,-1085.86,0.0269721535099388,-9.65,21280.5</t>
  </si>
  <si>
    <t>2025-05-20 08:51:00,600,,,,580,,592.5,,,592,,595,592,594,595,592.21</t>
  </si>
  <si>
    <t>2025-05-20 08:51:00,525,,,518,500,,519,,,,,521,518,522,515,518.357</t>
  </si>
  <si>
    <t>2025-05-20 08:51:00,6000,,,5900,5700,,5940,,,,,6000,5900,6010,5900,5932.75</t>
  </si>
  <si>
    <t>2025-05-20 08:51:00,21325,,,21050,21325,,21350,,,,,21500,21050,21050,21125,21276.75</t>
  </si>
  <si>
    <t>2025-05-20 08:51:00,1732696677.49317,-46084369.5633641,36955.2939560442,18891,-115.958666666936,3606.22,-402.885304806911,1320.76,592.21</t>
  </si>
  <si>
    <t>2025-05-20 08:51:00,-159165020.75013,-375218246.802156,17023.6761904762,8924,22089.8426666667,11922.37,-14.771347232692,3745.53,518.357</t>
  </si>
  <si>
    <t>2025-05-20 08:51:00,23440465.4419483,-18812496.3015473,696.680952380951,743,6358.22230952379,6408.59,-7.97865564239464,244.12,5932.75</t>
  </si>
  <si>
    <t>2025-05-20 08:51:00,180639661.777317,-810101.706883884,-186.845529242,477,-1101.8848301842,4775.56,-0.526839182795524,51.1,21276.75</t>
  </si>
  <si>
    <t>2025-05-20 08:52:00,600,,595,,580,,592.5,,,,,595,592,594,596,592.575</t>
  </si>
  <si>
    <t>2025-05-20 08:52:00,525,,,518,500,,519,,,,,521,518,522,519,518.66</t>
  </si>
  <si>
    <t>2025-05-20 08:52:00,6000,,,5900,5700,,5940,,,,,6000,5900,6010,5900,5935.25</t>
  </si>
  <si>
    <t>2025-05-20 08:52:00,21325,,,21050,21325,,21350,,,,,21500,21050,21050,20800,21294.75</t>
  </si>
  <si>
    <t>2025-05-20 08:52:00,1908610950.2583,224399536.544214,-12709.701304753,-8653,-26803.2554761905,-6065.06,481.267334200564,-1800.81,592.575</t>
  </si>
  <si>
    <t>2025-05-20 08:52:00,-125858350.824879,-344066499.641307,-4353.28935574229,-3190,-6242.66524089634,-5056.04,279.75461486588,-1443.98,518.66</t>
  </si>
  <si>
    <t>2025-05-20 08:52:00,25106705.2679754,-13755227.5016797,-5862.90571428571,-1634,-101162.221114286,-23917.41,7.8156925098362,-667.7,5935.25</t>
  </si>
  <si>
    <t>2025-05-20 08:52:00,179890947.462021,-759496.972100357,-194.240655802089,-118,-3076.45055516631,-1736.74,0.0179905255486633,-13.61,21294.75</t>
  </si>
  <si>
    <t>2025-05-20 08:53:00,600,,595,,580,,592.5,593,,,,595,592,594,595,593.08</t>
  </si>
  <si>
    <t>2025-05-20 08:53:00,525,,,518,500,,519,519,,,,521,518,522,515,519.41</t>
  </si>
  <si>
    <t>2025-05-20 08:53:00,6000,,,5900,5700,,5940,,,,,6000,5900,6050,5900,5941.25</t>
  </si>
  <si>
    <t>2025-05-20 08:53:00,21325,,,21050,21325,,21350,,,,,21500,21050,21050,20800,21319.5</t>
  </si>
  <si>
    <t>2025-05-20 08:53:00,2054371162.08553,723370213.859702,1833.35412186363,3433,24605.7488063326,11432.65,2483.11515019267,3954.91,593.08</t>
  </si>
  <si>
    <t>2025-05-20 08:53:00,-31937260.4260307,-132270252.49378,11355.2357753358,8540,16272.6173272284,11873.75,187.860314968938,3956.21,519.41</t>
  </si>
  <si>
    <t>2025-05-20 08:53:00,29775568.5042393,-780108.661931262,-6340.55774891776,-5798,15.2804649349183,-2666.25,5.29193317219098,-99.5500000000001,5941.25</t>
  </si>
  <si>
    <t>2025-05-20 08:53:00,182705344.217414,-667935.583124453,-7.87239190328745,12,-63.9112975847971,-2.04999999999995,0.0148403069321046,1.71,21319.5</t>
  </si>
  <si>
    <t>2025-05-20 08:54:00,600,,595,,580,,591.5,593,,,,595,592,594,596,593.465</t>
  </si>
  <si>
    <t>2025-05-20 08:54:00,525,,,518,500,,519,,520,,,521,518,522,515,519.82</t>
  </si>
  <si>
    <t>2025-05-20 08:54:00,6000,,,5900,5700,,5940,,,5940,,6000,5900,6050,5900,5945</t>
  </si>
  <si>
    <t>2025-05-20 08:54:00,21325,,,21050,21325,,21350,,,,,21500,21050,21050,21125,21337.75</t>
  </si>
  <si>
    <t>2025-05-20 08:54:00,2251124718.04718,1733725727.49008,-18686.9288856061,-50430,58829.612031746,44810.36,1583.47566225961,16576.45,593.465</t>
  </si>
  <si>
    <t>2025-05-20 08:54:00,33923824.5160485,99853879.7868912,-1292.8359811166,-6511,-473.89648706899,-9673.26,-241.275294611498,-3025.8,519.82</t>
  </si>
  <si>
    <t>2025-05-20 08:54:00,36892566.3612318,12162587.3471911,3014.60207792209,2429,35221.6135246754,27156.06,17.8198143671197,1024.78,5945</t>
  </si>
  <si>
    <t>2025-05-20 08:54:00,183106461.499288,-601730.248591111,-83.2925865800867,-7,-2962.49023755412,-351.52,0.0764739884479496,-0.940000000000001,21337.75</t>
  </si>
  <si>
    <t>2025-05-20 08:55:00,600,,595,,580,,591.5,,,,,595,592,594,585,593.24</t>
  </si>
  <si>
    <t>2025-05-20 08:55:00,525,,,518,500,,519,,520,,,521,518,522,515,519.61</t>
  </si>
  <si>
    <t>2025-05-20 08:55:00,6000,,,5900,5700,,5940,,,,,6000,5900,6050,5900,5943</t>
  </si>
  <si>
    <t>2025-05-20 08:55:00,21325,,,21050,21325,,21350,,,,,21500,21050,21050,21125,21329.75</t>
  </si>
  <si>
    <t>2025-05-20 08:55:00,2168400111.01864,1637241102.4282,12001.1516886758,22070,255.979938757364,1343.43,316.090113130685,127.14,593.24</t>
  </si>
  <si>
    <t>2025-05-20 08:55:00,-3427630.16818065,80727348.4773587,-2290.35357142857,-4237,-2717.32079761905,-4355.56,-343.249306530064,-1491.9,519.61</t>
  </si>
  <si>
    <t>2025-05-20 08:55:00,34996913.1343442,5502314.86872558,-2064.34549019608,-708,-20752.6504784315,-8369.95,-4.36185281086235,-303.09,5943</t>
  </si>
  <si>
    <t>2025-05-20 08:55:00,183280062.376326,-639874.011174631,7.03692201518291,12,570.7139584196,713.67,-0.0164480432567224,6.76,21329.75</t>
  </si>
  <si>
    <t>2025-05-20 08:56:00,600,,595,,580,,591.5,,,593,,595,592,594,595,593.18</t>
  </si>
  <si>
    <t>2025-05-20 08:56:00,525,,,518,500,,519,,,,,521,518,522,519,519.47</t>
  </si>
  <si>
    <t>2025-05-20 08:56:00,6000,,,5900,5700,,5940,,,,,6000,5900,6050,5900,5942.25</t>
  </si>
  <si>
    <t>2025-05-20 08:56:00,21325,,,21050,21325,,21350,,,,,21500,21050,21050,21125,21323.25</t>
  </si>
  <si>
    <t>2025-05-20 08:56:00,2088867512.41942,1471089886.21396,10732.8885826472,17691,-1701.77654761905,-4841.5,-688.370771106629,-1618.48,593.18</t>
  </si>
  <si>
    <t>2025-05-20 08:56:00,-28445053.5410991,12253762.3087527,-11823.0373563218,-6158,-12646.3685488506,-6607.06,196.506684716244,-2182.91,519.47</t>
  </si>
  <si>
    <t>2025-05-20 08:56:00,33609640.5431915,1994379.250854,-2990.33366300366,-1960,-27569.1894274726,-10858.33,-6.23982141996138,-389.65,5942.25</t>
  </si>
  <si>
    <t>2025-05-20 08:56:00,182317155.427821,-672640.533439073,-28.6475169865662,-29,-896.52859411176,-536.93,0.0382612532628438,-5.08,21323.25</t>
  </si>
  <si>
    <t>2025-05-20 08:57:00,600,,595,,580,,591.5,,,,,595,592,594,585,592.95</t>
  </si>
  <si>
    <t>2025-05-20 08:57:00,525,,,518,500,,519,,,519,,520,518,522,515,519.27</t>
  </si>
  <si>
    <t>2025-05-20 08:57:00,6000,,,5900,5700,,5940,,,,,6000,5900,6050,5900,5940</t>
  </si>
  <si>
    <t>2025-05-20 08:57:00,21325,,,21050,21325,,21350,,,,,21500,21050,21050,21125,21311.5</t>
  </si>
  <si>
    <t>2025-05-20 08:57:00,1990853442.35534,1218516688.18913,23143.8070048309,13430,5041.33294949495,4576.13,419.121431088102,1921.95,592.95</t>
  </si>
  <si>
    <t>2025-05-20 08:57:00,-61718299.3263777,-86507353.8682832,7147.43680441525,5669,10162.5392464879,7276.92,54.149522077999,2300.15,519.27</t>
  </si>
  <si>
    <t>2025-05-20 08:57:00,31488742.2936252,-1913876.41451917,-25.3758730158729,290,-679.374180952372,3463.63,0.768502512714584,184.63,5940</t>
  </si>
  <si>
    <t>2025-05-20 08:57:00,182982590.65738,-721060.653495579,-14.1129256854257,-18,-206.532093145743,-134.22,0.0334037359932622,-1.51,21311.5</t>
  </si>
  <si>
    <t>2025-05-20 08:58:00,600,,594,,580,,591.5,,,,,595,592,594,585,592.944</t>
  </si>
  <si>
    <t>2025-05-20 08:58:00,525,,,518,500,,519,,,,,520,518,522,515,519.08</t>
  </si>
  <si>
    <t>2025-05-20 08:58:00,6000,,,5900,5700,,5940,,,,,6000,5900,6050,5900,5940</t>
  </si>
  <si>
    <t>2025-05-20 08:58:00,21325,,,21050,21325,,21350,,,,,21500,21050,21050,21125,21307.75</t>
  </si>
  <si>
    <t>2025-05-20 08:58:00,2029441887.86754,1437060185.59365,15969.4703049757,10457,1087.78768939393,1031.31,-364.721675572245,368.05,592.944</t>
  </si>
  <si>
    <t>2025-05-20 08:58:00,-77243389.9428966,-74639266.5192031,-117.289826839826,-242,-353.136071428569,-994.27,-45.660147904349,-318.73,519.08</t>
  </si>
  <si>
    <t>2025-05-20 08:58:00,32996999.862313,-1576385.49713548,-293.375000000007,-37,-1270.84200000007,546.7,-4.90559724309893,-3.02000000000002,5940</t>
  </si>
  <si>
    <t>2025-05-20 08:58:00,182725087.341835,-734448.869369843,38.7398239187713,26,1454.15587095945,1001.7,0.0197564383976706,7.73,21307.75</t>
  </si>
  <si>
    <t>2025-05-20 08:59:00,600,,595,,580,,591.5,,,,,595,592,594,585,592.82</t>
  </si>
  <si>
    <t>2025-05-20 08:59:00,525,,,518,500,,519,,519,,,520,518,522,519,518.98</t>
  </si>
  <si>
    <t>2025-05-20 08:59:00,6000,,,5900,5700,,5940,,,,,6000,5900,6050,5900,5938.5</t>
  </si>
  <si>
    <t>2025-05-20 08:59:00,21325,,,21050,21325,,21350,,,,,21500,21050,21050,21125,21302.25</t>
  </si>
  <si>
    <t>2025-05-20 08:59:00,1967662512.28636,1156033742.40933,19221.7232808621,-2269,-17171.9162499999,-3656.97,-8.41997664588006,-492.46,592.82</t>
  </si>
  <si>
    <t>2025-05-20 08:59:00,-105803362.948787,-173269455.665229,-1598.10246031746,3002,-2340.63149920634,2971.75,-524.738649491976,1076.72,518.98</t>
  </si>
  <si>
    <t>2025-05-20 08:59:00,30210415.0652943,-7690959.80728978,-3504.07213916575,-1833,-20745.9910085826,-8096.52,-0.0583384911952772,-366.01,5938.5</t>
  </si>
  <si>
    <t>2025-05-20 08:59:00,181674305.515785,-769596.05072541,-71.8005377749186,-44,-2937.69948971135,-1705.72,0.0417045543093162,-12.66,21302.25</t>
  </si>
  <si>
    <t>2025-05-20 09:00:00,600,,594,,580,,591.5,593,,,,595,592,594,585,592.8</t>
  </si>
  <si>
    <t>2025-05-20 09:00:00,525,,,518,500,,519,,,,,520,518,522,519,518.92</t>
  </si>
  <si>
    <t>2025-05-20 09:00:00,6000,,,5900,5700,,5940,,,,,6000,5900,6050,5900,5938.5</t>
  </si>
  <si>
    <t>2025-05-20 09:00:00,21325,,,21050,21325,,21350,,,,,21500,21050,21050,21125,21300.75</t>
  </si>
  <si>
    <t>2025-05-20 09:00:00,1986362658.35671,1329717363.55615,25464.5593879242,15842,-1635.03388888892,-542.74,209.29120946138,-196.94,592.8</t>
  </si>
  <si>
    <t>2025-05-20 09:00:00,-95986846.9556137,-121974428.741956,4642.32738095238,3050,5419.90684523809,3074.86,-136.782203463805,979.36,518.92</t>
  </si>
  <si>
    <t>2025-05-20 09:00:00,30187715.6639048,-7518777.57953679,733.814956709957,1171,15662.4961751082,8659.02,8.6166794681179,302.03,5938.5</t>
  </si>
  <si>
    <t>2025-05-20 09:00:00,182804594.757116,-766915.00017778,32.258050429103,19,1784.18795990924,849.5,0.00474531338022504,6.98,21300.75</t>
  </si>
  <si>
    <t>2025-05-20 09:01:00,600,,594,,580,,591.5,,,,,595,592,594,585,592.84</t>
  </si>
  <si>
    <t>2025-05-20 09:01:00,525,,,518,500,,519,,,,,520,518,522,516,518.88</t>
  </si>
  <si>
    <t>2025-05-20 09:01:00,6000,,,5900,5700,,5940,,,,,6000,5900,6050,5900,5938.25</t>
  </si>
  <si>
    <t>2025-05-20 09:01:00,21325,,,21050,21325,,21350,,,,,21500,21050,21050,21125,21301.25</t>
  </si>
  <si>
    <t>2025-05-20 09:01:00,2001518582.59899,1487599272.38873,8302.62007583765,-1271,-594.470860389593,2703.02,-161.663040736406,1123.65,592.84</t>
  </si>
  <si>
    <t>2025-05-20 09:01:00,-102705519.725369,-154022702.025945,-2313.6632996633,2658,-7716.66376382877,1295.18,-79.605581924774,765.17,518.88</t>
  </si>
  <si>
    <t>2025-05-20 09:01:00,30485379.4953737,-8381487.95684221,-375.578571428571,335,1160.99749999997,5758.71,2.20539452638523,234.12,5938.25</t>
  </si>
  <si>
    <t>2025-05-20 09:01:00,181147498.66873,-770692.398970666,-19.4022718989869,-14,-780.626663767923,-364.26,0.0153711942399085,-3.09,21301.25</t>
  </si>
  <si>
    <t>2025-05-20 09:02:00,600,,595,,580,,591.5,,,,,595,592,594,585,593.08</t>
  </si>
  <si>
    <t>2025-05-20 09:02:00,525,,,518,500,,519,519,,,519,521,518,522,510,519.17</t>
  </si>
  <si>
    <t>2025-05-20 09:02:00,6000,,,5900,5700,,5940,,,,,6000,5900,6050,5900,5941.5</t>
  </si>
  <si>
    <t>2025-05-20 09:02:00,21325,,,21050,21325,,21350,,,,,21500,21050,21050,21125,21310.5</t>
  </si>
  <si>
    <t>2025-05-20 09:02:00,2032182404.32925,1475680925.88941,-7786.15873015851,-1502,-2395.15353571428,1993.63,173.118233917927,1209,593.08</t>
  </si>
  <si>
    <t>2025-05-20 09:02:00,-86860183.6593395,-156442874.002165,-6246.35476190476,-1145,-8339.55776190475,-1014.17,243.651706736736,-257.69,519.17</t>
  </si>
  <si>
    <t>2025-05-20 09:02:00,31205386.265468,-378958.200828781,-72.978992248063,-259,-4883.6700627907,-3601.99,2.75030162098271,-94.39,5941.5</t>
  </si>
  <si>
    <t>2025-05-20 09:02:00,181961446.229847,-699424.827400313,-71.9845404577593,-156,-2193.2032952957,-3028.46,-0.135521500808207,-30.78,21310.5</t>
  </si>
  <si>
    <t>2025-05-20 09:03:00,600,,595,,580,,591.5,,,,,595,592,594,585,593.02</t>
  </si>
  <si>
    <t>2025-05-20 09:03:00,525,,,518,500,,519,,519,,519,521,518,522,510,519.04</t>
  </si>
  <si>
    <t>2025-05-20 09:03:00,6000,,,5900,5700,,5940,,,,,6000,5900,6050,5900,5940.5</t>
  </si>
  <si>
    <t>2025-05-20 09:03:00,21325,,,21050,21325,,21350,,,,,21500,21050,21050,21125,21305.75</t>
  </si>
  <si>
    <t>2025-05-20 09:03:00,2028863909.37728,1532757189.47079,6862.68839891493,2653,9.71657864357892,2153.24,356.676733188457,910.82,593.02</t>
  </si>
  <si>
    <t>2025-05-20 09:03:00,-97304044.6714533,-166441999.626772,-2566.24150246306,-2322,-4000.64502955665,-4419.51,-133.720084295281,-1371.38,519.04</t>
  </si>
  <si>
    <t>2025-05-20 09:03:00,31073677.4399278,-1453328.21494347,109.873333333334,76,-1193.33779999999,237.51,0.573886543779747,11.39,5940.5</t>
  </si>
  <si>
    <t>2025-05-20 09:03:00,182312964.758263,-721459.691994481,-34.9643650793651,-5,-319.956223809524,-248.52,-0.00933452201059869,-2.5,21305.75</t>
  </si>
  <si>
    <t>2025-05-20 09:04:00,600,,595,,580,,591.5,,,,,595,590,594,585,593.12</t>
  </si>
  <si>
    <t>2025-05-20 09:04:00,525,,,518,500,,519,,,,,520,518,522,510,519.23</t>
  </si>
  <si>
    <t>2025-05-20 09:04:00,6000,,,5900,5700,,5940,,,,,6000,5900,6050,5900,5941.75</t>
  </si>
  <si>
    <t>2025-05-20 09:04:00,21325,,,21050,21325,,21350,,,,,21500,21050,21050,21125,21312.25</t>
  </si>
  <si>
    <t>2025-05-20 09:04:00,2058934815.306,1670351119.28734,-2951.23684210522,-912,-3660.64425974025,-3798.3,-207.564790582739,-1341.27,593.12</t>
  </si>
  <si>
    <t>2025-05-20 09:04:00,-62836558.5162239,-84933572.8897215,913.757142857141,554,2846.04957142857,1687.36,89.2278002232412,562.2,519.23</t>
  </si>
  <si>
    <t>2025-05-20 09:04:00,33002043.3733071,3118441.90488584,997.003333333334,847,7842.4227,8484.83,4.07669917401706,371.18,5941.75</t>
  </si>
  <si>
    <t>2025-05-20 09:04:00,182674327.347213,-700453.317919312,-26.7767857142857,-14,-52.4318035714281,41.7,0.0269502510634466,0.43,21312.25</t>
  </si>
  <si>
    <t>2025-05-20 09:05:00,600,,594,,580,,591.5,,,,,595,590,594,585,593.265</t>
  </si>
  <si>
    <t>2025-05-20 09:05:00,525,,,518,500,,519,,,,519,520,518,522,519,519.35</t>
  </si>
  <si>
    <t>2025-05-20 09:05:00,6000,,,5900,5700,,5940,,,,,6000,5900,6050,5900,5943.25</t>
  </si>
  <si>
    <t>2025-05-20 09:05:00,21325,,,21050,21325,,21350,,,,,21500,21050,21050,21125,21317.5</t>
  </si>
  <si>
    <t>2025-05-20 09:05:00,2157238644.62632,2239849138.62267,-4958.67994500512,-5177,-2354.50167460318,-6047.44,-613.061311591952,-2140.36,593.265</t>
  </si>
  <si>
    <t>2025-05-20 09:05:00,-48434223.807842,-39580.3315724655,-1626.00238095238,-1787,-1888.3250952381,-2157.88,150.190123441526,-679.57,519.35</t>
  </si>
  <si>
    <t>2025-05-20 09:05:00,33917555.7926054,9189689.54663451,165.774411764705,626,3422.0911480392,6380.24,2.5569033515902,294.86,5943.25</t>
  </si>
  <si>
    <t>2025-05-20 09:05:00,182688607.10506,-676684.032057104,-31.3590079365079,-38,-712.435569444443,-724.84,-0.00863647909749393,-7.39,21317.5</t>
  </si>
  <si>
    <t>2025-05-20 09:06:00,600,,594,,580,,591.5,593,,,,595,592,594,595,593.22</t>
  </si>
  <si>
    <t>2025-05-20 09:06:00,525,,,518,500,,519,,,,,520,518,522,516,519.37</t>
  </si>
  <si>
    <t>2025-05-20 09:06:00,6000,,,5900,5700,,5940,,,,,6000,5900,6050,5900,5943</t>
  </si>
  <si>
    <t>2025-05-20 09:06:00,21325,,,21050,21325,,21350,,,,,21500,21050,21050,21125,21317.5</t>
  </si>
  <si>
    <t>2025-05-20 09:06:00,2080486047.67828,1996046448.3178,-1713.57041407165,3073,12834.3047692308,11196.15,193.275428916738,4337.61,593.22</t>
  </si>
  <si>
    <t>2025-05-20 09:06:00,-60886462.1348833,-134359126.050778,-3879.25843653253,-1236,-2607.29265299279,-1301.79,-93.8020288697451,-420.14,519.37</t>
  </si>
  <si>
    <t>2025-05-20 09:06:00,34165068.2853788,8655245.21721996,377.781818181818,-21,-300.405727272732,-2729.24,9.30570424468532,-43.5,5943</t>
  </si>
  <si>
    <t>2025-05-20 09:06:00,182613099.739239,-672240.690943787,0.582122207294605,6,-6.23911610688283,5.43999999999998,0.0297136997114309,1.52,21317.5</t>
  </si>
  <si>
    <t>2025-05-20 09:07:00,600,,594,,580,,591.5,,,,,595,592,594,595,592.84</t>
  </si>
  <si>
    <t>2025-05-20 09:07:00,525,,,518,500,,519,,,519,,520,518,522,516,518.72</t>
  </si>
  <si>
    <t>2025-05-20 09:07:00,6000,,,5900,5700,,5940,,,,,6000,5900,6050,5900,5938.75</t>
  </si>
  <si>
    <t>2025-05-20 09:07:00,21325,,,21050,21325,,21350,,,,,21500,21050,21050,21125,21291.75</t>
  </si>
  <si>
    <t>2025-05-20 09:07:00,1965392994.85049,1532315867.69074,25014.4010358862,15286,-13436.3678468509,-10888.41,-280.229296640947,-4209.66,592.84</t>
  </si>
  <si>
    <t>2025-05-20 09:07:00,-143358450.003243,-336853461.166497,-2444.13975155279,225,-361.988120082816,2876.3,-353.34375624947,487.39,518.72</t>
  </si>
  <si>
    <t>2025-05-20 09:07:00,29480280.6825351,-7526844.08744125,-1878.15,-1321,-16435.825,-9022.71,-1.8130896592259,-310.44,5938.75</t>
  </si>
  <si>
    <t>2025-05-20 09:07:00,181658964.854155,-803036.946568656,24.0609054834055,40,1139.87699040404,431.67,-0.0247943989703857,5.02,21291.75</t>
  </si>
  <si>
    <t>2025-05-20 09:08:00,600,,594,,580,,591.5,,,,,595,592,594,595,592.82</t>
  </si>
  <si>
    <t>2025-05-20 09:08:00,525,,,518,500,,519,519,,,,520,518,522,520,518.75</t>
  </si>
  <si>
    <t>2025-05-20 09:08:00,6000,,,5900,5700,,5940,,,,,6000,5900,6050,5900,5938.5</t>
  </si>
  <si>
    <t>2025-05-20 09:08:00,21325,,,21050,21325,,21350,,,,,21500,21050,21050,21125,21293</t>
  </si>
  <si>
    <t>2025-05-20 09:08:00,1956193597.51002,1485056895.68266,15276.7850067401,10698,-5806.89383333332,-4004.05,193.662501266311,-1241.94,592.82</t>
  </si>
  <si>
    <t>2025-05-20 09:08:00,-145476908.418878,-367825581.958551,-41.0805665024619,1317,-1842.66864729064,2544.08,-43.2917891162795,610.77,518.75</t>
  </si>
  <si>
    <t>2025-05-20 09:08:00,29018137.2698871,-8678728.71448208,1251.77214285714,889,9966.66473571427,4682.56,-9.44046958407563,208.77,5938.5</t>
  </si>
  <si>
    <t>2025-05-20 09:08:00,181421524.30436,-799807.270124625,-12.0578144078144,-8,-566.469605006106,-350.85,0.00328480257514154,-3.17,21293</t>
  </si>
  <si>
    <t>2025-05-20 09:09:00,600,,594,,580,,591.5,,,,,595,592,594,595,592.63</t>
  </si>
  <si>
    <t>2025-05-20 09:09:00,525,,,518,500,,519,,519,,,520,518,522,520,518.63</t>
  </si>
  <si>
    <t>2025-05-20 09:09:00,6000,,,5900,5700,,5940,,,,,6000,5900,6050,5900,5936.75</t>
  </si>
  <si>
    <t>2025-05-20 09:09:00,21325,,,21050,21325,,21350,,,,,21500,21050,21050,21125,21287.75</t>
  </si>
  <si>
    <t>2025-05-20 09:09:00,1910404534.56586,1304903009.0406,29598.5514354067,11104,10334.2605555555,4157.66,-379.578593173993,1011.3,592.63</t>
  </si>
  <si>
    <t>2025-05-20 09:09:00,-146447837.940253,-404702967.908968,5804.32344322344,146,8881.97146153845,1222.76,-231.202211640648,406.7,518.63</t>
  </si>
  <si>
    <t>2025-05-20 09:09:00,29055752.9841904,-13684500.9445453,1538.05,1887,16356.9856666667,7560.8,-4.98132938920241,308.13,5936.75</t>
  </si>
  <si>
    <t>2025-05-20 09:09:00,182347141.016416,-814268.827505282,9.93253968253968,15,440.903845238095,339.65,0.00691707171458015,3.08,21287.75</t>
  </si>
  <si>
    <t>2025-05-20 09:10:00,600,,594,,580,,591.5,,,,593,595,592,594,585,592.67</t>
  </si>
  <si>
    <t>2025-05-20 09:10:00,525,,,518,500,,519,,,,,520,518,522,520,518.7</t>
  </si>
  <si>
    <t>2025-05-20 09:10:00,6000,,,5900,5700,,5940,,,,,6000,5900,6050,5900,5937</t>
  </si>
  <si>
    <t>2025-05-20 09:10:00,21325,,,21050,21325,,21350,,,,,21500,21050,21050,21125,21291</t>
  </si>
  <si>
    <t>2025-05-20 09:10:00,1883745554.40699,1398693078.23,57091.2718374005,30234,9647.10023376624,11934.53,688.75728056808,5288.36,592.67</t>
  </si>
  <si>
    <t>2025-05-20 09:10:00,-149352018.398005,-458104100.661879,-427.404037916109,-710,-1394.11277683237,-3971.02,-384.702639735415,-1133,518.7</t>
  </si>
  <si>
    <t>2025-05-20 09:10:00,27474348.8858831,-17003836.5931316,-349.138095238093,139,-11195.4384761905,-117.2,-1.05248297224272,98.94,5937</t>
  </si>
  <si>
    <t>2025-05-20 09:10:00,180452027.402392,-811723.601022331,-53.2347663009505,-21,-1735.43349885363,-642.53,0.0104585548543356,-5.63,21291</t>
  </si>
  <si>
    <t>2025-05-20 09:11:00,600,,594,,580,,591.5,,,,,595,590,594,595,592.55</t>
  </si>
  <si>
    <t>2025-05-20 09:11:00,525,,,518,500,,519,,,,,520,518,522,520,518.65</t>
  </si>
  <si>
    <t>2025-05-20 09:11:00,6000,,,5900,5700,,5940,,,,,6000,5900,6050,5900,5935.75</t>
  </si>
  <si>
    <t>2025-05-20 09:11:00,21325,,,21050,21325,,21350,,,,,21500,21050,21050,21125,21286.5</t>
  </si>
  <si>
    <t>2025-05-20 09:11:00,1808652507.33962,1089157265.67469,20208.0282729541,10641,-5680.17301587301,-2445.24,-226.361339889899,-974.09,592.55</t>
  </si>
  <si>
    <t>2025-05-20 09:11:00,-178542256.287545,-650508513.761339,-3716.47989417989,-1632,-5478.20523280422,-1897.56,-39.0523192913567,-649.36,518.65</t>
  </si>
  <si>
    <t>2025-05-20 09:11:00,25680496.6959748,-22124769.1403121,1029.53666666667,3536,-3438.0616,-679.38,1.79259700653637,-3.01999999999999,5935.75</t>
  </si>
  <si>
    <t>2025-05-20 09:11:00,179982832.249333,-832250.236806512,10.0676948051948,22,346.475991341992,468.67,0.00865890365171134,4.86,21286.5</t>
  </si>
  <si>
    <t>2025-05-20 09:12:00,600,,594,,580,,591.5,,,,,595,592,594,595,592.52</t>
  </si>
  <si>
    <t>2025-05-20 09:12:00,525,,,518,500,,519,,,,,520,518,522,520,518.67</t>
  </si>
  <si>
    <t>2025-05-20 09:12:00,6000,,,5900,5700,,5940,,,,,6000,5900,6050,5900,5935.5</t>
  </si>
  <si>
    <t>2025-05-20 09:12:00,21325,,,21050,21325,,21350,,,,,21500,21050,21050,21125,21289.75</t>
  </si>
  <si>
    <t>2025-05-20 09:12:00,1804018005.63688,1206281955.99703,13457.6748895438,10265,5030.06437229436,2025.47,318.563072059195,1021.88,592.52</t>
  </si>
  <si>
    <t>2025-05-20 09:12:00,-165637078.167976,-550431970.409089,-999.811209057124,-1041,56.0109719989644,414.89,150.783892967435,75.59,518.67</t>
  </si>
  <si>
    <t>2025-05-20 09:12:00,26390207.9301669,-22724820.1564644,-180.416666666668,546,-2002.11250000002,763.62,-6.40618588883679,51.37,5935.5</t>
  </si>
  <si>
    <t>2025-05-20 09:12:00,180482337.055544,-813753.852685634,-10.4470851370851,-11,-140.697197979798,11.77,0.00794472924837895,-0.0399999999999999,21289.75</t>
  </si>
  <si>
    <t>2025-05-20 09:13:00,600,,594,,580,,591.5,593,,,,595,592,594,595,592.86</t>
  </si>
  <si>
    <t>2025-05-20 09:13:00,525,,,518,500,,519,,,,,520,518,522,520,518.97</t>
  </si>
  <si>
    <t>2025-05-20 09:13:00,6000,,,5900,5700,,5940,,,,,6000,5900,6050,5900,5939</t>
  </si>
  <si>
    <t>2025-05-20 09:13:00,21325,,,21050,21325,,21350,,,,,21500,21050,21050,21125,21302</t>
  </si>
  <si>
    <t>2025-05-20 09:13:00,1937632619.64894,1916854254.56842,7874.84411874349,3650,-153.483412698412,3226.96,-254.71350423886,1083.35,592.86</t>
  </si>
  <si>
    <t>2025-05-20 09:13:00,-124165708.950316,-338830937.770526,-4536.75238095239,-5196,-4401.53871428574,-5421.19,-83.8676443341661,-1916.03,518.97</t>
  </si>
  <si>
    <t>2025-05-20 09:13:00,28325246.4291886,-12169181.3186323,-1315.21666666667,-1331,-13307.8138333334,-12216.4,6.60322577470819,-451.14,5939</t>
  </si>
  <si>
    <t>2025-05-20 09:13:00,181126808.711641,-755520.12570991,-23.8222222222223,-10,-1088.68666666667,-435,0.0237100371384045,-3.73,21302</t>
  </si>
  <si>
    <t>2025-05-20 09:14:00,600,,594,,580,,591.5,,,,,595,592,594,595,592.8</t>
  </si>
  <si>
    <t>2025-05-20 09:14:00,525,,,518,500,,519,,519,,,520,518,522,520,518.81</t>
  </si>
  <si>
    <t>2025-05-20 09:14:00,6000,,,5900,5700,,5940,,,,5940,6000,5900,6050,5900,5938.5</t>
  </si>
  <si>
    <t>2025-05-20 09:14:00,21325,,,21050,21325,,21350,,,,,21500,21050,21050,21125,21295.25</t>
  </si>
  <si>
    <t>2025-05-20 09:14:00,1987147177.88876,2186766928.27975,5571.87018816872,-708,-10226.8351666667,-5327.71,97.8906127987136,-1874.69,592.8</t>
  </si>
  <si>
    <t>2025-05-20 09:14:00,-117240129.179921,-292158919.345865,-670.595238095237,-695,-441.856190476188,-142.92,-104.829831134196,-197.15,518.81</t>
  </si>
  <si>
    <t>2025-05-20 09:14:00,28927198.1592389,-10405668.4356061,-1175.86000000001,-483,-6040.35990000004,-4478.18,2.1451860880312,-188.1,5938.5</t>
  </si>
  <si>
    <t>2025-05-20 09:14:00,182006482.566659,-783580.392177833,-9.79310966810966,-8,-179.883262987013,-144.35,-0.00396004663405474,-1.54,21295.25</t>
  </si>
  <si>
    <t>2025-05-20 09:15:00,600,,594,,580,,591.5,,,,,595,590,594,595,592.93</t>
  </si>
  <si>
    <t>2025-05-20 09:15:00,525,,,518,500,,519,519,,,,520,518,522,520,519.13</t>
  </si>
  <si>
    <t>2025-05-20 09:15:00,6000,,,5900,5700,,5940,,,,,6000,5900,6050,5900,5939.75</t>
  </si>
  <si>
    <t>2025-05-20 09:15:00,21325,,,21050,21325,,21350,,,,,21500,21050,21050,21125,21308.75</t>
  </si>
  <si>
    <t>2025-05-20 09:15:00,1977341701.25205,2134516333.91244,-1643.12612087172,-424,1710.61183333334,-713.39,114.851106589982,-194.94,592.93</t>
  </si>
  <si>
    <t>2025-05-20 09:15:00,-90468222.2328179,-256147586.152088,1842.04377880184,3733,2717.05702304148,3380.11,101.337241742182,1458.55,519.13</t>
  </si>
  <si>
    <t>2025-05-20 09:15:00,30890698.0725469,-5341181.00807744,226.166666666664,728,1086.10266666664,3449.06,-6.76477145975836,166.54,5939.75</t>
  </si>
  <si>
    <t>2025-05-20 09:15:00,181619840.685718,-723799.078110702,-20.1432683982684,-8,-880.838853896104,-283.88,0.00548125219210661,-2.58,21308.75</t>
  </si>
  <si>
    <t>2025-05-20 09:16:00,600,,594,,580,,591.5,,,,,595,590,594,595,592.72</t>
  </si>
  <si>
    <t>2025-05-20 09:16:00,525,,,518,500,,519,519,,,,520,518,522,520,518.98</t>
  </si>
  <si>
    <t>2025-05-20 09:16:00,6000,,,5900,5700,,5940,,,5940,,6000,5900,6050,5900,5937.75</t>
  </si>
  <si>
    <t>2025-05-20 09:16:00,21325,,,21050,21325,,21350,,,,,21500,21050,21050,21125,21302.25</t>
  </si>
  <si>
    <t>2025-05-20 09:16:00,1894981075.17711,1620610134.83992,11573.7227179135,7246,8742.40604473305,4116.73,-84.581432780738,1622.22,592.72</t>
  </si>
  <si>
    <t>2025-05-20 09:16:00,-108823678.535471,-337710766.446034,6046.84741200828,1068,12024.195426501,4268.67,41.3400776826961,1218.67,518.98</t>
  </si>
  <si>
    <t>2025-05-20 09:16:00,29637186.6518299,-14150438.918652,537.386666666677,465,13503.6584333335,7351.24,-5.96169235662219,217.82,5937.75</t>
  </si>
  <si>
    <t>2025-05-20 09:16:00,183473636.292803,-744332.641798473,24.1598502255801,39,648.040407904842,673.39,-0.015598923144206,6.88,21302.25</t>
  </si>
  <si>
    <t>2025-05-20 09:17:00,600,,594,,580,,591.5,,,,,595,592,594,595,592.84</t>
  </si>
  <si>
    <t>2025-05-20 09:17:00,525,,,518,500,,519,,519,,,520,518,522,520,519.18</t>
  </si>
  <si>
    <t>2025-05-20 09:17:00,6000,,,5900,5700,,5940,,,,,6000,5900,6050,5900,5938.75</t>
  </si>
  <si>
    <t>2025-05-20 09:17:00,21325,,,21050,21325,,21350,,,,,21500,21050,21050,21125,21311.25</t>
  </si>
  <si>
    <t>2025-05-20 09:17:00,1945268180.63531,1907686945.3987,2100.01788908757,-3141,-2079.91846031746,-1403.57,-31.5749054426965,-426.14,592.84</t>
  </si>
  <si>
    <t>2025-05-20 09:17:00,-90426939.7410287,-238532610.348967,-4091.9261904762,-88,-4462.7708809524,-1137.34,-382.664588427943,-267.66,519.18</t>
  </si>
  <si>
    <t>2025-05-20 09:17:00,29324107.0555772,-12280399.8183922,-749.099999999999,-957,-9773.14799999997,-8302.63,5.18159471419703,-321.79,5938.75</t>
  </si>
  <si>
    <t>2025-05-20 09:17:00,181876139.05923,-705241.448775236,-38.6095238095238,-38,-851.815619047619,-963.13,-0.00487960538725802,-9.01,21311.25</t>
  </si>
  <si>
    <t>2025-05-20 09:18:00,600,,594,,580,,591.5,,,,,595,592,594,585,593.01</t>
  </si>
  <si>
    <t>2025-05-20 09:18:00,525,,,518,500,,519,,519,,,520,518,522,520,519.33</t>
  </si>
  <si>
    <t>2025-05-20 09:18:00,6000,,,5900,5700,,5940,,,,,6000,5900,6050,5900,5940.5</t>
  </si>
  <si>
    <t>2025-05-20 09:18:00,21325,,,21050,21325,,21350,,,,,21500,21050,21050,21125,21315.75</t>
  </si>
  <si>
    <t>2025-05-20 09:18:00,2009627236.36102,2225960390.35583,-3520.5536783042,-7518,5773.10266666665,8308.33,554.29495934163,3244.54,593.01</t>
  </si>
  <si>
    <t>2025-05-20 09:18:00,-64068656.435815,-174887944.004965,-733.006140350876,-1281,1341.66126566416,-261.25,365.188377898324,-291.04,519.33</t>
  </si>
  <si>
    <t>2025-05-20 09:18:00,31894952.4303087,-4111451.02166441,993.430909090909,1226,19571.1198454548,10604.76,7.71069795945096,263.81,5940.5</t>
  </si>
  <si>
    <t>2025-05-20 09:18:00,183392162.666189,-666317.532038125,28.5894286269286,37,544.035053099677,537.53,0.02723147185151,6.41,21315.75</t>
  </si>
  <si>
    <t>2025-05-20 09:20:00,600,,594,,580,,591.5,,,,,595,590,594,585,592.96</t>
  </si>
  <si>
    <t>2025-05-20 09:20:00,525,,,518,500,,519,,,,,520,518,522,510,519.28</t>
  </si>
  <si>
    <t>2025-05-20 09:20:00,6000,,,5900,5700,,5940,,,,,6000,5900,6050,5900,5940</t>
  </si>
  <si>
    <t>2025-05-20 09:20:00,21325,,,21050,21325,,21350,,,,,21500,21050,21050,21125,21315</t>
  </si>
  <si>
    <t>2025-05-20 09:20:00,2000192115.24895,2292571110.57931,5972.0136394636,3326,6495.028,7270.03,271.467957953548,2857.15,592.96</t>
  </si>
  <si>
    <t>2025-05-20 09:20:00,-65196433.859359,-179706181.41785,1919.78571428571,642,1857.92447619047,-175.92,42.7832820009586,110.13,519.28</t>
  </si>
  <si>
    <t>2025-05-20 09:20:00,31253040.4817299,-6745900.55418879,154.775,-11,4556.43424999998,-255.12,-7.68988821663625,-63.14,5940</t>
  </si>
  <si>
    <t>2025-05-20 09:20:00,183455506.696192,-673748.80503436,7.23068181818182,18,597.082797077922,795.99,0.00299253546355906,6.98,21315</t>
  </si>
  <si>
    <t>2025-05-20 09:21:00,600,,594,,580,,591.5,,,,,595,590,594,595,593.29</t>
  </si>
  <si>
    <t>2025-05-20 09:21:00,525,,,518,500,,519,,,,,520,518,522,520,519.53</t>
  </si>
  <si>
    <t>2025-05-20 09:21:00,6000,,5970,,5700,,5940,,,,,6000,5900,6050,5900,5942.75</t>
  </si>
  <si>
    <t>2025-05-20 09:21:00,21325,,,21050,21325,,21350,,,,,21500,21050,21050,21125,21327.5</t>
  </si>
  <si>
    <t>2025-05-20 09:21:00,2140782192.77129,3082466561.42206,-18713.0704554732,-11550,-6803.35849999997,-3706.26,-138.958676425094,-1240.42,593.29</t>
  </si>
  <si>
    <t>2025-05-20 09:21:00,-27683054.3999323,27512472.4754275,1339.77478991596,4245,1063.76827731092,2361.78,0.186940397329119,1290.19,519.53</t>
  </si>
  <si>
    <t>2025-05-20 09:21:00,33177866.8143905,2700160.76719585,-895.644444444441,-1028,-2825.97438888885,-2890.78,-0.0472278289759268,-143.75,5942.75</t>
  </si>
  <si>
    <t>2025-05-20 09:21:00,182830321.588187,-607758.648155011,-10.6154761904762,-17,-154.657666666667,-201.56,0.00588269233251474,-2.45,21327.5</t>
  </si>
  <si>
    <t>2025-05-20 09:22:00,600,,594,,580,,591.5,,,,593,595,590,594,585,593.185</t>
  </si>
  <si>
    <t>2025-05-20 09:22:00,525,,,518,500,,519,,519,519,,520,518,522,516,519.44</t>
  </si>
  <si>
    <t>2025-05-20 09:22:00,6000,,5970,,5700,,5940,5950,,5940,,6000,5900,6050,5900,5942.25</t>
  </si>
  <si>
    <t>2025-05-20 09:22:00,21325,,,21050,21325,,21350,,,,,21500,21050,21050,21125,21321.25</t>
  </si>
  <si>
    <t>2025-05-20 09:22:00,2095107890.98815,3165408076.20017,12222.6569782432,12081,-383.030525210072,-3139.66,-447.179958042516,-1711.62,593.185</t>
  </si>
  <si>
    <t>2025-05-20 09:22:00,-54206423.9817282,-65768342.6529667,-4448.43673022381,-7103,-836.792782390037,-5163.85,-56.2897234134348,-2205.43,519.44</t>
  </si>
  <si>
    <t>2025-05-20 09:22:00,33655286.6840153,5879527.54795255,488.370707070706,49,14619.9099595959,7146.39,-6.99526543975972,222.61,5942.25</t>
  </si>
  <si>
    <t>2025-05-20 09:22:00,182965947.191197,-630455.603168631,78.6348739495797,37,2784.24319876284,1041.5,0.0279823966803655,10.03,21321.25</t>
  </si>
  <si>
    <t>2025-05-20 09:23:00,600,,594,,580,,591.5,,593,,,595,590,594,585,593.328</t>
  </si>
  <si>
    <t>2025-05-20 09:23:00,525,,520,,500,,519,,,,,520,518,522,516,519.56</t>
  </si>
  <si>
    <t>2025-05-20 09:23:00,6000,,5970,,5700,,5940,,,,,6000,5900,6050,5900,5943.75</t>
  </si>
  <si>
    <t>2025-05-20 09:23:00,21325,,,21050,21325,,21350,,,,,21500,21050,21050,21125,21326</t>
  </si>
  <si>
    <t>2025-05-20 09:23:00,2164358534.88791,3565293951.71075,-6979.31083333324,-16333,2229.92536652237,-2216.2,508.5026128132,-683.25,593.328</t>
  </si>
  <si>
    <t>2025-05-20 09:23:00,-28480767.9295908,42929851.3045517,-2085.79960317461,-1742,-1486.43543650795,-1074.74,101.942258114295,-387.84,519.56</t>
  </si>
  <si>
    <t>2025-05-20 09:23:00,35744040.6268885,12778985.3931504,-375.799999999995,-546,-134.04099999992,-1205.14,-4.74672823120756,-117.13,5943.75</t>
  </si>
  <si>
    <t>2025-05-20 09:23:00,183987591.148343,-597247.024835526,12.9576118326118,19,166.732341269841,189.2,0.00870776240481038,2.49,21326</t>
  </si>
  <si>
    <t>2025-05-20 09:24:00,600,,594,,580,,591.5,,,,,595,590,594,585,593.22</t>
  </si>
  <si>
    <t>2025-05-20 09:24:00,525,,,518,500,,519,,,,,520,518,522,516,519.431</t>
  </si>
  <si>
    <t>2025-05-20 09:24:00,6000,,5970,,5700,,5940,,,,,6000,5900,6050,5900,5942.25</t>
  </si>
  <si>
    <t>2025-05-20 09:24:00,21325,,,21050,21325,,21350,,,,,21500,21050,21050,21125,21320.75</t>
  </si>
  <si>
    <t>2025-05-20 09:24:00,2095875023.29437,3388642664.06362,-437.706675224722,-11015,-3565.69388888886,-1103.69,59.2321205657275,-439.09,593.22</t>
  </si>
  <si>
    <t>2025-05-20 09:24:00,-54783612.9906047,-116107392.935854,-5684.14830911025,-2997,-5308.24684577573,-2736.28,-90.1111556194727,-1088.21,519.431</t>
  </si>
  <si>
    <t>2025-05-20 09:24:00,33081034.5524841,4476482.82279972,-159.273432616292,37,4113.94821106821,3114.67,0.58796713962863,49.02,5942.25</t>
  </si>
  <si>
    <t>2025-05-20 09:24:00,183092902.714375,-632286.482604382,-6.58937728937728,-16,-312.252807326006,-567.94,-0.0231050066452989,-5.53,21320.75</t>
  </si>
  <si>
    <t>2025-05-20 09:25:00,600,,594,,580,,591.5,,,,,595,590,594,585,592.96</t>
  </si>
  <si>
    <t>2025-05-20 09:25:00,525,,520,,500,,519,,,,519,520,518,522,520,519.18</t>
  </si>
  <si>
    <t>2025-05-20 09:25:00,6000,,,5900,5700,,5940,,,,,6000,5900,6050,5900,5940.25</t>
  </si>
  <si>
    <t>2025-05-20 09:25:00,21325,,,21050,21325,,21350,,,,,21500,21050,21050,21125,21312</t>
  </si>
  <si>
    <t>2025-05-20 09:25:00,2052188594.78737,3300905859.43431,18582.2934001668,15038,-358.038888888887,2832.91,979.120612835025,1249.24,592.96</t>
  </si>
  <si>
    <t>2025-05-20 09:25:00,-72501911.4460838,-155843192.169173,-2441.09995662232,-3546,-2977.96950563909,-4028.21,176.629598452855,-1408.79,519.18</t>
  </si>
  <si>
    <t>2025-05-20 09:25:00,32326394.553921,-2923385.07532116,-762.730158730162,-856,759.05360317458,-773.8,3.28249315017328,-84.15,5940.25</t>
  </si>
  <si>
    <t>2025-05-20 09:25:00,183122589.834871,-676919.858254406,-2.8928985507246,9,413.431739337476,405.07,0.00672371331558034,3.47,21312</t>
  </si>
  <si>
    <t>2025-05-20 09:26:00,600,,594,,580,,591.5,,,,,595,590,594,585,593.1</t>
  </si>
  <si>
    <t>2025-05-20 09:26:00,525,,,518,500,,519,,,,,520,518,522,516,519.23</t>
  </si>
  <si>
    <t>2025-05-20 09:26:00,6000,,,5900,5700,,5940,,,,,6000,5900,6050,5900,5941.5</t>
  </si>
  <si>
    <t>2025-05-20 09:26:00,21325,,,21050,21325,,21350,,,,,21500,21050,21050,21125,21313.25</t>
  </si>
  <si>
    <t>2025-05-20 09:26:00,2036499983.61002,3086792335.75619,2337.87440480286,5820,-2624.50250000001,-7105.6,-49.4513543950465,-2705.92,593.1</t>
  </si>
  <si>
    <t>2025-05-20 09:26:00,-87706994.2782127,-350245671.930675,609.784249084246,1752,1367.31607326007,2693.87,-160.524243193459,952.81,519.23</t>
  </si>
  <si>
    <t>2025-05-20 09:26:00,32459517.8381534,-1547439.90047838,78.353571428571,-243,-182.518607142846,-4736.11,-0.800193195233905,-167.62,5941.5</t>
  </si>
  <si>
    <t>2025-05-20 09:26:00,181747755.302475,-688055.914140935,-2.29348429348431,10,-67.4298590298598,473,-0.0077414762785657,4.86,21313.25</t>
  </si>
  <si>
    <t>2025-05-20 09:27:00,600,,594,,580,,591.5,,,,,595,590,594,585,593.31</t>
  </si>
  <si>
    <t>2025-05-20 09:27:00,525,,,518,500,,519,,,,,520,518,522,520,519.52</t>
  </si>
  <si>
    <t>2025-05-20 09:27:00,6000,,5970,,5700,,5940,,,,,6000,5900,6050,5900,5943.5</t>
  </si>
  <si>
    <t>2025-05-20 09:27:00,21325,,,21050,21325,,21350,,,,,21500,21050,21050,21125,21326</t>
  </si>
  <si>
    <t>2025-05-20 09:27:00,2148487762.51811,3912786366.62349,-5809.39534883705,-7868,-2984.72178571429,-3915.51,-25.3638893854806,-1264.96,593.31</t>
  </si>
  <si>
    <t>2025-05-20 09:27:00,-37990341.9291238,-89578087.8151001,-728.891812865497,-590,-455.501111111112,-667.75,96.3249319956225,-232.31,519.52</t>
  </si>
  <si>
    <t>2025-05-20 09:27:00,33711119.5917913,9375527.68561871,116.526666666667,78,-1994.96956666668,-4152.74,-1.26033143605915,-93.03,5943.5</t>
  </si>
  <si>
    <t>2025-05-20 09:27:00,182994713.54794,-605091.121915398,-15.2786639660473,-14,-350.204313604664,-775.02,-0.00380538487511093,-5.6,21326</t>
  </si>
  <si>
    <t>2025-05-20 09:28:00,600,,594,,580,,591.5,,,,,595,590,594,585,593.15</t>
  </si>
  <si>
    <t>2025-05-20 09:28:00,525,,520,,500,,519,519,,,,520,518,522,516,519.35</t>
  </si>
  <si>
    <t>2025-05-20 09:28:00,6000,,5970,,5700,,5940,,,,,6000,5900,6050,5900,5941.75</t>
  </si>
  <si>
    <t>2025-05-20 09:28:00,21325,,,21050,21325,,21300,,,,,21500,21050,21050,21125,21318.5</t>
  </si>
  <si>
    <t>2025-05-20 09:28:00,2054243724.23162,3565516280.1148,2323.33801516661,9310,-1689.35,-2379.98,-8.14661055837676,-1190.21,593.15</t>
  </si>
  <si>
    <t>2025-05-20 09:28:00,-64830157.1219345,-128588458.825948,723.631652661064,1191,1496.39070028011,2038.85,156.128759618046,749.98,519.35</t>
  </si>
  <si>
    <t>2025-05-20 09:28:00,32321367.809218,1600827.58818718,-675.216666666663,-333,-6346.4708333333,-2537.11,-0.169253108484794,-84.14,5941.75</t>
  </si>
  <si>
    <t>2025-05-20 09:28:00,182660982.452657,-650909.664775766,-4.21967032967035,-2,20.8966065934055,11.53,-0.00244636113176516,-0.25,21318.5</t>
  </si>
  <si>
    <t>2025-05-20 09:29:00,600,,594,,580,,591.5,593,,,593,595,590,594,585,592.97</t>
  </si>
  <si>
    <t>2025-05-20 09:29:00,525,,520,,500,,518,,,,,520,518,522,516,519.11</t>
  </si>
  <si>
    <t>2025-05-20 09:29:00,6000,,,5900,5700,,5940,,,,,6000,5900,6050,5900,5940.25</t>
  </si>
  <si>
    <t>2025-05-20 09:29:00,21325,,,21050,21325,,21325,,,,,21500,21050,21050,21125,21308</t>
  </si>
  <si>
    <t>2025-05-20 09:29:00,2067687234.00695,3891134419.62468,15011.6275797373,4818,-3161.97831746031,-4245.44,1055.88572139131,-1343.34,592.97</t>
  </si>
  <si>
    <t>2025-05-20 09:29:00,-84712382.5834256,-171630195.178771,-14568.4797619048,-7017,-12686.0512261905,-6166.64,239.77686895737,-2337.05,519.11</t>
  </si>
  <si>
    <t>2025-05-20 09:29:00,30670657.3545368,-8384712.72063906,-3452.86333333332,-1395,-25795.0184333332,-8093.33,-7.59877261519026,-354.63,5940.25</t>
  </si>
  <si>
    <t>2025-05-20 09:29:00,181399801.924435,-722451.434759261,-27.847885459694,-31,-709.503698069779,-519.24,0.00903115859181096,-5.09,21308</t>
  </si>
  <si>
    <t>2025-05-20 09:30:00,600,,594,,580,,591.5,,,,,595,590,594,585,592.82</t>
  </si>
  <si>
    <t>2025-05-20 09:30:00,525,,,518,500,,519,,,,,520,518,522,516,518.95</t>
  </si>
  <si>
    <t>2025-05-20 09:30:00,6000,,,5900,5700,,5940,,,,,6000,5900,6050,5900,5938.5</t>
  </si>
  <si>
    <t>2025-05-20 09:30:00,21325,,,21050,21325,,21300,,,,,21500,21050,21050,21125,21301.75</t>
  </si>
  <si>
    <t>2025-05-20 09:30:00,1910424712.13715,2840444818.023,10860.5626057529,9772,337.15861111112,-2713.36,-38.1348539688866,-1136.4,592.82</t>
  </si>
  <si>
    <t>2025-05-20 09:30:00,-126331168.036523,-553157978.125953,1665.85131065137,-354,3787.75958862993,43.2599999999998,136.975752980909,14.78,518.95</t>
  </si>
  <si>
    <t>2025-05-20 09:30:00,28349578.8415772,-16510585.855951,1096.72142857143,576,7813.09357142858,1169.49,-9.11122121401996,58.01,5938.5</t>
  </si>
  <si>
    <t>2025-05-20 09:30:00,181995536.201489,-752134.506578473,3.37369215291751,2,4.18204778672051,50.3,0.00438612441617446,0.62,21301.75</t>
  </si>
  <si>
    <t>2025-05-20 09:31:00,600,,594,,580,,591.5,,,,,595,590,594,585,592.88</t>
  </si>
  <si>
    <t>2025-05-20 09:31:00,525,,,518,500,,519,,,,,520,518,522,516,519.02</t>
  </si>
  <si>
    <t>2025-05-20 09:31:00,6000,,,5900,5700,,5940,,,,,6000,5900,6050,5900,5939.25</t>
  </si>
  <si>
    <t>2025-05-20 09:31:00,21325,,,21050,21325,,21300,,,,,21500,21050,21050,21125,21303.75</t>
  </si>
  <si>
    <t>2025-05-20 09:31:00,1933460391.14844,2950199536.10116,2896.0196292257,1196,4003.84912698413,2899.71,-81.8733799241473,1008.72,592.88</t>
  </si>
  <si>
    <t>2025-05-20 09:31:00,-122687407.242642,-542238541.862095,2458.61666666668,264,3250.63383333335,926.52,20.6891303625371,265.61,519.02</t>
  </si>
  <si>
    <t>2025-05-20 09:31:00,29061174.4795827,-12293567.9335345,720.225000000001,74,3446.24425,537.54,-5.50118474500283,35.31,5939.25</t>
  </si>
  <si>
    <t>2025-05-20 09:31:00,182147074.833851,-738474.480440526,8.31666666666667,1,819.458333333334,457.4,0.0236681927477604,3.78,21303.75</t>
  </si>
  <si>
    <t>2025-05-20 09:32:00,600,,594,,580,,591.5,,593,,,595,590,594,585,593.09</t>
  </si>
  <si>
    <t>2025-05-20 09:32:00,525,,,518,500,,519,,,,,520,518,522,516,519.23</t>
  </si>
  <si>
    <t>2025-05-20 09:32:00,6000,,5970,,5700,,5940,,,,,6000,5900,6050,5900,5941.25</t>
  </si>
  <si>
    <t>2025-05-20 09:32:00,21325,,,21050,21325,,21325,,,,,21500,21050,21050,21125,21313.5</t>
  </si>
  <si>
    <t>2025-05-20 09:32:00,2032387815.2094,3808368229.91931,98.7234042553482,-2840,1879.85975,-3667.19,-179.802788747766,-1203.35,593.09</t>
  </si>
  <si>
    <t>2025-05-20 09:32:00,-101429823.043811,-322926063.073007,1302.38333333333,-218,2325.84483333333,278.81,-22.6566274767781,38.5400000000001,519.23</t>
  </si>
  <si>
    <t>2025-05-20 09:32:00,31305626.4906358,-539853.640374611,275.786666666666,348,2052.7332,2542.59,-1.81079434250386,123.8,5941.25</t>
  </si>
  <si>
    <t>2025-05-20 09:32:00,182047952.707024,-689216.127422047,-47.3113777089783,-30,-978.865707762053,-758.99,0.0147029324046593,-7.35,21313.5</t>
  </si>
  <si>
    <t>2025-05-20 09:33:00,600,,594,,580,,591.5,,,,,595,590,594,585,592.73</t>
  </si>
  <si>
    <t>2025-05-20 09:33:00,525,,,518,500,,519,,,,,520,518,522,518,518.795</t>
  </si>
  <si>
    <t>2025-05-20 09:33:00,6000,,,5900,5700,,5940,,,5940,,6000,5900,6050,5900,5937.5</t>
  </si>
  <si>
    <t>2025-05-20 09:33:00,21325,,,21050,21325,,21300,,,,,21500,21050,21050,21125,21295.25</t>
  </si>
  <si>
    <t>2025-05-20 09:33:00,1905825111.86378,2996136055.49615,12482.4705811283,10741,579.380873015869,990.47,494.433713896238,33.3000000000001,592.73</t>
  </si>
  <si>
    <t>2025-05-20 09:33:00,-150396633.101498,-700028134.999268,1568.45329272176,4918,2736.23818589742,5474.98,-38.0454391706971,1887.58,518.795</t>
  </si>
  <si>
    <t>2025-05-20 09:33:00,27952910.2937586,-17987368.8149451,272.024541062802,1008,4615.11893526569,9597.4,-5.07923608008934,372.74,5937.5</t>
  </si>
  <si>
    <t>2025-05-20 09:33:00,182369462.886413,-794566.79927134,21.8216790527615,16,1044.51692855882,618.27,-0.00776636257653395,5.94,21295.25</t>
  </si>
  <si>
    <t>2025-05-20 09:34:00,600,,594,,580,,591.5,,,,,595,590,594,585,592.89</t>
  </si>
  <si>
    <t>2025-05-20 09:34:00,525,,,518,500,,519,,519,,,520,518,522,518,519.05</t>
  </si>
  <si>
    <t>2025-05-20 09:34:00,6000,,,5900,5700,,5940,,,,,6000,5900,6050,5900,5939.25</t>
  </si>
  <si>
    <t>2025-05-20 09:34:00,21325,,,21050,21325,,21325,,,,,21500,21050,21050,21125,21305.5</t>
  </si>
  <si>
    <t>2025-05-20 09:34:00,1930790130.77173,3341399779.60585,6017.69729729741,3688,180.26275,-946.8,-246.446066000404,-200.5,592.89</t>
  </si>
  <si>
    <t>2025-05-20 09:34:00,-129225219.014227,-615394196.357598,-4381.63184206829,-4449,-4166.97012862359,-4869.83,101.912900455181,-1732.99,519.05</t>
  </si>
  <si>
    <t>2025-05-20 09:34:00,27816545.2729613,-12574092.8907848,226.74,-107,-583.371199999992,-2093.5,-2.93154476472479,-62.56,5939.25</t>
  </si>
  <si>
    <t>2025-05-20 09:34:00,181370256.87169,-739022.681436739,-18.3125,-33,-436.459625,-315.02,-0.0170041740815199,-3.78,21305.5</t>
  </si>
  <si>
    <t>2025-05-20 09:35:00,600,,594,,580,,591.5,,,,,595,590,594,585,592.93</t>
  </si>
  <si>
    <t>2025-05-20 09:35:00,525,,,518,500,,519,,,,,520,518,522,518,519.15</t>
  </si>
  <si>
    <t>2025-05-20 09:35:00,6000,,,5900,5700,,5940,,,,,6000,5900,6050,5900,5939.75</t>
  </si>
  <si>
    <t>2025-05-20 09:35:00,21325,,,21050,21325,,21325,,,,,21500,21050,21050,21125,21310</t>
  </si>
  <si>
    <t>2025-05-20 09:35:00,1953220341.65007,3566418193.14459,1986.0964869679,2057,4989.94306818181,4315.22,11.6392887820039,1629.94,592.93</t>
  </si>
  <si>
    <t>2025-05-20 09:35:00,-114114969.207173,-514739878.212897,-552.829580945372,-848,614.635119441956,48.42,87.8207721564488,-129.12,519.15</t>
  </si>
  <si>
    <t>2025-05-20 09:35:00,29884222.727385,-8459517.06932258,277.383333333333,185,2214.49,1673.7,-1.92197850593724,79.89,5939.75</t>
  </si>
  <si>
    <t>2025-05-20 09:35:00,181864304.189889,-707710.530992502,-4.60238095238096,0,173.455761904761,122.52,0.0071609189822578,0.89,21310</t>
  </si>
  <si>
    <t>2025-05-20 09:36:00,600,,594,,580,,591.5,593,,,,595,590,594,585,593.19</t>
  </si>
  <si>
    <t>2025-05-20 09:36:00,525,,,518,500,,518,,,,,520,518,522,516,519.375</t>
  </si>
  <si>
    <t>2025-05-20 09:36:00,6000,,5970,,5700,,5940,,,,,6000,5900,6050,5900,5942.5</t>
  </si>
  <si>
    <t>2025-05-20 09:36:00,21325,,,21050,21325,,,,,,,21500,21050,21050,21125,21319.25</t>
  </si>
  <si>
    <t>2025-05-20 09:36:00,2094706457.32231,4687902696.17346,-9755.1699922507,-9804,6150.90523809522,3745.15,208.588468510123,1357.87,593.19</t>
  </si>
  <si>
    <t>2025-05-20 09:36:00,-69495395.4274956,-190831351.609555,2297.35975888423,2101,2852.08482741522,1743.76,109.512866548765,782.79,519.375</t>
  </si>
  <si>
    <t>2025-05-20 09:36:00,33514252.0730721,8468907.74048989,1322.6543902439,1489,15466.3361414633,9890.87,1.76229860362868,458.58,5942.5</t>
  </si>
  <si>
    <t>2025-05-20 09:36:00,182211196.45234,-653192.77944794,-34.9295238095238,-30,-364.546038095238,-385.3,0.036675260640463,-4,21319.25</t>
  </si>
  <si>
    <t>2025-05-20 09:37:00,600,,594,,580,,591.5,,,,,595,590,594,585,593.11</t>
  </si>
  <si>
    <t>2025-05-20 09:37:00,525,,,518,500,,518,,,,,520,518,522,518,519.34</t>
  </si>
  <si>
    <t>2025-05-20 09:37:00,6000,,5970,,5700,,5940,,,,,6000,5900,6050,5900,5941.5</t>
  </si>
  <si>
    <t>2025-05-20 09:37:00,21325,,,21050,21325,,21300,,,,,21500,21050,21050,21125,21318</t>
  </si>
  <si>
    <t>2025-05-20 09:37:00,2086684247.29039,4654069652.54188,-4909.78964973007,-2692,-2643.29644444444,-2884.82,51.3957017478677,-1092.66,593.11</t>
  </si>
  <si>
    <t>2025-05-20 09:37:00,-71815060.292255,-183895700.067031,-5132.06298701299,-2735,-6851.4815995671,-2753.7,23.3860961607027,-954.97,519.34</t>
  </si>
  <si>
    <t>2025-05-20 09:37:00,31407856.0930546,2706818.02937887,-1743.7244047619,-821,-12962.579125,-5588.42,-2.23643022348142,-250.12,5941.5</t>
  </si>
  <si>
    <t>2025-05-20 09:37:00,183084654.238935,-659448.206693308,-21.9235209235209,-14,-370.00101010101,-210.5,-0.00246357908734997,-2.52,21318</t>
  </si>
  <si>
    <t>2025-05-20 09:38:00,600,,594,,580,,591.5,,,,593,595,590,594,585,593.3</t>
  </si>
  <si>
    <t>2025-05-20 09:38:00,525,,,518,500,,518,,520,,,520,518,522,518,519.61</t>
  </si>
  <si>
    <t>2025-05-20 09:38:00,6000,,5970,,5700,,5940,,,,,6000,5900,6050,5900,5943.5</t>
  </si>
  <si>
    <t>2025-05-20 09:38:00,21325,,,21050,21325,,21300,,,,,21500,21050,21050,21125,21328.5</t>
  </si>
  <si>
    <t>2025-05-20 09:38:00,2127946595.78948,4883453204.92993,-20401.4676732479,-10386,-317.586071428573,-731.8,182.551443035034,-132.55,593.3</t>
  </si>
  <si>
    <t>2025-05-20 09:38:00,-43443128.786465,-83545131.6900384,-763.759523809524,-325,-1076.88433333333,-2293.15,-26.8067172783871,-681.63,519.61</t>
  </si>
  <si>
    <t>2025-05-20 09:38:00,33803341.6760726,14680147.9796409,444.7,715,3033.3495,4395.36,5.15759704023068,240.23,5943.5</t>
  </si>
  <si>
    <t>2025-05-20 09:38:00,182081498.699577,-611887.675679932,-45.9404761904761,-47,-1130.41051587301,-803.95,0.0486781025737128,-8.63,21328.5</t>
  </si>
  <si>
    <t>2025-05-20 09:39:00,600,,594,,580,,591.5,593,,593,,595,590,594,585,593.47</t>
  </si>
  <si>
    <t>2025-05-20 09:39:00,525,,520,,500,,518,520,,,,520,518,522,516,519.83</t>
  </si>
  <si>
    <t>2025-05-20 09:39:00,6000,,5970,,5700,,5940,,,,,6000,5900,6050,5900,5945.25</t>
  </si>
  <si>
    <t>2025-05-20 09:39:00,21325,,,21050,21325,,21325,,,,,21500,21050,21050,21125,21338</t>
  </si>
  <si>
    <t>2025-05-20 09:39:00,2208465042.88462,5856675028.17689,-29666.0035603717,-18875,3360.01227777778,4630.9,348.373059059794,2165.59,593.47</t>
  </si>
  <si>
    <t>2025-05-20 09:39:00,27850127.6267742,289644286.104398,-451.842762792762,1099,2027.89291208792,2669.49,280.215279586597,818.33,519.83</t>
  </si>
  <si>
    <t>2025-05-20 09:39:00,36938032.1972928,29468601.4983208,-674.953333333335,-1367,-4512.36696666665,-11125.09,-0.663362692538435,-499.2,5945.25</t>
  </si>
  <si>
    <t>2025-05-20 09:39:00,182582113.311813,-542595.715902907,-1.29213758070623,-4,253.562616353358,256.41,0.000160272163250011,-2.34,21338</t>
  </si>
  <si>
    <t>2025-05-20 09:40:00,600,,594,,580,,591.5,,594,,,595,590,593,595,593.91</t>
  </si>
  <si>
    <t>2025-05-20 09:40:00,525,,520,,500,,518,520,,,,520,518,531,516,520.22</t>
  </si>
  <si>
    <t>2025-05-20 09:40:00,6000,,5970,,5700,,5940,,,,5940,5970,5900,6050,5900,5949.5</t>
  </si>
  <si>
    <t>2025-05-20 09:40:00,21325,,,21050,21325,,21350,,,,,21500,21050,21050,21125,21355</t>
  </si>
  <si>
    <t>2025-05-20 09:40:00,2421552497.30321,7239351709.30195,-157577.199165902,-53357,-41579.399450938,-17523.09,-3228.93894726457,-7321.67,593.91</t>
  </si>
  <si>
    <t>2025-05-20 09:40:00,66074019.4358201,609563210.486073,540.881157968344,1589,4044.67957136546,5262.43,40.2043816468836,1494.78,520.22</t>
  </si>
  <si>
    <t>2025-05-20 09:40:00,41342428.2241588,51072576.3547788,1394.75813852812,676,-4889.0324670996,-7743.25,-10.7621201793414,-122.28,5949.5</t>
  </si>
  <si>
    <t>2025-05-20 09:40:00,182500276.017132,-453946.606618736,-151.526161177029,-136,-2800.04313759881,-1952.22,0.0349080822531058,-23.93,21355</t>
  </si>
  <si>
    <t>2025-05-20 09:41:00,600,,594,,580,,591.5,594,,,,595,590,594,585,593.7</t>
  </si>
  <si>
    <t>2025-05-20 09:41:00,525,,520,,500,,518,,520,,,520,518,531,516,520.04</t>
  </si>
  <si>
    <t>2025-05-20 09:41:00,6000,,5970,,5700,,5940,,,,,5970,5900,6050,5900,5947.5</t>
  </si>
  <si>
    <t>2025-05-20 09:41:00,21325,,,21050,21325,,21325,,,,,21500,21050,21050,21125,21345.75</t>
  </si>
  <si>
    <t>2025-05-20 09:41:00,2343847756.16486,7353839972.12249,-18997.172360573,-13967,9333.62716666668,-813.609999999999,515.750092336323,983.58,593.7</t>
  </si>
  <si>
    <t>2025-05-20 09:41:00,49015106.8050386,477060452.00793,1729.87882117882,-2951,3955.15432517482,-1954.71,-87.1691237484005,-853.81,520.04</t>
  </si>
  <si>
    <t>2025-05-20 09:41:00,38910235.7026354,47361179.0498782,-131.450000000004,-1108,59898.8244999999,32107.99,-6.32721514210277,160.29,5947.5</t>
  </si>
  <si>
    <t>2025-05-20 09:41:00,183649863.342389,-505013.282551751,28.5344613259668,12,1974.87165215378,1251.47,0.0138630876323304,8.48,21345.75</t>
  </si>
  <si>
    <t>2025-05-20 09:42:00,600,,594,,580,,591.5,594,,,,595,590,594,585,593.75</t>
  </si>
  <si>
    <t>2025-05-20 09:42:00,525,,520,,500,,518,,,,,520,518,531,516,520.08</t>
  </si>
  <si>
    <t>2025-05-20 09:42:00,6000,,5970,,5700,,5940,,,,,6000,5900,6050,5900,5948</t>
  </si>
  <si>
    <t>2025-05-20 09:42:00,21325,,,21050,21325,,21325,,,,,21500,21050,21050,21125,21348</t>
  </si>
  <si>
    <t>2025-05-20 09:42:00,2358688445.89018,7762853570.37541,-13364.8147095008,-7770,10806.7457020202,11894.76,1041.53918547429,4861.28,593.75</t>
  </si>
  <si>
    <t>2025-05-20 09:42:00,50828041.9132117,531631941.588657,-915.780385042248,4,-219.981056945259,-91.0300000000001,175.573387261287,-51.1100000000001,520.08</t>
  </si>
  <si>
    <t>2025-05-20 09:42:00,39373255.078141,52719170.4026304,1312.915,851,-118.414949999987,-1683.28,-5.29641506404132,26.54,5948</t>
  </si>
  <si>
    <t>2025-05-20 09:42:00,184168860.727199,-490843.629243399,-3.16666666666665,-27,109.673833333333,141.94,-0.00156950707507277,-0.81,21348</t>
  </si>
  <si>
    <t>2025-05-20 09:43:00,600,,594,,580,,591.5,,594,,,595,590,594,585,593.74</t>
  </si>
  <si>
    <t>2025-05-20 09:43:00,525,,520,,500,,518,,,,,520,518,531,516,520.05</t>
  </si>
  <si>
    <t>2025-05-20 09:43:00,6000,,5970,,5700,,5940,,,,,6000,5900,6050,5900,5948</t>
  </si>
  <si>
    <t>2025-05-20 09:43:00,21325,,,21050,21325,,21325,,,,,21500,21050,21050,21125,21347.5</t>
  </si>
  <si>
    <t>2025-05-20 09:43:00,2367843269.69515,8133328931.29796,-4027.89287055808,-3138,3459.59001536096,-1187.82,-378.055230901335,-642.45,593.74</t>
  </si>
  <si>
    <t>2025-05-20 09:43:00,59446932.1848631,622135496.442747,-167.861083035457,-636,963.004706376595,71.9200000000001,-219.685793843141,-141.85,520.05</t>
  </si>
  <si>
    <t>2025-05-20 09:43:00,40198782.8952183,56150249.1329792,40.2665116279076,317,5199.46806046512,5502.16,3.73022721191227,225.91,5948</t>
  </si>
  <si>
    <t>2025-05-20 09:43:00,184056315.371781,-494180.609273551,-0.462307692307697,4,-20.7048230769233,180.83,-0.00545740609275511,1.79,21347.5</t>
  </si>
  <si>
    <t>2025-05-20 09:44:00,600,,594,,580,,591.5,,,,,595,590,594,585,593.82</t>
  </si>
  <si>
    <t>2025-05-20 09:44:00,525,,520,,500,,518,520,,,,520,518,531,516,520.13</t>
  </si>
  <si>
    <t>2025-05-20 09:44:00,6000,,5970,,5700,,5940,,,,,6000,5900,6050,5900,5948.5</t>
  </si>
  <si>
    <t>2025-05-20 09:44:00,21325,,,21050,21325,,21325,,,,,21500,21050,21050,21125,21350</t>
  </si>
  <si>
    <t>2025-05-20 09:44:00,2407595427.39003,8472220263.3806,-6584.05781479665,-9581,3520.96494047619,1675.97,-158.255122409759,656.93,593.82</t>
  </si>
  <si>
    <t>2025-05-20 09:44:00,68175764.0332736,681648279.065694,2831.76865671642,4143,4868.80853233832,4679.25,193.778134303088,1714.27,520.13</t>
  </si>
  <si>
    <t>2025-05-20 09:44:00,40926207.108407,60662956.6458068,579.273768115942,965,5624.95469710144,3871.73,-5.22023486553985,191.12,5948.5</t>
  </si>
  <si>
    <t>2025-05-20 09:44:00,184691353.960291,-474856.231405168,-6.47680375180375,2,-157.610948773449,-286.93,-0.00191876965370414,-2.38,21350</t>
  </si>
  <si>
    <t>2025-05-20 09:45:00,600,,594,,580,,591.5,594,,,,595,590,594,585,593.92</t>
  </si>
  <si>
    <t>2025-05-20 09:45:00,525,,520,,500,,519,,520,,,520,518,531,518,520.23</t>
  </si>
  <si>
    <t>2025-05-20 09:45:00,6000,,5970,,5700,,5940,,,,,6000,5900,6050,5900,5949.5</t>
  </si>
  <si>
    <t>2025-05-20 09:45:00,21325,,,21050,21325,,21325,,,,,21500,21050,21050,21125,21354.25</t>
  </si>
  <si>
    <t>2025-05-20 09:45:00,2430724784.8949,8848711224.76025,-27926.9700299693,-21514,8785.50536507936,5646.96,878.715411739363,2994.21,593.92</t>
  </si>
  <si>
    <t>2025-05-20 09:45:00,73044145.5244136,847837486.990167,3102.74031725876,-1078,2523.52490772263,-3697.11,-463.106196396888,-1311.26,520.23</t>
  </si>
  <si>
    <t>2025-05-20 09:45:00,41734453.6903819,65921178.5543302,-673.266666666665,-532,-214.41816666665,-2610.49,-13.3692939210607,-181.81,5949.5</t>
  </si>
  <si>
    <t>2025-05-20 09:45:00,184185863.610043,-457820.63406833,-4.42518037518037,1,189.935463924965,297.16,0.0438591740400274,2.92,21354.25</t>
  </si>
  <si>
    <t>2025-05-20 09:46:00,600,,594,,580,,591.5,594,,,,595,590,594,585,593.93</t>
  </si>
  <si>
    <t>2025-05-20 09:46:00,525,,520,,500,,519,,520,,,520,518,531,516,520.25</t>
  </si>
  <si>
    <t>2025-05-20 09:46:00,6000,,5970,,5700,,5940,,,,,6000,5900,6050,5900,5950.25</t>
  </si>
  <si>
    <t>2025-05-20 09:46:00,21325,,,21050,21325,,21300,,,,,21500,21050,21050,21125,21354.75</t>
  </si>
  <si>
    <t>2025-05-20 09:46:00,2447173075.7235,9329068664.68499,-21408.2059564983,-19141,7100.58378427129,4442.67,764.733789642432,1683.77,593.93</t>
  </si>
  <si>
    <t>2025-05-20 09:46:00,77037209.5605978,985439439.569273,2425.34236737838,105,3088.90017279331,-508.91,52.9700815513093,-148.37,520.25</t>
  </si>
  <si>
    <t>2025-05-20 09:46:00,43339902.9276897,70046087.9772909,-300.123333333332,202,3940.27130000001,3061.49,-5.06303858861103,65.18,5950.25</t>
  </si>
  <si>
    <t>2025-05-20 09:46:00,184693098.754449,-436774.076114458,19.1481509625127,18,743.539992401217,606.38,0.0237091716047367,6.1,21354.75</t>
  </si>
  <si>
    <t>2025-05-20 09:47:00,600,,594,,580,,591.5,,,,,595,590,594,585,593.8</t>
  </si>
  <si>
    <t>2025-05-20 09:47:00,525,,520,,500,,519,520,,,,520,518,531,516,520.12</t>
  </si>
  <si>
    <t>2025-05-20 09:47:00,6000,,5970,,5700,,5940,,,,,6000,5900,6050,5900,5948.5</t>
  </si>
  <si>
    <t>2025-05-20 09:47:00,21325,,,21050,21325,,21300,,,,,21500,21050,21050,21125,21349.25</t>
  </si>
  <si>
    <t>2025-05-20 09:47:00,2389063499.30652,8972164442.64028,-10537.6694248505,-13403,-6369.21364635857,-6927.99,-123.964667279583,-3177.44,593.8</t>
  </si>
  <si>
    <t>2025-05-20 09:47:00,47945779.7496744,893454636.052075,-46.1619769119859,110,646.512741702725,1598.54,195.392031768358,334.34,520.12</t>
  </si>
  <si>
    <t>2025-05-20 09:47:00,40739410.3408635,57275047.081805,-2066.85833333333,-1618,-8167.73774999997,-6979.34,1.88055523470059,-353.43,5948.5</t>
  </si>
  <si>
    <t>2025-05-20 09:47:00,184687327.659126,-475573.001731914,-8.08987012987014,-9,-9.31501255411263,-46.5,0.0176111367582265,-0.69,21349.25</t>
  </si>
  <si>
    <t>2025-05-20 09:48:00,600,,594,,580,,591.5,,,,,595,590,594,585,593.98</t>
  </si>
  <si>
    <t>2025-05-20 09:48:00,525,,520,,500,,519,,520,,,520,518,531,516,520.28</t>
  </si>
  <si>
    <t>2025-05-20 09:48:00,6000,,5970,,5700,,5940,,,,,6000,5900,6050,5900,5950</t>
  </si>
  <si>
    <t>2025-05-20 09:48:00,21325,,,21050,21325,,21300,,,,,21500,21050,21050,21125,21356.75</t>
  </si>
  <si>
    <t>2025-05-20 09:48:00,2459589156.74478,9761262609.28832,-8036.16173645765,-7397,-1118.18964285714,-1940.79,-259.554487343013,-782.99,593.98</t>
  </si>
  <si>
    <t>2025-05-20 09:48:00,74412236.2754103,1073335513.80632,-7270.05624999999,-1819,-9313.91057371794,-2745.99,-170.792251940967,-1036.64,520.28</t>
  </si>
  <si>
    <t>2025-05-20 09:48:00,41904699.3536599,62718398.1346167,-896.706190476189,-527,-6227.37147142856,-3262.57,1.40931487070515,-145.45,5950</t>
  </si>
  <si>
    <t>2025-05-20 09:48:00,184412057.039838,-430321.104314387,-14.5593376068376,-21,-315.812868162393,-407.23,0.00315334356196868,-4.84,21356.75</t>
  </si>
  <si>
    <t>2025-05-20 09:49:00,600,,594,,580,,591.5,,594,,,595,590,594,585,593.975</t>
  </si>
  <si>
    <t>2025-05-20 09:49:00,525,,520,,500,,518,,520,,,520,518,531,518,520.321</t>
  </si>
  <si>
    <t>2025-05-20 09:49:00,6000,,5970,,5700,,5940,,,,,6000,5900,6050,5900,5950</t>
  </si>
  <si>
    <t>2025-05-20 09:49:00,21325,,,21050,21325,,21300,,,,,21500,21050,21050,21000,21360.25</t>
  </si>
  <si>
    <t>2025-05-20 09:49:00,2464548387.68305,10107909845.0824,-7251.44242749704,-8868,257.345000000004,-1848.1,-7.92967249166816,-793.06,593.975</t>
  </si>
  <si>
    <t>2025-05-20 09:49:00,104816040.401199,1460201495.48376,-3775.68918531701,-6173,-1726.43601283038,-5014.88,-202.274601980901,-1977.82,520.321</t>
  </si>
  <si>
    <t>2025-05-20 09:49:00,42558831.2826205,70894931.5984631,-341.760000000001,-605,1532.0344000001,-457.860000000001,-2.98853859212859,-165.6,5950</t>
  </si>
  <si>
    <t>2025-05-20 09:49:00,185636543.958607,-420938.192961787,-109.863093724457,-95,-0.712911240274394,29.81,0.0560291370262579,-0.55,21360.25</t>
  </si>
  <si>
    <t>2025-05-20 09:50:00,600,,594,,580,,591.5,,,,,595,590,594,585,593.84</t>
  </si>
  <si>
    <t>2025-05-20 09:50:00,525,,520,,500,,519,,,,,520,518,531,516,520.24</t>
  </si>
  <si>
    <t>2025-05-20 09:50:00,6000,,5970,,5700,,5940,,,,,6000,5900,6050,5900,5948.75</t>
  </si>
  <si>
    <t>2025-05-20 09:50:00,21325,,,21050,21325,,21300,,,,,21500,21050,21050,21000,21354.5</t>
  </si>
  <si>
    <t>2025-05-20 09:50:00,2406286360.68232,9519182477.37611,-5830.1175617886,-5114,1736.55329836829,993.96,69.160985506188,2.98999999999997,593.84</t>
  </si>
  <si>
    <t>2025-05-20 09:50:00,82292670.1429691,1264160634.19008,-1012.40714285714,372,914.777857142857,1633.31,80.7163221294556,696.49,520.24</t>
  </si>
  <si>
    <t>2025-05-20 09:50:00,40165728.4445531,59564373.1076275,-298.883333333337,100,-886.137333333365,1335.49,6.05154105117139,68.56,5948.75</t>
  </si>
  <si>
    <t>2025-05-20 09:50:00,185163906.056039,-469100.590877557,-8.2433167846895,23,262.741420337237,153.99,-0.0160373140163303,1.63,21354.5</t>
  </si>
  <si>
    <t>2025-05-20 09:51:00,600,,594,,580,,591.5,,,,,595,590,594,585,593.62</t>
  </si>
  <si>
    <t>2025-05-20 09:51:00,525,,520,,500,,519,,,,,520,518,531,518,519.91</t>
  </si>
  <si>
    <t>2025-05-20 09:51:00,6000,,5970,,5700,,5940,,,,,6000,5900,6050,5900,5946.75</t>
  </si>
  <si>
    <t>2025-05-20 09:51:00,21325,,,21050,21325,,21300,,,,,21500,21050,21050,21000,21341</t>
  </si>
  <si>
    <t>2025-05-20 09:51:00,2317554471.84256,9065737886.32462,7626.9318777292,-3638,3872.33450757576,1392.04,1122.84701788434,1161.44,593.62</t>
  </si>
  <si>
    <t>2025-05-20 09:51:00,31486518.2801675,988375852.316087,3441.88795208428,989,4834.86632124083,3496.14,241.817572920534,993.46,519.91</t>
  </si>
  <si>
    <t>2025-05-20 09:51:00,38149635.9628446,46856300.2623823,-241.570000000002,-509,-368.33480000001,-1300.16,-3.85077622702369,-66.58,5946.75</t>
  </si>
  <si>
    <t>2025-05-20 09:51:00,186315887.42044,-549277.016050608,20.0475457875458,11,992.114887912086,332.27,-0.00201609011021461,3.48,21341</t>
  </si>
  <si>
    <t>2025-05-20 09:52:00,600,,594,,580,,591.5,,,,,595,590,594,585,593.71</t>
  </si>
  <si>
    <t>2025-05-20 09:52:00,525,,520,,500,,519,,,,,520,518,531,516,520.05</t>
  </si>
  <si>
    <t>2025-05-20 09:52:00,6000,,5970,,5700,,5940,,,,,6000,5900,6050,5900,5947.5</t>
  </si>
  <si>
    <t>2025-05-20 09:52:00,21325,,,21050,21325,,21300,,,,,21500,21050,21050,21000,21346.25</t>
  </si>
  <si>
    <t>2025-05-20 09:52:00,2319395283.84558,8996375312.66632,-1188.14505494491,-3934,4912.06346825397,5608.09,168.216360883291,3047.52,593.71</t>
  </si>
  <si>
    <t>2025-05-20 09:52:00,42062126.3873535,1130203320.28831,1646.88457192525,1233,1934.04040634507,1449.59,-43.6071041476652,579.41,520.05</t>
  </si>
  <si>
    <t>2025-05-20 09:52:00,38604743.0882407,47639767.6240952,-6.77000000000297,-350,-1734.72480000003,-1768.39,-6.88507882438245,-55.93,5947.5</t>
  </si>
  <si>
    <t>2025-05-20 09:52:00,185494440.26418,-522205.453018038,-23.9883597883598,-19,-480.305185185185,-355.95,-0.00761311497201555,-4.08,21346.25</t>
  </si>
  <si>
    <t>2025-05-20 09:53:00,600,,594,,580,,591.5,,,,,595,590,594,585,593.7</t>
  </si>
  <si>
    <t>2025-05-20 09:53:00,525,,520,,500,,518,520,,,,520,518,531,516,520.08</t>
  </si>
  <si>
    <t>2025-05-20 09:53:00,6000,,5970,,5700,,5940,,,,,5970,5900,6050,5900,5947.25</t>
  </si>
  <si>
    <t>2025-05-20 09:53:00,21325,,,21050,21325,,21300,,,,,21500,21050,21050,21000,21347.75</t>
  </si>
  <si>
    <t>2025-05-20 09:53:00,2348237617.2684,9442965319.70115,840.439109442023,-3440,2365.49723669468,1482.13,210.953071504185,521.01,593.7</t>
  </si>
  <si>
    <t>2025-05-20 09:53:00,53048893.2592467,1312036040.19258,1196.75901639344,-127,1464.43096721312,283.97,-12.5049414177501,57.0099999999999,520.08</t>
  </si>
  <si>
    <t>2025-05-20 09:53:00,38857681.86218,51810238.879745,-371.375833333334,-612,-3032.31392500006,-4670.68,1.43621223105291,-217.65,5947.25</t>
  </si>
  <si>
    <t>2025-05-20 09:53:00,186449116.027058,-504672.496269894,5.13811965811965,5,239.610967521367,254.2,0.00982097577395218,2.64,21347.75</t>
  </si>
  <si>
    <t>2025-05-20 09:54:00,600,,594,,580,,591.5,,,,,595,590,594,585,593.78</t>
  </si>
  <si>
    <t>2025-05-20 09:54:00,525,,520,,500,,518,520,,,,520,518,531,516,520.22</t>
  </si>
  <si>
    <t>2025-05-20 09:54:00,6000,,5970,,5700,,5940,,,,,5970,5900,6050,5900,5948.25</t>
  </si>
  <si>
    <t>2025-05-20 09:54:00,21325,,,21050,21325,,21300,,,,,21500,21050,21050,21000,21353.5</t>
  </si>
  <si>
    <t>2025-05-20 09:54:00,2373657454.84006,9782551783.73347,-1884.21368421041,-3074,2440.59797368422,862.4,211.379308077328,654.35,593.78</t>
  </si>
  <si>
    <t>2025-05-20 09:54:00,82322841.3996326,1478107805.0511,5089.23523833086,3532,6421.92093641761,3814.97,358.37752009762,1483.97,520.22</t>
  </si>
  <si>
    <t>2025-05-20 09:54:00,39124013.173041,59435434.5573589,55.1499999999997,116,1331.9845,1048.48,4.6453234906417,40.03,5948.25</t>
  </si>
  <si>
    <t>2025-05-20 09:54:00,185646863.844799,-477870.105293508,-25.0456362279885,-15,-268.046156524392,-467.3,-0.0120279825334175,-4.62,21353.5</t>
  </si>
  <si>
    <t>2025-05-20 09:55:00,600,,594,,580,,591.5,,,,,595,590,594,585,593.765</t>
  </si>
  <si>
    <t>2025-05-20 09:55:00,525,,520,,500,,518,,520,,,520,518,531,516,520.16</t>
  </si>
  <si>
    <t>2025-05-20 09:55:00,6000,,5970,,5700,,5940,,,,,6000,5900,6050,5900,5948.25</t>
  </si>
  <si>
    <t>2025-05-20 09:55:00,21325,,,21050,21325,,21300,,,,,21500,21050,21050,21000,21351.5</t>
  </si>
  <si>
    <t>2025-05-20 09:55:00,2367643139.48748,9817687291.7434,-2081.05681702481,-3053,-3376.49875,-3945.51,71.9970620024712,-1478.87,593.765</t>
  </si>
  <si>
    <t>2025-05-20 09:55:00,67576788.1920878,1435887847.81931,-1277.98717948718,-2872,-1133.16038461539,-3491.83,-149.053687966819,-1311.59,520.16</t>
  </si>
  <si>
    <t>2025-05-20 09:55:00,39465502.4540955,58026018.2104447,-1107.94431524548,-1242,-8531.13743410853,-7596.36,0.96715339415948,-368.08,5948.25</t>
  </si>
  <si>
    <t>2025-05-20 09:55:00,185123542.411576,-492448.093055793,-1.74769841269843,-12,-39.4569119047622,-53.46,-0.0159754680723056,-1.19,21351.5</t>
  </si>
  <si>
    <t>2025-05-20 09:56:00,600,,594,,580,,591.5,,,,,595,590,594,585,593.64</t>
  </si>
  <si>
    <t>2025-05-20 09:56:00,525,,520,,500,,518,,520,,,520,518,531,516,520.07</t>
  </si>
  <si>
    <t>2025-05-20 09:56:00,6000,,5970,,5700,,5940,,,,,5970,5900,6050,5900,5946.75</t>
  </si>
  <si>
    <t>2025-05-20 09:56:00,21325,,,21050,21325,,21300,,,,,21500,21050,21050,21000,21347.75</t>
  </si>
  <si>
    <t>2025-05-20 09:56:00,2336434429.49669,9588668099.36456,-443.149064645979,-1675,-493.40586868687,-2722.42,-132.79871171483,-1385.98,593.64</t>
  </si>
  <si>
    <t>2025-05-20 09:56:00,54650607.6841215,1437344024.53369,-1577.01529586112,-1523,-2203.12580342966,-1811.44,-89.9339444256097,-661.62,520.07</t>
  </si>
  <si>
    <t>2025-05-20 09:56:00,37995934.978772,49123252.1235266,-112.350555555555,-226,150.616872222223,-1900.96,0.562455567995344,-102.17,5946.75</t>
  </si>
  <si>
    <t>2025-05-20 09:56:00,185121856.19227,-516813.478696659,-8.21931818181818,-3,47.6544204545454,28.82,-8.99011020301946E-05,0.25,21347.75</t>
  </si>
  <si>
    <t>2025-05-20 09:57:00,600,,594,,580,,591.5,,593,593,,595,590,594,585,593.16</t>
  </si>
  <si>
    <t>2025-05-20 09:57:00,525,,520,,500,,519,,,,520,520,518,531,516,519.52</t>
  </si>
  <si>
    <t>2025-05-20 09:57:00,6000,,5970,,5700,,5940,,,,,5970,5900,6050,5900,5942</t>
  </si>
  <si>
    <t>2025-05-20 09:57:00,21325,,,21050,21325,,21300,,,,,21500,21050,21050,21000,21324.75</t>
  </si>
  <si>
    <t>2025-05-20 09:57:00,2075603663.16785,7985692353.70139,46615.2725288051,26131,-548.44564682541,-7467.76,-1145.76568457134,-3577,593.16</t>
  </si>
  <si>
    <t>2025-05-20 09:57:00,-42004958.1420753,703136489.993213,-5262.43195782712,-5997,-4966.11235023042,-4308.77,80.9461730648051,-2140.72,519.52</t>
  </si>
  <si>
    <t>2025-05-20 09:57:00,33717299.3236593,17738237.4305563,67.3938095238095,793,7833.08643809524,7517.76,9.69227357521291,331.02,5942</t>
  </si>
  <si>
    <t>2025-05-20 09:57:00,185042218.706398,-685115.782120314,16.8804340232102,46,661.524129756788,618.9,-0.100954456445137,3.87,21324.75</t>
  </si>
  <si>
    <t>2025-05-20 09:58:00,600,,594,,580,,591.5,,,593,,595,590,594,585,593</t>
  </si>
  <si>
    <t>2025-05-20 09:58:00,525,,520,,500,,519,,,,,520,518,531,516,519.37</t>
  </si>
  <si>
    <t>2025-05-20 09:58:00,6000,,5970,,5700,,5940,5950,,,,5970,5900,6050,6040,5940.5</t>
  </si>
  <si>
    <t>2025-05-20 09:58:00,21325,,,21050,21325,,21300,,,,,21500,21050,21050,21000,21319.25</t>
  </si>
  <si>
    <t>2025-05-20 09:58:00,2028361985.81095,7435837327.28734,55640.482494641,34048,21780.9695361306,24824.51,-96.3047828391639,8782.93,593</t>
  </si>
  <si>
    <t>2025-05-20 09:58:00,-57487401.3759654,618945346.73502,5777.92620975516,12347,5666.55143387314,13564.1,-217.748170233256,5254.79,519.37</t>
  </si>
  <si>
    <t>2025-05-20 09:58:00,31697538.5511558,3597254.5023718,3089.99666666667,3043,24008.4754,23979.1,-0.491227974477441,1114.61,5940.5</t>
  </si>
  <si>
    <t>2025-05-20 09:58:00,185311696.915261,-725249.507863358,26.7891666666667,11,1110.82196666667,379.04,0.00272971207984744,3.79,21319.25</t>
  </si>
  <si>
    <t>2025-05-20 09:59:00,600,,594,,580,,591.5,,,,593,595,590,594,585,592.91</t>
  </si>
  <si>
    <t>2025-05-20 09:59:00,525,,520,,500,,519,,,,,520,518,531,516,519.29</t>
  </si>
  <si>
    <t>2025-05-20 09:59:00,6000,,5970,,5700,,5940,,,,,5970,5900,6050,6040,5939.25</t>
  </si>
  <si>
    <t>2025-05-20 09:59:00,21325,,,21050,21325,,21300,,,,,21500,21050,21050,21000,21314.5</t>
  </si>
  <si>
    <t>2025-05-20 09:59:00,1974235010.44,6674118967.18877,28840.2178988319,20015,-24751.0748634921,-4889.71,-173.663769305452,-2889.03,592.91</t>
  </si>
  <si>
    <t>2025-05-20 09:59:00,-78292042.13346,406372653.931831,-884.351190476191,-1383,-152.78392857143,-1036.47,-48.4325490093815,-442.09,519.29</t>
  </si>
  <si>
    <t>2025-05-20 09:59:00,30699769.8211657,-9868231.00003353,-910.696421602789,-1046,-2191.58557405342,-2316.6,2.35458240675369,-182.61,5939.25</t>
  </si>
  <si>
    <t>2025-05-20 09:59:00,184400948.87262,-770560.689014792,21.6488034188034,12,846.671191452991,370.54,0.00977770883769893,3.88,21314.5</t>
  </si>
  <si>
    <t>2025-05-20 10:00:00,600,,594,,580,,591.5,,,,593,595,590,594,595,592.78</t>
  </si>
  <si>
    <t>2025-05-20 10:00:00,525,,520,,500,,518,,,,,520,518,531,516,519.18</t>
  </si>
  <si>
    <t>2025-05-20 10:00:00,6000,,,5900,5700,,5940,,,5930,,5970,5900,6050,5900,5938</t>
  </si>
  <si>
    <t>2025-05-20 10:00:00,21325,,,21050,21325,,21300,,,,,21450,21050,21050,21000,21310.5</t>
  </si>
  <si>
    <t>2025-05-20 10:00:00,1885510852.94134,5862856196.25872,38375.2809196622,50418,-15399.741344453,-443.580000000001,-2507.39718598353,-54.5700000000006,592.78</t>
  </si>
  <si>
    <t>2025-05-20 10:00:00,-108351817.646653,332940856.51542,-9326.19795381724,-4502,-13722.6629095225,-5723.34,844.614952094051,-1866.89,519.18</t>
  </si>
  <si>
    <t>2025-05-20 10:00:00,27063449.0109998,-27302449.8891255,-3650.8419047619,-1690,-51055.3423142857,-8776.35,26.556997687005,-108.52,5938</t>
  </si>
  <si>
    <t>2025-05-20 10:00:00,182454368.767406,-796411.388399961,-142.928196803197,-122,-3553.03243106893,-1937.7,-0.0509237405293067,-22.79,21310.5</t>
  </si>
  <si>
    <t>2025-05-20 10:01:00,600,,594,,580,,591.5,,,,593,595,590,594,595,592.77</t>
  </si>
  <si>
    <t>2025-05-20 10:01:00,525,,520,,500,,518,,,,,520,518,531,516,519.27</t>
  </si>
  <si>
    <t>2025-05-20 10:01:00,6000,,5970,,5700,,5940,,,,,5970,5900,6050,5900,5938</t>
  </si>
  <si>
    <t>2025-05-20 10:01:00,21325,,,21050,21325,,21300,,,,,21450,21050,21050,21000,21315</t>
  </si>
  <si>
    <t>2025-05-20 10:01:00,1926292293.22959,6447579236.80793,14415.3222591354,9512,191.466527176522,3362.3,288.268741705437,1749.31,592.77</t>
  </si>
  <si>
    <t>2025-05-20 10:01:00,-76421225.7256746,605998379.957258,989.524242424242,1781,1288.18051515151,1336.83,212.935031594996,515.6,519.27</t>
  </si>
  <si>
    <t>2025-05-20 10:01:00,28127584.4692793,-23352039.4274713,-663.509490884073,-1219,-822.693999311993,-6681.23,3.94050209814275,-350.52,5938</t>
  </si>
  <si>
    <t>2025-05-20 10:01:00,183319853.120235,-757770.439949443,-20.5162393162393,-13,-536.362790811966,-298.6,0.00107263256981878,-3.53,21315</t>
  </si>
  <si>
    <t>2025-05-20 10:02:00,600,,594,,580,,591.5,,,,,595,590,594,595,593.02</t>
  </si>
  <si>
    <t>2025-05-20 10:02:00,525,,520,,500,,518,,,,,520,518,531,516,519.48</t>
  </si>
  <si>
    <t>2025-05-20 10:02:00,6000,,5970,,5700,,5940,,,,,5970,5900,6050,5900,5940.5</t>
  </si>
  <si>
    <t>2025-05-20 10:02:00,21325,,,21050,21325,,21300,,,,,21450,21050,21050,21000,21324.5</t>
  </si>
  <si>
    <t>2025-05-20 10:02:00,2025402804.78801,7280434966.18677,-3237.21346327073,1945,-2170.97661904761,-5533.49,-64.4690740983737,-2611.53,593.02</t>
  </si>
  <si>
    <t>2025-05-20 10:02:00,-59925022.0588994,783682514.952429,1991.47793263647,2308,2363.64783972125,3681,134.473918716051,1447,519.48</t>
  </si>
  <si>
    <t>2025-05-20 10:02:00,30138043.2989953,-6945122.12430473,-58.7986580086589,-256,-2707.79857662339,-4458.41,-5.65885728998167,-169.39,5940.5</t>
  </si>
  <si>
    <t>2025-05-20 10:02:00,183228581.066612,-685986.784588603,-4.98252525252525,-5,-81.1397515151518,-149.19,0.00519991301217808,-1.37,21324.5</t>
  </si>
  <si>
    <t>2025-05-20 10:04:00,600,,594,,580,,591.5,,,593,,595,590,594,595,593.14</t>
  </si>
  <si>
    <t>2025-05-20 10:04:00,525,,520,,500,,519,,,,,520,518,531,516,519.57</t>
  </si>
  <si>
    <t>2025-05-20 10:04:00,6000,,5970,,5700,,5940,,,,,5970,5900,6050,5900,5941.75</t>
  </si>
  <si>
    <t>2025-05-20 10:04:00,21325,,,21050,21325,,21300,,,,,21450,21050,21050,21000,21327.25</t>
  </si>
  <si>
    <t>2025-05-20 10:04:00,2047208107.61147,7765158718.40703,-3467.22134538043,8628,15899.1201944444,14211.03,787.743480564809,6506.3,593.14</t>
  </si>
  <si>
    <t>2025-05-20 10:04:00,-48075900.5869918,813202804.076053,4798.36315328833,4785,4211.17854588647,4834.52,116.429965004992,1943.35,519.57</t>
  </si>
  <si>
    <t>2025-05-20 10:04:00,31264011.7563751,1105780.69030557,978.099999999994,749,8162.51699999995,6631.95,-1.48947151966291,347.45,5941.75</t>
  </si>
  <si>
    <t>2025-05-20 10:04:00,184375347.412649,-654828.664441026,3.51142857142857,1,115.801228571429,-29.66,-0.00198329001717841,-0.15,21327.25</t>
  </si>
  <si>
    <t>2025-05-20 10:05:00,600,,594,,580,,591.5,,,,,595,590,594,595,592.99</t>
  </si>
  <si>
    <t>2025-05-20 10:05:00,525,,520,,500,,518,519,,519,,520,518,519,516,519.44</t>
  </si>
  <si>
    <t>2025-05-20 10:05:00,6000,,5970,,5700,,5940,,,,,5970,5900,6050,5900,5940.5</t>
  </si>
  <si>
    <t>2025-05-20 10:05:00,21325,,,21050,21325,,21300,,,,,21450,21050,21050,21000,21319.75</t>
  </si>
  <si>
    <t>2025-05-20 10:05:00,1996977325.62154,7440289011.38818,2247.55497511886,2242,-640.347107142847,-2871.91,-253.719941535523,-1071.44,592.99</t>
  </si>
  <si>
    <t>2025-05-20 10:05:00,-47520133.8120585,843997131.292266,8790.67124907613,5812,10871.1630243903,6826.42,-29.3658596223991,2585.18,519.44</t>
  </si>
  <si>
    <t>2025-05-20 10:05:00,31102746.9668993,-3600175.59719403,73.7499999999995,235,2697.59500000001,832.95,0.813733393378122,34.21,5940.5</t>
  </si>
  <si>
    <t>2025-05-20 10:05:00,184625296.773469,-702480.757267351,3.59185765215177,8,143.660243442832,192.28,-0.00175718701819263,2.01,21319.75</t>
  </si>
  <si>
    <t>2025-05-20 10:06:00,600,,594,,580,,591.5,,,,,595,590,594,595,592.95</t>
  </si>
  <si>
    <t>2025-05-20 10:06:00,525,,520,,500,,518,519,,,,520,518,519,516,519.33</t>
  </si>
  <si>
    <t>2025-05-20 10:06:00,6000,,5970,,5700,,5940,,,,,5970,5900,6050,5900,5940</t>
  </si>
  <si>
    <t>2025-05-20 10:06:00,21325,,,21050,21325,,21300,,,,,21450,21050,21050,21000,21316.75</t>
  </si>
  <si>
    <t>2025-05-20 10:06:00,1989643577.56108,7229256065.79452,1378.97534864081,-3442,7534.16105555556,10100.7,224.927299259728,3997.76,592.95</t>
  </si>
  <si>
    <t>2025-05-20 10:06:00,-64278252.2263113,734382142.441334,3292.66861985834,2695,2848.9783782322,2388.37,86.8811254356161,1022.18,519.33</t>
  </si>
  <si>
    <t>2025-05-20 10:06:00,30152660.8889541,-10879200.5894804,913.8,970,6851.43699999997,5074.47,5.59770399994714,282.7,5940</t>
  </si>
  <si>
    <t>2025-05-20 10:06:00,183969967.294168,-738950.332954436,-4.89788691700456,-2,103.755862676539,-48.74,0.00457820326755928,-0.66,21316.75</t>
  </si>
  <si>
    <t>2025-05-20 10:07:00,600,,594,,580,,591.5,,,,,595,590,594,595,592.76</t>
  </si>
  <si>
    <t>2025-05-20 10:07:00,525,,520,,500,,519,,,,,520,518,519,516,519.14</t>
  </si>
  <si>
    <t>2025-05-20 10:07:00,6000,,5970,,5700,,5940,,,,,5970,5900,6050,5900,5938</t>
  </si>
  <si>
    <t>2025-05-20 10:07:00,21325,,,21050,21325,,21300,,,,,21450,21050,21050,21000,21309</t>
  </si>
  <si>
    <t>2025-05-20 10:07:00,1865919959.93023,5865215998.22078,10121.8457177827,7863,974.903214285718,-1408.17,-149.123527996492,-630.86,592.76</t>
  </si>
  <si>
    <t>2025-05-20 10:07:00,-108803685.238582,286631042.710592,2000.16666666667,834,2350.795,1083.64,-20.5189789540361,347.33,519.14</t>
  </si>
  <si>
    <t>2025-05-20 10:07:00,30314494.6275008,-20810831.4806619,969.283333333335,750,6495.24183333335,3636.72,1.41899294220144,162.78,5938</t>
  </si>
  <si>
    <t>2025-05-20 10:07:00,184232853.143294,-790944.962082939,6.94444444444444,10,210.986666666667,111.9,0.0023553531268915,1.32,21309</t>
  </si>
  <si>
    <t>2025-05-20 10:08:00,600,,594,,580,,591.5,,,,,595,590,594,595,593.11</t>
  </si>
  <si>
    <t>2025-05-20 10:08:00,525,,520,,500,,518,520,,,,520,518,519,516,519.55</t>
  </si>
  <si>
    <t>2025-05-20 10:08:00,6000,,5970,,5700,,5940,,,,,5970,5900,6050,5900,5941.5</t>
  </si>
  <si>
    <t>2025-05-20 10:08:00,21325,,,21050,21325,,21300,,,,,21450,21050,21050,21000,21326</t>
  </si>
  <si>
    <t>2025-05-20 10:08:00,2060650907.78296,8060758994.82816,-5231.14792251806,406,795.177809523805,-806.449999999999,-36.3482806761615,413.01,593.11</t>
  </si>
  <si>
    <t>2025-05-20 10:08:00,-62849822.0804663,988722066.319039,544.719178082187,2886,1200.14260273972,3141.79,-24.4682141911641,1284.7,519.55</t>
  </si>
  <si>
    <t>2025-05-20 10:08:00,30579615.0844861,1071349.3989342,-277.599999999999,-137,-333.660999999978,1437.24,6.56835775438772,72.3,5941.5</t>
  </si>
  <si>
    <t>2025-05-20 10:08:00,184006132.847427,-675295.519789331,-34.1946581196581,-19,-582.590867521368,-286.64,0.0256118401137964,-3.18,21326</t>
  </si>
  <si>
    <t>2025-05-20 10:09:00,600,,594,,580,,591.5,,,,,595,590,594,595,593.05</t>
  </si>
  <si>
    <t>2025-05-20 10:09:00,525,,520,,500,,518,519,,,,520,518,519,516,519.48</t>
  </si>
  <si>
    <t>2025-05-20 10:09:00,6000,,5970,,5700,,5940,,,,,5970,5900,6050,5900,5941</t>
  </si>
  <si>
    <t>2025-05-20 10:09:00,21325,,,21050,21325,,21300,,,,,21450,21050,21050,21000,21323.25</t>
  </si>
  <si>
    <t>2025-05-20 10:09:00,2050548232.38859,7843796288.89503,458.425505050604,2234,562.044268398265,2189,-192.645892693552,920.27,593.05</t>
  </si>
  <si>
    <t>2025-05-20 10:09:00,-54406201.4789171,911714088.818151,3886.95,2398,5345.50499999999,3092.81,147.817893883008,1171.17,519.48</t>
  </si>
  <si>
    <t>2025-05-20 10:09:00,30269129.9266787,-528524.517743353,676.064090909092,821,5183.16265000001,6647.25,0.290304589019834,277.52,5941</t>
  </si>
  <si>
    <t>2025-05-20 10:09:00,184666577.738734,-685436.757761793,-4.3252380952381,-7,-67.0407095238097,-88.47,0.00381229544926073,-0.94,21323.25</t>
  </si>
  <si>
    <t>2025-05-20 10:10:00,600,,594,,580,,591.5,,,,,595,590,594,595,593.03</t>
  </si>
  <si>
    <t>2025-05-20 10:10:00,525,,520,,500,,518,,,,,520,518,519,516,519.45</t>
  </si>
  <si>
    <t>2025-05-20 10:10:00,6000,,5970,,5700,,5940,,,,,5970,5900,6050,5900,5940.75</t>
  </si>
  <si>
    <t>2025-05-20 10:10:00,21325,,,21050,21325,,21300,,,,,21450,21050,21050,21000,21322</t>
  </si>
  <si>
    <t>2025-05-20 10:10:00,2014506945.77021,7502889175.70592,1549.85090793246,4304,1486.6925,1201.75,-6.60051064752411,444.74,593.03</t>
  </si>
  <si>
    <t>2025-05-20 10:10:00,-54948715.9410227,900467235.227244,464.586724386719,-165,554.068707070695,-391.88,-84.083157623497,-167.28,519.45</t>
  </si>
  <si>
    <t>2025-05-20 10:10:00,31476859.8715441,-363896.178120638,374.125,579,3547.04724999998,5505.33,0.783303541938687,214.75,5940.75</t>
  </si>
  <si>
    <t>2025-05-20 10:10:00,184270633.039656,-702794.478453726,1,1,7,7,0.00137150379133379,0.11,21322</t>
  </si>
  <si>
    <t>2025-05-20 10:11:00,600,,594,,580,,591.5,,,,,595,590,594,595,593.08</t>
  </si>
  <si>
    <t>2025-05-20 10:11:00,525,,520,,500,,518,,,,,520,518,519,516,519.43</t>
  </si>
  <si>
    <t>2025-05-20 10:11:00,6000,,5970,,5700,,5940,,,,,5970,5900,6050,5900,5941.25</t>
  </si>
  <si>
    <t>2025-05-20 10:11:00,21325,,,21050,21325,,21300,,,,,21450,21050,21050,21000,21321</t>
  </si>
  <si>
    <t>2025-05-20 10:11:00,2038772586.52932,7840203275.54544,-204.288740501927,1236,-3351.97677380953,-1803.74,194.537867303986,-226.93,593.08</t>
  </si>
  <si>
    <t>2025-05-20 10:11:00,-67540150.7289975,873450525.683007,775.3,1440,305.085,1063.85,81.9494985891927,495.91,519.43</t>
  </si>
  <si>
    <t>2025-05-20 10:11:00,31367790.7348099,-828031.011320166,-45.6666666666666,-416,-460.708500000003,-3825.02,-3.2950022918366,-158.3,5941.25</t>
  </si>
  <si>
    <t>2025-05-20 10:11:00,184510336.675864,-706850.068904364,-2.88214285714285,-9,-85.7596428571426,-246.9,-0.0142481516974271,-2.79,21321</t>
  </si>
  <si>
    <t>2025-05-20 10:12:00,600,,594,,580,,591.5,,593,,593,595,590,594,595,593.36</t>
  </si>
  <si>
    <t>2025-05-20 10:12:00,525,,520,,500,,518,520,,,,520,518,519,516,519.71</t>
  </si>
  <si>
    <t>2025-05-20 10:12:00,6000,,5970,,5700,,5940,,,,,5970,5900,6050,5900,5944</t>
  </si>
  <si>
    <t>2025-05-20 10:12:00,21325,,,21050,21325,,21300,,,,,21450,21050,21050,21000,21333.5</t>
  </si>
  <si>
    <t>2025-05-20 10:12:00,2179291237.47851,9585387185.506,-20877.4628124061,-23040,-4273.948,-1454.33,64.534029171369,225.32,593.36</t>
  </si>
  <si>
    <t>2025-05-20 10:12:00,-11441360.0914389,1387098043.51046,-1431.13008658009,-438,-1610.78628787879,-1862.66,247.983488990735,-490.71,519.71</t>
  </si>
  <si>
    <t>2025-05-20 10:12:00,34263105.0910845,23932787.4638687,171.941666666665,-986,1365.29724999999,-3784.9,-1.65089182016244,-210.08,5944</t>
  </si>
  <si>
    <t>2025-05-20 10:12:00,183931763.0697,-608040.859818456,-8.11472222222221,-14,46.2928361111112,-106.28,-0.0094975295074509,-2.1,21333.5</t>
  </si>
  <si>
    <t>2025-05-20 10:13:00,600,,594,,580,,591.5,,,,,595,590,594,595,593.25</t>
  </si>
  <si>
    <t>2025-05-20 10:13:00,525,,520,,500,,518,,520,,,520,518,519,516,519.58</t>
  </si>
  <si>
    <t>2025-05-20 10:13:00,6000,,5970,,5700,,5940,5950,,,,5970,5900,6050,5900,5943</t>
  </si>
  <si>
    <t>2025-05-20 10:13:00,21325,,,21050,21325,,21300,,,,,21450,21050,21050,21000,21327.25</t>
  </si>
  <si>
    <t>2025-05-20 10:13:00,2125814002.73573,8734086507.20449,-1844.96712871304,-12684,7113.56722222222,4962.34,-25.0110568347883,1770.41,593.25</t>
  </si>
  <si>
    <t>2025-05-20 10:13:00,-29233796.3577046,1163608731.78256,519.119934640522,-1290,2323.11836928105,1038.68,-230.538388547383,-195.05,519.58</t>
  </si>
  <si>
    <t>2025-05-20 10:13:00,34262799.5000002,23327931.3048032,1621.91,1300,14618.2852,9579.02,1.06254882751142,455.6,5943</t>
  </si>
  <si>
    <t>2025-05-20 10:13:00,185089234.105068,-642484.585626962,1.1609477124183,-1,31.0770866013072,-79.92,0.00105587360725957,-0.82,21327.25</t>
  </si>
  <si>
    <t>2025-05-20 10:14:00,600,,594,,580,,591.5,,,,,595,590,594,595,593.335</t>
  </si>
  <si>
    <t>2025-05-20 10:14:00,525,,520,,500,,518,,,,,520,518,519,516,519.605</t>
  </si>
  <si>
    <t>2025-05-20 10:14:00,6000,,5970,,5700,,5940,,5950,,,5970,5900,6050,5900,5943.75</t>
  </si>
  <si>
    <t>2025-05-20 10:14:00,21325,,,21050,21325,,21300,,,,,21450,21050,21050,21000,21328.5</t>
  </si>
  <si>
    <t>2025-05-20 10:14:00,2148019186.72167,9133895619.37669,-1262.76702607743,-5710,1886.90228174603,455.6,-40.5445718401656,173.94,593.335</t>
  </si>
  <si>
    <t>2025-05-20 10:14:00,-25579044.0360547,1178868470.1851,28.8666666666663,-173,265.19,-11.96,0.904665849067533,-32.98,519.605</t>
  </si>
  <si>
    <t>2025-05-20 10:14:00,34879582.6420874,23805194.9494139,-1086.23333333333,-1554,-10906.916,-12084.81,-11.967404988429,-568.71,5943.75</t>
  </si>
  <si>
    <t>2025-05-20 10:14:00,184929962.373567,-640765.103094898,-21.225,-2,33.4139285714286,101.77,0.00452834505203758,1.11,21328.5</t>
  </si>
  <si>
    <t>2025-05-20 10:15:00,600,,594,,580,,591.5,,,,,595,590,594,595,593.29</t>
  </si>
  <si>
    <t>2025-05-20 10:15:00,525,,520,,500,,519,,,,,520,518,519,516,519.54</t>
  </si>
  <si>
    <t>2025-05-20 10:15:00,6000,,5970,,5700,,5940,,5950,,,5970,5900,6050,5900,5943.25</t>
  </si>
  <si>
    <t>2025-05-20 10:15:00,21325,,,21050,21325,,21300,,,,,21450,21050,21050,21000,21325.5</t>
  </si>
  <si>
    <t>2025-05-20 10:15:00,2113763131.86652,8723067549.94717,-2572.75869752735,-6397,-3234.54102380953,-5284.76,-246.163435118657,-1975.48,593.29</t>
  </si>
  <si>
    <t>2025-05-20 10:15:00,-56233628.0817991,1036081389.80753,-1812.29393939394,-1586,-2060.04024242425,-1771.43,-63.3097504988689,-704.58,519.54</t>
  </si>
  <si>
    <t>2025-05-20 10:15:00,33909588.6210695,26086845.5085561,-445.025,-1753,-2979.45725,-16782.44,-17.2805697656944,-771.6,5943.25</t>
  </si>
  <si>
    <t>2025-05-20 10:15:00,184732631.695031,-668943.281180507,-8.92,-15,-174.7369,-434.85,-0.00405940933863888,-4.54,21325.5</t>
  </si>
  <si>
    <t>2025-05-20 10:16:00,600,,594,,580,,591.5,,,,,595,590,594,595,593.31</t>
  </si>
  <si>
    <t>2025-05-20 10:16:00,525,,520,,500,,518,,,,,520,518,519,516,519.495</t>
  </si>
  <si>
    <t>2025-05-20 10:16:00,6000,,5970,,5700,,5940,,,,,5970,5900,6050,5900,5943.5</t>
  </si>
  <si>
    <t>2025-05-20 10:16:00,21325,,,21050,21325,,21300,,,,,21450,21050,21050,21000,21323.75</t>
  </si>
  <si>
    <t>2025-05-20 10:16:00,2154188362.7392,9183417151.18907,-1041.17801047117,-2003,452.451321203952,-917.76,-110.151921612313,-459.82,593.31</t>
  </si>
  <si>
    <t>2025-05-20 10:16:00,-36269806.5307212,1165066452.41733,-151,-344,-199.23,-539.68,43.9343274952309,-216.76,519.495</t>
  </si>
  <si>
    <t>2025-05-20 10:16:00,34505343.8014471,27249921.5415002,415.008888888889,272,3437.77551111112,2861.59,-3.52887280113608,139.13,5943.5</t>
  </si>
  <si>
    <t>2025-05-20 10:16:00,185143537.808748,-679469.94807088,0.888571428571427,3,110.115257142857,141.38,-0.00202517464777754,1.39,21323.75</t>
  </si>
  <si>
    <t>2025-05-20 10:17:00,600,,594,,580,,591.5,,,,,595,590,594,595,593.47</t>
  </si>
  <si>
    <t>2025-05-20 10:17:00,525,,520,,500,,518,,,,,520,518,519,516,519.71</t>
  </si>
  <si>
    <t>2025-05-20 10:17:00,6000,,5970,,5700,,5940,,,,,5970,5900,6050,5900,5945.25</t>
  </si>
  <si>
    <t>2025-05-20 10:17:00,21325,,,21050,21325,,21300,,,,,21450,21050,21050,21000,21332.5</t>
  </si>
  <si>
    <t>2025-05-20 10:17:00,2218953727.62637,10202778277.7404,-8950.66831417191,-14885,2033.4629920635,1973.61,-214.148351973847,1067.93,593.47</t>
  </si>
  <si>
    <t>2025-05-20 10:17:00,-27093674.3304004,1385696808.60069,642.536507936501,994,967.748793650786,762.98,47.0579992220213,362.84,519.71</t>
  </si>
  <si>
    <t>2025-05-20 10:17:00,34247602.6583664,50284750.8065623,872.005000000001,757,9692.36395000004,6075.09,0.0582721390967583,235.64,5945.25</t>
  </si>
  <si>
    <t>2025-05-20 10:17:00,185837561.800868,-598587.616737289,-8.93223443223444,-4,-82.4470238095238,3.65,0.0137544889436616,0.0800000000000001,21332.5</t>
  </si>
  <si>
    <t>2025-05-20 10:18:00,600,,594,,580,,591.5,,,,,595,590,594,595,593.44</t>
  </si>
  <si>
    <t>2025-05-20 10:18:00,525,,520,,500,,519,,,,,520,518,519,516,519.68</t>
  </si>
  <si>
    <t>2025-05-20 10:18:00,6000,,5950,,5700,,5940,,,,,5970,5900,6050,5900,5944.75</t>
  </si>
  <si>
    <t>2025-05-20 10:18:00,21325,,,21050,21325,,21300,,,,,21450,21050,21050,21000,21332</t>
  </si>
  <si>
    <t>2025-05-20 10:18:00,2219692476.29237,10236487680.7977,-5046.10874760189,-9542,4249.98476190476,745.06,-220.628247034774,405.98,593.44</t>
  </si>
  <si>
    <t>2025-05-20 10:18:00,-20345810.9031364,1253997062.49667,1407.34134615385,1522,2711.45807692308,2234.87,-22.9292121357625,840.03,519.68</t>
  </si>
  <si>
    <t>2025-05-20 10:18:00,35581250.75436,49206951.745381,339.299999999997,581,4014.06899999996,3601.94,0.000547782595325205,163.54,5944.75</t>
  </si>
  <si>
    <t>2025-05-20 10:18:00,186347462.533864,-594495.899404715,8.89242424242424,24,418.495303030303,331.25,0.0135439215407689,3.58,21332</t>
  </si>
  <si>
    <t>2025-05-20 10:19:00,600,,594,,580,,591.5,,,,,595,590,594,595,593.565</t>
  </si>
  <si>
    <t>2025-05-20 10:19:00,525,,520,,500,,518,,,,,520,518,519,516,519.829</t>
  </si>
  <si>
    <t>2025-05-20 10:19:00,6000,,5970,,5700,,5940,,,,,5970,5900,6050,5900,5946</t>
  </si>
  <si>
    <t>2025-05-20 10:19:00,21325,,,21050,21325,,21300,,,,,21450,21050,21050,21000,21337.5</t>
  </si>
  <si>
    <t>2025-05-20 10:19:00,2263715754.36184,11083385055.0111,-10918.7594880846,-11579,3568.1425,3349.58,642.564899810903,1699.16,593.565</t>
  </si>
  <si>
    <t>2025-05-20 10:19:00,682282.91990378,1540040828.80727,813.5,1495,1266.97,1719.34,9.96977065695313,658.48,519.829</t>
  </si>
  <si>
    <t>2025-05-20 10:19:00,38346295.1453505,60326558.0624531,343.016666666665,507,4712.67938888886,5342.06,-2.78505270069296,221.26,5946</t>
  </si>
  <si>
    <t>2025-05-20 10:19:00,186104052.887115,-545051.113965854,-9.09205627705627,-14,-62.4465077922074,-125.57,-0.00468124429920791,-1.72,21337.5</t>
  </si>
  <si>
    <t>2025-05-20 10:20:00,600,,594,,580,,591.5,,,,,595,590,594,595,593.57</t>
  </si>
  <si>
    <t>2025-05-20 10:20:00,525,,520,,500,,519,520,,,,520,518,519,516,519.84</t>
  </si>
  <si>
    <t>2025-05-20 10:20:00,6000,,5970,,5700,,5940,,,,,5970,5900,6050,5900,5946.25</t>
  </si>
  <si>
    <t>2025-05-20 10:20:00,21325,,,21050,21325,,21300,,,,,21450,21050,21050,21000,21337.75</t>
  </si>
  <si>
    <t>2025-05-20 10:20:00,2228021153.77903,10893632592.6588,-5342.90205706183,-7463,-341.327500398556,-2482.87,18.6807548671439,-895.55,593.57</t>
  </si>
  <si>
    <t>2025-05-20 10:20:00,-10847716.9134817,1427511814.92343,982.43725490196,1750,1369.93931372549,2162.4,96.9240964460094,888.97,519.84</t>
  </si>
  <si>
    <t>2025-05-20 10:20:00,37678088.625724,61005321.0500274,-175.770000000001,-163,-1588.59970000003,-1506.91,-0.609342638052925,-56.65,5946.25</t>
  </si>
  <si>
    <t>2025-05-20 10:20:00,185780856.108824,-550344.730424023,-26.8671245421246,-17,-221.7081492674,174.54,0.0425765579795756,1.27,21337.75</t>
  </si>
  <si>
    <t>2025-05-20 10:21:00,600,,594,,580,,591.5,,,,,595,590,594,595,593.475</t>
  </si>
  <si>
    <t>2025-05-20 10:21:00,525,,520,,500,,519,,,,,520,518,519,516,519.7</t>
  </si>
  <si>
    <t>2025-05-20 10:21:00,6000,,5970,,5700,,5940,,,,,5970,5900,6050,5900,5945.25</t>
  </si>
  <si>
    <t>2025-05-20 10:21:00,21325,,,21050,21325,,21300,,,,,21450,21050,21050,21000,21332</t>
  </si>
  <si>
    <t>2025-05-20 10:21:00,2218540577.75263,10845148244.0546,-4255.51101468607,-6841,-1928.8675,-3712.87,-172.434794078798,-1748.6,593.475</t>
  </si>
  <si>
    <t>2025-05-20 10:21:00,-21302702.9833763,1370555057.99132,-385.529166666667,-1105,264.627458333333,-437.32,-128.284071635696,-296.71,519.7</t>
  </si>
  <si>
    <t>2025-05-20 10:21:00,37458546.6954601,52344606.402697,-352.821739130435,-455,-818.838521739125,-1448.03,0.710936718651671,-72.82,5945.25</t>
  </si>
  <si>
    <t>2025-05-20 10:21:00,185051514.063515,-602467.504451407,4.65317460317461,5,70.9666031746033,-22.76,0.00276265465429615,0.03,21332</t>
  </si>
  <si>
    <t>2025-05-20 10:22:00,600,,594,,580,,591.5,,,,,595,590,594,595,593.52</t>
  </si>
  <si>
    <t>2025-05-20 10:22:00,525,,520,,500,,519,,,,,520,518,519,516,519.76</t>
  </si>
  <si>
    <t>2025-05-20 10:22:00,6000,,5950,,5700,,5940,,,,,5970,5900,6050,5900,5945.75</t>
  </si>
  <si>
    <t>2025-05-20 10:22:00,21325,,,21050,21325,,21300,,,,,21450,21050,21050,21000,21335</t>
  </si>
  <si>
    <t>2025-05-20 10:22:00,2249899416.57717,11269008125.1548,-3655.19207920772,-4888,2893.43305555556,2004.75,118.008657752907,944.22,593.52</t>
  </si>
  <si>
    <t>2025-05-20 10:22:00,-19706597.5125642,1500628042.37197,1398.54017094018,963,1759.66843589744,417.01,-10.2935269033371,162.04,519.76</t>
  </si>
  <si>
    <t>2025-05-20 10:22:00,37813880.112062,59268113.1666371,632.649186991869,556,5614.09979268292,3524.43,-0.131735665362164,180.46,5945.75</t>
  </si>
  <si>
    <t>2025-05-20 10:22:00,185742300.877349,-566239.161990906,0.811206077872733,-1,101.412326685659,80.3,0.00576251974492377,0.46,21335</t>
  </si>
  <si>
    <t>2025-05-20 10:23:00,600,,594,,580,,591.5,,,,,595,590,594,595,593.42</t>
  </si>
  <si>
    <t>2025-05-20 10:23:00,525,,520,,500,,518,,,,,520,518,519,516,519.66</t>
  </si>
  <si>
    <t>2025-05-20 10:23:00,6000,,5950,,5700,,5940,,,,,5970,5900,6050,5900,5944.75</t>
  </si>
  <si>
    <t>2025-05-20 10:23:00,21325,,,21050,21325,,21300,,,,,21450,21050,21050,21000,21331.25</t>
  </si>
  <si>
    <t>2025-05-20 10:23:00,2208793000.88466,11436183286.0762,-1152.81719017691,-2084,645.083666666666,-109.15,130.991239597175,-105.6,593.42</t>
  </si>
  <si>
    <t>2025-05-20 10:23:00,-17316028.1046958,1561865894.49549,247.814285714285,-339,976.003571428571,-518.43,-3.14586045591337,-198.21,519.66</t>
  </si>
  <si>
    <t>2025-05-20 10:23:00,37144878.8014088,55688548.4690652,-113.666666666668,-274,-581.468200000011,-2096.66,1.5925255201518,-108.18,5944.75</t>
  </si>
  <si>
    <t>2025-05-20 10:23:00,186456275.429065,-595357.917873034,-10.5185897435897,-12,36.9784294871798,86.05,0.0135832171742424,0.76,21331.25</t>
  </si>
  <si>
    <t>2025-05-20 10:24:00,600,,594,,580,,591.5,,,593,,595,590,594,595,593.36</t>
  </si>
  <si>
    <t>2025-05-20 10:24:00,525,,520,,500,,519,,,,,520,518,519,516,519.57</t>
  </si>
  <si>
    <t>2025-05-20 10:24:00,6000,,5970,,5700,,5940,,5950,,,5970,5900,6050,6040,5944</t>
  </si>
  <si>
    <t>2025-05-20 10:24:00,21325,,,21050,21325,,21300,,,,,21450,21050,21050,21000,21327.5</t>
  </si>
  <si>
    <t>2025-05-20 10:24:00,2206395760.39486,11216687024.4647,-114.088912227749,-5090,6332.7170500611,5965.69,-205.868769935048,2309.25,593.36</t>
  </si>
  <si>
    <t>2025-05-20 10:24:00,-48154215.5275613,1259205797.25198,-2156.57302133458,-2868,-2299.92452580156,-2695.98,-56.6549641178827,-1101.71,519.57</t>
  </si>
  <si>
    <t>2025-05-20 10:24:00,34443425.9779179,40663784.6823608,-744.650000000001,-1505,-7931.82660000002,-9459.68,1.02368038794069,-436.5,5944</t>
  </si>
  <si>
    <t>2025-05-20 10:24:00,185260193.227291,-637663.622759226,-15.4645833333333,-16,-592.762166666666,-357.9,-0.00791963867932319,-4.36,21327.5</t>
  </si>
  <si>
    <t>2025-05-20 10:25:00,600,,594,,580,,591.5,,,,,595,590,594,595,593.045</t>
  </si>
  <si>
    <t>2025-05-20 10:25:00,525,,520,,500,,519,,,,,520,518,519,516,519.29</t>
  </si>
  <si>
    <t>2025-05-20 10:25:00,6000,,5950,,5700,,5940,,,,,5970,5900,6050,6040,5940.75</t>
  </si>
  <si>
    <t>2025-05-20 10:25:00,21325,,,21050,21325,,21300,,,,,21450,21050,21050,21000,21315.25</t>
  </si>
  <si>
    <t>2025-05-20 10:25:00,2043069564.71666,9446392150.38492,4523.78226010102,5162,-3813.23248809524,-4044.43,95.1895467085425,-1917.42,593.045</t>
  </si>
  <si>
    <t>2025-05-20 10:25:00,-85781509.2569126,851961826.783213,1186.56656718394,122,591.134390098343,-737.98,-72.3662989759917,-173.72,519.29</t>
  </si>
  <si>
    <t>2025-05-20 10:25:00,31778055.7621085,18291761.8725403,-398.266666666666,-1027,-1225.14416666668,-4642.92,-4.15887998892381,-267.3,5940.75</t>
  </si>
  <si>
    <t>2025-05-20 10:25:00,185398162.933469,-732306.072071707,18.8214285714286,8,693.748301587302,180.81,-0.00379376992127317,1.96,21315.25</t>
  </si>
  <si>
    <t>2025-05-20 10:26:00,600,,594,,580,,591.5,,,,,595,590,594,595,593.27</t>
  </si>
  <si>
    <t>2025-05-20 10:26:00,525,,520,,500,,518,,,,,520,518,519,516,519.49</t>
  </si>
  <si>
    <t>2025-05-20 10:26:00,6000,,5950,,5700,,5940,,,,,5970,5900,6050,6040,5943.25</t>
  </si>
  <si>
    <t>2025-05-20 10:26:00,21325,,,21050,21325,,21300,,,,,21450,21050,21050,21000,21323.75</t>
  </si>
  <si>
    <t>2025-05-20 10:26:00,2128615463.6976,10485464536.1445,-3066.22551022479,484,4824.60031746032,4683.39,74.2485138930295,2240.49,593.27</t>
  </si>
  <si>
    <t>2025-05-20 10:26:00,-61530567.5340921,1245407107.13721,1137.93333333333,1375,1055.27433333333,1214.49,112.358456715304,549.97,519.49</t>
  </si>
  <si>
    <t>2025-05-20 10:26:00,33539436.945188,33099671.3557789,-16.0833333333339,108,328.835999999994,1420.79,2.82479113617124,83.46,5943.25</t>
  </si>
  <si>
    <t>2025-05-20 10:26:00,184956959.842839,-669996.566107717,-5.91666666666665,-8,-177.136999999999,-256.78,0.00374249817916262,-2.81,21323.75</t>
  </si>
  <si>
    <t>2025-05-20 10:27:00,600,,594,,580,,591.5,,,,,595,590,594,595,593.29</t>
  </si>
  <si>
    <t>2025-05-20 10:27:00,525,,520,,500,,518,,,,,520,518,519,516,519.51</t>
  </si>
  <si>
    <t>2025-05-20 10:27:00,6000,,5950,,5700,,5940,,,,,5970,5900,6050,6040,5943.25</t>
  </si>
  <si>
    <t>2025-05-20 10:27:00,21325,,,21050,21325,,21300,,,,,21450,21050,21050,21000,21325</t>
  </si>
  <si>
    <t>2025-05-20 10:27:00,2148682766.32225,10724789109.3853,1730.71184371188,8679,4445.31034920636,5024.91,-71.4732562498939,2112.84,593.29</t>
  </si>
  <si>
    <t>2025-05-20 10:27:00,-47117754.5700978,1288707721.69697,1281.31455868972,1859,2445.34766878981,2189.29,-8.86097238771564,838.84,519.51</t>
  </si>
  <si>
    <t>2025-05-20 10:27:00,33718554.5194786,41269248.5677999,807.833333333333,562,7601.91783333333,2838.01,-3.27824198045605,128.93,5943.25</t>
  </si>
  <si>
    <t>2025-05-20 10:27:00,186225488.240636,-645098.659201842,5.97333333333333,9,147.678533333333,131.2,0.00192729427298237,1.53,21325</t>
  </si>
  <si>
    <t>2025-05-20 10:28:00,600,,594,,580,,591.5,,,,,595,590,594,595,593.435</t>
  </si>
  <si>
    <t>2025-05-20 10:28:00,525,,520,,500,,519,,,,,520,518,519,516,519.69</t>
  </si>
  <si>
    <t>2025-05-20 10:28:00,6000,,5950,,5700,,5940,,,,,5970,5900,6050,6040,5945</t>
  </si>
  <si>
    <t>2025-05-20 10:28:00,21325,,,21050,21325,,21300,,,,,21450,21050,21050,21000,21331.75</t>
  </si>
  <si>
    <t>2025-05-20 10:28:00,2222526896.30725,11458917367.7012,-4110.74490196061,-4745,-967.110555555557,-383.05,198.026216437061,-116.36,593.435</t>
  </si>
  <si>
    <t>2025-05-20 10:28:00,-22386573.0795093,1549263513.5085,1309.86666666667,1559,694.153999999999,1048.82,141.922037709825,470.04,519.69</t>
  </si>
  <si>
    <t>2025-05-20 10:28:00,35829513.392392,55528022.9493557,557.059999999999,394,3607.7392,5989.41,-4.81270412562665,303.86,5945</t>
  </si>
  <si>
    <t>2025-05-20 10:28:00,185601857.702278,-585985.211328239,15.0739130434782,18,728.76206521739,875.25,0.0212823681916388,8.73,21331.75</t>
  </si>
  <si>
    <t>2025-05-20 10:29:00,600,,594,,580,,591.5,,,,,595,590,594,595,593.42</t>
  </si>
  <si>
    <t>2025-05-20 10:29:00,525,,520,,500,,519,,,,,520,518,519,516,519.695</t>
  </si>
  <si>
    <t>2025-05-20 10:29:00,6000,,5950,,5700,,5940,,,,,5970,5900,6050,6040,5944.75</t>
  </si>
  <si>
    <t>2025-05-20 10:29:00,21325,,,21050,21325,,21300,,,,,21450,21050,21050,21000,21331.75</t>
  </si>
  <si>
    <t>2025-05-20 10:29:00,2204989778.50314,11412931216.4315,-1937.85173160163,-4792,-65.0474999999986,-686.33,-63.4545116758319,-504.05,593.42</t>
  </si>
  <si>
    <t>2025-05-20 10:29:00,-23763117.9863744,1594176163.64525,-131.225,-693,-132.567249999999,-667.15,-78.2330507446036,-286.49,519.695</t>
  </si>
  <si>
    <t>2025-05-20 10:29:00,34680204.7825777,51474212.782838,-29.7416666666672,-32,-523.745750000007,-199.02,-1.54699218786864,-10.49,5944.75</t>
  </si>
  <si>
    <t>2025-05-20 10:29:00,186379217.417776,-583289.985330495,-13.6402597402597,-13,-125.350922077922,-362.36,0.000628754089880629,-3.46,21331.75</t>
  </si>
  <si>
    <t>2025-05-20 10:30:00,600,,594,,580,,591.5,,,,,595,590,594,595,593.42</t>
  </si>
  <si>
    <t>2025-05-20 10:30:00,525,,520,,500,,519,,,,,520,518,519,516,519.685</t>
  </si>
  <si>
    <t>2025-05-20 10:30:00,6000,,5950,,5700,,5940,,,,,5970,5900,6050,6040,5944.75</t>
  </si>
  <si>
    <t>2025-05-20 10:30:00,21325,,,21050,21325,,21300,,,,,21450,21050,21050,21000,21331.75</t>
  </si>
  <si>
    <t>2025-05-20 10:30:00,2218557089.09688,11759051477.3999,-1443.76331014947,-5946,4702.01220588235,3605.75,6.77096475647207,1573.55,593.42</t>
  </si>
  <si>
    <t>2025-05-20 10:30:00,-22403518.9965598,1618845205.8943,970.787037037036,1251,878.02462962963,775.56,-30.7726462128034,364.74,519.685</t>
  </si>
  <si>
    <t>2025-05-20 10:30:00,35337017.5784115,47904252.6447549,229.09999999999,210,6891.34316666655,932.74,-8.32650724859084,3.57,5944.75</t>
  </si>
  <si>
    <t>2025-05-20 10:30:00,186677432.079068,-571936.076469124,1.55708333333333,5,41.1367625,69.64,0.00148348090305319,0.98,21331.75</t>
  </si>
  <si>
    <t>2025-05-20 10:31:00,600,,594,,580,,591.5,,,,,595,590,594,595,593.485</t>
  </si>
  <si>
    <t>2025-05-20 10:31:00,525,,520,,500,,519,,,,,520,518,519,516,519.77</t>
  </si>
  <si>
    <t>2025-05-20 10:31:00,6000,,5950,,5700,,5940,,,,,5970,5900,6050,6040,5945.25</t>
  </si>
  <si>
    <t>2025-05-20 10:31:00,21325,,,21050,21325,,21300,,,,,21450,21050,21050,21000,21335.5</t>
  </si>
  <si>
    <t>2025-05-20 10:31:00,2236366051.32381,12012467923.9468,-2092.81806282718,-4068,1178.72704761905,873.83,130.081709742588,468.49,593.485</t>
  </si>
  <si>
    <t>2025-05-20 10:31:00,-16230252.6431301,1695781187.00719,1845.44846191577,2610,2258.95091374115,2152.38,136.658417288539,964.34,519.77</t>
  </si>
  <si>
    <t>2025-05-20 10:31:00,36309060.3833327,58884676.254219,185.558888888888,-4069,-218.517244444442,-2243.04,-13.0638186256973,-185.55,5945.25</t>
  </si>
  <si>
    <t>2025-05-20 10:31:00,185682754.060256,-552847.479565771,9.53484848484846,14,441.987181818181,818.68,0.027351915348577,7.29,21335.5</t>
  </si>
  <si>
    <t>2025-05-20 10:32:00,600,,594,,580,,591.5,,,,,595,590,594,595,593.25</t>
  </si>
  <si>
    <t>2025-05-20 10:32:00,525,,520,,500,,519,,,,,520,518,519,516,519.6</t>
  </si>
  <si>
    <t>2025-05-20 10:32:00,6000,,5950,,5700,,5940,,,,,6000,5900,6050,6000,5943</t>
  </si>
  <si>
    <t>2025-05-20 10:32:00,21325,,,21050,21325,,21300,,,,,21450,21050,21050,21000,21327.25</t>
  </si>
  <si>
    <t>2025-05-20 10:32:00,2052318342.04849,9684168710.67243,761.168384879741,4171,-238.581500000021,-45.63,321.551175919369,-181.13,593.25</t>
  </si>
  <si>
    <t>2025-05-20 10:32:00,-39058532.0295928,1418715691.39374,1029.39805194805,118,968.51709090909,128.76,-46.6225649261751,40.31,519.6</t>
  </si>
  <si>
    <t>2025-05-20 10:32:00,32152032.7451058,46669385.9816583,2063.88333333333,-3772,6284.8013333333,-526.65,-9.16985746477722,-128.66,5943</t>
  </si>
  <si>
    <t>2025-05-20 10:32:00,185634307.07542,-628761.127903925,6.15757575757574,4,216.75,125.1,-0.00460466928088952,1.49,21327.25</t>
  </si>
  <si>
    <t>2025-05-20 10:33:00,600,,594,,580,,591.5,,,,,594,590,594,595,593.085</t>
  </si>
  <si>
    <t>2025-05-20 10:33:00,525,,520,,500,,519,,,,,520,518,519,516,519.405</t>
  </si>
  <si>
    <t>2025-05-20 10:33:00,6000,,5950,,5700,,5940,,,,,6000,5900,6050,6000,5941.25</t>
  </si>
  <si>
    <t>2025-05-20 10:33:00,21325,,,21050,21325,,21300,,,,,21450,21050,21050,21000,21320.5</t>
  </si>
  <si>
    <t>2025-05-20 10:33:00,2064821654.54915,9741256820.92674,9234.1017811704,13334,-3197.98954971989,-5920.12,36.3611160516389,-2894.7,593.085</t>
  </si>
  <si>
    <t>2025-05-20 10:33:00,-60452241.0076721,1254370784.17714,-1304.89001831502,-2546,-1702.65679487179,-2234.39,151.30094658314,-1030.01,519.405</t>
  </si>
  <si>
    <t>2025-05-20 10:33:00,30645400.8559274,29433723.6199737,-102.877460317459,-378,134.014934920648,-2231.61,-3.80827408611228,-149.83,5941.25</t>
  </si>
  <si>
    <t>2025-05-20 10:33:00,185989728.856026,-680259.347949089,19.1176405995198,16,605.89903853529,449.99,-0.0257310968543784,4.13,21320.5</t>
  </si>
  <si>
    <t>2025-05-20 10:34:00,600,,594,,580,,591.5,,,,,594,590,594,595,593.25</t>
  </si>
  <si>
    <t>2025-05-20 10:34:00,525,,520,,500,,518,520,,,,520,518,519,516,519.58</t>
  </si>
  <si>
    <t>2025-05-20 10:34:00,6000,,5950,,5700,,5940,,,,,6000,5900,5930,6000,5943</t>
  </si>
  <si>
    <t>2025-05-20 10:34:00,21325,,,21050,21325,,21300,,,,,21450,21050,21050,21000,21327.75</t>
  </si>
  <si>
    <t>2025-05-20 10:34:00,2155020528.98117,11069687191.1069,3455.8335163191,3187,1232.40973426574,-268.06,-60.2099041724863,-123.48,593.25</t>
  </si>
  <si>
    <t>2025-05-20 10:34:00,-19485376.6987501,1794049672.26035,8618.91904761905,3138,9190.32314285714,4031.65,203.713024673971,1442.45,519.58</t>
  </si>
  <si>
    <t>2025-05-20 10:34:00,34306352.3676009,48366383.3277712,1390.12222222223,1580,9726.15494444451,9532.89,-2.46584342450613,485.21,5943</t>
  </si>
  <si>
    <t>2025-05-20 10:34:00,186334812.498881,-617764.874640067,14.7621794871795,18,337.090641025641,450.99,0.0051420517034335,5.4,21327.75</t>
  </si>
  <si>
    <t>2025-05-20 10:35:00,600,,594,,580,,591.5,,,,,594,590,594,595,593.18</t>
  </si>
  <si>
    <t>2025-05-20 10:35:00,525,,520,,500,,519,,,,,520,518,519,516,519.53</t>
  </si>
  <si>
    <t>2025-05-20 10:35:00,6000,,5950,,5700,,5940,,,,,6000,5900,5930,6000,5942.25</t>
  </si>
  <si>
    <t>2025-05-20 10:35:00,21325,,,21050,21325,,21300,,,,,21450,21050,21050,21000,21324.5</t>
  </si>
  <si>
    <t>2025-05-20 10:35:00,2103747120.1535,10447282453.977,2058.65271015904,420,-3685.60238095237,-3351.12,87.202424749885,-1384.18,593.18</t>
  </si>
  <si>
    <t>2025-05-20 10:35:00,-55218000.2586034,1413222202.26111,-920.1272214875,-1146,-330.752326468923,-649.93,-83.0126547567148,-379.11,519.53</t>
  </si>
  <si>
    <t>2025-05-20 10:35:00,32078490.6596288,36334278.7478445,-578.950000000001,-731,-4379.0575,-3250.75,-3.3946856249299,-177.07,5942.25</t>
  </si>
  <si>
    <t>2025-05-20 10:35:00,186002141.730904,-646374.749765015,1.49166666666667,0,154.964,123.93,0.0109133415082821,1.05,21324.5</t>
  </si>
  <si>
    <t>2025-05-20 10:36:00,600,,594,,580,,591.5,,,,,594,590,594,595,593.225</t>
  </si>
  <si>
    <t>2025-05-20 10:36:00,525,,520,,500,,519,,,,,520,518,519,516,519.57</t>
  </si>
  <si>
    <t>2025-05-20 10:36:00,6000,,5950,,5700,,5940,,,,,6000,5900,5930,6000,5942.5</t>
  </si>
  <si>
    <t>2025-05-20 10:36:00,21325,,,21050,21325,,21300,,,,,21450,21050,21050,21000,21327</t>
  </si>
  <si>
    <t>2025-05-20 10:36:00,2130537389.93103,10905360658.1564,2386.35099729546,2261,1314.07538636364,179.66,-281.231216123061,-74.2299999999999,593.225</t>
  </si>
  <si>
    <t>2025-05-20 10:36:00,-49917195.4088597,1552150373.82018,756.667391304347,221,413.99554347826,-243.64,38.4195967252218,-70.48,519.57</t>
  </si>
  <si>
    <t>2025-05-20 10:36:00,31680321.9759392,39421900.1488858,-692.773333333335,-573,-625.609800000032,925.73,6.66527675457443,38.13,5942.5</t>
  </si>
  <si>
    <t>2025-05-20 10:36:00,185710069.371767,-623828.238175888,-0.872857142857142,-1,-112.617114285714,-56.72,0.00122034410319566,-0.7,21327</t>
  </si>
  <si>
    <t>2025-05-20 10:37:00,600,,594,,580,,591.5,,,,,594,590,594,595,593.19</t>
  </si>
  <si>
    <t>2025-05-20 10:37:00,525,,520,,500,,519,,,,,520,518,519,516,519.5</t>
  </si>
  <si>
    <t>2025-05-20 10:37:00,6000,,5950,,5700,,5940,,,,,6000,5900,5930,6000,5942.25</t>
  </si>
  <si>
    <t>2025-05-20 10:37:00,21325,,,21050,21325,,21300,,,,,21450,21050,21050,21000,21324.5</t>
  </si>
  <si>
    <t>2025-05-20 10:37:00,2117580641.07094,10742687318.2843,1288.69230769232,1251,-2574.66222222222,-2874.01,-142.162134002185,-1310.11,593.19</t>
  </si>
  <si>
    <t>2025-05-20 10:37:00,-54026241.6802358,1525743065.80215,-702.166666666666,-1948,-890.571666666666,-1530.84,-35.9668465738395,-671.51,519.5</t>
  </si>
  <si>
    <t>2025-05-20 10:37:00,32069755.7259592,36502661.8646202,-282.618333333334,-722,-1112.00885000001,-4312.48,-3.10454856952502,-227.37,5942.25</t>
  </si>
  <si>
    <t>2025-05-20 10:37:00,185365810.617805,-647701.709932487,-3.66681318681318,-12,-92.7393329670326,-73.86,-0.00314869015901951,-1.45,21324.5</t>
  </si>
  <si>
    <t>2025-05-20 10:38:00,600,,594,,580,,591.5,,,,,594,590,594,595,593.14</t>
  </si>
  <si>
    <t>2025-05-20 10:38:00,525,,520,,500,,519,,,,,520,518,519,516,519.48</t>
  </si>
  <si>
    <t>2025-05-20 10:38:00,6000,,5950,,5700,,5940,,,,,6000,5900,5930,6000,5942</t>
  </si>
  <si>
    <t>2025-05-20 10:38:00,21325,,,21050,21325,,21300,,,,,21450,21050,21050,21000,21323.5</t>
  </si>
  <si>
    <t>2025-05-20 10:38:00,2111375657.88419,10788012488.1933,-374.169981916779,-1233,-955.774107142859,-841.42,236.409694329012,-253.38,593.14</t>
  </si>
  <si>
    <t>2025-05-20 10:38:00,-60284951.343209,1536441746.11644,-1413.34119966791,-1815,-1807.12513435727,-1314.88,-50.6297183144508,-566.19,519.48</t>
  </si>
  <si>
    <t>2025-05-20 10:38:00,32496528.9481862,34180501.925636,-464.056007751937,-933,-2490.34914922479,-4291.14,-1.23521227918153,-257.99,5942</t>
  </si>
  <si>
    <t>2025-05-20 10:38:00,185719835.890716,-652744.157174706,-0.717002442002431,-14,-82.9338827838822,-300.05,-0.0327125225495584,-3.28,21323.5</t>
  </si>
  <si>
    <t>2025-05-20 10:39:00,600,,594,,580,,591.5,,,,,595,590,594,595,593.22</t>
  </si>
  <si>
    <t>2025-05-20 10:39:00,525,,520,,500,,518,,,,,520,518,519,516,519.545</t>
  </si>
  <si>
    <t>2025-05-20 10:39:00,6000,,5950,,5700,,5940,,,,,6000,5900,5930,6000,5942.75</t>
  </si>
  <si>
    <t>2025-05-20 10:39:00,21325,,,21050,21325,,21300,,,,,21450,21050,21050,21000,21326.25</t>
  </si>
  <si>
    <t>2025-05-20 10:39:00,2138015692.61569,11182600271.7505,-1073.97103658505,1969,-4471.61111111111,-3430.69,161.62943314716,-1478.94,593.22</t>
  </si>
  <si>
    <t>2025-05-20 10:39:00,-61707914.2845154,1680361015.39008,-863.306040257877,-871,-1547.99505777021,-1440.33,-79.9001362353746,-521.26,519.545</t>
  </si>
  <si>
    <t>2025-05-20 10:39:00,32910439.4194024,42250464.9445217,438.253333333335,976,-652.433400000001,7170.47,-8.16174884932868,423.5,5942.75</t>
  </si>
  <si>
    <t>2025-05-20 10:39:00,186361883.339744,-615914.621147005,-23.3615950226244,-17,-806.494949660632,-369.67,-0.00679683601195163,-4.27,21326.25</t>
  </si>
  <si>
    <t>2025-05-20 10:40:00,600,,594,,580,,591.5,,,,,595,590,594,595,593.065</t>
  </si>
  <si>
    <t>2025-05-20 10:40:00,525,,520,,500,,518,,,,,520,518,519,516,519.42</t>
  </si>
  <si>
    <t>2025-05-20 10:40:00,6000,,5950,,5700,,5940,,,,,6000,5900,5930,6000,5941</t>
  </si>
  <si>
    <t>2025-05-20 10:40:00,21325,,,21050,21325,,21300,,,,,21450,21050,21050,21000,21320.75</t>
  </si>
  <si>
    <t>2025-05-20 10:40:00,2061170630.73188,10172585302.3965,3173.49517867289,983,-25.7503333333263,-217.08,337.196469357929,261.68,593.065</t>
  </si>
  <si>
    <t>2025-05-20 10:40:00,-58277347.036975,1521440212.80333,1948.18754578755,996,2723.04857509158,798.82,68.0929079585399,381.37,519.42</t>
  </si>
  <si>
    <t>2025-05-20 10:40:00,30605517.9170376,27351173.5726337,348.549999999999,-20,1670.0055,198.260000000001,-0.181268327083648,12.32,5941</t>
  </si>
  <si>
    <t>2025-05-20 10:40:00,186550998.852341,-658551.832885227,1.53714285714285,-1,19.7767714285714,-31.45,-0.00303735688310669,-0.44,21320.75</t>
  </si>
  <si>
    <t>2025-05-20 10:41:00,600,,594,,580,,591.5,,,,,594,590,594,595,592.95</t>
  </si>
  <si>
    <t>2025-05-20 10:41:00,525,,520,,500,,519,,,,519,520,518,519,516,519.29</t>
  </si>
  <si>
    <t>2025-05-20 10:41:00,6000,,5950,,5700,,5940,,,,,6000,5900,6050,6000,5940</t>
  </si>
  <si>
    <t>2025-05-20 10:41:00,21325,,,21050,21325,,21300,,,,,21450,21050,21050,21450,21315.25</t>
  </si>
  <si>
    <t>2025-05-20 10:41:00,2007560627.88832,9684457248.5725,3387.79268292785,662,-8801.3126031746,-5477.23,-1588.97484394906,-2476.48,592.95</t>
  </si>
  <si>
    <t>2025-05-20 10:41:00,-99025438.1342358,1258507038.88005,-4884.38062857243,-5499,-4558.68644897819,-2808.68,-149.879931915978,-1507.72,519.29</t>
  </si>
  <si>
    <t>2025-05-20 10:41:00,28978559.0778044,2030395.89964411,-2445.54166666667,-2614,-20867.79875,-16678.76,-0.290936348415113,-841.13,5940</t>
  </si>
  <si>
    <t>2025-05-20 10:41:00,185025016.176075,-688332.969412558,-17.8925693913929,-133,-155.521121492234,-1166.08,-0.141621514053768,-18.77,21315.25</t>
  </si>
  <si>
    <t>2025-05-20 10:42:00,600,,594,,580,,591.5,,,,,594,590,594,595,592.97</t>
  </si>
  <si>
    <t>2025-05-20 10:42:00,525,,520,,500,,518,,,,,520,518,519,516,519.35</t>
  </si>
  <si>
    <t>2025-05-20 10:42:00,6000,,5950,,5700,,5940,,,,,6000,5900,6050,6000,5940</t>
  </si>
  <si>
    <t>2025-05-20 10:42:00,21325,,,21050,21325,,21300,,,,,21450,21050,21050,21450,21317.75</t>
  </si>
  <si>
    <t>2025-05-20 10:42:00,2007587260.47967,9631318208.75205,3368.71221532117,1496,-2293.42028998781,-3200.71,-243.908505948231,-1360.91,592.97</t>
  </si>
  <si>
    <t>2025-05-20 10:42:00,-83115477.5536204,1468573911.6969,-1492.90158902131,-2208,-1160.95032322138,-1826.51,-40.7978028019817,-879.9,519.35</t>
  </si>
  <si>
    <t>2025-05-20 10:42:00,29107253.9435719,9095142.53017544,309.436231884058,-260,1806.20910144928,1696.18,-2.15688912426313,36.94,5940</t>
  </si>
  <si>
    <t>2025-05-20 10:42:00,186503202.359315,-634543.625738667,-2.75,-1,-43.6793,-33.11,-0.000256255275877726,-0.39,21317.75</t>
  </si>
  <si>
    <t>2025-05-20 10:43:00,600,,594,,580,,591.5,,,,,594,590,594,595,592.9</t>
  </si>
  <si>
    <t>2025-05-20 10:43:00,525,,520,,500,,519,,,,,520,518,519,516,519.301</t>
  </si>
  <si>
    <t>2025-05-20 10:43:00,6000,,5950,,5700,,5940,,,,,6000,5900,6050,6000,5939.5</t>
  </si>
  <si>
    <t>2025-05-20 10:43:00,21325,,,21050,21325,,21300,,,,,21450,21050,21050,21450,21316.25</t>
  </si>
  <si>
    <t>2025-05-20 10:43:00,1985301696.7872,9295601548.26777,3842.75415710647,3413,454.275761904762,74.9699999999999,-267.4966993293,-34.4299999999999,592.9</t>
  </si>
  <si>
    <t>2025-05-20 10:43:00,-94327235.5220405,1346002542.58895,198.869331243469,390,182.4829723093,133.97,13.0412343756319,71.43,519.301</t>
  </si>
  <si>
    <t>2025-05-20 10:43:00,28243679.7603459,6430190.83560971,223.15,49,1017.22900000001,2216.89,0.102829297791894,105.4,5939.5</t>
  </si>
  <si>
    <t>2025-05-20 10:43:00,185272269.370307,-666880.876531068,3.9547065337763,9,291.283035437431,366.14,0.00264734200800194,2.3,21316.25</t>
  </si>
  <si>
    <t>2025-05-20 10:44:00,600,,594,,580,,591.5,,,,,594,590,594,595,592.74</t>
  </si>
  <si>
    <t>2025-05-20 10:44:00,525,,520,,500,,518,,,,,520,518,519,516,519.17</t>
  </si>
  <si>
    <t>2025-05-20 10:44:00,6000,,5950,,5700,,5940,,,,,6000,5900,5930,5990,5937.5</t>
  </si>
  <si>
    <t>2025-05-20 10:44:00,21325,,,21050,21325,,21300,,,,,21450,21050,21050,21450,21309.75</t>
  </si>
  <si>
    <t>2025-05-20 10:44:00,1964042760.04685,9426111872.74957,24445.8172855053,17791,21353.9411111111,12099.7,686.134295714385,5757.85,592.74</t>
  </si>
  <si>
    <t>2025-05-20 10:44:00,-94729106.8725176,1286527126.76776,421.717391304348,-326,520.586086956521,102.78,-58.1033707475137,44.58,519.17</t>
  </si>
  <si>
    <t>2025-05-20 10:44:00,26091768.9654872,-7157878.17952535,2008.60106060606,-1451,3697.70817272729,7500.04,-12.4955737148967,352.91,5937.5</t>
  </si>
  <si>
    <t>2025-05-20 10:44:00,186542177.19682,-713798.160370464,2.93129329004328,5,-33.9240828463207,94.75,0.00201637112154396,1.16,21309.75</t>
  </si>
  <si>
    <t>2025-05-20 10:45:00,600,,594,,580,,591.5,593,,593,,594,590,594,595,592.52</t>
  </si>
  <si>
    <t>2025-05-20 10:45:00,525,,520,,500,,519,,,,,520,518,519,516,518.95</t>
  </si>
  <si>
    <t>2025-05-20 10:45:00,6000,,5950,,5700,,5940,,,,,6000,5900,6050,5990,5935.25</t>
  </si>
  <si>
    <t>2025-05-20 10:45:00,21325,,,21050,21325,,21300,,,,,21450,21050,21050,21450,21301.5</t>
  </si>
  <si>
    <t>2025-05-20 10:45:00,1834265909.06214,7670688433.05281,31991.8257080611,24974,6224.73933333333,15288.59,-73.793256660864,6205.66,592.52</t>
  </si>
  <si>
    <t>2025-05-20 10:45:00,-135404151.894593,891379513.200601,-1250.66896389674,-3599,-1192.96600350866,-1994.21,-149.418521489104,-1021.43,518.95</t>
  </si>
  <si>
    <t>2025-05-20 10:45:00,24977180.8112782,-26667799.1795847,1797.07166666667,-772,7791.63681666654,-5426.31,-10.1118299893532,-334.45,5935.25</t>
  </si>
  <si>
    <t>2025-05-20 10:45:00,185693290.717095,-800919.470165592,12.5978021978022,-2,633.401072344322,535.99,0.000765685259359713,5.66,21301.5</t>
  </si>
  <si>
    <t>2025-05-20 10:46:00,600,,594,,580,,591.5,593,,,,594,590,594,595,592.814</t>
  </si>
  <si>
    <t>2025-05-20 10:46:00,525,,520,,500,,519,,,,,520,518,519,516,519.26</t>
  </si>
  <si>
    <t>2025-05-20 10:46:00,6000,,5950,,5700,,5940,,,,,6000,5900,6050,5990,5938.5</t>
  </si>
  <si>
    <t>2025-05-20 10:46:00,21325,,,21050,21325,,21300,,,,,21450,21050,21050,21450,21314.5</t>
  </si>
  <si>
    <t>2025-05-20 10:46:00,1934953228.45696,9015248359.70897,-2629.30345506448,-2340,-2464.62393253969,-3954.23,592.864350834682,-1734.93,592.814</t>
  </si>
  <si>
    <t>2025-05-20 10:46:00,-122847649.859183,1227599381.27067,990.641076570795,642,429.492305450511,-163.47,-28.3158790830969,105.17,519.26</t>
  </si>
  <si>
    <t>2025-05-20 10:46:00,27358647.7599934,-2903731.03393532,-375.500676328503,-797,-3756.31502753624,-3324.23,-2.11413527472334,-150.49,5938.5</t>
  </si>
  <si>
    <t>2025-05-20 10:46:00,185161993.2392,-675172.896995098,-15.9341323736504,-13,-1029.23627453189,-763.6,0.00336477548751982,-7.54,21314.5</t>
  </si>
  <si>
    <t>2025-05-20 10:47:00,600,,594,,580,,591.5,,,,,594,590,594,595,592.82</t>
  </si>
  <si>
    <t>2025-05-20 10:47:00,525,,520,,500,,519,,,,,520,518,519,516,519.36</t>
  </si>
  <si>
    <t>2025-05-20 10:47:00,6000,,5950,,5700,,5940,,,,,6000,5900,6050,5990,5938.75</t>
  </si>
  <si>
    <t>2025-05-20 10:47:00,21325,,,21050,21325,,21300,,,,,21450,21050,21050,21450,21319</t>
  </si>
  <si>
    <t>2025-05-20 10:47:00,1918935436.58011,9014272146.903,2841.96759061866,1363,-1349.24915873016,-2505.73,369.087970866022,-608.38,592.82</t>
  </si>
  <si>
    <t>2025-05-20 10:47:00,-97325216.8326947,1536040798.39885,-1292.96666666667,-3114,-1591.721,-2986.67,-125.059586890454,-1288.08,519.36</t>
  </si>
  <si>
    <t>2025-05-20 10:47:00,27274902.0931964,304681.102657026,-504.644999999999,-112,-5679.65425,-4009.27,3.29439789546141,-140.93,5938.75</t>
  </si>
  <si>
    <t>2025-05-20 10:47:00,184632835.033799,-639401.81668237,-16.6532203389831,-16,-339.898168361582,-460.43,-0.00599197439823824,-5.03,21319</t>
  </si>
  <si>
    <t>2025-05-20 10:48:00,600,,594,,580,,591.5,,593,,,594,590,594,595,592.95</t>
  </si>
  <si>
    <t>2025-05-20 10:48:00,525,,520,,500,,519,520,,,,520,518,519,516,519.58</t>
  </si>
  <si>
    <t>2025-05-20 10:48:00,6000,,5950,,5700,,5940,,,,,6000,5900,6050,5990,5940.25</t>
  </si>
  <si>
    <t>2025-05-20 10:48:00,21325,,,21050,21325,,21300,,,,,21450,21050,21050,21450,21328</t>
  </si>
  <si>
    <t>2025-05-20 10:48:00,1974427054.74495,9782630066.45599,-1598.47149614093,4174,2314.77247412008,-152.63,-502.757532830877,474.52,592.95</t>
  </si>
  <si>
    <t>2025-05-20 10:48:00,-57990309.9919021,1924737606.4759,8629.5872855215,3667,6466.44867890881,2894.71,-135.8388098544,1267.3,519.58</t>
  </si>
  <si>
    <t>2025-05-20 10:48:00,29252124.4815868,24385181.6108509,-123.012500000001,379,1538.53987500001,1050.09,6.26696299940809,54.35,5940.25</t>
  </si>
  <si>
    <t>2025-05-20 10:48:00,185787889.834133,-521710.402228333,-10.8302380952381,-18,-108.377500000001,107.45,-0.0332101926728767,-0.15,21328</t>
  </si>
  <si>
    <t>2025-05-20 10:49:00,600,,594,,580,,591.5,,,,,594,590,594,595,592.96</t>
  </si>
  <si>
    <t>2025-05-20 10:49:00,525,,520,,500,,518,,,,,520,518,519,516,519.63</t>
  </si>
  <si>
    <t>2025-05-20 10:49:00,6000,,5950,,5700,,5940,,,,,6000,5900,6050,5990,5940.25</t>
  </si>
  <si>
    <t>2025-05-20 10:49:00,21325,,,21050,21325,,21300,,,,,21450,21050,21050,21450,21330</t>
  </si>
  <si>
    <t>2025-05-20 10:49:00,1985124869.2907,10197901534.8996,-3206.72978634231,787,271.864285714282,780.92,324.784170929319,636.57,592.96</t>
  </si>
  <si>
    <t>2025-05-20 10:49:00,-45041347.8220167,2125632174.97525,-940.113184079603,-2387,-708.260330845773,-2233.42,-157.314437461703,-951.74,519.63</t>
  </si>
  <si>
    <t>2025-05-20 10:49:00,29137771.2821518,17875340.6913366,-3236.81666666667,-3374,-6156.70333333335,-6952.78,24.7060891072002,-364.36,5940.25</t>
  </si>
  <si>
    <t>2025-05-20 10:49:00,185510957.768009,-511945.017470219,-6.37012987012988,-1,-18.8184155844156,-35,-0.00243667416024921,-0.41,21330</t>
  </si>
  <si>
    <t>2025-05-20 10:50:00,600,,594,,580,,591.5,,593,,,594,590,594,595,593</t>
  </si>
  <si>
    <t>2025-05-20 10:50:00,525,,520,,500,,518,,,,,520,518,519,516,519.71</t>
  </si>
  <si>
    <t>2025-05-20 10:50:00,6000,,5950,,5700,,5940,,,,,6000,5900,6050,5990,5940.75</t>
  </si>
  <si>
    <t>2025-05-20 10:50:00,21325,,,21050,21325,,21300,,,,,21450,21050,21050,21450,21331.5</t>
  </si>
  <si>
    <t>2025-05-20 10:50:00,1993462952.29302,10482630205.6541,-3390.32307574213,2224,1915.19293831169,-1250.29,-38.9402619881045,-637.12,593</t>
  </si>
  <si>
    <t>2025-05-20 10:50:00,-41142712.998303,2213527361.28509,2016.18402143466,2416,2788.07632992327,2703.92,60.4978645496826,1083.4,519.71</t>
  </si>
  <si>
    <t>2025-05-20 10:50:00,29356001.7184144,20053808.2100266,995.744285714285,828,4798.2894,4435.95,-0.242403982206536,228.05,5940.75</t>
  </si>
  <si>
    <t>2025-05-20 10:50:00,185857590.783904,-489793.229137512,3.0477272727273,-14,558.786287878789,-200.26,0.00941228128840217,-2.66,21331.5</t>
  </si>
  <si>
    <t>2025-05-20 10:51:00,600,,594,,580,,591.5,,,,,594,590,594,595,592.98</t>
  </si>
  <si>
    <t>2025-05-20 10:51:00,525,,520,,500,,518,,,,,520,518,519,516,519.67</t>
  </si>
  <si>
    <t>2025-05-20 10:51:00,6000,,5950,,5700,,5940,,,,,6000,5900,6050,5990,5940.5</t>
  </si>
  <si>
    <t>2025-05-20 10:51:00,21325,,,21050,21325,,21300,,,,,21450,21050,21050,21450,21331.25</t>
  </si>
  <si>
    <t>2025-05-20 10:51:00,2010916076.25021,10575051739.6909,-839.34767946023,98,-1820.665,-2778.6,-25.9921276096597,-1313.39,592.98</t>
  </si>
  <si>
    <t>2025-05-20 10:51:00,-33237099.0549344,2366549356.81988,-1344.45614035088,-921,-1740.81710526316,-812.01,-35.1817920338768,-354.02,519.67</t>
  </si>
  <si>
    <t>2025-05-20 10:51:00,29281250.1839888,21440518.3232258,-554.109999999998,-448,-3700.11959999998,-2711.74,-0.157767423830488,-152.47,5940.5</t>
  </si>
  <si>
    <t>2025-05-20 10:51:00,186022282.356581,-483318.907010318,-1.0875,12,-44.093125,310.85,-0.0252153000959951,3.96,21331.25</t>
  </si>
  <si>
    <t>2025-05-20 10:52:00,600,,594,,580,,591.5,,,,,594,590,594,595,592.91</t>
  </si>
  <si>
    <t>2025-05-20 10:52:00,525,,520,,500,,518,,,,,520,518,519,516,519.625</t>
  </si>
  <si>
    <t>2025-05-20 10:52:00,6000,,5950,,5700,,5940,,,,,6000,5900,6050,5990,5939.5</t>
  </si>
  <si>
    <t>2025-05-20 10:52:00,21325,,,21050,21325,,21300,,,,,21450,21050,21050,21450,21329.75</t>
  </si>
  <si>
    <t>2025-05-20 10:52:00,1975938195.56691,10220864575.9909,1164.02140845083,953,513.820606060608,-84,59.6161748874537,9.4499999999999,592.91</t>
  </si>
  <si>
    <t>2025-05-20 10:52:00,-51224244.0824263,2143489121.0572,-1324.04166666668,-757,-1806.90791666668,-900.02,-23.7640919208375,-344.23,519.625</t>
  </si>
  <si>
    <t>2025-05-20 10:52:00,28467691.5292424,2524114.27993586,-266.973333333337,-221,-5320.93213333338,-2231.28,0.332031794333413,-82.07,5939.5</t>
  </si>
  <si>
    <t>2025-05-20 10:52:00,185213087.836363,-523645.771363388,-16.5852638352638,-12,-241.51924066924,-149.35,0.0236608199839889,-1.8,21329.75</t>
  </si>
  <si>
    <t>2025-05-20 10:54:00,600,,594,,580,,591.5,,,,,594,590,594,595,592.86</t>
  </si>
  <si>
    <t>2025-05-20 10:54:00,525,,520,,500,,518,,,520,,520,518,519,516,519.55</t>
  </si>
  <si>
    <t>2025-05-20 10:54:00,6000,,5950,,5700,,5940,,,,,6000,5900,6050,5990,5939</t>
  </si>
  <si>
    <t>2025-05-20 10:54:00,21325,,,21050,21325,,21300,,,,,21450,21050,21050,21450,21326.25</t>
  </si>
  <si>
    <t>2025-05-20 10:54:00,1962570449.38924,9872788279.93845,1577.38945142987,771,460.069166666666,917.61,-71.5678855883606,470.37,592.86</t>
  </si>
  <si>
    <t>2025-05-20 10:54:00,-52337693.9650324,1997355884.16643,-101.9,801,-30.8560000000008,1364.36,-163.175316563496,505.57,519.55</t>
  </si>
  <si>
    <t>2025-05-20 10:54:00,27372755.6370874,1996340.95944374,-333.57,-295,-257.546400000002,-282.32,2.21882703487577,-13.71,5939</t>
  </si>
  <si>
    <t>2025-05-20 10:54:00,185940859.268251,-536917.35750223,-1.36547619047619,-1,5.73357142857155,-10.5,0.00739299190196439,-0.18,21326.25</t>
  </si>
  <si>
    <t>2025-05-20 10:55:00,600,,594,,580,,591.5,,,,,594,590,594,595,592.85</t>
  </si>
  <si>
    <t>2025-05-20 10:55:00,525,,520,,500,,518,,,,,520,518,519,516,519.57</t>
  </si>
  <si>
    <t>2025-05-20 10:55:00,6000,,5950,,5700,,5940,,,,,6000,5900,6050,5990,5939</t>
  </si>
  <si>
    <t>2025-05-20 10:55:00,21325,,,21050,21325,,21300,,,,,21450,21050,21050,21450,21328.5</t>
  </si>
  <si>
    <t>2025-05-20 10:55:00,1965504491.81733,10049572894.7861,3827.00593879828,3923,610.716755555556,546.69,340.134856341313,430.3,592.85</t>
  </si>
  <si>
    <t>2025-05-20 10:55:00,-48003757.3805253,2085977878.09353,-422.6,-583,-621.04,-749.6,17.0248837605626,-300.8,519.57</t>
  </si>
  <si>
    <t>2025-05-20 10:55:00,27733120.0715277,3718226.28104961,-138.466666666666,-267,180.168000000005,81.18,-1.12406824646175,-6.55,5939</t>
  </si>
  <si>
    <t>2025-05-20 10:55:00,186119976.106959,-506540.224001383,-5.07794871794872,-2,-128.140748717949,-122.7,-0.000291739982699496,-1.17,21328.5</t>
  </si>
  <si>
    <t>2025-05-20 10:56:00,600,,594,,580,,591.5,,,,,594,590,594,595,593.14</t>
  </si>
  <si>
    <t>2025-05-20 10:56:00,525,,520,,500,,518,520,,,,520,518,519,516,519.865</t>
  </si>
  <si>
    <t>2025-05-20 10:56:00,6000,,5950,,5700,,5940,5940,,,,6000,5900,6050,5990,5941.75</t>
  </si>
  <si>
    <t>2025-05-20 10:56:00,21325,,,21050,21325,,21300,,,,,21450,21050,21050,21450,21340</t>
  </si>
  <si>
    <t>2025-05-20 10:56:00,2078299248.90184,11959853850.2572,-8008.20357142848,-9552,1666.84163492063,333.98,-569.891914081824,70.8699999999999,593.14</t>
  </si>
  <si>
    <t>2025-05-20 10:56:00,-13320269.241759,2545386771.74507,-52.5812807881773,1024,1386.6536453202,1234.62,142.726984460543,327.51,519.865</t>
  </si>
  <si>
    <t>2025-05-20 10:56:00,30992133.0861807,33054536.0311615,1147.2,1628,8645.72199999999,10323.49,5.46903268362073,555.4,5941.75</t>
  </si>
  <si>
    <t>2025-05-20 10:56:00,186256496.592699,-401091.691836093,-14.3110256410256,-18,-221.593138461539,-379.83,0.00132650333742229,-4.21,21340</t>
  </si>
  <si>
    <t>2025-05-20 10:57:00,600,,594,,580,,591.5,593,,,593,594,590,594,595,593.41</t>
  </si>
  <si>
    <t>2025-05-20 10:57:00,525,,520,,500,,518,,,,,520,518,519,516,520.21</t>
  </si>
  <si>
    <t>2025-05-20 10:57:00,6000,,5950,,5700,,5940,,5950,,,6000,5900,6050,5990,5944.75</t>
  </si>
  <si>
    <t>2025-05-20 10:57:00,21325,,,,21325,,21300,,,,,21450,21050,21050,21450,21354</t>
  </si>
  <si>
    <t>2025-05-20 10:57:00,2194956384.09495,13878939909.4561,-56477.3760028513,-28517,6242.97642857143,374.760000000001,1442.73821312803,-388.969999999999,593.41</t>
  </si>
  <si>
    <t>2025-05-20 10:57:00,59397129.4968739,3376377002.84399,-1400.44621857513,-8660,-135.940916669577,-8016.59,-334.311385181729,-3472.11,520.21</t>
  </si>
  <si>
    <t>2025-05-20 10:57:00,34816262.6929453,77209178.6961122,-1349.48333333333,-1716,-10838.588,-15557.45,-13.4941826409546,-664.31,5944.75</t>
  </si>
  <si>
    <t>2025-05-20 10:57:00,187518431.758622,-205498.546212889,-67.1183810375671,-58,-591.384018187239,-1028.01,-0.0284521174794794,-12.77,21354</t>
  </si>
  <si>
    <t>2025-05-20 10:58:00,600,,594,,580,,591.5,593,,,,594,590,594,595,593.38</t>
  </si>
  <si>
    <t>2025-05-20 10:58:00,525,,520,,500,,518,,520,,,520,518,519,516,520.2</t>
  </si>
  <si>
    <t>2025-05-20 10:58:00,6000,,5950,,5700,,5940,,,,,6000,5900,6050,5990,5944.5</t>
  </si>
  <si>
    <t>2025-05-20 10:58:00,21325,,,,21325,,21300,,,,,21450,21050,21050,21450,21352.25</t>
  </si>
  <si>
    <t>2025-05-20 10:58:00,2176514922.49883,14240226595.338,-16797.0825729234,-13186,3676.68591269841,1967.52,482.497048386409,883.030000000001,593.38</t>
  </si>
  <si>
    <t>2025-05-20 10:58:00,46654083.0552809,3287339258.32049,-2837.13954451346,-3423,-2511.40625396825,-3649.42,90.3686891167655,-1469.28,520.2</t>
  </si>
  <si>
    <t>2025-05-20 10:58:00,32812282.0749617,73482213.5043212,-742.115,-543,-5384.70034999998,-7546.46,-3.75071654678845,-351.06,5944.5</t>
  </si>
  <si>
    <t>2025-05-20 10:58:00,187143646.195643,-234394.872776162,-10.3041666666667,3,-89.9182440476196,-437.05,-0.0740741425348034,-5.13,21352.25</t>
  </si>
  <si>
    <t>2025-05-20 10:59:00,600,,594,,580,,591.5,,,,,594,590,594,595,593.25</t>
  </si>
  <si>
    <t>2025-05-20 10:59:00,525,,520,,500,,518,,520,,,520,518,519,516,520.04</t>
  </si>
  <si>
    <t>2025-05-20 10:59:00,6000,,5950,,5700,,5940,,,,,6000,5900,6050,5990,5942.75</t>
  </si>
  <si>
    <t>2025-05-20 10:59:00,21325,,,,21325,,21300,,,,,21450,21050,21050,21450,21347.25</t>
  </si>
  <si>
    <t>2025-05-20 10:59:00,2144582489.95937,13631059800.9799,-2690.84222353617,-6659,8.71333333333484,-443.17,-94.9488394300486,-188.45,593.25</t>
  </si>
  <si>
    <t>2025-05-20 10:59:00,39766975.8862185,3201196817.03273,-728.465062388592,-4755,-522.225575757576,-4074.56,-251.824793990231,-1884.42,520.04</t>
  </si>
  <si>
    <t>2025-05-20 10:59:00,32026962.3492323,55880419.6183623,-364.068333333333,-584,-606.314549999992,-1414.91,2.12782642864106,-149.62,5942.75</t>
  </si>
  <si>
    <t>2025-05-20 10:59:00,187157719.72543,-278810.283540114,7.8956043956044,8,272.162010989011,154.35,-0.0022995413823929,1.98,21347.25</t>
  </si>
  <si>
    <t>2025-05-20 11:00:00,600,,594,,580,,591.5,,,,,594,590,594,595,593.2</t>
  </si>
  <si>
    <t>2025-05-20 11:00:00,525,,520,,500,,518,,,,,520,518,519,516,520.01</t>
  </si>
  <si>
    <t>2025-05-20 11:00:00,6000,,5950,,5700,,5940,,,,,6000,5900,6050,5990,5942.5</t>
  </si>
  <si>
    <t>2025-05-20 11:00:00,21325,,,,21325,,21300,,,,,21450,21050,21050,21450,21346</t>
  </si>
  <si>
    <t>2025-05-20 11:00:00,2083867381.19078,12959131696.4768,-330.929545454481,-5736,-4054.48499999999,-2570.16,-149.731688447072,-1232,593.2</t>
  </si>
  <si>
    <t>2025-05-20 11:00:00,25286831.2379756,3256088523.66786,156.68106060606,-219,160.481856060606,-352.36,9.74771704341925,-29,520.01</t>
  </si>
  <si>
    <t>2025-05-20 11:00:00,31696547.326073,48852967.9736107,-1215.85,-1032,-7206.92599999997,-6622.54,-0.213126828380648,-318.43,5942.5</t>
  </si>
  <si>
    <t>2025-05-20 11:00:00,187244188.057482,-303497.920966946,-10.4142857142857,2,-38.4449999999999,43.65,-0.00571369114246155,0.55,21346</t>
  </si>
  <si>
    <t>2025-05-20 11:01:00,600,,594,,580,,591.5,,593,,,594,590,594,595,593.06</t>
  </si>
  <si>
    <t>2025-05-20 11:01:00,525,,520,,500,,518,,,,,520,518,519,516,519.84</t>
  </si>
  <si>
    <t>2025-05-20 11:01:00,6000,,5950,,5700,,5940,,,,,6000,5900,6050,5990,5941</t>
  </si>
  <si>
    <t>2025-05-20 11:01:00,21325,,,21050,21325,,21300,,,,,21450,21050,21050,21450,21338.5</t>
  </si>
  <si>
    <t>2025-05-20 11:01:00,2046234487.06443,12158488200.8755,3461.1807637307,1810,-730.894031746033,-5155.15,-480.504473824065,-2670.57,593.06</t>
  </si>
  <si>
    <t>2025-05-20 11:01:00,9740014.89567728,2936178261.30545,937.710704874834,1080,248.181006587609,96.8100000000001,-180.946723995488,52.21,519.84</t>
  </si>
  <si>
    <t>2025-05-20 11:01:00,30022504.2819353,39543497.8355415,-367.15,-860,-630.148500000039,-6015.7,2.46259608330921,-366.38,5941</t>
  </si>
  <si>
    <t>2025-05-20 11:01:00,188091417.072836,-361979.050207978,9.46163003663004,6,331.516102564102,133.14,0.010111967219625,1.54,21338.5</t>
  </si>
  <si>
    <t>2025-05-20 11:02:00,600,,594,,580,,591.5,,,,,594,590,594,595,593.34</t>
  </si>
  <si>
    <t>2025-05-20 11:02:00,525,,520,,500,,518,,,,,520,518,519,516,520.138</t>
  </si>
  <si>
    <t>2025-05-20 11:02:00,6000,,5950,,5700,,5940,,,,,6000,5900,6050,5990,5944</t>
  </si>
  <si>
    <t>2025-05-20 11:02:00,21325,,,,21325,,21300,,,,,21450,21050,21050,21450,21350.5</t>
  </si>
  <si>
    <t>2025-05-20 11:02:00,2159393256.25015,14393263451.5034,-6952.70926406899,-5693,876.588214285713,538.32,-60.2450310680836,330.76,593.34</t>
  </si>
  <si>
    <t>2025-05-20 11:02:00,43857281.7250803,3480304683.8053,942.250000000001,1148,742.015000000003,657.31,80.7068569979318,315.77,520.138</t>
  </si>
  <si>
    <t>2025-05-20 11:02:00,33892359.4899066,65039964.9505526,281.875,447,1210.29399999999,2288.19,-0.0805010826857239,168.89,5944</t>
  </si>
  <si>
    <t>2025-05-20 11:02:00,187738237.96157,-258115.755602373,-25.68,-27,-531.5982,-277.38,0.0064797455290976,-3.86,21350.5</t>
  </si>
  <si>
    <t>2025-05-20 11:03:00,600,,594,,580,,591.5,,,,,594,590,594,595,593.185</t>
  </si>
  <si>
    <t>2025-05-20 11:03:00,525,,520,,500,,518,,,,,520,518,519,516,520.05</t>
  </si>
  <si>
    <t>2025-05-20 11:03:00,6000,,5950,,5700,,5940,,,,,6000,5900,6050,5990,5942.5</t>
  </si>
  <si>
    <t>2025-05-20 11:03:00,21325,,,,21325,,21300,,,,,21450,21050,21050,21450,21347</t>
  </si>
  <si>
    <t>2025-05-20 11:03:00,2098401707.74343,13190791253.0156,-1865.25828460036,-4866,209.661333333333,-117.22,26.8845059880174,34.3599999999999,593.185</t>
  </si>
  <si>
    <t>2025-05-20 11:03:00,20496200.4552987,3243120612.86516,470.028571428571,139,291.654714285714,-564.57,-97.0088716930228,-204.12,520.05</t>
  </si>
  <si>
    <t>2025-05-20 11:03:00,31796651.1627571,53358676.6825348,-4.02000000000011,310,1062.5188,248.86,-3.36461994612863,-17.75,5942.5</t>
  </si>
  <si>
    <t>2025-05-20 11:03:00,187303412.708919,-287029.488648272,5.70714285714286,5,68.0471428571428,61.8,0.0104427804012965,0.98,21347</t>
  </si>
  <si>
    <t>2025-05-20 11:04:00,600,,594,,580,,591.5,,,,,594,590,594,595,593.06</t>
  </si>
  <si>
    <t>2025-05-20 11:04:00,525,,520,,500,,519,,,,,520,518,519,516,519.95</t>
  </si>
  <si>
    <t>2025-05-20 11:04:00,6000,,5950,,5700,,5940,,,,,6000,5900,6050,5990,5941</t>
  </si>
  <si>
    <t>2025-05-20 11:04:00,21325,,,,21325,,21300,,,,,21450,21050,21050,21450,21343.5</t>
  </si>
  <si>
    <t>2025-05-20 11:04:00,1986008629.09682,11277810915.4488,962.604374307857,-2089,1634.52544444444,904.05,216.103569409568,267.04,593.06</t>
  </si>
  <si>
    <t>2025-05-20 11:04:00,6032513.73296747,2809644721.60617,628.342857142857,715,268.786857142857,169.27,86.4192115489081,152.99,519.95</t>
  </si>
  <si>
    <t>2025-05-20 11:04:00,29843325.1815579,30888747.6647236,434.076453488372,9,6963.72129011624,2456.47,1.21549857773318,57.19,5941</t>
  </si>
  <si>
    <t>2025-05-20 11:04:00,187163886.906276,-329212.904433904,0.250000000000005,3,115.775,96.1,0.00695902731256169,1.07,21343.5</t>
  </si>
  <si>
    <t>2025-05-20 11:05:00,600,,594,,580,,591.5,,,,,594,590,594,595,592.99</t>
  </si>
  <si>
    <t>2025-05-20 11:05:00,525,,520,,500,,518,,,,,520,518,519,516,519.945</t>
  </si>
  <si>
    <t>2025-05-20 11:05:00,6000,,5950,,5700,,5940,,,,,6000,5900,6050,5990,5940.25</t>
  </si>
  <si>
    <t>2025-05-20 11:05:00,21325,,,21050,21325,,21300,,,,,21450,21050,21050,21450,21342.75</t>
  </si>
  <si>
    <t>2025-05-20 11:05:00,1995718328.73725,11732381528.0223,5479.79670620988,9451,734.860666666667,393.18,-292.548337841408,262.49,592.99</t>
  </si>
  <si>
    <t>2025-05-20 11:05:00,17808321.8885694,3043589405.11746,-52.1136071251856,-86,200.40677610094,-58.44,74.0882156339684,-99.8000000000001,519.945</t>
  </si>
  <si>
    <t>2025-05-20 11:05:00,29746060.2623612,29347999.6195259,186.025,224,3229.56974999999,2406.73,-4.03867030411632,88.25,5940.25</t>
  </si>
  <si>
    <t>2025-05-20 11:05:00,186912123.860824,-347997.346811403,-4.2857142857143,-5,-132.642190476191,-117.34,0.00111164252535339,-1.46,21342.75</t>
  </si>
  <si>
    <t>2025-05-20 11:06:00,600,,594,,580,,591.5,,,,,594,590,594,595,592.85</t>
  </si>
  <si>
    <t>2025-05-20 11:06:00,525,,520,,500,,519,,,,,520,518,531,516,519.76</t>
  </si>
  <si>
    <t>2025-05-20 11:06:00,6000,,5950,,5700,,5940,,,,,6000,5900,6050,5990,5938.75</t>
  </si>
  <si>
    <t>2025-05-20 11:06:00,21325,,,21050,21325,,21300,,,,,21450,21050,21050,21450,21335.25</t>
  </si>
  <si>
    <t>2025-05-20 11:06:00,1963083072.21995,11149283319.3685,12182.2336842104,8918,479.544047619049,2051.25,-706.372849333295,802.48,592.85</t>
  </si>
  <si>
    <t>2025-05-20 11:06:00,-7640640.07727261,2712162188.15012,-62.6413742037777,-79,571.873747410513,378.92,200.62258950246,104.93,519.76</t>
  </si>
  <si>
    <t>2025-05-20 11:06:00,27902300.3500536,8197968.81395108,277.362063492061,16,1584.99816349205,1088,2.0199466322594,23.96,5938.75</t>
  </si>
  <si>
    <t>2025-05-20 11:06:00,187109635.95885,-418916.035344188,5.5452380952381,10,115.356285714286,284.63,0.00179969297260315,3.33,21335.25</t>
  </si>
  <si>
    <t>2025-05-20 11:07:00,600,,594,,580,,591.5,593,,,,594,590,594,595,592.65</t>
  </si>
  <si>
    <t>2025-05-20 11:07:00,525,,520,,500,,518,,,,,520,518,531,516,519.525</t>
  </si>
  <si>
    <t>2025-05-20 11:07:00,6000,,5950,,5700,,5940,,,,,6000,5900,6050,5990,5936.5</t>
  </si>
  <si>
    <t>2025-05-20 11:07:00,21325,,,21050,21325,,21300,,,,,21450,21050,21050,21450,21326.75</t>
  </si>
  <si>
    <t>2025-05-20 11:07:00,1895715903.44223,9934324464.8259,41135.5887096767,19823,1553.26613095238,1902.31,-78.2589593630181,720.6,592.65</t>
  </si>
  <si>
    <t>2025-05-20 11:07:00,-42240120.7774166,2446017187.25213,427.861711188541,-612,356.331135114211,459.6,-226.284730764978,57.0799999999999,519.525</t>
  </si>
  <si>
    <t>2025-05-20 11:07:00,25840172.9262603,-16248218.605937,1297.41656862745,1939,11278.5919833334,11233.88,12.5812455454389,549.94,5936.5</t>
  </si>
  <si>
    <t>2025-05-20 11:07:00,187370904.9928,-500956.607561147,9.76097902097902,12,330.017323076923,237.1,0.00732431945917488,3.04,21326.75</t>
  </si>
  <si>
    <t>2025-05-20 11:08:00,600,,594,,580,,591.5,,,,,594,590,594,595,592.825</t>
  </si>
  <si>
    <t>2025-05-20 11:08:00,525,,520,,500,,518,,,,,520,518,531,516,519.74</t>
  </si>
  <si>
    <t>2025-05-20 11:08:00,6000,,5950,,5700,,5940,,,,,6000,5900,6050,5990,5938.5</t>
  </si>
  <si>
    <t>2025-05-20 11:08:00,21325,,,21050,21325,,21325,,,,,21450,21050,21050,21450,21334.5</t>
  </si>
  <si>
    <t>2025-05-20 11:08:00,1934433973.01757,11157689102.0063,8700.31510594653,8744,-1866.10207792208,-3290.42,-295.203613070154,-1588.06,592.825</t>
  </si>
  <si>
    <t>2025-05-20 11:08:00,-35368833.0098706,2828376587.45957,-1047.95675675676,-1786,-1477.36555855856,-1996.33,-57.9733935897538,-792.06,519.74</t>
  </si>
  <si>
    <t>2025-05-20 11:08:00,27140027.3120159,-2870850.38878679,31.2749999999999,-29,-1357.73575,-442.56,2.36815171256573,7.81000000000001,5938.5</t>
  </si>
  <si>
    <t>2025-05-20 11:08:00,186373288.285165,-446998.7321389,-8.79333333333333,-8,3.5411333333333,-69.07,0.00668934325957492,-1.07,21334.5</t>
  </si>
  <si>
    <t>2025-05-20 11:09:00,600,,594,,580,,591.5,,,,,594,590,594,595,592.62</t>
  </si>
  <si>
    <t>2025-05-20 11:09:00,525,,520,,500,,519,,,,,520,518,531,516,519.55</t>
  </si>
  <si>
    <t>2025-05-20 11:09:00,6000,,5950,,5700,,5940,,,,,6000,5900,6050,5990,5936.5</t>
  </si>
  <si>
    <t>2025-05-20 11:09:00,21325,,,21050,21325,,21300,,,,,21450,21050,21050,21450,21326.5</t>
  </si>
  <si>
    <t>2025-05-20 11:09:00,1830110298.97918,9193488850.35023,13422.6126553456,9200,-3186.09507142857,-5910.54,-263.403666225341,-2745.06,592.62</t>
  </si>
  <si>
    <t>2025-05-20 11:09:00,-53584217.0220146,2353997576.52654,-1785.59545454545,-2228,-1674.89742424242,-1825.33,-110.350102236759,-808.14,519.55</t>
  </si>
  <si>
    <t>2025-05-20 11:09:00,25063293.5059073,-24625002.4658298,-419.525000000002,-633,-3613.06575000002,-4477.33,-1.50815190825029,-221.16,5936.5</t>
  </si>
  <si>
    <t>2025-05-20 11:09:00,185392659.996928,-548819.084648427,0.755086580086578,1,-79.2497651515151,-51,-0.00873380676762283,-0.42,21326.5</t>
  </si>
  <si>
    <t>2025-05-20 11:10:00,600,,594,,580,,591.5,,,,,594,590,594,595,592.67</t>
  </si>
  <si>
    <t>2025-05-20 11:10:00,525,,520,,500,,519,,,,,520,518,531,516,519.66</t>
  </si>
  <si>
    <t>2025-05-20 11:10:00,6000,,5950,,5700,,5940,,,,,6000,5900,6050,5990,5937.25</t>
  </si>
  <si>
    <t>2025-05-20 11:10:00,21325,,,21050,21325,,21300,,,,,21450,21050,21050,21450,21331.25</t>
  </si>
  <si>
    <t>2025-05-20 11:10:00,1835737808.44314,9269855036.70586,9579.1411764707,6717,-785.495,-1854.99,196.221692483328,-850.96,592.67</t>
  </si>
  <si>
    <t>2025-05-20 11:10:00,-59527066.6166975,2446226800.25878,-151.957091237578,-1305,-128.491811201444,-1140.01,-116.008667398359,-538.25,519.66</t>
  </si>
  <si>
    <t>2025-05-20 11:10:00,26371847.4600673,-13943334.891193,-58.5000000000002,-340,-1971.266,-2800.48,1.42440876138622,-154.76,5937.25</t>
  </si>
  <si>
    <t>2025-05-20 11:10:00,185867177.14298,-491458.246559831,1.16387362637363,-1,50.0997060439562,-23.99,-0.00197053503767613,-0.28,21331.25</t>
  </si>
  <si>
    <t>2025-05-20 11:11:00,600,,594,,580,,591.5,,,,592,594,590,594,595,592.34</t>
  </si>
  <si>
    <t>2025-05-20 11:11:00,525,,520,,500,,519,,,,,520,518,531,516,519.33</t>
  </si>
  <si>
    <t>2025-05-20 11:11:00,6000,,5950,,5700,,5940,,,5930,,6000,5900,5930,5990,5934</t>
  </si>
  <si>
    <t>2025-05-20 11:11:00,21325,,,21050,21325,,21300,,,,,21450,21050,21050,21450,21318.25</t>
  </si>
  <si>
    <t>2025-05-20 11:11:00,1665475797.25804,6178683302.70358,72678.5042113579,37652,-8155.61888095243,-6838.9,228.425463520942,-4532.77,592.34</t>
  </si>
  <si>
    <t>2025-05-20 11:11:00,-104642578.693036,1804780237.85256,47.2763643454892,142,-199.986256411668,628.34,-4.64077986430963,255.62,519.33</t>
  </si>
  <si>
    <t>2025-05-20 11:11:00,22410290.7199406,-64291259.6318868,-2912.66111111112,-2661,-8041.34359999998,-6912.39,-2.99732838315858,-463.33,5934</t>
  </si>
  <si>
    <t>2025-05-20 11:11:00,185553116.411797,-621748.67504295,12.1559184443008,4,518.883050414781,377.45,0.0080248781049909,3.04,21318.25</t>
  </si>
  <si>
    <t>2025-05-20 11:12:00,600,,594,,580,,591.5,593,,593,,594,590,594,595,592.64</t>
  </si>
  <si>
    <t>2025-05-20 11:12:00,525,,520,,500,,519,,,,,520,518,531,516,519.6</t>
  </si>
  <si>
    <t>2025-05-20 11:12:00,6000,,5950,,5700,,5940,,5940,,,6000,5900,5930,5990,5936.75</t>
  </si>
  <si>
    <t>2025-05-20 11:12:00,21325,,,21050,21325,,21300,,,,,21450,21050,21050,21450,21329</t>
  </si>
  <si>
    <t>2025-05-20 11:12:00,1853381588.92858,9790478400.19733,14851.6006111537,7881,3357.539,7621.94,201.155660029857,4127.19,592.64</t>
  </si>
  <si>
    <t>2025-05-20 11:12:00,-72077215.1170578,2587068815.72455,-366.925731452454,-1384,-784.885184169276,-1886.77,79.016439720793,-687.36,519.6</t>
  </si>
  <si>
    <t>2025-05-20 11:12:00,23601504.2750114,-36877087.4335703,169.71547619048,138,-4032.26817857138,-5151.59,1.38252885235957,-178.91,5936.75</t>
  </si>
  <si>
    <t>2025-05-20 11:12:00,185496120.261064,-503194.868595019,-9.12184981684981,-5,-245.715604029303,-292.31,0.000521490602679106,-2.6,21329</t>
  </si>
  <si>
    <t>2025-05-20 11:13:00,600,,594,,580,,591.5,,593,,,594,590,594,595,592.66</t>
  </si>
  <si>
    <t>2025-05-20 11:13:00,525,,520,,500,,518,,,,,520,518,531,516,519.62</t>
  </si>
  <si>
    <t>2025-05-20 11:13:00,6000,,5950,,5700,,5940,,,,,6000,5900,5930,5990,5937.25</t>
  </si>
  <si>
    <t>2025-05-20 11:13:00,21325,,,21050,21325,,21300,,,,,21450,21050,21050,21450,21330</t>
  </si>
  <si>
    <t>2025-05-20 11:13:00,1860388295.91164,10529829218.724,16129.4163531168,9840,769.643904761905,228.94,183.963918384963,214.31,592.66</t>
  </si>
  <si>
    <t>2025-05-20 11:13:00,-38701534.8774462,2945400275.9479,136.249999999999,-105,139.31,-244.36,-2.01502479784617,-80.25,519.62</t>
  </si>
  <si>
    <t>2025-05-20 11:13:00,25416703.8014581,-22001111.8624711,-79.4000000000019,376,-2135.45800000001,-601.69,-1.94158841936482,-38.39,5937.25</t>
  </si>
  <si>
    <t>2025-05-20 11:13:00,186286602.157777,-475750.015968235,1.36666666666667,-2,27.4000000000001,-103.2,-0.00555498338515444,-1.12,21330</t>
  </si>
  <si>
    <t>2025-05-20 11:14:00,600,,594,,580,,591.5,,,,,594,590,594,595,592.69</t>
  </si>
  <si>
    <t>2025-05-20 11:14:00,525,,520,,500,,518,,,,,520,518,531,516,519.672</t>
  </si>
  <si>
    <t>2025-05-20 11:14:00,6000,,5950,,5700,,5940,,,,,6000,5900,5930,5990,5937.25</t>
  </si>
  <si>
    <t>2025-05-20 11:14:00,21325,,,21050,21325,,21300,,,,,21450,21050,21050,21450,21332.25</t>
  </si>
  <si>
    <t>2025-05-20 11:14:00,1863671398.55458,9991492841.44753,13122.6484848484,8499,3199.05942857143,2765.56,131.839296776171,1279.1,592.69</t>
  </si>
  <si>
    <t>2025-05-20 11:14:00,-37003059.956208,2806102127.10849,1922.84414519906,1811,2393.00707728337,1607.19,123.423419183993,664.09,519.672</t>
  </si>
  <si>
    <t>2025-05-20 11:14:00,24746643.1369466,-18323110.7865257,751.483333333334,699,6423.00083333335,5870.71,-1.02816331206955,304.6,5937.25</t>
  </si>
  <si>
    <t>2025-05-20 11:14:00,186435828.860539,-439703.218279432,6.7,7,104.88,58.7,0.0167161179351643,0.94,21332.25</t>
  </si>
  <si>
    <t>2025-05-20 11:15:00,600,,594,,580,,591.5,,,,,594,590,594,595,592.57</t>
  </si>
  <si>
    <t>2025-05-20 11:15:00,525,,520,,500,,519,,,,,520,518,531,516,519.69</t>
  </si>
  <si>
    <t>2025-05-20 11:15:00,6000,,5950,,5700,,5940,,,,,6000,5900,5930,5990,5936.25</t>
  </si>
  <si>
    <t>2025-05-20 11:15:00,21325,,,21050,21325,,21300,,,,,21450,21050,21050,21450,21331.5</t>
  </si>
  <si>
    <t>2025-05-20 11:15:00,1811007754.21463,9076331383.96416,14156.6821572002,7891,4736.33966666667,5041.31,324.556995478515,2522.73,592.57</t>
  </si>
  <si>
    <t>2025-05-20 11:15:00,-37354476.3243052,2669465120.44903,124.133333333333,-940,238.721666666666,-449.42,-23.370263843004,-264.49,519.69</t>
  </si>
  <si>
    <t>2025-05-20 11:15:00,23717555.6282156,-30359172.1045895,188.380000000001,830,1532.09880000001,1866.8,-11.7700996886166,113.91,5936.25</t>
  </si>
  <si>
    <t>2025-05-20 11:15:00,185952081.497875,-454653.813164201,0.666666666666662,-1,32.3583333333333,3.1,-0.00150480880240322,-0.04,21331.5</t>
  </si>
  <si>
    <t>2025-05-20 11:16:00,600,,594,,580,,591.5,,593,,,594,590,594,595,592.52</t>
  </si>
  <si>
    <t>2025-05-20 11:16:00,525,,520,,500,,518,,,,,520,518,531,516,519.63</t>
  </si>
  <si>
    <t>2025-05-20 11:16:00,6000,,5950,,5700,,5940,,,,,6000,5900,5930,5990,5935.5</t>
  </si>
  <si>
    <t>2025-05-20 11:16:00,21325,,,21050,21325,,21300,,,,,21450,21050,21050,21450,21329.25</t>
  </si>
  <si>
    <t>2025-05-20 11:16:00,1787082250.71937,9138497845.3665,31084.055401662,14599,4319.26125,350.730000000001,-1068.53705782687,93.4999999999998,592.52</t>
  </si>
  <si>
    <t>2025-05-20 11:16:00,-49638258.1293034,2813677931.63045,164.683333333331,581,-681.732666666674,276.6,-6.09790827142347,192.93,519.63</t>
  </si>
  <si>
    <t>2025-05-20 11:16:00,22936958.4691871,-38344559.8441826,327.041666666668,-74,4497.07791666668,2441.64,-8.90425015523021,90.65,5935.5</t>
  </si>
  <si>
    <t>2025-05-20 11:16:00,186417280.709697,-475301.870053514,-8.26333333333334,-6,-189.076733333333,-156.56,0.00832867604869158,-1.87,21329.25</t>
  </si>
  <si>
    <t>2025-05-20 11:17:00,600,,594,,580,,591.5,,,,,594,590,594,595,592.57</t>
  </si>
  <si>
    <t>2025-05-20 11:17:00,525,,520,,500,,518,,,,,520,518,531,516,519.65</t>
  </si>
  <si>
    <t>2025-05-20 11:17:00,6000,,5950,,5700,,5940,,,,,6000,5900,5930,5990,5936</t>
  </si>
  <si>
    <t>2025-05-20 11:17:00,21325,,,21050,21325,,21300,,,,,21450,21050,21050,21450,21331.5</t>
  </si>
  <si>
    <t>2025-05-20 11:17:00,1817658988.69016,10008702914.1368,7481.60037348272,3583,127.516976190473,-1037.33,190.060197433909,-230.31,592.57</t>
  </si>
  <si>
    <t>2025-05-20 11:17:00,-49614827.4021514,2934641395.116,-906.499999999999,-1433,-1067.565,-1141.01,-14.9897222346029,-415.78,519.65</t>
  </si>
  <si>
    <t>2025-05-20 11:17:00,23482317.945128,-34811239.6190863,-958.7,-1180,-1835.382,-2910.14,2.53784887199974,-172.38,5936</t>
  </si>
  <si>
    <t>2025-05-20 11:17:00,186090077.468042,-457248.912907605,-2.33333333333333,-4,-13.1166666666667,-58.9,0.00152811196776783,-0.74,21331.5</t>
  </si>
  <si>
    <t>2025-05-20 11:18:00,600,,594,,580,,591.5,,,,,594,590,594,595,592.63</t>
  </si>
  <si>
    <t>2025-05-20 11:18:00,525,,520,,500,,519,,,,,520,518,531,516,519.71</t>
  </si>
  <si>
    <t>2025-05-20 11:18:00,6000,,5950,,5700,,5940,,,,,6000,5900,5930,5990,5936.75</t>
  </si>
  <si>
    <t>2025-05-20 11:18:00,21325,,,21050,21325,,21300,,,,,21450,21050,21050,21450,21333</t>
  </si>
  <si>
    <t>2025-05-20 11:18:00,1803977623.8056,9831404646.72774,7789.81863457155,5252,1713.075,1855.94,404.058183463533,1025.53,592.63</t>
  </si>
  <si>
    <t>2025-05-20 11:18:00,-43427650.8754964,2772724597.20546,1109.58095238095,626,737.595761904761,429.38,66.6989561096716,229.32,519.71</t>
  </si>
  <si>
    <t>2025-05-20 11:18:00,24552161.415314,-27909702.253204,268.95,299,-589.204000000004,796.99,0.915257536455153,78,5936.75</t>
  </si>
  <si>
    <t>2025-05-20 11:18:00,186582838.666512,-432161.299563205,-1.17819435466495,-2,60.7578539107948,-11.5,-0.00411873568801174,-0.51,21333</t>
  </si>
  <si>
    <t>2025-05-20 11:19:00,600,,594,,580,,591.5,,,,,594,590,594,595,592.565</t>
  </si>
  <si>
    <t>2025-05-20 11:19:00,525,,520,,500,,518,,,,,520,518,531,516,519.64</t>
  </si>
  <si>
    <t>2025-05-20 11:19:00,6000,,5950,,5700,,5940,,,,,6000,5900,5930,5990,5936</t>
  </si>
  <si>
    <t>2025-05-20 11:19:00,21325,,,21050,21325,,21300,,,,,21450,21050,21050,21450,21330.75</t>
  </si>
  <si>
    <t>2025-05-20 11:19:00,1812212714.21996,9579522677.71049,7309.22498075443,3645,2414.52583333333,2424.94,258.819067837614,1069.21,592.565</t>
  </si>
  <si>
    <t>2025-05-20 11:19:00,-36044446.7965218,2811378743.36263,58.2340425531916,205,89.1197872340426,116.25,0.213040456079766,60.73,519.64</t>
  </si>
  <si>
    <t>2025-05-20 11:19:00,24199472.5240687,-30615211.3069877,55.2499999999996,306,3886.24399999999,2844.11,-2.38269996818047,70.63,5936</t>
  </si>
  <si>
    <t>2025-05-20 11:19:00,186605801.938673,-443571.086747101,1.53750000000001,7,49.1768750000001,60.4,0.00521451716102849,0.93,21330.75</t>
  </si>
  <si>
    <t>2025-05-20 11:20:00,600,,594,,580,,591.5,,,,,594,590,594,595,592.8</t>
  </si>
  <si>
    <t>2025-05-20 11:20:00,525,,520,,500,,518,,,,,520,518,531,516,519.88</t>
  </si>
  <si>
    <t>2025-05-20 11:20:00,6000,,5950,,5700,,5940,,,,,6000,5900,5930,5990,5938.5</t>
  </si>
  <si>
    <t>2025-05-20 11:20:00,21325,,,,21325,,21300,,,,,21450,21050,21050,21450,21341</t>
  </si>
  <si>
    <t>2025-05-20 11:20:00,1891120317.07129,11256053039.531,1331.63733075463,1503,3707.83484126983,4448.81,-64.3208534657288,2103.87,592.8</t>
  </si>
  <si>
    <t>2025-05-20 11:20:00,-17110804.2905523,3347017873.47794,704.250574712643,718,536.747896551723,536.62,-20.4480407078218,275.76,519.88</t>
  </si>
  <si>
    <t>2025-05-20 11:20:00,26369835.54027,-7265777.6924981,1241.3,1638,4875.31149999998,5718.65,-0.0474259581166938,376.67,5938.5</t>
  </si>
  <si>
    <t>2025-05-20 11:20:00,187168262.979646,-331869.401232573,-3.07852713178295,-2,-236.662045736434,-265.68,0.0108582165311051,-1.38,21341</t>
  </si>
  <si>
    <t>2025-05-20 11:21:00,600,,594,,580,,591.5,,,,,594,590,594,595,592.63</t>
  </si>
  <si>
    <t>2025-05-20 11:21:00,525,,520,,500,,518,,,,,520,518,531,516,519.73</t>
  </si>
  <si>
    <t>2025-05-20 11:21:00,6000,,5950,,5700,,5940,,,,,6000,5900,5930,5990,5936.75</t>
  </si>
  <si>
    <t>2025-05-20 11:21:00,21325,,,21050,21325,,21300,,,,,21450,21050,21050,21450,21334.25</t>
  </si>
  <si>
    <t>2025-05-20 11:21:00,1821257883.39442,9902557618.36512,9239.1938663745,6728,4895.55247619048,4316.83,354.726579950423,2164.81,592.63</t>
  </si>
  <si>
    <t>2025-05-20 11:21:00,-25386548.1165937,3005165350.11345,-81.3333333333326,-355,1736.77333333334,879.07,151.249386177587,312.4,519.73</t>
  </si>
  <si>
    <t>2025-05-20 11:21:00,24161219.5515307,-27227148.9685073,666.950000000001,866,5409.9365,6254.64,-0.289345811428813,347.13,5936.75</t>
  </si>
  <si>
    <t>2025-05-20 11:21:00,186630939.673686,-407513.196677753,-15.8976190476191,-9,205.507761904762,181.02,0.00584907386235796,2.34,21334.25</t>
  </si>
  <si>
    <t>2025-05-20 11:22:00,600,,594,,580,,591.5,,,,,594,590,594,595,592.665</t>
  </si>
  <si>
    <t>2025-05-20 11:22:00,525,,520,,500,,518,,,,,520,518,531,516,519.73</t>
  </si>
  <si>
    <t>2025-05-20 11:22:00,6000,,5950,,5700,,5940,,,,,6000,5900,5930,5990,5937</t>
  </si>
  <si>
    <t>2025-05-20 11:22:00,21325,,,21050,21325,,21300,,,,,21450,21050,21050,21450,21334</t>
  </si>
  <si>
    <t>2025-05-20 11:22:00,1841672024.25475,10709436424.0177,4497.0691574881,3865,948.80753968254,1814.47,190.060588246537,874.89,592.665</t>
  </si>
  <si>
    <t>2025-05-20 11:22:00,-17868441.4803479,3038773140.83029,-2181.2380952381,-647,-323.563928571428,219.37,95.4077943505994,73.63,519.73</t>
  </si>
  <si>
    <t>2025-05-20 11:22:00,24824616.246298,-27920296.8700787,298.075,332,3165.89825,3617.67,0.768338835881249,176.83,5937</t>
  </si>
  <si>
    <t>2025-05-20 11:22:00,186392005.437674,-423767.661478992,7.21904761904763,11,286.144142857143,160.76,0.00558696217827906,1.85,21334</t>
  </si>
  <si>
    <t>2025-05-20 11:23:00,600,,594,,580,,591.5,,,,,594,590,594,595,592.67</t>
  </si>
  <si>
    <t>2025-05-20 11:23:00,525,,520,,500,,519,,,,,520,518,531,516,519.66</t>
  </si>
  <si>
    <t>2025-05-20 11:23:00,6000,,5950,,5700,,5940,,,,,6000,5900,5930,5990,5937.25</t>
  </si>
  <si>
    <t>2025-05-20 11:23:00,21325,,,21050,21325,,21300,,,,,21450,21050,21050,21450,21331.5</t>
  </si>
  <si>
    <t>2025-05-20 11:23:00,1855055903.46037,10915158915.3714,2826.62291157164,2882,2420.38483333333,1627.07,37.2168702006565,808.19,592.67</t>
  </si>
  <si>
    <t>2025-05-20 11:23:00,-26655666.8794104,2926995498.59862,1392.65840336134,1013,1396.05034873949,1026.38,36.862694461295,445.66,519.66</t>
  </si>
  <si>
    <t>2025-05-20 11:23:00,25175626.6019431,-17422502.3064958,296.991666666666,358,3465.19441666666,3819.26,3.44366309597695,185.55,5937.25</t>
  </si>
  <si>
    <t>2025-05-20 11:23:00,187053975.070084,-420231.553948579,30.7328571428571,19,286.746771428571,176.48,0.0298232175641487,2.79,21331.5</t>
  </si>
  <si>
    <t>2025-05-20 11:24:00,600,,594,,580,,591.5,,,,,594,590,594,595,592.43</t>
  </si>
  <si>
    <t>2025-05-20 11:24:00,525,,520,,500,,519,,,,,520,518,519,516,519.49</t>
  </si>
  <si>
    <t>2025-05-20 11:24:00,6000,,5950,,5700,,5940,,,,,6000,5900,5930,5990,5934.75</t>
  </si>
  <si>
    <t>2025-05-20 11:24:00,21325,,,21050,21325,,21300,,,,,21450,21050,21050,21450,21323</t>
  </si>
  <si>
    <t>2025-05-20 11:24:00,1730614805.87928,8651468098.53143,21517.6111392404,9077,2034.94416666667,1824.46,449.739339140955,721.97,592.43</t>
  </si>
  <si>
    <t>2025-05-20 11:24:00,-62278913.2651167,2496077049.12195,1975.42085558656,984,2534.75022838813,1964.18,60.301781007919,805.68,519.49</t>
  </si>
  <si>
    <t>2025-05-20 11:24:00,21841090.4589291,-57890214.0436975,198.093333333334,42,683.607600000003,3745.47,-8.29868914198295,133.45,5934.75</t>
  </si>
  <si>
    <t>2025-05-20 11:24:00,186526661.234047,-539977.868770513,-8.24999999999999,40,165.946428571428,201.95,-0.0249890696200253,2.87,21323</t>
  </si>
  <si>
    <t>2025-05-20 11:25:00,600,,594,,580,,591.5,,,,,594,590,594,595,592.46</t>
  </si>
  <si>
    <t>2025-05-20 11:25:00,525,,520,,500,,519,,,,,520,518,519,516,519.56</t>
  </si>
  <si>
    <t>2025-05-20 11:25:00,6000,,5950,,5700,,5940,,,,5940,6000,5900,5930,5990,5935</t>
  </si>
  <si>
    <t>2025-05-20 11:25:00,21325,,,21050,21325,,21300,,,,,21450,21050,21050,21450,21327</t>
  </si>
  <si>
    <t>2025-05-20 11:25:00,1719799814.65424,9000335103.21367,27582.7563254189,16382,-6142.8154642857,-7178.16,-63.2924280870894,-3428.28,592.46</t>
  </si>
  <si>
    <t>2025-05-20 11:25:00,-75243210.4682369,2683324435.36761,-70.8992088973741,600,-1908.01038969397,-1037.82,18.6649720475401,-220.88,519.56</t>
  </si>
  <si>
    <t>2025-05-20 11:25:00,22310150.8938464,-59449883.9141512,-898.220476190477,-866,-11319.450752381,-9870.57,23.1032058237472,-427.52,5935</t>
  </si>
  <si>
    <t>2025-05-20 11:25:00,185354078.050382,-522830.910695452,-51.1804761904761,-27,-1243.58842142857,-761.46,0.0214279497161675,-9.11,21327</t>
  </si>
  <si>
    <t>2025-05-20 11:26:00,600,,594,,580,,591.5,,,,,594,590,594,595,592.585</t>
  </si>
  <si>
    <t>2025-05-20 11:26:00,525,,520,,500,,518,,,,,520,518,519,516,519.68</t>
  </si>
  <si>
    <t>2025-05-20 11:26:00,6000,,5950,,5700,,5940,,,,,6000,5900,5930,5990,5936.5</t>
  </si>
  <si>
    <t>2025-05-20 11:26:00,21325,,,21050,21325,,21300,,,,,21450,21050,21050,21450,21334</t>
  </si>
  <si>
    <t>2025-05-20 11:26:00,1790729894.58443,10886755741.4981,12582.3876630811,2823,-1020.15357142857,-820.83,527.659535046552,-94.27,592.585</t>
  </si>
  <si>
    <t>2025-05-20 11:26:00,-37031508.5244545,3271573581.10146,-917.15,124,-1074.45633333334,-824.93,-209.217186619236,-287.66,519.68</t>
  </si>
  <si>
    <t>2025-05-20 11:26:00,23633116.6613086,-34517247.4081686,-157.78888888889,-58,-4181.6298888889,-2783.98,4.58109989155591,-120.66,5936.5</t>
  </si>
  <si>
    <t>2025-05-20 11:26:00,186094909.098163,-435873.538409689,-17.3833333333333,-25,-238.358,-229.7,0.0058284307323006,-3.8,21334</t>
  </si>
  <si>
    <t>2025-05-20 11:28:00,600,,594,,580,,591.5,,,,,594,590,594,595,592.75</t>
  </si>
  <si>
    <t>2025-05-20 11:28:00,525,,520,,500,,519,,520,,,520,518,519,516,519.93</t>
  </si>
  <si>
    <t>2025-05-20 11:28:00,6000,,5950,,5700,,5940,,,,,6000,5900,5930,5990,5937.75</t>
  </si>
  <si>
    <t>2025-05-20 11:28:00,21325,,,,21325,,21300,,,,,21450,21050,21050,21450,21343</t>
  </si>
  <si>
    <t>2025-05-20 11:28:00,1864509059.45175,11977571925.585,5880.80108499093,3290,-3402.85063492064,-3904.29,-299.303860383079,-1681.2,592.75</t>
  </si>
  <si>
    <t>2025-05-20 11:28:00,-14875254.7339781,3531059933.63877,-7300.31777586536,-6483,-6510.3428011092,-5767.14,-24.6940565705483,-2619.17,519.93</t>
  </si>
  <si>
    <t>2025-05-20 11:28:00,24625386.9271541,-25295896.7055963,-658.673333333333,-1166,-4818.91853333333,-7231.61,0.840189137526357,-392.72,5937.75</t>
  </si>
  <si>
    <t>2025-05-20 11:28:00,186064565.951852,-325022.95174407,-7.91452380952379,-23,-217.961735714285,-548.74,-0.0206750984237878,-6.77,21343</t>
  </si>
  <si>
    <t>2025-05-20 11:29:00,600,,594,,580,,591.5,,593,,,594,590,594,595,592.8</t>
  </si>
  <si>
    <t>2025-05-20 11:29:00,525,,520,,500,,519,,520,,,520,518,531,516,520.01</t>
  </si>
  <si>
    <t>2025-05-20 11:29:00,6000,,5950,,5700,,5940,,,,,6000,5900,5930,5990,5938.75</t>
  </si>
  <si>
    <t>2025-05-20 11:29:00,21325,,,,21325,,21300,,,,,21450,21050,21050,21450,21345.5</t>
  </si>
  <si>
    <t>2025-05-20 11:29:00,1870820570.41071,12383247908.6266,7308.89133271213,8814,2388.34686904762,249.85,-435.491569872521,275.6,592.8</t>
  </si>
  <si>
    <t>2025-05-20 11:29:00,15130100.3182008,3765936042.39548,-385.811427494651,-882,853.886925216397,-398.61,-26.8415085310954,-340.53,520.01</t>
  </si>
  <si>
    <t>2025-05-20 11:29:00,26433158.5981206,-2449116.51643717,789.570000000002,436,6881.93510000001,4762.95,3.74106335773597,248.57,5938.75</t>
  </si>
  <si>
    <t>2025-05-20 11:29:00,187140192.776167,-274976.237488148,15.4904761904762,23,492.836666666667,537.75,-0.0229682150242522,7.2,21345.5</t>
  </si>
  <si>
    <t>2025-05-20 11:30:00,600,,594,,580,,591.5,,,,,594,590,594,595,592.67</t>
  </si>
  <si>
    <t>2025-05-20 11:30:00,525,,520,,500,,519,,520,,,520,518,531,516,519.85</t>
  </si>
  <si>
    <t>2025-05-20 11:30:00,6000,,5950,,5700,,5940,,,,,6000,5900,5930,5990,5937</t>
  </si>
  <si>
    <t>2025-05-20 11:30:00,21325,,,,21325,,21300,,,,,21450,21050,21050,21450,21339.75</t>
  </si>
  <si>
    <t>2025-05-20 11:30:00,1825722183.6711,11628404194.9201,8606.35461441219,7649,2000.18916666666,1979.48,188.930888732753,1069.12,592.67</t>
  </si>
  <si>
    <t>2025-05-20 11:30:00,-21233626.2002681,3055765259.33001,-4263.32758414896,-2826,-3575.27841847696,-1436.17,-219.609574543925,-852.65,519.85</t>
  </si>
  <si>
    <t>2025-05-20 11:30:00,24843188.9717591,-29228444.168438,245.83333333333,623,2606.33099999997,947.32,4.08313654673267,54.96,5937</t>
  </si>
  <si>
    <t>2025-05-20 11:30:00,187106860.293545,-330568.342772373,14.4190476190476,43,254.166904761905,487.89,0.0394037747373054,6.69,21339.75</t>
  </si>
  <si>
    <t>2025-05-20 11:31:00,600,,594,,580,,591.5,,,,,594,590,594,595,592.73</t>
  </si>
  <si>
    <t>2025-05-20 11:31:00,525,,520,,500,,519,,,,,520,518,531,516,519.995</t>
  </si>
  <si>
    <t>2025-05-20 11:31:00,6000,,5950,,5700,,5940,,,,,6000,5900,5930,5990,5937.75</t>
  </si>
  <si>
    <t>2025-05-20 11:31:00,21325,,,,21325,,21300,,,,,21450,21050,21050,21450,21345.75</t>
  </si>
  <si>
    <t>2025-05-20 11:31:00,1857762561.53936,12304424841.5435,3317.55760368668,4793,774.457429738558,1023.58,71.5164351097373,382.61,592.73</t>
  </si>
  <si>
    <t>2025-05-20 11:31:00,13890070.8462126,3980292019.05348,219.511111111111,-110,633.019222222222,219.54,-19.0299767168748,78.79,519.995</t>
  </si>
  <si>
    <t>2025-05-20 11:31:00,25945550.8198853,-8186930.93093158,-89.4749999999999,-355,469.919750000001,223.33,-2.64367847229756,-8.12,5937.75</t>
  </si>
  <si>
    <t>2025-05-20 11:31:00,187769333.513242,-244581.842851357,-0.455714285714281,-3,-15.4071714285713,-239.31,0.00373553598230663,-2.51,21345.75</t>
  </si>
  <si>
    <t>2025-05-20 11:32:00,600,,594,,580,,591.5,,,,,594,590,594,595,592.88</t>
  </si>
  <si>
    <t>2025-05-20 11:32:00,525,,520,,500,,519,,520,,,520,518,531,516,520.18</t>
  </si>
  <si>
    <t>2025-05-20 11:32:00,6000,,5950,,5700,,5940,,,,,6000,5900,5930,5990,5939.25</t>
  </si>
  <si>
    <t>2025-05-20 11:32:00,21325,,,,21325,,21300,,,,,21450,21050,21050,21450,21353.25</t>
  </si>
  <si>
    <t>2025-05-20 11:32:00,1915484045.39002,13278035670.5697,-1220.649654696,616,-548.678904761904,-789.63,-64.4198177230221,-332.2,592.88</t>
  </si>
  <si>
    <t>2025-05-20 11:32:00,42031634.008291,4400100299.03216,-1187.64719247055,-2795,-566.317819084457,-2626.16,-276.796334886672,-1319.94,520.18</t>
  </si>
  <si>
    <t>2025-05-20 11:32:00,26528835.2073686,780228.729533331,-280.1,-624,-1058.806,-1973.22,0.253944603398407,-126.33,5939.25</t>
  </si>
  <si>
    <t>2025-05-20 11:32:00,186194774.26881,-176401.775947708,-28.0841991341991,-29,-493.427534632035,-455.57,0.0176648232112272,-5.86,21353.25</t>
  </si>
  <si>
    <t>2025-05-20 11:33:00,600,,594,,580,,591.5,,,,,594,590,594,595,592.76</t>
  </si>
  <si>
    <t>2025-05-20 11:33:00,525,,520,,500,,519,,,,,520,518,531,516,520.04</t>
  </si>
  <si>
    <t>2025-05-20 11:33:00,6000,,5950,,5700,,5940,,,,,6000,5900,5930,5990,5938</t>
  </si>
  <si>
    <t>2025-05-20 11:33:00,21325,,,,21325,,21300,,,,,21450,21050,21050,21450,21347.25</t>
  </si>
  <si>
    <t>2025-05-20 11:33:00,1858179395.14222,12159364285.4882,3599.23703013357,4096,-261.624928571429,-2906.98,-171.280481928671,-1612.73,592.76</t>
  </si>
  <si>
    <t>2025-05-20 11:33:00,23209804.879684,3791390471.92119,-2532.64666666667,-2387,-1537.2176,-1857.32,-103.35277358621,-820.53,520.04</t>
  </si>
  <si>
    <t>2025-05-20 11:33:00,25746852.5283989,-14792712.1694247,-354.53,-673,-1206.02729999999,-3891.24,-0.17017984939543,-235.96,5938</t>
  </si>
  <si>
    <t>2025-05-20 11:33:00,188013191.01907,-229500.170197819,8.96380952380954,8,311.880395238096,203.43,-0.000978275392795667,2.37,21347.25</t>
  </si>
  <si>
    <t>2025-05-20 11:34:00,600,,594,,580,,591.5,,,,,594,590,594,595,592.86</t>
  </si>
  <si>
    <t>2025-05-20 11:34:00,525,,520,,500,,519,,,,,520,518,531,516,520.19</t>
  </si>
  <si>
    <t>2025-05-20 11:34:00,6000,,5950,,5700,,5940,,,,,6000,5900,5930,5990,5939.25</t>
  </si>
  <si>
    <t>2025-05-20 11:34:00,21325,,,,21325,,21300,,,,,21450,21050,21050,21450,21353.5</t>
  </si>
  <si>
    <t>2025-05-20 11:34:00,1905551267.35664,13384891202.0257,-333.549548192721,-261,-20.7584285714281,-31.3699999999999,27.6808776214026,16.59,592.86</t>
  </si>
  <si>
    <t>2025-05-20 11:34:00,37072486.7683242,4259129573.39496,318.327380952381,639,414.857142857144,450.12,136.626695906332,191.11,520.19</t>
  </si>
  <si>
    <t>2025-05-20 11:34:00,26086667.7490483,11387058.0670442,117.593333333333,-302,2026.2261333333,790.48,4.1375527300454,76.94,5939.25</t>
  </si>
  <si>
    <t>2025-05-20 11:34:00,188260147.236759,-137929.854739455,7.36238095238094,16,-16.8381619047621,10.78,0.0209942169102336,0.81,21353.5</t>
  </si>
  <si>
    <t>2025-05-20 11:35:00,600,,594,,580,,591.5,,,,,594,590,594,595,592.82</t>
  </si>
  <si>
    <t>2025-05-20 11:35:00,525,,520,,500,,519,,520,,,520,518,531,516,520.15</t>
  </si>
  <si>
    <t>2025-05-20 11:35:00,6000,,5950,,5700,,5940,,,,,6000,5900,5930,5990,5938.75</t>
  </si>
  <si>
    <t>2025-05-20 11:35:00,21325,,,,21325,,21300,,,,,21450,21050,21050,21450,21352.5</t>
  </si>
  <si>
    <t>2025-05-20 11:35:00,1887113708.22738,12851113812.0708,987.075267361599,715,-1273.7530952381,-675.6,78.2283442493335,-344.01,592.82</t>
  </si>
  <si>
    <t>2025-05-20 11:35:00,34376125.6514933,4224324037.70779,-1381.33870187323,-2463,-1378.25526543167,-2527.86,-64.9412787496471,-1096.25,520.15</t>
  </si>
  <si>
    <t>2025-05-20 11:35:00,26422848.7354091,-5548308.87101566,-550.549999999999,-426,-5201.94099999999,-3121.31,0.0806742810045162,-160.28,5938.75</t>
  </si>
  <si>
    <t>2025-05-20 11:35:00,188013186.469557,-160494.623261508,-0.446071428571426,-2,72.3340202380951,41.63,0.0101170097509875,0.25,21352.5</t>
  </si>
  <si>
    <t>2025-05-20 11:36:00,600,,594,,580,,591.5,593,,,,594,590,594,595,592.93</t>
  </si>
  <si>
    <t>2025-05-20 11:36:00,525,,520,,500,,519,,,520,,520,518,531,516,520.235</t>
  </si>
  <si>
    <t>2025-05-20 11:36:00,6000,,5950,,5700,,5940,,,,,6000,5900,5930,5990,5939.75</t>
  </si>
  <si>
    <t>2025-05-20 11:36:00,21325,,,,21325,,21300,,,,,21450,21050,21050,21450,21355.25</t>
  </si>
  <si>
    <t>2025-05-20 11:36:00,1950493146.70472,14449331910.1189,5074.9411764706,5868,7007.12145238095,7443.39,754.374424622011,3883.14,592.93</t>
  </si>
  <si>
    <t>2025-05-20 11:36:00,52370559.7802154,4497703832.09276,0.662380952378561,843,441.797038095236,1271.96,-247.999391856829,491.64,520.235</t>
  </si>
  <si>
    <t>2025-05-20 11:36:00,27334822.8930858,17088067.5992431,-39.1007142857147,-122,50.6594357142801,-1146.63,-1.52523623277239,-46.84,5939.75</t>
  </si>
  <si>
    <t>2025-05-20 11:36:00,187987841.11222,-123046.951105842,-2.84824016563147,-2,22.4333871635608,29.4,0.00998800960682392,0.04,21355.25</t>
  </si>
  <si>
    <t>2025-05-20 11:37:00,600,,594,,580,,591.5,,,,,594,590,594,595,592.86</t>
  </si>
  <si>
    <t>2025-05-20 11:37:00,525,,520,,500,,519,,,,,520,518,531,516,520.22</t>
  </si>
  <si>
    <t>2025-05-20 11:37:00,6000,,5950,,5700,,5940,,,,,6000,5900,5930,5990,5939.5</t>
  </si>
  <si>
    <t>2025-05-20 11:37:00,21325,,,,21325,,21300,,,,,21450,21050,21050,21450,21353.25</t>
  </si>
  <si>
    <t>2025-05-20 11:37:00,1893164059.89155,13598606953.4537,1091.48689248898,2311,3899.863,3519.41,66.8981200566786,1717.82,592.86</t>
  </si>
  <si>
    <t>2025-05-20 11:37:00,62046536.4887711,4423162666.34387,2151.7509009009,2007,2957.70394594595,2564.52,133.408677723154,1076.47,520.22</t>
  </si>
  <si>
    <t>2025-05-20 11:37:00,27588223.372447,14761532.903286,1000.14,1455,3321.19820000001,4501.3,6.04086245112083,271.97,5939.5</t>
  </si>
  <si>
    <t>2025-05-20 11:37:00,189035784.474497,-128857.849141721,-3.48333333333334,3,57.0401666666666,193,0.0129791572154788,2.18,21353.25</t>
  </si>
  <si>
    <t>2025-05-20 11:38:00,600,,594,,580,,591.5,,593,,593,594,590,594,595,593.19</t>
  </si>
  <si>
    <t>2025-05-20 11:38:00,525,,520,,500,,519,,521,,,520,518,519,516,520.61</t>
  </si>
  <si>
    <t>2025-05-20 11:38:00,6000,,5950,,5700,,5940,,,,,6000,5900,5930,5990,5942.5</t>
  </si>
  <si>
    <t>2025-05-20 11:38:00,21325,,21450,,21325,,21300,,,,,21450,21050,21050,21450,21370.5</t>
  </si>
  <si>
    <t>2025-05-20 11:38:00,2056337031.17379,16926137702.0672,-16504.479311997,-17217,-3807.11698412698,-10918.45,-958.401634955444,-4849.03,593.19</t>
  </si>
  <si>
    <t>2025-05-20 11:38:00,140330847.707932,5235166351.85809,318.078905552766,5052,542.185378034461,2681.14,-279.528703244784,1559,520.61</t>
  </si>
  <si>
    <t>2025-05-20 11:38:00,30908270.7961649,56502257.003994,-1336.90714285715,-1020,-10363.6695714286,-7922.22,0.848277442534096,-451.01,5942.5</t>
  </si>
  <si>
    <t>2025-05-20 11:38:00,187853993.01814,45645.7884759764,-47.5180952380951,-47,-1811.71867142857,-653.06,-0.0369466951809306,-9.45,21370.5</t>
  </si>
  <si>
    <t>2025-05-20 11:39:00,600,,594,,580,,591.5,,593,593,,594,590,594,595,593.17</t>
  </si>
  <si>
    <t>2025-05-20 11:39:00,525,,520,,500,,519,,521,,,520,518,519,516,520.55</t>
  </si>
  <si>
    <t>2025-05-20 11:39:00,6000,,5950,,5700,,5940,5950,,,,6000,5900,5930,5990,5942.25</t>
  </si>
  <si>
    <t>2025-05-20 11:39:00,21325,,21450,,21325,,21300,,,,,21450,21050,21050,21450,21367.75</t>
  </si>
  <si>
    <t>2025-05-20 11:39:00,2077473342.50536,16576204710.2752,-18339.198491704,-19521,2114.70844155844,902.61,-618.608093604782,1147.07,593.17</t>
  </si>
  <si>
    <t>2025-05-20 11:39:00,128701166.74408,5119045638.70665,-2207.84979175654,-5087,1021.62876806884,-749.53,-113.278511729036,-802.57,520.55</t>
  </si>
  <si>
    <t>2025-05-20 11:39:00,30260014.0411493,64622358.4469066,126,1319,8607.96700000001,9958.3,14.7506937634689,547.65,5942.25</t>
  </si>
  <si>
    <t>2025-05-20 11:39:00,189229065.369827,51515.4524265197,33.0040043290044,23,1041.1529491342,639.72,0.0346381681820346,8.35,21367.75</t>
  </si>
  <si>
    <t>2025-05-20 11:40:00,600,,594,,580,,591.5,,,,,594,590,594,595,593.31</t>
  </si>
  <si>
    <t>2025-05-20 11:40:00,525,,520,,500,,519,,,,,520,518,519,516,520.68</t>
  </si>
  <si>
    <t>2025-05-20 11:40:00,6000,,5950,,5700,,5940,,,,,6000,5900,5930,5990,5943.75</t>
  </si>
  <si>
    <t>2025-05-20 11:40:00,21325,,21450,,21325,,21300,,,,,21450,21050,21050,21450,21373.25</t>
  </si>
  <si>
    <t>2025-05-20 11:40:00,2133710825.32018,17970340037.384,-11819.4672131146,-10251,1161.32512698413,-633.03,-340.672007957357,148.59,593.31</t>
  </si>
  <si>
    <t>2025-05-20 11:40:00,150105387.343907,5334536655.96216,-1099.88334450105,-1115,-2014.94520506244,-2612.37,-104.882218748976,-1010.75,520.68</t>
  </si>
  <si>
    <t>2025-05-20 11:40:00,33921587.415105,84858188.013849,701.730000000001,-278,3554.5713,1709.83,-13.7442581183382,66.53,5943.75</t>
  </si>
  <si>
    <t>2025-05-20 11:40:00,188729913.046033,103051.995495765,-13.3583333333333,-16,-95.8825952380954,-33.88,0.0285355074089391,-1.54,21373.25</t>
  </si>
  <si>
    <t>2025-05-20 11:41:00,600,,594,,580,,591.5,,,,,594,590,594,595,593.17</t>
  </si>
  <si>
    <t>2025-05-20 11:41:00,525,,520,,500,,519,,,,,520,518,519,516,520.56</t>
  </si>
  <si>
    <t>2025-05-20 11:41:00,6000,,5950,,5700,,5940,,5950,,,6000,5900,5930,5990,5942.25</t>
  </si>
  <si>
    <t>2025-05-20 11:41:00,21325,,21450,,21325,,21300,,,,,21450,21050,21050,21450,21369</t>
  </si>
  <si>
    <t>2025-05-20 11:41:00,2105159086.88813,18319316217.0763,-4723.68836558026,-11064,-771.069750000001,-3073.33,543.81313359095,-1444.79,593.17</t>
  </si>
  <si>
    <t>2025-05-20 11:41:00,159567062.6404,5728365986.92358,-1357.28223129514,-2448,467.068108448291,-116.67,-26.7732978758433,-657.93,520.56</t>
  </si>
  <si>
    <t>2025-05-20 11:41:00,31113068.5317959,75199914.5092653,-367.880000000002,-1552,1356.76039999997,-5302.56,-5.76340377583946,-393.21,5942.25</t>
  </si>
  <si>
    <t>2025-05-20 11:41:00,188799032.516352,61318.9415029142,0.949999999999992,25,75.5288571428571,120.56,-0.0291421938830783,1.97,21369</t>
  </si>
  <si>
    <t>2025-05-20 11:42:00,600,,594,,580,,591.5,,,,,594,590,594,595,593.23</t>
  </si>
  <si>
    <t>2025-05-20 11:42:00,525,,520,,500,,519,,,,,520,518,519,516,520.57</t>
  </si>
  <si>
    <t>2025-05-20 11:42:00,6000,,5950,,5700,,5940,,,,,6000,5900,5930,5990,5943</t>
  </si>
  <si>
    <t>2025-05-20 11:42:00,21325,,21450,,21325,,21300,,,,,21450,21050,21050,21450,21368.5</t>
  </si>
  <si>
    <t>2025-05-20 11:42:00,2109105400.48014,18316296247.873,-3964.30649784986,-7223,7600.91505555552,6286.12,303.190507566137,2316.45,593.23</t>
  </si>
  <si>
    <t>2025-05-20 11:42:00,149023523.555177,5420269645.71643,1503.69248903508,1724,1712.87633497807,1529.89,24.1291054754918,748.1,520.57</t>
  </si>
  <si>
    <t>2025-05-20 11:42:00,32804535.3004027,94439820.1610679,651.722222222221,616,3992.57916666666,3340.29,1.38265162464395,188.11,5943</t>
  </si>
  <si>
    <t>2025-05-20 11:42:00,189735147.203896,59201.9911887108,4.5085714285714,-12,93.138514285714,-81.1,-0.0349449568983498,-1.89,21368.5</t>
  </si>
  <si>
    <t>2025-05-20 11:43:00,600,,594,,580,,591.5,593,,,,594,590,594,595,593.27</t>
  </si>
  <si>
    <t>2025-05-20 11:43:00,525,,520,,500,,519,,,,,520,518,519,516,520.56</t>
  </si>
  <si>
    <t>2025-05-20 11:43:00,6000,,5950,,5700,,5940,,5950,5940,,6000,5900,5930,5990,5943.25</t>
  </si>
  <si>
    <t>2025-05-20 11:43:00,21325,,21450,,21325,,21300,,,,,21450,21050,21050,21450,21368.25</t>
  </si>
  <si>
    <t>2025-05-20 11:43:00,2135999226.88262,18509499297.3447,-9140.29141104304,-14171,10275.982012987,8945.9,379.104707910444,4397.75,593.27</t>
  </si>
  <si>
    <t>2025-05-20 11:43:00,131483531.36623,5247140881.5344,1800.44217824782,1811,2600.70834877028,2521.15,121.527461516632,903.16,520.56</t>
  </si>
  <si>
    <t>2025-05-20 11:43:00,32059227.3666859,90621529.7870844,1098.03,1332,18081.5594,8180.12,-13.0695860448492,274.32,5943.25</t>
  </si>
  <si>
    <t>2025-05-20 11:43:00,189239301.993256,82938.5481855385,18.6088850174216,-1,463.358133101044,-276.2,-0.0400226312789176,-3.3,21368.25</t>
  </si>
  <si>
    <t>2025-05-20 11:44:00,600,,594,,580,,591.5,,,,,594,590,594,595,593.36</t>
  </si>
  <si>
    <t>2025-05-20 11:44:00,525,,520,,500,,519,,521,,,520,518,519,516,520.68</t>
  </si>
  <si>
    <t>2025-05-20 11:44:00,6000,,5950,,5700,,5940,5950,,,,6000,5900,5930,5990,5944.5</t>
  </si>
  <si>
    <t>2025-05-20 11:44:00,21325,,21450,,21325,,21300,,,,,21450,21050,21050,21450,21373.5</t>
  </si>
  <si>
    <t>2025-05-20 11:44:00,2164183515.71124,18981523051.7479,-9828.89757445638,-7879,535.780357142859,-271.56,-158.901321945082,-214.33,593.36</t>
  </si>
  <si>
    <t>2025-05-20 11:44:00,148866227.751283,5498696035.35407,-409.40349206349,-3370,-124.915206349203,-2814.15,-386.616451039541,-1372.36,520.68</t>
  </si>
  <si>
    <t>2025-05-20 11:44:00,34734305.7162122,102859261.119326,-210.166666666668,-426,1145.29333333333,-1423.22,2.53354341759278,-75.29,5944.5</t>
  </si>
  <si>
    <t>2025-05-20 11:44:00,187985018.604104,72607.2842927189,-5.02222222222223,2,79.0399999999998,189.2,0.0100519233249536,2.86,21373.5</t>
  </si>
  <si>
    <t>2025-05-20 11:45:00,600,,594,,580,,591.5,593,,,,594,590,594,595,593.39</t>
  </si>
  <si>
    <t>2025-05-20 11:45:00,525,,520,,500,,519,,,,,520,518,531,516,520.75</t>
  </si>
  <si>
    <t>2025-05-20 11:45:00,6000,,5950,,5700,,5940,,,,,6000,5900,5930,5990,5944.75</t>
  </si>
  <si>
    <t>2025-05-20 11:45:00,21325,,21450,,21325,,21300,,,,,21450,21050,21050,21000,21376.5</t>
  </si>
  <si>
    <t>2025-05-20 11:45:00,2164507558.83225,18833562942.2464,-16079.9268292682,-13111,7475.97003571429,3573.4,-78.0536358224536,1495.04,593.39</t>
  </si>
  <si>
    <t>2025-05-20 11:45:00,151214982.113601,5330634411.95763,-2527.96330362206,-4440,297.90751465418,-1653.96,120.306777392019,-1510.32,520.75</t>
  </si>
  <si>
    <t>2025-05-20 11:45:00,34913746.689917,108337901.878492,757.416666666668,1168,8590.88733333337,7111.85,1.35564136910868,326.98,5944.75</t>
  </si>
  <si>
    <t>2025-05-20 11:45:00,188286344.796346,74704.8903711322,-130.622222222222,-19,-366.624666666666,-9.76000000000001,0.0587129513934756,0.77,21376.5</t>
  </si>
  <si>
    <t>2025-05-20 11:46:00,600,,594,,580,,591.5,,,,,594,590,594,595,593.3</t>
  </si>
  <si>
    <t>2025-05-20 11:46:00,525,,520,,500,,519,,,521,,520,518,531,516,520.66</t>
  </si>
  <si>
    <t>2025-05-20 11:46:00,6000,,5950,,5700,,5940,5950,,,,6000,5900,5930,5990,5943.75</t>
  </si>
  <si>
    <t>2025-05-20 11:46:00,21325,,21450,,21325,,21300,,,,,21450,21050,21050,21000,21372.5</t>
  </si>
  <si>
    <t>2025-05-20 11:46:00,2165493268.6935,19379150682.5364,-4222.45785876994,-7065,749.132242063491,715.78,-268.935480879162,250.61,593.3</t>
  </si>
  <si>
    <t>2025-05-20 11:46:00,158094307.856837,5660718344.18196,2150.66866447729,3135,1674.01744581281,1780.6,-76.3022617601732,955.99,520.66</t>
  </si>
  <si>
    <t>2025-05-20 11:46:00,33281871.6802185,103457128.274465,312.066666666666,26,2663.86599999999,1275.87,12.2784702805859,78.61,5943.75</t>
  </si>
  <si>
    <t>2025-05-20 11:46:00,189123623.060633,73917.6620706037,1.42916666666666,5,26.9025416666666,60.76,-0.00129401072337076,1,21372.5</t>
  </si>
  <si>
    <t>2025-05-20 11:47:00,600,,594,,580,,591.5,,,,,594,590,594,595,593.4</t>
  </si>
  <si>
    <t>2025-05-20 11:47:00,525,,520,,500,,519,,,,,520,518,531,516,520.74</t>
  </si>
  <si>
    <t>2025-05-20 11:47:00,6000,,5950,,5700,,5940,,,,,6000,5900,5930,5990,5944.5</t>
  </si>
  <si>
    <t>2025-05-20 11:47:00,21325,,21450,,21325,,21300,,,,,21450,21050,21050,21000,21376</t>
  </si>
  <si>
    <t>2025-05-20 11:47:00,2194981494.70792,20322143364.375,-6649.30740037941,-6601,766.879507936508,2359.43,-142.587388829442,1441.34,593.4</t>
  </si>
  <si>
    <t>2025-05-20 11:47:00,158354955.695151,5758484741.98336,-863.458703255313,-669,373.442695722358,448.46,49.3813447095735,-105.04,520.74</t>
  </si>
  <si>
    <t>2025-05-20 11:47:00,34246999.2800899,102162954.041571,-369.545,-811,-3960.56055000001,-5841.46,0.398315661173906,-307.16,5944.5</t>
  </si>
  <si>
    <t>2025-05-20 11:47:00,188082963.435064,71667.5138618284,-4.22817460317461,-22,-14.4927619047618,-227.75,-0.0198218210517533,-3.25,21376</t>
  </si>
  <si>
    <t>2025-05-20 11:48:00,600,,594,,580,,591.5,,,,,594,590,594,595,593.38</t>
  </si>
  <si>
    <t>2025-05-20 11:48:00,525,,520,,500,,519,,,,,520,518,531,516,520.74</t>
  </si>
  <si>
    <t>2025-05-20 11:48:00,6000,,5950,,5700,,5940,,,,,6000,5900,5930,5990,5944.5</t>
  </si>
  <si>
    <t>2025-05-20 11:48:00,21325,,21450,,21325,,21300,,,,,21450,21050,21050,21000,21376.25</t>
  </si>
  <si>
    <t>2025-05-20 11:48:00,2184150747.0764,20097125627.233,-3203.97108154999,-5602,1320.93332539683,752.23,63.6653495609166,127.87,593.38</t>
  </si>
  <si>
    <t>2025-05-20 11:48:00,170401679.687606,5792369845.70831,2899.86620768789,2556,3213.56898221457,2669.49,-135.900667629574,1108.41,520.74</t>
  </si>
  <si>
    <t>2025-05-20 11:48:00,34563979.9577803,115909518.559794,163.84,378,1401.1351,352.09,-0.508596460942281,37.95,5944.5</t>
  </si>
  <si>
    <t>2025-05-20 11:48:00,189655690.469567,119259.568764327,1.6,8,74.8233333333332,171.75,-0.00102921487459919,2.48,21376.25</t>
  </si>
  <si>
    <t>2025-05-20 11:49:00,600,,594,,580,,591.5,,,,,594,590,594,595,593.24</t>
  </si>
  <si>
    <t>2025-05-20 11:49:00,525,,521,,500,,519,,,,,520,518,531,516,520.65</t>
  </si>
  <si>
    <t>2025-05-20 11:49:00,6000,,5950,,5700,,5940,,,,,6000,5900,5930,5990,5943</t>
  </si>
  <si>
    <t>2025-05-20 11:49:00,21325,,21450,,21325,,21300,,,,,21450,21050,21050,21000,21371.5</t>
  </si>
  <si>
    <t>2025-05-20 11:49:00,2071852339.69107,17604622139.1393,-1646.12962962965,-6745,510.51977777778,586.06,298.453051124373,248.08,593.24</t>
  </si>
  <si>
    <t>2025-05-20 11:49:00,135444164.248043,5220510335.13581,1716.31954022988,2091,2152.04085057471,1835.56,106.384848374362,945.98,520.65</t>
  </si>
  <si>
    <t>2025-05-20 11:49:00,33111292.5079083,84111943.6043383,-78.7585921325035,210,1499.88379710147,1778.2,-4.21492849746915,69.07,5943</t>
  </si>
  <si>
    <t>2025-05-20 11:49:00,188105142.625087,19121.0182871724,-1.56111111111111,17,132.812182539683,215.4,0.00176841405529414,2.55,21371.5</t>
  </si>
  <si>
    <t>2025-05-20 11:50:00,600,,594,,580,,591.5,,,,,594,590,594,595,593.34</t>
  </si>
  <si>
    <t>2025-05-20 11:50:00,525,,520,,500,,519,,521,,,520,518,531,516,520.745</t>
  </si>
  <si>
    <t>2025-05-20 11:50:00,6000,,5950,,5700,,5940,,,,,6000,5900,5930,5990,5944.25</t>
  </si>
  <si>
    <t>2025-05-20 11:50:00,21325,,21450,,21325,,21300,,,,,21450,21050,21050,21000,21375.75</t>
  </si>
  <si>
    <t>2025-05-20 11:50:00,2156257051.49983,19602948494.2916,-5361.54909851046,-6460,-495.126583333333,-2068.23,-438.695066574996,-997.69,593.34</t>
  </si>
  <si>
    <t>2025-05-20 11:50:00,168706286.873411,5816605250.43104,-1120.13910447761,-1682,-1631.58257313433,-1903.71,-57.4676651906963,-879.12,520.745</t>
  </si>
  <si>
    <t>2025-05-20 11:50:00,33835275.0700461,100490575.921492,-476.613333333332,-518,-2505.36046666665,-1895.73,2.52822934343796,-39.85,5944.25</t>
  </si>
  <si>
    <t>2025-05-20 11:50:00,188336104.991912,80352.3486658841,-4.60833333333332,-4,-158.690833333333,-177.2,-0.0005372328975209,-2.02,21375.75</t>
  </si>
  <si>
    <t>2025-05-20 11:51:00,600,,594,,580,,591.5,,,,,594,590,594,595,593.32</t>
  </si>
  <si>
    <t>2025-05-20 11:51:00,525,,520,,500,,519,,,,,520,518,531,516,520.68</t>
  </si>
  <si>
    <t>2025-05-20 11:51:00,6000,,5950,,5700,,5940,,,,,6000,5900,5930,5990,5944</t>
  </si>
  <si>
    <t>2025-05-20 11:51:00,21325,,21450,,21325,,21300,,,,,21450,21050,21050,21000,21372.25</t>
  </si>
  <si>
    <t>2025-05-20 11:51:00,2116865486.49646,19019863655.3269,-3094.32159329135,-5635,852.127261904763,424.45,-215.865230027622,156.33,593.32</t>
  </si>
  <si>
    <t>2025-05-20 11:51:00,146283190.052929,5191302211.42555,-803.049999999999,-1436,-224.655999999999,-1789.93,-279.426160834615,-739.66,520.68</t>
  </si>
  <si>
    <t>2025-05-20 11:51:00,33924797.9354103,103045877.571,278.435714285715,151,1558.35071428572,-1095.55,2.92481029003171,-56.5,5944</t>
  </si>
  <si>
    <t>2025-05-20 11:51:00,188484884.67566,60060.6065834951,-1.07689255189257,17,143.621118742368,233.05,-0.0134302022520436,3.06,21372.25</t>
  </si>
  <si>
    <t>2025-05-20 11:52:00,600,,594,,580,,591.5,,593,,,594,590,594,595,593.28</t>
  </si>
  <si>
    <t>2025-05-20 11:52:00,525,,520,,500,,519,,,,,520,518,531,516,520.63</t>
  </si>
  <si>
    <t>2025-05-20 11:52:00,6000,,5950,,5700,,5940,,,,,6000,5900,5930,5990,5943.5</t>
  </si>
  <si>
    <t>2025-05-20 11:52:00,21325,,21450,,21325,,21300,,,,,21450,21050,21050,21000,21370.75</t>
  </si>
  <si>
    <t>2025-05-20 11:52:00,2158419143.74718,19750210526.4563,-1446.64298516375,-7078,-2675.84726190476,-3020.12,2.28813055089105,-1470.97,593.28</t>
  </si>
  <si>
    <t>2025-05-20 11:52:00,156322992.342548,5704711200.72469,-1799.57142857143,-2122,-749.215,-1280.21,-39.3864726081438,-673.66,520.63</t>
  </si>
  <si>
    <t>2025-05-20 11:52:00,33585690.7295462,92327016.5537166,-223.891666666667,-714,-1297.49024999998,-3655,-2.12773907476451,-241.31,5943.5</t>
  </si>
  <si>
    <t>2025-05-20 11:52:00,189194271.849674,34720.9949751765,17.7809930809931,9,271.513255596256,148.75,-0.0232390345029738,2.37,21370.75</t>
  </si>
  <si>
    <t>2025-05-20 11:53:00,600,,594,,580,,591.5,,,,,594,590,594,595,593.28</t>
  </si>
  <si>
    <t>2025-05-20 11:53:00,525,,520,,500,,519,,,,,520,518,531,516,520.6</t>
  </si>
  <si>
    <t>2025-05-20 11:53:00,6000,,5950,,5700,,5940,,,,,6000,5900,5930,5990,5943.5</t>
  </si>
  <si>
    <t>2025-05-20 11:53:00,21325,,21450,,21325,,21300,,,,,21450,21050,21050,21000,21369.75</t>
  </si>
  <si>
    <t>2025-05-20 11:53:00,2150714507.38277,19786978879.5038,-2061.55617977525,-5055,1677.09666666667,1851.97,61.8704722926524,1062.98,593.28</t>
  </si>
  <si>
    <t>2025-05-20 11:53:00,142685030.831333,5598658292.06284,-1614.75075526654,-2113,-357.503176048227,-905.38,67.7250200207487,-563.43,520.6</t>
  </si>
  <si>
    <t>2025-05-20 11:53:00,33035628.1024893,101946695.671607,194.758333333333,276,158.839083333331,1655.98,0.68869012867412,82.18,5943.5</t>
  </si>
  <si>
    <t>2025-05-20 11:53:00,189327328.77953,28592.4478074954,-1.88452380952383,22,66.6212976190472,163.01,-0.0200786586863733,2.41,21369.75</t>
  </si>
  <si>
    <t>2025-05-20 11:54:00,600,,594,,580,,591.5,,,,,594,590,594,595,593.3</t>
  </si>
  <si>
    <t>2025-05-20 11:54:00,525,,520,,500,,519,,,,,520,518,531,516,520.63</t>
  </si>
  <si>
    <t>2025-05-20 11:54:00,6000,,5950,,5700,,5940,,,,,6000,5900,5930,5990,5943.75</t>
  </si>
  <si>
    <t>2025-05-20 11:54:00,21325,,21450,,21325,,21300,,,,,21450,21050,21050,21000,21371.75</t>
  </si>
  <si>
    <t>2025-05-20 11:54:00,2135176271.87207,20254346850.3706,-2347.82090522609,-5245,-4993.52885714286,-2718.52,-455.156001842292,-1393.05,593.3</t>
  </si>
  <si>
    <t>2025-05-20 11:54:00,139146995.99173,5736987582.73541,-2315.87926829268,-1464,-2155.1147804878,-1589.98,15.3491088128054,-741.07,520.63</t>
  </si>
  <si>
    <t>2025-05-20 11:54:00,34758917.7821312,93073762.1364682,-486.7,-415,-3623.344,-1579.98,5.35105463158637,-81.26,5943.75</t>
  </si>
  <si>
    <t>2025-05-20 11:54:00,189142275.192118,40266.5213291574,-14.7809523809524,12,-46.8699999999999,-84.8,-0.0200805297961315,-0.9,21371.75</t>
  </si>
  <si>
    <t>2025-05-20 11:55:00,600,,594,,580,,591.5,,,,,594,590,594,595,593.53</t>
  </si>
  <si>
    <t>2025-05-20 11:55:00,525,,521,,500,,519,521,,,,520,518,531,516,520.85</t>
  </si>
  <si>
    <t>2025-05-20 11:55:00,6000,,5950,,5700,,5940,,,,,6000,5900,5930,5990,5946</t>
  </si>
  <si>
    <t>2025-05-20 11:55:00,21325,,21450,,21325,,21300,,,,,21450,21050,21050,21000,21380.75</t>
  </si>
  <si>
    <t>2025-05-20 11:55:00,2260353937.48362,22094266287.4857,-16704.033460604,-12370,3400.91541666667,1374.84,508.874454596837,502.17,593.53</t>
  </si>
  <si>
    <t>2025-05-20 11:55:00,179242080.476555,6024839287.46485,-867.563569763569,-621,1838.98441724942,1858.24,419.108086928915,672.43,520.85</t>
  </si>
  <si>
    <t>2025-05-20 11:55:00,36207849.2527165,137722996.049328,160.340217391304,2,-471.007293478267,446.109999999999,-5.33169419367901,48.24,5946</t>
  </si>
  <si>
    <t>2025-05-20 11:55:00,188929300.081644,133564.368597279,-17.6826388888889,-9,-548.366840277778,-337.45,0.0131184148918921,-4.52,21380.75</t>
  </si>
  <si>
    <t>2025-05-20 11:56:00,600,,594,,580,,591.5,,,,,594,590,594,595,593.48</t>
  </si>
  <si>
    <t>2025-05-20 11:56:00,525,,521,,500,,519,,,,,520,518,531,516,520.79</t>
  </si>
  <si>
    <t>2025-05-20 11:56:00,6000,,5950,,5700,,5940,,5950,5950,,6000,5900,5930,5990,5945.75</t>
  </si>
  <si>
    <t>2025-05-20 11:56:00,21325,,21450,,21325,,21300,,,,,21450,21050,21050,21000,21378.25</t>
  </si>
  <si>
    <t>2025-05-20 11:56:00,2234960325.69772,21746890288.9061,-12750.618929428,-9096,3323.67333333333,3318.12,517.593608260964,1868.53,593.48</t>
  </si>
  <si>
    <t>2025-05-20 11:56:00,178788121.544586,5983609838.07172,1825.64583333334,2206,3573.46395833334,2938.7,80.7673893123016,1132.66,520.79</t>
  </si>
  <si>
    <t>2025-05-20 11:56:00,36963005.5624296,142022076.714932,566.96717537086,757,4317.77146299533,6611.92,-13.1333295204828,295.79,5945.75</t>
  </si>
  <si>
    <t>2025-05-20 11:56:00,189736325.734492,126191.933294231,7.1974025974026,20,408.586688311689,224.23,-0.00035704169528296,2.83,21378.25</t>
  </si>
  <si>
    <t>2025-05-20 11:57:00,600,,594,,580,,591.5,593,,,,594,590,594,595,593.405</t>
  </si>
  <si>
    <t>2025-05-20 11:57:00,525,,521,,500,,519,521,,,,520,518,531,516,520.62</t>
  </si>
  <si>
    <t>2025-05-20 11:57:00,6000,,5950,,5700,,5940,,,,,6000,5900,5930,5990,5944.75</t>
  </si>
  <si>
    <t>2025-05-20 11:57:00,21325,,21450,,21325,,21300,,,,,21450,21050,21050,21000,21371.25</t>
  </si>
  <si>
    <t>2025-05-20 11:57:00,2208217046.26222,21002193727.3078,-5695.6963601531,-10347,3201.50847619048,1369.21,-327.464009987003,222.3,593.405</t>
  </si>
  <si>
    <t>2025-05-20 11:57:00,149349138.549183,5698602784.36078,2772.31666666667,3505,2289.66316666666,2572.77,354.614876887593,1303.26,520.62</t>
  </si>
  <si>
    <t>2025-05-20 11:57:00,34291202.655303,125254234.794741,-26.6250000000024,699,4072.85624999999,1248.24,8.59031547897352,48.65,5944.75</t>
  </si>
  <si>
    <t>2025-05-20 11:57:00,189599969.881,52688.379568743,10.16663003663,6,525.284423443224,311.45,0.00215325493670638,3.8,21371.25</t>
  </si>
  <si>
    <t>2025-05-20 11:58:00,600,,594,,580,,591.5,,,,,594,590,594,595,593.46</t>
  </si>
  <si>
    <t>2025-05-20 11:58:00,525,,521,,500,,519,,,,,520,518,531,516,520.68</t>
  </si>
  <si>
    <t>2025-05-20 11:58:00,6000,,5950,,5700,,5940,,,,,6000,5900,5930,5990,5945.5</t>
  </si>
  <si>
    <t>2025-05-20 11:58:00,21325,,21450,,21325,,21300,,,,,21450,21050,21050,21000,21373.5</t>
  </si>
  <si>
    <t>2025-05-20 11:58:00,2231058015.82517,21858212169.1387,-5118.20738857916,-5053,158.090714285714,-553.34,-115.496300412336,-129.05,593.46</t>
  </si>
  <si>
    <t>2025-05-20 11:58:00,163963942.748055,5992389988.48572,-806.129523141656,-742,-669.413809022909,-672.39,32.2250522268703,-334.46,520.68</t>
  </si>
  <si>
    <t>2025-05-20 11:58:00,35697763.1956472,131274846.666143,73.7833333333329,298,580.889166666664,2072.53,-0.962594123479825,124.08,5945.5</t>
  </si>
  <si>
    <t>2025-05-20 11:58:00,189615225.207955,74994.55835636,0.8948051948052,-3,16.1315584415586,-40.9,-0.00244303853663547,-0.62,21373.5</t>
  </si>
  <si>
    <t>2025-05-20 11:59:00,600,,594,,580,,591.5,,,,,594,590,594,595,593.35</t>
  </si>
  <si>
    <t>2025-05-20 11:59:00,525,,521,,500,,519,,,,,520,518,531,516,520.55</t>
  </si>
  <si>
    <t>2025-05-20 11:59:00,6000,,5950,,5700,,5940,,,,,6000,5900,5930,5990,5944.25</t>
  </si>
  <si>
    <t>2025-05-20 11:59:00,21325,,21450,,21325,,21300,,,,,21450,21050,21050,21000,21367.75</t>
  </si>
  <si>
    <t>2025-05-20 11:59:00,2194615857.08659,21235321540.8737,-2017.02729502085,-5605,283.083392857143,-1118.57,-97.7488065684956,-622.58,593.35</t>
  </si>
  <si>
    <t>2025-05-20 11:59:00,147127776.747816,5819115249.56944,-19.3304597701147,-218,265.604310344828,-92.79,4.05243746407263,-43.83,520.55</t>
  </si>
  <si>
    <t>2025-05-20 11:59:00,34360382.904425,111772054.795933,-56.9285714285717,290,1722.54514285714,2117.47,-0.294979411030286,68.9,5944.25</t>
  </si>
  <si>
    <t>2025-05-20 11:59:00,190051922.444337,17415.7625187528,2.02252747252747,13,183.555923076923,117.34,0.0174337517751347,1.47,21367.75</t>
  </si>
  <si>
    <t>2025-05-20 12:00:00,600,,594,,580,,591.5,,,,,594,590,594,595,593.52</t>
  </si>
  <si>
    <t>2025-05-20 12:00:00,525,,521,,500,,519,,,,,520,518,531,516,520.704</t>
  </si>
  <si>
    <t>2025-05-20 12:00:00,6000,,5950,,5700,,5940,,,,,6000,5900,5930,5990,5946.25</t>
  </si>
  <si>
    <t>2025-05-20 12:00:00,21325,,21450,,21325,,21300,,,,,21450,21050,21050,21000,21374</t>
  </si>
  <si>
    <t>2025-05-20 12:00:00,2253642408.65586,22659507956.3018,-12359.1370481928,-7169,903.314285714286,1290.89,-11.5518060150603,934.52,593.52</t>
  </si>
  <si>
    <t>2025-05-20 12:00:00,157737143.875137,6091368283.5704,-202.275862068968,-164,-473.866494252877,-649.94,-41.1293570394848,-240.27,520.704</t>
  </si>
  <si>
    <t>2025-05-20 12:00:00,36924147.2410757,142047677.272614,-737.183333333333,-848,-1808.67116666666,-1478.74,3.14623276552626,-84.41,5946.25</t>
  </si>
  <si>
    <t>2025-05-20 12:00:00,189608459.023237,48215.2723634265,-84.1015151515151,-44,-1038.56818181818,-721.8,0.0752959450329679,-10.52,21374</t>
  </si>
  <si>
    <t>2025-05-20 12:02:00,600,,594,,580,,591.5,,594,,,594,590,594,595,593.61</t>
  </si>
  <si>
    <t>2025-05-20 12:02:00,525,,521,,500,,519,,,,,520,518,531,516,520.74</t>
  </si>
  <si>
    <t>2025-05-20 12:02:00,6000,,5950,,5700,,5940,,,,,6000,5900,5930,5990,5947</t>
  </si>
  <si>
    <t>2025-05-20 12:02:00,21325,,21450,,21325,,21300,,,,,21450,21050,21050,21000,21376</t>
  </si>
  <si>
    <t>2025-05-20 12:02:00,2294549214.9975,23197953564.1032,-20915.0984848481,-16906,-646.342797619053,-4514.29,688.910803534188,-2818.43,593.61</t>
  </si>
  <si>
    <t>2025-05-20 12:02:00,159852479.672491,6074852907.40118,-449.001082251082,-73,66.4686580086582,145.71,25.8151458497692,-110.66,520.74</t>
  </si>
  <si>
    <t>2025-05-20 12:02:00,37746473.7457691,159276177.695698,23.8499999999973,-175,1496.97299999998,-1435.18,-1.78737482587652,-93.24,5947</t>
  </si>
  <si>
    <t>2025-05-20 12:02:00,189992315.535068,81417.7043573417,-6.71619047619048,-12,96.6043238095237,-135.28,0.0101691223361617,-2.44,21376</t>
  </si>
  <si>
    <t>2025-05-20 12:03:00,600,,594,,580,,591.5,,,,,594,590,594,595,593.665</t>
  </si>
  <si>
    <t>2025-05-20 12:03:00,525,,521,,500,,519,,,,,520,518,531,516,520.755</t>
  </si>
  <si>
    <t>2025-05-20 12:03:00,6000,,5950,,5700,,5940,,,,,6000,5900,5930,5990,5947.25</t>
  </si>
  <si>
    <t>2025-05-20 12:03:00,21325,,21450,,21325,,21300,,,,,21450,21050,21050,21000,21376.75</t>
  </si>
  <si>
    <t>2025-05-20 12:03:00,2307527543.77064,24403168721.8224,-10673.0583333332,-7171,816.768730158731,-44.3000000000001,364.218971868103,20.79,593.665</t>
  </si>
  <si>
    <t>2025-05-20 12:03:00,167015366.056018,6388215143.98073,-46.75,395,-129.355,202.69,-41.9564993837395,127.23,520.755</t>
  </si>
  <si>
    <t>2025-05-20 12:03:00,38336714.0312138,164987155.075645,-202.44,-504,114.076399999999,-2617.24,-3.67177957080019,-162.85,5947.25</t>
  </si>
  <si>
    <t>2025-05-20 12:03:00,190219933.206477,110792.233492914,-0.231666666666694,-16,-18.2362333333344,-227.38,-0.0306276152791753,-3.67,21376.75</t>
  </si>
  <si>
    <t>2025-05-20 12:04:00,600,,594,,580,,591.5,594,,,,594,590,594,595,593.61</t>
  </si>
  <si>
    <t>2025-05-20 12:04:00,525,,521,,500,,519,,,,,520,518,531,516,520.68</t>
  </si>
  <si>
    <t>2025-05-20 12:04:00,6000,,5950,,5700,,5940,,,,,6000,5900,5930,5990,5947</t>
  </si>
  <si>
    <t>2025-05-20 12:04:00,21325,,21450,,21325,,21300,,,,,21450,21050,21050,21000,21373</t>
  </si>
  <si>
    <t>2025-05-20 12:04:00,2299498197.70892,23899829097.692,-7881.59777731752,-8140,3002.92513636364,2520.54,116.817856669605,1583.27,593.61</t>
  </si>
  <si>
    <t>2025-05-20 12:04:00,148399150.31285,6077515378.1952,-1457.28205128205,-1177,-965.322820512822,-932.24,24.1581633922102,-506.94,520.68</t>
  </si>
  <si>
    <t>2025-05-20 12:04:00,38373691.00861,173260368.182788,6.66666666666788,-243,5246.94516666669,219.36,-5.51543498922698,-83.25,5947</t>
  </si>
  <si>
    <t>2025-05-20 12:04:00,190659829.485226,85066.4979816035,0.142582781456948,16,-3.65335463576173,97.21,-0.0128014822371939,1.65,21373</t>
  </si>
  <si>
    <t>2025-05-20 12:05:00,600,,594,,580,,591.5,,,,,594,590,594,595,593.72</t>
  </si>
  <si>
    <t>2025-05-20 12:05:00,525,,521,,500,,519,,,,,520,518,531,516,520.82</t>
  </si>
  <si>
    <t>2025-05-20 12:05:00,6000,,5950,,5700,,5940,,,,,6000,5900,5930,5990,5948</t>
  </si>
  <si>
    <t>2025-05-20 12:05:00,21325,,21450,,21325,,21300,,,,,21450,21050,21050,21000,21378.75</t>
  </si>
  <si>
    <t>2025-05-20 12:05:00,2358137164.86648,25899285858.2926,-21833.7365732704,-13761,-1516.37226984127,-10964.03,-561.503652824487,-5369.95,593.72</t>
  </si>
  <si>
    <t>2025-05-20 12:05:00,170214289.477983,6428501517.66633,-638.77140255009,-774,-689.626666666666,-777.53,-133.019996355026,-365.4,520.82</t>
  </si>
  <si>
    <t>2025-05-20 12:05:00,39664946.3084021,188613462.344702,-406.799999999999,-592,-1340.62399999999,-2984.02,-8.29253015317796,-168.8,5948</t>
  </si>
  <si>
    <t>2025-05-20 12:05:00,190935967.907399,153683.578251528,-8.65595238095239,10,-124.34630952381,197.85,-0.0422200512229993,3.26,21378.75</t>
  </si>
  <si>
    <t>2025-05-20 12:06:00,600,,594,,580,,591.5,,,594,,594,590,594,595,593.76</t>
  </si>
  <si>
    <t>2025-05-20 12:06:00,525,,521,,500,,519,,,,,520,518,531,516,520.88</t>
  </si>
  <si>
    <t>2025-05-20 12:06:00,6000,,5950,,5700,,5940,,,,,5970,5900,5930,5990,5948.25</t>
  </si>
  <si>
    <t>2025-05-20 12:06:00,21325,,21450,,21325,,21300,,,,,21450,21050,21050,21000,21382.25</t>
  </si>
  <si>
    <t>2025-05-20 12:06:00,2385815297.47278,25906820062.4991,-21378.5847905516,-11679,2957.13570346319,-1012.07,-229.182258162309,-146.03,593.76</t>
  </si>
  <si>
    <t>2025-05-20 12:06:00,195106873.671229,6807127894.57667,-132.624600406859,160,-333.706186428365,97.0600000000001,-99.4282223720534,2.31000000000006,520.88</t>
  </si>
  <si>
    <t>2025-05-20 12:06:00,40595458.5214407,205577394.546334,249.965000000002,986,2889.39470000002,2603.04,-0.0467305872853623,187.08,5948.25</t>
  </si>
  <si>
    <t>2025-05-20 12:06:00,190587252.531715,195635.020076988,-3.08785714285715,-3,39.2343285714285,64.2,0.0167087642981436,0.59,21382.25</t>
  </si>
  <si>
    <t>2025-05-20 12:07:00,600,,594,,580,,591.5,,,,,594,590,594,595,593.7</t>
  </si>
  <si>
    <t>2025-05-20 12:07:00,525,,521,,500,,519,,,,,520,518,531,516,520.83</t>
  </si>
  <si>
    <t>2025-05-20 12:07:00,6000,,5950,,5700,,5940,,5950,,,5970,5900,5930,5990,5948</t>
  </si>
  <si>
    <t>2025-05-20 12:07:00,21325,,21450,,21325,,21300,,,,,21450,21050,21050,21000,21379.5</t>
  </si>
  <si>
    <t>2025-05-20 12:07:00,2347330893.42221,25018863337.9285,-10881.6751180626,-6845,-113.905999999997,-1760.2,273.607219354942,-907.18,593.7</t>
  </si>
  <si>
    <t>2025-05-20 12:07:00,174387319.635293,6437637343.54884,-158.479308588794,-1128,233.478212574299,-341.52,-62.1666353138263,-176.45,520.83</t>
  </si>
  <si>
    <t>2025-05-20 12:07:00,39839704.8292075,189771906.159555,-576.199999999999,-1045,-4202.64999999999,-9741.72,-11.6799364035088,-506.55,5948</t>
  </si>
  <si>
    <t>2025-05-20 12:07:00,190418383.967864,152630.914980187,-12.8845238095238,0,-220.186952380952,-135.15,-0.000226743298609926,-1.47,21379.5</t>
  </si>
  <si>
    <t>2025-05-20 12:08:00,600,,594,,580,,591.5,,,,,594,590,594,595,593.705</t>
  </si>
  <si>
    <t>2025-05-20 12:08:00,525,,521,,500,,519,,,,,520,518,531,516,520.86</t>
  </si>
  <si>
    <t>2025-05-20 12:08:00,6000,,5950,,5700,,5940,,,,,5970,5900,5930,5990,5948</t>
  </si>
  <si>
    <t>2025-05-20 12:08:00,21325,,21450,,21325,,21300,,,,,21450,21050,21050,21000,21380.75</t>
  </si>
  <si>
    <t>2025-05-20 12:08:00,2368434395.55351,25644018515.0226,-7172.14406036143,-5089,1193.01071428571,801.08,145.152316591547,410.67,593.705</t>
  </si>
  <si>
    <t>2025-05-20 12:08:00,193214388.857481,6652562005.27535,530.391604010026,621,1197.96105472013,1173,2.21844145042536,273.06,520.86</t>
  </si>
  <si>
    <t>2025-05-20 12:08:00,38654478.3117159,214475322.413659,630.860000000003,715,5550.52480000002,2797.94,3.06543755355343,154.47,5948</t>
  </si>
  <si>
    <t>2025-05-20 12:08:00,192268013.482611,239778.581859868,2.38908322859936,-20,-45.5478177977936,-301.15,-0.057713446715477,-4.71,21380.75</t>
  </si>
  <si>
    <t>2025-05-20 12:09:00,600,,594,,580,,591.5,,,,,594,590,594,595,593.74</t>
  </si>
  <si>
    <t>2025-05-20 12:09:00,525,,521,,500,,519,,,,,520,518,531,516,520.86</t>
  </si>
  <si>
    <t>2025-05-20 12:09:00,6000,,5950,,5700,,5940,,,,,5970,5900,5930,5990,5948.25</t>
  </si>
  <si>
    <t>2025-05-20 12:09:00,21325,,21450,,21325,,21300,,,,,21450,21050,21050,21000,21380.75</t>
  </si>
  <si>
    <t>2025-05-20 12:09:00,2373717962.3316,26045879084.7042,-7391.27095238067,-4816,2254.41535714286,1282.34,-59.7031879305779,690.07,593.74</t>
  </si>
  <si>
    <t>2025-05-20 12:09:00,182017845.64647,6575256006.79777,67.9584178498983,172,309.379499661933,173.33,-20.7843015261948,40.42,520.86</t>
  </si>
  <si>
    <t>2025-05-20 12:09:00,39209525.7103545,203993026.890577,394.583333333333,519,1605.58416666667,2101.05,1.71202781780944,167.2,5948.25</t>
  </si>
  <si>
    <t>2025-05-20 12:09:00,191619056.644794,225852.750934851,-3.32142857142857,-4,15.8232142857142,-13.5,0.00618906250572314,-0.26,21380.75</t>
  </si>
  <si>
    <t>2025-05-20 12:10:00,600,,594,,580,,591.5,,,,,594,590,594,595,593.71</t>
  </si>
  <si>
    <t>2025-05-20 12:10:00,525,,521,,500,,519,,,,,520,518,531,516,520.825</t>
  </si>
  <si>
    <t>2025-05-20 12:10:00,6000,,5950,,5700,,5940,,,,,5970,5900,5930,5990,5948</t>
  </si>
  <si>
    <t>2025-05-20 12:10:00,21325,,21450,,21325,,21300,,,,,21450,21050,21050,21000,21379.25</t>
  </si>
  <si>
    <t>2025-05-20 12:10:00,2338426736.6261,24780124119.0894,-6430.21779988935,-4730,-48.1695190476179,-1568.03,-390.115813131353,-885.09,593.71</t>
  </si>
  <si>
    <t>2025-05-20 12:10:00,179437101.318802,6325278547.33378,24.1538822628129,-621,842.104398996574,-64.74,-76.026470729078,-248.31,520.825</t>
  </si>
  <si>
    <t>2025-05-20 12:10:00,39338211.8531919,197228637.243748,112.249999999999,419,100.73399999999,-1289.02,-5.24190559911775,-43.68,5948</t>
  </si>
  <si>
    <t>2025-05-20 12:10:00,191092693.716824,169237.163259042,0.450000000000005,-8,56.5601666666668,-185.31,-0.0175804925940971,-2.72,21379.25</t>
  </si>
  <si>
    <t>2025-05-20 12:11:00,600,,594,,580,,591.5,,,,,594,590,594,595,593.58</t>
  </si>
  <si>
    <t>2025-05-20 12:11:00,525,,521,,500,,519,,,,,520,518,531,516,520.671</t>
  </si>
  <si>
    <t>2025-05-20 12:11:00,6000,,5950,,5700,,5940,,,,,5970,5900,5930,5990,5946.5</t>
  </si>
  <si>
    <t>2025-05-20 12:11:00,21325,,21450,,21325,,21300,,,,,21450,21050,21050,21000,21373.5</t>
  </si>
  <si>
    <t>2025-05-20 12:11:00,2267968332.76079,23737336743.5025,-5926.02644360468,-7236,2327.64785714286,1892.84,142.073404217601,1118.69,593.58</t>
  </si>
  <si>
    <t>2025-05-20 12:11:00,148481687.681474,6069039145.76056,1796.34985125225,1593,2043.28034305383,1522.91,-35.0335278821397,650.39,520.671</t>
  </si>
  <si>
    <t>2025-05-20 12:11:00,38710519.078836,187143819.579045,1219.23217054264,1042,5550.52219379851,4340.29,-7.44386153573405,269.58,5946.5</t>
  </si>
  <si>
    <t>2025-05-20 12:11:00,191810157.146141,110936.340136831,12.3272619047619,12,302.134475,205.45,-0.0128210581324309,3.44,21373.5</t>
  </si>
  <si>
    <t>2025-05-20 12:12:00,600,,594,,580,,591.5,,,,,594,590,594,595,593.67</t>
  </si>
  <si>
    <t>2025-05-20 12:12:00,525,,521,,500,,519,,,,,520,518,531,516,520.81</t>
  </si>
  <si>
    <t>2025-05-20 12:12:00,6000,,5950,,5700,,5940,,,,,5970,5900,5930,5990,5947.5</t>
  </si>
  <si>
    <t>2025-05-20 12:12:00,21325,,21450,,21325,,21300,,,,,21450,21050,21050,21000,21379</t>
  </si>
  <si>
    <t>2025-05-20 12:12:00,2386130371.80933,26978622285.0141,-12089.4457004561,-9868,245.864682539684,-197.73,-164.146833479394,-48.02,593.67</t>
  </si>
  <si>
    <t>2025-05-20 12:12:00,199983335.766585,7238469725.11672,-478.990595479082,-763,-527.157918353576,-1048.61,-28.6388817709969,-453.07,520.81</t>
  </si>
  <si>
    <t>2025-05-20 12:12:00,38510983.7353907,198220568.761243,-558.516666666668,-138,-3829.89900000001,-3769.12,-4.59313505127905,-176.18,5947.5</t>
  </si>
  <si>
    <t>2025-05-20 12:12:00,190946437.304651,188479.491397826,-5.95514041514041,-11,-98.908539194139,-149.59,-0.0146159981324431,-2.51,21379</t>
  </si>
  <si>
    <t>2025-05-20 12:13:00,600,,594,,580,,591.5,,,,,594,590,594,595,593.58</t>
  </si>
  <si>
    <t>2025-05-20 12:13:00,525,,521,,500,,519,,,,,520,518,531,516,520.62</t>
  </si>
  <si>
    <t>2025-05-20 12:13:00,6000,,5950,,5700,,5940,,,,,5970,5900,5930,5990,5946.75</t>
  </si>
  <si>
    <t>2025-05-20 12:13:00,21325,,21450,,21325,,21300,,,,,21450,21050,21050,21000,21371.5</t>
  </si>
  <si>
    <t>2025-05-20 12:13:00,2306335062.05214,25007687126.881,-2891.89784136535,-3842,176.528333333333,-48.3700000000001,-134.969306465259,-88.6499999999999,593.58</t>
  </si>
  <si>
    <t>2025-05-20 12:13:00,167887324.888216,6563825033.22484,338.645832502492,154,502.891196410767,449.7,-23.5312277853418,167.99,520.62</t>
  </si>
  <si>
    <t>2025-05-20 12:13:00,38038892.0225411,168133944.60468,-28.4714285714288,169,-1212.76285714286,-1396.32,1.60695148380147,-110.5,5946.75</t>
  </si>
  <si>
    <t>2025-05-20 12:13:00,191150786.652238,73269.9147984623,16.0653019744483,13,1525.76664499525,1975.72,0.014500827122829,3.82,21371.5</t>
  </si>
  <si>
    <t>2025-05-20 12:14:00,600,,594,,580,,591.5,,,,594,594,590,594,595,593.74</t>
  </si>
  <si>
    <t>2025-05-20 12:14:00,525,,521,,500,,519,,,,,520,518,531,516,520.765</t>
  </si>
  <si>
    <t>2025-05-20 12:14:00,6000,,5960,,5700,,5940,,,,,5970,5900,5930,5990,5948.25</t>
  </si>
  <si>
    <t>2025-05-20 12:14:00,21325,,21450,,21325,,21300,,,,,21450,21050,21050,21000,21376.75</t>
  </si>
  <si>
    <t>2025-05-20 12:14:00,2372449897.73924,25494762617.5341,-23652.9394104797,-13189,-2663.23938492064,-4099.87,724.391461822768,-2208.76,593.74</t>
  </si>
  <si>
    <t>2025-05-20 12:14:00,154707803.777488,6601797978.09883,162.669457968192,551,188.412851671536,578.89,85.4569139706225,366.74,520.765</t>
  </si>
  <si>
    <t>2025-05-20 12:14:00,39738555.2946462,194231187.410581,-300.175,-285,-196.713749999999,664.07,-1.69626581607305,-7.74999999999999,5948.25</t>
  </si>
  <si>
    <t>2025-05-20 12:14:00,191139167.701046,145412.39192026,-9.96845238095238,-16,-35.2703630952381,-64.59,0.00253576496710648,-1.23,21376.75</t>
  </si>
  <si>
    <t>2025-05-20 12:15:00,600,,594,,580,,591.5,,,,,594,590,594,595,593.72</t>
  </si>
  <si>
    <t>2025-05-20 12:15:00,525,,521,,500,,519,,,,,520,518,531,516,520.74</t>
  </si>
  <si>
    <t>2025-05-20 12:15:00,6000,,5960,,5700,,5940,,,,,5970,5900,5930,5990,5948.25</t>
  </si>
  <si>
    <t>2025-05-20 12:15:00,21325,,21450,,21325,,21300,,,,,21450,21050,21050,21000,21375.75</t>
  </si>
  <si>
    <t>2025-05-20 12:15:00,2374080858.16405,25711739354.2333,-13494.6396983519,-8749,-2107.75413095238,-2893.36,-377.109669847801,-1381.07,593.72</t>
  </si>
  <si>
    <t>2025-05-20 12:15:00,168735603.949727,6584532006.08755,-356.428571428572,-398,-427.068571428573,-699.96,-186.888524725647,-353.68,520.74</t>
  </si>
  <si>
    <t>2025-05-20 12:15:00,40418623.2587097,193132761.440995,-974.069147286821,-1075,-5147.24786976744,-7819.22,-5.77039639453003,-462.02,5948.25</t>
  </si>
  <si>
    <t>2025-05-20 12:15:00,191074756.545307,125118.201362131,1.18205128205128,2,-42.6737435897437,-51.68,0.0081730324418478,-0.52,21375.75</t>
  </si>
  <si>
    <t>2025-05-20 12:16:00,600,,594,,580,,591.5,,,,,594,590,594,595,593.7</t>
  </si>
  <si>
    <t>2025-05-20 12:16:00,525,,521,,500,,519,,,,,520,518,531,516,520.67</t>
  </si>
  <si>
    <t>2025-05-20 12:16:00,6000,,5960,,5700,,5940,,,,,5970,5900,5930,5990,5948</t>
  </si>
  <si>
    <t>2025-05-20 12:16:00,21325,,21450,,21325,,21300,,,,,21450,21050,21050,21000,21374.25</t>
  </si>
  <si>
    <t>2025-05-20 12:16:00,2375987402.76645,25241375760.2961,-2703.30472103001,-2853,316.428622710623,-21.4699999999999,-252.173621931216,-34.58,593.7</t>
  </si>
  <si>
    <t>2025-05-20 12:16:00,154784369.638244,6195279972.44018,453.276422764228,557,1147.22735772358,1516.34,-56.8869237441293,456.98,520.67</t>
  </si>
  <si>
    <t>2025-05-20 12:16:00,39951323.3920979,195119867.111104,124.141666666667,707,681.912250000001,3398.56,-5.67421094163293,236.4,5948</t>
  </si>
  <si>
    <t>2025-05-20 12:16:00,191221149.079885,119377.019983567,0,0,0,0,0,0,21374.25</t>
  </si>
  <si>
    <t>2025-05-20 12:17:00,600,,594,,580,,591.5,,,,,594,590,594,595,593.61</t>
  </si>
  <si>
    <t>2025-05-20 12:17:00,525,,521,,500,,519,,,,,520,518,531,516,520.62</t>
  </si>
  <si>
    <t>2025-05-20 12:17:00,6000,,5950,,5700,,5940,,,,,5970,5900,5930,5990,5947</t>
  </si>
  <si>
    <t>2025-05-20 12:17:00,21325,,21450,,21325,,21300,,,,,21450,21050,21050,21000,21371.25</t>
  </si>
  <si>
    <t>2025-05-20 12:17:00,2325442834.60291,25651401939.7634,-9589.62837675354,-13539,7105.353,7451.53,792.224059683053,4086.3,593.61</t>
  </si>
  <si>
    <t>2025-05-20 12:17:00,137175377.23679,6451371802.58369,-2619.7619047619,-3123,-964.47476190476,-998.65,128.939577498569,-861.18,520.62</t>
  </si>
  <si>
    <t>2025-05-20 12:17:00,38007751.9025525,185418196.057564,-313.470000000001,-807,-2237.73110000001,-4019.82,0.0510344072168257,-224.05,5947</t>
  </si>
  <si>
    <t>2025-05-20 12:17:00,190815551.298315,80825.7448379357,-2.22619047619047,1,-1.0928571428571,-50.5,-0.0104416366724642,-0.75,21371.25</t>
  </si>
  <si>
    <t>2025-05-20 12:18:00,600,,594,,580,,591.5,,,,,594,590,594,595,593.66</t>
  </si>
  <si>
    <t>2025-05-20 12:18:00,525,,521,,500,,519,,,,,520,518,531,516,520.64</t>
  </si>
  <si>
    <t>2025-05-20 12:18:00,6000,,5950,,5700,,5940,,,,,5970,5900,5930,5990,5947.25</t>
  </si>
  <si>
    <t>2025-05-20 12:18:00,21325,,21450,,21325,,21300,,,,,21450,21050,21050,21000,21372</t>
  </si>
  <si>
    <t>2025-05-20 12:18:00,2332338019.20595,25393708930.6109,-4389.67797202793,-4287,1320.20452380952,218.84,-306.756683029843,156.23,593.66</t>
  </si>
  <si>
    <t>2025-05-20 12:18:00,131698249.188483,6312804933.33872,-268.357690378074,-243,-137.147459266875,-187,-59.4824485914083,-152.45,520.64</t>
  </si>
  <si>
    <t>2025-05-20 12:18:00,38250431.8585898,175606347.975583,-201.533333333333,-186,92.4386666666645,-214.53,7.09576814826428,-31.47,5947.25</t>
  </si>
  <si>
    <t>2025-05-20 12:18:00,191198127.703413,86850.1184170036,-1,0,-14,0,0,0,21372</t>
  </si>
  <si>
    <t>2025-05-20 12:19:00,600,,594,,580,,591.5,,,,,594,590,594,595,593.475</t>
  </si>
  <si>
    <t>2025-05-20 12:19:00,525,,521,,500,,519,,,,,521,518,531,516,520.44</t>
  </si>
  <si>
    <t>2025-05-20 12:19:00,6000,,5950,,5700,,5940,,5950,,,5970,5900,5930,5990,5945.5</t>
  </si>
  <si>
    <t>2025-05-20 12:19:00,21325,,21450,,21325,,21300,,,,,21500,21050,21050,21000,21363.75</t>
  </si>
  <si>
    <t>2025-05-20 12:19:00,2227906462.40901,24493575904.4704,-811.07538744401,-3444,738.217916666668,-2356.64,-865.052587320892,-1682.97,593.475</t>
  </si>
  <si>
    <t>2025-05-20 12:19:00,121648632.803167,6072491556.86907,-381.275045921428,-1424,-8.67658091542959,-846.87,-110.080835400574,-510.6,520.44</t>
  </si>
  <si>
    <t>2025-05-20 12:19:00,35287604.5478031,160745145.919092,-474.686666666667,-1100,-1764.51656666667,-5166.19,-2.31984457012935,-369.26,5945.5</t>
  </si>
  <si>
    <t>2025-05-20 12:19:00,191370945.679619,11313.2136619365,19.698599439776,102,270.941644257703,381.91,0.166723286305623,8.65,21363.75</t>
  </si>
  <si>
    <t>2025-05-20 12:20:00,600,,594,,580,,591.5,,593,,,594,590,594,595,593.37</t>
  </si>
  <si>
    <t>2025-05-20 12:20:00,525,,521,,500,,519,,,,520,521,518,531,516,520.36</t>
  </si>
  <si>
    <t>2025-05-20 12:20:00,6000,,5950,,5700,,5940,,5950,,,5970,5900,5930,5990,5944.5</t>
  </si>
  <si>
    <t>2025-05-20 12:20:00,21325,,,,21325,,21300,,,,,21500,21050,21050,21000,21360.5</t>
  </si>
  <si>
    <t>2025-05-20 12:20:00,2180619087.13566,22961467790.4957,2356.14424157309,4893,-5432.14009523809,-5692.91,-212.291320009831,-3463.29,593.37</t>
  </si>
  <si>
    <t>2025-05-20 12:20:00,89091457.6884884,5766606238.92849,-4550.82035573123,-2957,-3742.29505533597,-2425.28,158.594459413994,-1276.88,520.36</t>
  </si>
  <si>
    <t>2025-05-20 12:20:00,33914311.8490746,139098044.497638,-1200.71666666666,-1156,-2989.45666666666,-4308.9,5.82561928141978,-323.18,5944.5</t>
  </si>
  <si>
    <t>2025-05-20 12:20:00,191708442.54933,-31608.0291617378,9.35238095238095,2,67.1813333333334,43.8,-0.000623994268996284,0.68,21360.5</t>
  </si>
  <si>
    <t>2025-05-20 12:21:00,600,,594,,580,,591.5,,,593,,594,590,594,595,593.335</t>
  </si>
  <si>
    <t>2025-05-20 12:21:00,525,,521,,500,,519,,,,520,521,518,531,516,520.34</t>
  </si>
  <si>
    <t>2025-05-20 12:21:00,6000,,5950,,5700,,5940,,5950,,,5970,5900,5930,5990,5944.5</t>
  </si>
  <si>
    <t>2025-05-20 12:21:00,21325,,,,21325,,21300,,,,,21500,21050,21050,21000,21360</t>
  </si>
  <si>
    <t>2025-05-20 12:21:00,2168450993.7544,23273164277.1045,2355.84545454573,8353,231.651865079369,-1127.92,-1083.94593860255,-1128.02,593.335</t>
  </si>
  <si>
    <t>2025-05-20 12:21:00,76013485.2009415,5680567955.82068,-3912.95319767442,-4965,-2900.41094089147,-3777.99,248.848584950609,-1992.11,520.34</t>
  </si>
  <si>
    <t>2025-05-20 12:21:00,34657598.9888447,123079201.349349,-515.833333333336,-1832,-2277.52100000001,-6951.67,-18.4835103172482,-506.19,5944.5</t>
  </si>
  <si>
    <t>2025-05-20 12:21:00,190101130.482481,-69931.0174662497,-12.5876050420168,-12,-464.248861344538,-395.17,0.0210896320641024,-5.45,21360</t>
  </si>
  <si>
    <t>2025-05-20 12:22:00,600,,594,,580,,591.5,,,,,594,590,594,595,593.4</t>
  </si>
  <si>
    <t>2025-05-20 12:22:00,525,,521,,500,,519,,,,,521,518,531,516,520.41</t>
  </si>
  <si>
    <t>2025-05-20 12:22:00,6000,,5950,,5700,,5940,,,,,5970,5900,5930,5990,5945</t>
  </si>
  <si>
    <t>2025-05-20 12:22:00,21325,,,,21325,,21300,,,,,21500,21050,21050,21000,21362.75</t>
  </si>
  <si>
    <t>2025-05-20 12:22:00,2203978390.37648,24200522683.8806,-2463.83031889559,-10701,-554.790833333337,-627.25,404.292678101899,-302.91,593.4</t>
  </si>
  <si>
    <t>2025-05-20 12:22:00,100643633.655066,6050564794.63723,-164.976968178016,-885,-265.346948522815,-766.06,45.5769994689821,-310.48,520.41</t>
  </si>
  <si>
    <t>2025-05-20 12:22:00,35240706.5940898,139377468.784731,-489.280392156863,-932,-4536.27260784313,-4714.33,-8.45623351608321,-259.51,5945</t>
  </si>
  <si>
    <t>2025-05-20 12:22:00,190594130.136942,-6569.67226918694,-2.875,-5,-65.2874999999999,-78.7,-0.00218312315481459,-1.38,21362.75</t>
  </si>
  <si>
    <t>2025-05-20 12:23:00,600,,594,,580,,591.5,,,,,594,590,594,595,593.28</t>
  </si>
  <si>
    <t>2025-05-20 12:23:00,525,,521,,500,,519,,,,520,521,518,531,516,520.34</t>
  </si>
  <si>
    <t>2025-05-20 12:23:00,6000,,5950,,5700,,5940,,,,,5970,5900,5930,5990,5944</t>
  </si>
  <si>
    <t>2025-05-20 12:23:00,21325,,,,21325,,21300,,,,,21500,21050,21050,21000,21359</t>
  </si>
  <si>
    <t>2025-05-20 12:23:00,2114912371.19427,23185613459.0806,243.418375241858,-3495,-7914.30261904761,-3558.97,-74.5415337101233,-2203.33,593.28</t>
  </si>
  <si>
    <t>2025-05-20 12:23:00,76648441.6815594,5867664563.25149,-1615.17724622835,-2172,-1791.14669902527,-1363.29,40.6172706303076,-767.53,520.34</t>
  </si>
  <si>
    <t>2025-05-20 12:23:00,33716253.693541,125187325.206774,-361.049999999998,-487,-3124.65299999998,-2664.69,-2.83661153381926,-137.15,5944</t>
  </si>
  <si>
    <t>2025-05-20 12:23:00,190321160.078158,-102985.147804294,-45.2838095238095,-5,-91.696419047619,-75.86,-0.00659174339613624,-0.66,21359</t>
  </si>
  <si>
    <t>2025-05-20 12:24:00,600,,594,,580,,591.5,,,,,594,590,594,595,593.33</t>
  </si>
  <si>
    <t>2025-05-20 12:24:00,525,,521,,500,,519,,,,,521,518,531,516,520.35</t>
  </si>
  <si>
    <t>2025-05-20 12:24:00,6000,,5950,,5700,,5940,,,,,5970,5900,5930,5990,5944.25</t>
  </si>
  <si>
    <t>2025-05-20 12:24:00,21325,,,,21325,,21300,,,,,21500,21050,21050,21000,21360</t>
  </si>
  <si>
    <t>2025-05-20 12:24:00,2163150730.33232,23679493325.2664,1806.62365591374,-12561,511.834742063492,495.46,420.429094293202,427.87,593.33</t>
  </si>
  <si>
    <t>2025-05-20 12:24:00,106557433.026898,5886336055.91522,-561.642857142857,1104,-582.111785714286,446.96,9.45530468977941,295.41,520.35</t>
  </si>
  <si>
    <t>2025-05-20 12:24:00,33585181.5901906,119442106.996963,266.055555555555,165,404.50672222222,213.58,2.67845308779712,29.71,5944.25</t>
  </si>
  <si>
    <t>2025-05-20 12:24:00,190351109.168798,-81817.1217334091,-7.46666666666666,-6,-387.966666666666,-356.1,0.0185057262886402,-4.49,21360</t>
  </si>
  <si>
    <t>2025-05-20 12:25:00,600,,594,,580,,591.5,,,,,594,590,594,595,593.44</t>
  </si>
  <si>
    <t>2025-05-20 12:25:00,525,,521,,500,,519,,,,,521,518,531,516,520.44</t>
  </si>
  <si>
    <t>2025-05-20 12:25:00,6000,,5950,,5700,,5940,,,,,5970,5900,5930,5990,5945.5</t>
  </si>
  <si>
    <t>2025-05-20 12:25:00,21325,,,,21325,,21300,,,,,21500,21050,21050,21000,21364.75</t>
  </si>
  <si>
    <t>2025-05-20 12:25:00,2208280665.70648,25094355191.9503,-2973.11208996066,-7259,423.061190476204,-2047.93,-412.102999114764,-683.78,593.44</t>
  </si>
  <si>
    <t>2025-05-20 12:25:00,101870689.073916,6040028751.35567,1027.81555555556,1246,520.691733333333,546.02,46.4083498307717,350.4,520.44</t>
  </si>
  <si>
    <t>2025-05-20 12:25:00,36001938.8444543,142665650.844922,360.670000000001,545,-549.854899999994,-759.28,3.31974154790373,-8.19,5945.5</t>
  </si>
  <si>
    <t>2025-05-20 12:25:00,190564314.758442,-23972.9475019476,-15.1401343101343,-20,-246.544445177045,-285.97,0.0103670900450775,-3.55,21364.75</t>
  </si>
  <si>
    <t>2025-05-20 12:26:00,600,,594,,580,,591.5,594,,,,594,590,594,595,593.589</t>
  </si>
  <si>
    <t>2025-05-20 12:26:00,525,,521,,500,,519,,,,,521,518,531,516,520.53</t>
  </si>
  <si>
    <t>2025-05-20 12:26:00,6000,,5960,,5700,,5940,,,,,5970,5900,5930,5990,5946.75</t>
  </si>
  <si>
    <t>2025-05-20 12:26:00,21325,,21450,,21325,,21300,,,,,21500,21050,21050,21000,21367.25</t>
  </si>
  <si>
    <t>2025-05-20 12:26:00,2271810055.90411,27006450593.7472,-11898.7837923794,-12274,-1932.27976190474,-3459.21,-426.445714448932,-1094.59,593.589</t>
  </si>
  <si>
    <t>2025-05-20 12:26:00,125264230.992593,6489689130.2899,343.637998102467,-175,78.7513083491467,-879.54,75.2118578834792,-384.31,520.53</t>
  </si>
  <si>
    <t>2025-05-20 12:26:00,36646924.9892705,166418456.001256,-169.756097560975,-524,511.052999999998,-1259.9,-1.96872843894964,-67.75,5946.75</t>
  </si>
  <si>
    <t>2025-05-20 12:26:00,190910026.116958,27634.7102934089,-1.2847619047619,-3,-10.2691238095237,-136.13,-0.000488670189484249,-1.98,21367.25</t>
  </si>
  <si>
    <t>2025-05-20 12:27:00,600,,594,,580,,591.5,,594,,,594,590,594,595,593.66</t>
  </si>
  <si>
    <t>2025-05-20 12:27:00,525,,521,,500,,519,,,,,521,518,531,516,520.62</t>
  </si>
  <si>
    <t>2025-05-20 12:27:00,6000,,5950,,5700,,5940,,5950,,,5970,5900,5930,5990,5947.5</t>
  </si>
  <si>
    <t>2025-05-20 12:27:00,21325,,21450,,21325,,21300,,,,,21500,21050,21050,21000,21371.5</t>
  </si>
  <si>
    <t>2025-05-20 12:27:00,2286704480.11216,27831424433.9427,-3026.65537794008,-10691,578.276917388167,-4704.5,-754.287603090542,-2333.24,593.66</t>
  </si>
  <si>
    <t>2025-05-20 12:27:00,136631451.570247,6720235972.55378,-1270.82857142857,-1357,-743.389714285714,-1142.76,374.140949408081,-576.5,520.62</t>
  </si>
  <si>
    <t>2025-05-20 12:27:00,39043712.9527126,199682153.439409,-10.3215156794428,-426,-1160.40348170732,-5921.29,-6.05045077335576,-277.35,5947.5</t>
  </si>
  <si>
    <t>2025-05-20 12:27:00,190454985.246198,80796.8226741168,-37.2419047619048,-3,72.7840761904765,-7.09000000000001,-0.00120040244246087,0.13,21371.5</t>
  </si>
  <si>
    <t>2025-05-20 12:28:00,600,,594,,580,,591.5,,,,,594,590,594,595,593.52</t>
  </si>
  <si>
    <t>2025-05-20 12:28:00,525,,521,,500,,519,,,,,521,518,531,516,520.515</t>
  </si>
  <si>
    <t>2025-05-20 12:28:00,6000,,5950,,5700,,5940,,,,,5970,5900,5930,5990,5946.25</t>
  </si>
  <si>
    <t>2025-05-20 12:28:00,21325,,21450,,21325,,21300,,,,,21500,21050,21050,21000,21367.25</t>
  </si>
  <si>
    <t>2025-05-20 12:28:00,2257993106.66813,26263115483.0342,-1399.99137931023,1377,1825.22742857143,3215.68,-19.4998845527049,2170.29,593.52</t>
  </si>
  <si>
    <t>2025-05-20 12:28:00,120500294.482823,6354465219.53849,186.630630630631,-102,16.8691891891892,-221.72,177.752352651748,-137.79,520.515</t>
  </si>
  <si>
    <t>2025-05-20 12:28:00,37975052.8670409,180362156.665055,-211.650000000001,-410,1189.80199999997,-125.2,-9.57513172710615,-44.79,5946.25</t>
  </si>
  <si>
    <t>2025-05-20 12:28:00,191104268.927023,39258.6058827836,-11.3690476190476,-9,-15.2209761904762,-79.87,-0.00313126104008762,-1.33,21367.25</t>
  </si>
  <si>
    <t>2025-05-20 12:29:00,600,,594,,580,,591.5,,,,,594,590,594,595,593.45</t>
  </si>
  <si>
    <t>2025-05-20 12:29:00,525,,521,,500,,519,,,,,521,518,531,516,520.45</t>
  </si>
  <si>
    <t>2025-05-20 12:29:00,6000,,5950,,5700,,5940,,,,,5970,5900,5930,5990,5945.5</t>
  </si>
  <si>
    <t>2025-05-20 12:29:00,21325,,,,21325,,21300,,,,,21500,21050,21050,21000,21363.25</t>
  </si>
  <si>
    <t>2025-05-20 12:29:00,2197561525.7423,24843638663.5964,22.5536514119687,115,568.351000000003,975.7,-137.593345155044,465.56,593.45</t>
  </si>
  <si>
    <t>2025-05-20 12:29:00,115225224.39355,6294971858.68342,220.483340576562,-115,375.947522816168,-113.58,50.6973433842268,-22.72,520.45</t>
  </si>
  <si>
    <t>2025-05-20 12:29:00,36143218.0958551,152851020.412172,-136.224999999999,-695,1382.39975,-3082.86,0.213099673315611,-273.02,5945.5</t>
  </si>
  <si>
    <t>2025-05-20 12:29:00,190533818.007889,-30592.5497810124,6.04499999999999,8,185.57795,122.69,0.00157811144199066,2.12,21363.25</t>
  </si>
  <si>
    <t>2025-05-20 12:30:00,600,,594,,580,,591.5,,,,,594,590,594,595,593.36</t>
  </si>
  <si>
    <t>2025-05-20 12:30:00,525,,521,,500,,519,,,,,521,518,531,516,520.331</t>
  </si>
  <si>
    <t>2025-05-20 12:30:00,6000,,5950,,5700,,5940,,,,,5970,5900,5930,5990,5944.5</t>
  </si>
  <si>
    <t>2025-05-20 12:30:00,21325,,,,21325,,21300,,,,,21500,21050,21050,21000,21359.25</t>
  </si>
  <si>
    <t>2025-05-20 12:30:00,2171490456.04879,25100103825.9787,2532.34460522185,-328,-205.083333333337,-618.38,-592.832100115744,-597.49,593.36</t>
  </si>
  <si>
    <t>2025-05-20 12:30:00,101832010.51468,6078637268.61016,-516.818082788671,32,-472.112919389978,-369.85,-138.471265023823,-128.58,520.331</t>
  </si>
  <si>
    <t>2025-05-20 12:30:00,34529928.1879169,150972982.595845,2071.49666666667,1563,6220.60206666668,8946.69,-11.9243807319891,579.51,5944.5</t>
  </si>
  <si>
    <t>2025-05-20 12:30:00,190468865.177431,-91630.00085273,0.366666666666664,22,95.9592380952383,120.52,-0.0198134499705854,2.19,21359.25</t>
  </si>
  <si>
    <t>2025-05-20 12:31:00,600,,594,,580,,591.5,,,,,594,590,594,595,593.45</t>
  </si>
  <si>
    <t>2025-05-20 12:31:00,525,,521,,500,,519,,,,,521,518,531,516,520.38</t>
  </si>
  <si>
    <t>2025-05-20 12:31:00,6000,,5950,,5700,,5940,,,,,5970,5900,5930,5990,5945.5</t>
  </si>
  <si>
    <t>2025-05-20 12:31:00,21325,,,,21325,,21300,,,,,21500,21050,21050,21000,21361.75</t>
  </si>
  <si>
    <t>2025-05-20 12:31:00,2215948713.57451,26381885689.3766,-734.308347615688,-727,-74.2608571428584,-620.84,-76.3486028204051,-719.12,593.45</t>
  </si>
  <si>
    <t>2025-05-20 12:31:00,103854634.808455,6291243155.02077,251.710382513661,-734,412.613278688525,378.68,-116.682911102333,91.95,520.38</t>
  </si>
  <si>
    <t>2025-05-20 12:31:00,35739823.6066957,159400838.571568,-169.283333333333,-493,-2471.423,-3307.97,-0.106635281056227,-223.46,5945.5</t>
  </si>
  <si>
    <t>2025-05-20 12:31:00,190580857.717215,-43183.9402039078,2.16703296703296,0,46.6183626373624,11.65,0.00673504141580654,0.0599999999999999,21361.75</t>
  </si>
  <si>
    <t>2025-05-20 12:32:00,600,,594,,580,,591.5,,,,,594,590,594,595,593.1</t>
  </si>
  <si>
    <t>2025-05-20 12:32:00,525,,521,,500,,519,520,,,520,521,518,531,516,519.98</t>
  </si>
  <si>
    <t>2025-05-20 12:32:00,6000,,5950,,5700,,5940,,,,,5970,5900,5930,5990,5941.75</t>
  </si>
  <si>
    <t>2025-05-20 12:32:00,21325,,,,21325,,21300,,,,,21500,21050,21050,21000,21344.25</t>
  </si>
  <si>
    <t>2025-05-20 12:32:00,2027268212.05033,20608208440.8973,25341.5888645754,14932,-3507.25876190477,4440.13,-1011.12535314993,1368.22,593.1</t>
  </si>
  <si>
    <t>2025-05-20 12:32:00,9310481.20815534,4631984980.52656,4008.71183215939,830,4354.64563487503,1659.64,58.4607303372073,746.06,519.98</t>
  </si>
  <si>
    <t>2025-05-20 12:32:00,30751600.8513814,92906146.4573098,1686.4921978022,1349,5886.81998571427,5485.8,10.3195525530035,335.6,5941.75</t>
  </si>
  <si>
    <t>2025-05-20 12:32:00,191785615.864883,-265936.679509899,81.2559523809523,37,1001.56801190476,540.84,0.0783849409845583,9.4,21344.25</t>
  </si>
  <si>
    <t>2025-05-20 12:33:00,600,,594,,580,,591.5,,593,,,594,590,594,595,592.921</t>
  </si>
  <si>
    <t>2025-05-20 12:33:00,525,,521,,500,,519,,520,,520,521,518,531,520,519.8</t>
  </si>
  <si>
    <t>2025-05-20 12:33:00,6000,,5950,,5700,,5940,5950,,,5940,5970,5900,5930,5990,5940.25</t>
  </si>
  <si>
    <t>2025-05-20 12:33:00,21325,,,,21325,,21325,,,,,21500,21050,21050,21000,21338</t>
  </si>
  <si>
    <t>2025-05-20 12:33:00,1919016680.23313,19084215677.5761,44945.5904103667,34163,-11500.4873044733,-17103.18,338.741095238804,-9115.46,592.921</t>
  </si>
  <si>
    <t>2025-05-20 12:33:00,-41296653.1900552,3909308502.09999,-5056.61639003428,-6933,-5435.10924088766,-5979.71,650.936775131094,-3245.3,519.8</t>
  </si>
  <si>
    <t>2025-05-20 12:33:00,27423247.5770243,18717270.8030971,-641.280000000001,-665,-5747.90139999996,-5627.78,26.8665198799948,-402.27,5940.25</t>
  </si>
  <si>
    <t>2025-05-20 12:33:00,187948791.2938,-509558.392654293,30.0807615690224,50,230.327874055733,896.97,0.00256808500088155,13.02,21338</t>
  </si>
  <si>
    <t>2025-05-20 12:35:00,600,,594,,580,,591.5,,,,593,594,590,594,595,593</t>
  </si>
  <si>
    <t>2025-05-20 12:35:00,525,,521,,500,,519,,,520,,521,518,531,516,519.81</t>
  </si>
  <si>
    <t>2025-05-20 12:35:00,6000,,5950,,5700,,5940,5940,,,5940,5970,5900,5930,5990,5940.75</t>
  </si>
  <si>
    <t>2025-05-20 12:35:00,21325,,,,21325,,21325,,,,,21500,21050,21050,21000,21337.5</t>
  </si>
  <si>
    <t>2025-05-20 12:35:00,1960861490.62152,21510425720.4227,17835.2155532361,22641,-5126.86684848485,-6327.97,1219.04652924543,-2693.91,593</t>
  </si>
  <si>
    <t>2025-05-20 12:35:00,-13817256.8748624,4480589865.24286,4286.33852113616,4062,2661.13862893416,2324.23,-261.896763565617,1712.78,519.81</t>
  </si>
  <si>
    <t>2025-05-20 12:35:00,27040739.5066664,23282710.9753571,1448.25,762,8068.35600000001,5633.9,34.0717348918694,364.82,5940.75</t>
  </si>
  <si>
    <t>2025-05-20 12:35:00,188070216.118331,-391693.433418205,85.625817555938,-11,826.091612736662,1253.38,0.170076891628588,20.71,21337.5</t>
  </si>
  <si>
    <t>2025-05-20 12:36:00,600,,594,,580,,591.5,593,,,,594,590,594,595,592.94</t>
  </si>
  <si>
    <t>2025-05-20 12:36:00,525,,521,,500,,519,520,,520,,521,518,531,516,519.8</t>
  </si>
  <si>
    <t>2025-05-20 12:36:00,6000,,5950,,5700,,5940,5950,,,,5970,5900,5930,5990,5940.25</t>
  </si>
  <si>
    <t>2025-05-20 12:36:00,21325,,,,21325,,21325,,,,,21500,21050,21050,21000,21337.5</t>
  </si>
  <si>
    <t>2025-05-20 12:36:00,1896705288.70417,19476979973.2528,13335.4645161288,15909,11673.846547619,9178.92,-66.4132078896675,5796.61,592.94</t>
  </si>
  <si>
    <t>2025-05-20 12:36:00,-48956742.0917028,3813896104.74111,1885.87295843357,3843,1041.49634800187,2651.33,390.333107753098,1572.13,519.8</t>
  </si>
  <si>
    <t>2025-05-20 12:36:00,25702775.3422786,25425756.8568132,1405.58,968,4811.52579999999,2979.87,-2.62160962999511,330.58,5940.25</t>
  </si>
  <si>
    <t>2025-05-20 12:36:00,188654326.603274,-383985.216802993,-13.4250793650793,17,-184.153498412697,744.24,-0.019772029359451,11.71,21337.5</t>
  </si>
  <si>
    <t>2025-05-20 12:37:00,600,,594,,580,,591.5,593,,,,594,590,594,595,593.065</t>
  </si>
  <si>
    <t>2025-05-20 12:37:00,525,,521,,500,,519,520,,,,521,518,531,516,519.93</t>
  </si>
  <si>
    <t>2025-05-20 12:37:00,6000,,5950,,5700,,5940,5950,,,,5970,5900,5930,5990,5941.75</t>
  </si>
  <si>
    <t>2025-05-20 12:37:00,21325,,,,21325,,21325,,,,,21500,21050,21050,21000,21343</t>
  </si>
  <si>
    <t>2025-05-20 12:37:00,1977316765.30512,21215367434.4074,465.720679012482,1577,1617.07547619047,3079.58,-359.577819311816,2104.69,593.065</t>
  </si>
  <si>
    <t>2025-05-20 12:37:00,-30725089.0260311,4561316925.74825,3651.45151110258,2403,3659.61150896179,2344.47,348.052314286749,1341.98,519.93</t>
  </si>
  <si>
    <t>2025-05-20 12:37:00,29804158.7158408,72764144.0217087,670.783333333333,-635,3224.41166666669,-2039.18,-7.99449500188896,-28.07,5941.75</t>
  </si>
  <si>
    <t>2025-05-20 12:37:00,188819879.286948,-284809.359131922,-12.9612554112554,-17,-322.311774891774,-345.6,-0.0217592823945422,-5.93,21343</t>
  </si>
  <si>
    <t>2025-05-20 12:38:00,600,,594,,580,,591.5,,,,,594,590,594,595,592.91</t>
  </si>
  <si>
    <t>2025-05-20 12:38:00,525,,521,,500,,519,,,,,521,518,531,516,519.68</t>
  </si>
  <si>
    <t>2025-05-20 12:38:00,6000,,5950,,5700,,5940,,,,5940,5970,5900,5930,5990,5940</t>
  </si>
  <si>
    <t>2025-05-20 12:38:00,21325,,,,21325,,21325,,,,,21500,21050,21050,21000,21332.25</t>
  </si>
  <si>
    <t>2025-05-20 12:38:00,1831674261.31042,17206123845.0863,3742.20034665807,3379,-248.379488095238,-1731.6,-269.659440290417,-1108.67,592.91</t>
  </si>
  <si>
    <t>2025-05-20 12:38:00,-90758267.3797394,3142327599.66743,-541.2375639512,-1110,-785.954071822116,-1510.25,251.585789919408,-714.6,519.68</t>
  </si>
  <si>
    <t>2025-05-20 12:38:00,25037856.7554729,-6722731.7862761,918.949999999988,-239,8511.50299999988,762.24,6.02393913288309,-8.1,5940</t>
  </si>
  <si>
    <t>2025-05-20 12:38:00,187772891.138239,-515062.801407579,0.507092198581559,-1,-8.38613475177307,28.9,-0.0136840223057058,0.14,21332.25</t>
  </si>
  <si>
    <t>2025-05-20 12:39:00,600,,594,,580,,591.5,,,,,594,590,594,595,593.03</t>
  </si>
  <si>
    <t>2025-05-20 12:39:00,525,,521,,500,,519,520,,,,521,518,531,516,519.82</t>
  </si>
  <si>
    <t>2025-05-20 12:39:00,6000,,5950,,5700,,5940,,5940,,,5970,5900,5930,5990,5941.25</t>
  </si>
  <si>
    <t>2025-05-20 12:39:00,21325,,,,21325,,21300,,,,,21500,21050,21050,21000,21338.75</t>
  </si>
  <si>
    <t>2025-05-20 12:39:00,1904521498.08359,19940103202.7591,1951.72893413473,1230,1908.16433333332,404.62,55.7928536057861,480.4,593.03</t>
  </si>
  <si>
    <t>2025-05-20 12:39:00,-47822078.3941911,4220218091.77479,2987.79334013407,3379,2945.11193281843,2541.62,37.1916195727047,1470.74,519.82</t>
  </si>
  <si>
    <t>2025-05-20 12:39:00,27564115.3995183,46235365.5541982,-126.733333333319,29,-4238.59866666655,-4049.99,-13.2362021498787,-227.07,5941.25</t>
  </si>
  <si>
    <t>2025-05-20 12:39:00,189164135.252985,-318394.685114446,-14.7398268398269,-11,-359.210887445888,-232.8,0.0151377339028463,-3.52,21338.75</t>
  </si>
  <si>
    <t>2025-05-20 12:40:00,600,,594,,580,,591.5,,,,,594,590,594,595,592.99</t>
  </si>
  <si>
    <t>2025-05-20 12:40:00,525,,521,,500,,519,,,,,521,518,531,516,519.8</t>
  </si>
  <si>
    <t>2025-05-20 12:40:00,6000,,5950,,5700,,5940,,,,,5970,5900,5930,5990,5940.75</t>
  </si>
  <si>
    <t>2025-05-20 12:40:00,21325,,,,21325,,21325,,,,,21500,21050,21050,21000,21337</t>
  </si>
  <si>
    <t>2025-05-20 12:40:00,1937939068.86458,21189426352.1017,3162.50231042366,1022,-464.684999999999,-1323,-4.14165680578471,-585.4,592.99</t>
  </si>
  <si>
    <t>2025-05-20 12:40:00,-38969358.0521453,4524753448.73608,187.113492063493,257,567.079761904761,534.95,-13.1554627451763,339.61,519.8</t>
  </si>
  <si>
    <t>2025-05-20 12:40:00,27898081.3664758,45675412.7199628,204.3525,91,-1031.311475,1098.78,-3.01922534050717,92.17,5940.75</t>
  </si>
  <si>
    <t>2025-05-20 12:40:00,188373556.362444,-380346.852568143,-4.59191374663074,-3,-164.971617250674,-112,-0.0153155927055279,-1.73,21337</t>
  </si>
  <si>
    <t>2025-05-20 12:41:00,600,,594,,580,,591.5,,,,,594,590,594,595,592.98</t>
  </si>
  <si>
    <t>2025-05-20 12:41:00,525,,521,,500,,519,,,,,521,518,531,516,519.84</t>
  </si>
  <si>
    <t>2025-05-20 12:41:00,6000,,5950,,5700,,5940,,,,,5970,5900,5930,5990,5940.5</t>
  </si>
  <si>
    <t>2025-05-20 12:41:00,21325,,,,21325,,21300,,,,,21500,21050,21050,21000,21339.25</t>
  </si>
  <si>
    <t>2025-05-20 12:41:00,1940264909.65741,22523139633.2521,1547.80193511672,1152,434.572571428573,453.86,-216.596399712311,583.66,592.98</t>
  </si>
  <si>
    <t>2025-05-20 12:41:00,-29219086.8729267,4769172924.5096,-980.780026990556,-1573,-1005.89549932524,-693.71,-75.163920737701,-418.73,519.84</t>
  </si>
  <si>
    <t>2025-05-20 12:41:00,26789173.5105152,64886180.7923121,-136.888888888888,-578,-1937.22022222222,-4396.43,-5.66553349038242,-280.76,5940.5</t>
  </si>
  <si>
    <t>2025-05-20 12:41:00,189150866.137294,-292248.326652406,-18.8637366818874,-13,-626.638283105023,-555.66,-0.0134069974420255,-6.48,21339.25</t>
  </si>
  <si>
    <t>2025-05-20 12:42:00,600,,594,,580,,591.5,,,,,594,590,594,595,593.14</t>
  </si>
  <si>
    <t>2025-05-20 12:42:00,525,,521,,500,,519,,,,,521,518,531,516,520.09</t>
  </si>
  <si>
    <t>2025-05-20 12:42:00,6000,,5950,,5700,,5940,,,,,5970,5900,5930,5990,5942.25</t>
  </si>
  <si>
    <t>2025-05-20 12:42:00,21325,,,,21325,,21325,,,,,21500,21050,21050,21000,21349</t>
  </si>
  <si>
    <t>2025-05-20 12:42:00,1997452457.2312,22847711802.9524,199.333768391176,2971,1438.89974206348,241.1,215.539853994427,603.12,593.14</t>
  </si>
  <si>
    <t>2025-05-20 12:42:00,-4326659.65109836,5638733336.333,1770.54785121313,2784,1079.24604482664,1244.55,162.792238015114,773.52,520.09</t>
  </si>
  <si>
    <t>2025-05-20 12:42:00,29206900.5803743,103739393.934078,-31.1944160272801,-172,582.915416027289,-2327.35,2.06215303233329,-164.9,5942.25</t>
  </si>
  <si>
    <t>2025-05-20 12:42:00,189468031.127191,-115607.298534362,-8.19515600322689,-5,-97.2279037677112,-174.57,0.0140661789756227,-2.28,21349</t>
  </si>
  <si>
    <t>2025-05-20 12:43:00,600,,594,,580,,591.5,,593,,,594,590,594,595,593.05</t>
  </si>
  <si>
    <t>2025-05-20 12:43:00,525,,521,,500,,519,,,,,521,518,531,516,519.92</t>
  </si>
  <si>
    <t>2025-05-20 12:43:00,6000,,5950,,5700,,5940,5940,,,,5970,5900,5930,5990,5941.5</t>
  </si>
  <si>
    <t>2025-05-20 12:43:00,21325,,,,21325,,21300,,,,,21500,21050,21050,21000,21343.5</t>
  </si>
  <si>
    <t>2025-05-20 12:43:00,1974982746.84387,22534641090.6294,5618.81403741344,4401,2298.47373809524,883.7,-139.258645182412,420.79,593.05</t>
  </si>
  <si>
    <t>2025-05-20 12:43:00,-28373327.6013795,5185575380.38742,147.921212121212,-97,346.503696969697,1.77999999999994,68.6735902411154,-86.7900000000001,519.92</t>
  </si>
  <si>
    <t>2025-05-20 12:43:00,29485263.4842422,94663395.2504504,1304.20363636364,358,13464.7512909091,5246.85,-2.15406350595774,294.4,5941.5</t>
  </si>
  <si>
    <t>2025-05-20 12:43:00,189882117.729183,-183181.134931263,9.24825396825396,8,265.236558730158,126.2,0.000329604986741795,2.06,21343.5</t>
  </si>
  <si>
    <t>2025-05-20 12:44:00,600,,594,,580,,591.5,,,,,594,590,594,595,593.05</t>
  </si>
  <si>
    <t>2025-05-20 12:44:00,525,,521,,500,,519,,,,,521,518,531,516,519.945</t>
  </si>
  <si>
    <t>2025-05-20 12:44:00,6000,,5950,,5700,,5940,,,,,5970,5900,5930,5990,5941.5</t>
  </si>
  <si>
    <t>2025-05-20 12:44:00,21325,,,,21325,,21300,,,,,21500,21050,21050,21000,21343</t>
  </si>
  <si>
    <t>2025-05-20 12:44:00,1966171754.79149,22195074533.5853,1484.35402298858,999,3670.80904761905,2354.24,37.5184663248482,1387.19,593.05</t>
  </si>
  <si>
    <t>2025-05-20 12:44:00,-26582825.0180028,4990556264.50808,947.066666666665,701,1226.538,710.97,109.682623158694,351.93,519.945</t>
  </si>
  <si>
    <t>2025-05-20 12:44:00,29880795.4193309,88373741.0490577,437.428378378378,373,3202.71216216209,2649.21,5.10261814426852,186.71,5941.5</t>
  </si>
  <si>
    <t>2025-05-20 12:44:00,190343510.980059,-173168.046442322,0.100000000000001,0,-68.3073333333333,-39.16,0.00294038483969202,-0.4,21343</t>
  </si>
  <si>
    <t>2025-05-20 12:45:00,600,,594,,580,,591.5,,,,,594,590,594,595,592.95</t>
  </si>
  <si>
    <t>2025-05-20 12:45:00,525,,521,,500,,519,,,,,521,518,531,516,519.87</t>
  </si>
  <si>
    <t>2025-05-20 12:45:00,6000,,5950,,5700,,5940,,,,,5970,5900,5930,5990,5940.5</t>
  </si>
  <si>
    <t>2025-05-20 12:45:00,21325,,,,21325,,21300,,,,,21500,21050,21050,21000,21340</t>
  </si>
  <si>
    <t>2025-05-20 12:45:00,1914497791.33023,21011186790.5737,5678.71900826448,5455,-304.419523809524,-2251.72,-170.990721050787,-1633.17,592.95</t>
  </si>
  <si>
    <t>2025-05-20 12:45:00,-14828716.8821112,5194354191.44385,103.089822896901,-371,162.776507273877,-31.75,-49.0132958780516,-74.87,519.87</t>
  </si>
  <si>
    <t>2025-05-20 12:45:00,27264256.2021593,53133231.8106291,666.060476190476,-93,7636.90869523776,3438.67,-8.67896052934299,138.32,5940.5</t>
  </si>
  <si>
    <t>2025-05-20 12:45:00,189776611.110087,-263563.227671282,0.729304029304027,5,-119.194501831502,38.22,-0.010741943614376,0.77,21340</t>
  </si>
  <si>
    <t>2025-05-20 12:46:00,600,,594,,580,,591.5,,,,,594,590,594,595,592.93</t>
  </si>
  <si>
    <t>2025-05-20 12:46:00,525,,521,,500,,519,,,,,521,518,531,516,519.81</t>
  </si>
  <si>
    <t>2025-05-20 12:46:00,6000,,5950,,5700,,5940,,,,,5970,5900,5930,5990,5940</t>
  </si>
  <si>
    <t>2025-05-20 12:46:00,21325,,,,21325,,21300,,,,,21500,21050,21050,21000,21338.5</t>
  </si>
  <si>
    <t>2025-05-20 12:46:00,1922165533.18686,22385054179.4628,6191.27409349925,6365,1624.62733333333,2714.86,-256.278884518803,1565.44,592.93</t>
  </si>
  <si>
    <t>2025-05-20 12:46:00,-12017641.6340282,5413491775.86667,1704.78652138822,1559,1056.36753430186,637.75,139.947529237542,460.29,519.81</t>
  </si>
  <si>
    <t>2025-05-20 12:46:00,24910746.9552653,57077133.956664,839.056666666667,767,4159.0772,3675.22,3.37491217711565,273.21,5940</t>
  </si>
  <si>
    <t>2025-05-20 12:46:00,190693651.899693,-266651.877370105,2.05448717948717,13,16.3869615384615,97.58,-0.026693718955683,2.2,21338.5</t>
  </si>
  <si>
    <t>2025-05-20 12:47:00,600,,594,,580,,591.5,,,,,594,590,594,595,593.02</t>
  </si>
  <si>
    <t>2025-05-20 12:47:00,525,,521,,500,,519,,,,,521,518,531,516,519.93</t>
  </si>
  <si>
    <t>2025-05-20 12:47:00,6000,,5950,,5700,,5940,,,,,5970,5900,5930,5990,5941.25</t>
  </si>
  <si>
    <t>2025-05-20 12:47:00,21325,,,,21325,,21300,,,,,21500,21050,21050,21000,21343.25</t>
  </si>
  <si>
    <t>2025-05-20 12:47:00,1948362667.50775,22948301949.6305,2998.19253246778,1217,-572.370000000001,-1500.22,-397.225848829437,-981.19,593.02</t>
  </si>
  <si>
    <t>2025-05-20 12:47:00,-20029631.0280899,5423971818.99662,-245.652312925169,-489,-367.389363945577,-531.21,66.0444967551375,-298.28,519.93</t>
  </si>
  <si>
    <t>2025-05-20 12:47:00,28404705.3336163,81812358.1683357,2.29285714285752,-907,-977.832571428562,-3752.65,-9.277511180121,-285.66,5941.25</t>
  </si>
  <si>
    <t>2025-05-20 12:47:00,189969520.66984,-202046.191534205,-10.1657234432235,-1,-82.4548753663003,36.45,0.00418952713266491,0.28,21343.25</t>
  </si>
  <si>
    <t>2025-05-20 12:48:00,600,,594,,580,,591.5,,,,,594,590,594,595,592.92</t>
  </si>
  <si>
    <t>2025-05-20 12:48:00,525,,521,,500,,519,,,,,521,518,531,516,519.85</t>
  </si>
  <si>
    <t>2025-05-20 12:48:00,6000,,5950,,5700,,5940,,,,,5970,5900,5930,5990,5940</t>
  </si>
  <si>
    <t>2025-05-20 12:48:00,21325,,,,21325,,21300,,,,,21500,21050,21050,21000,21339</t>
  </si>
  <si>
    <t>2025-05-20 12:48:00,1890574255.2376,20808116114.8042,4012.17040694966,2997,-447.215214285715,-180.59,448.488560915584,-120.92,592.92</t>
  </si>
  <si>
    <t>2025-05-20 12:48:00,-42563648.4280042,5042664068.46981,-1190.32316017316,-1027,-1131.16603896104,-800.05,-132.961165078598,-481.9,519.85</t>
  </si>
  <si>
    <t>2025-05-20 12:48:00,25689227.7160434,47443169.2636182,-186.845,-503,-758.475449999996,-2589.74,-2.13879021358297,-173.6,5940</t>
  </si>
  <si>
    <t>2025-05-20 12:48:00,189668213.867768,-283087.994432478,2.90277777777777,-2,30.3556944444443,-9.8,0.0015099104432763,-0.31,21339</t>
  </si>
  <si>
    <t>2025-05-20 12:49:00,600,,594,,580,,591.5,,,,,594,590,594,595,592.99</t>
  </si>
  <si>
    <t>2025-05-20 12:49:00,525,,521,,500,,519,,,,,521,518,531,516,519.98</t>
  </si>
  <si>
    <t>2025-05-20 12:49:00,6000,,5950,,5700,,5940,,,,,5970,5900,5930,5990,5941</t>
  </si>
  <si>
    <t>2025-05-20 12:49:00,21325,,,,21325,,21300,,,,,21500,21050,21050,21000,21342.5</t>
  </si>
  <si>
    <t>2025-05-20 12:49:00,1868656867.33608,20547234633.4209,5055.99894957981,3105,983.209047619047,1159.49,421.580313021311,685.07,592.99</t>
  </si>
  <si>
    <t>2025-05-20 12:49:00,-39037542.8073201,4857039321.10504,-658.675287356322,-1221,-314.526206896552,-668.46,-12.3561745662438,-450.53,519.98</t>
  </si>
  <si>
    <t>2025-05-20 12:49:00,27747045.1584356,75264610.9696648,36.525,-82,-516.56,-25.47,3.9830436356593,1.85,5941</t>
  </si>
  <si>
    <t>2025-05-20 12:49:00,189498867.628616,-220304.119749585,3.70460317460317,1,-45.2564222222223,-84.58,-0.00914234365123876,-1.73,21342.5</t>
  </si>
  <si>
    <t>2025-05-20 12:50:00,600,,594,,580,,591.5,,,,,594,590,594,595,592.5</t>
  </si>
  <si>
    <t>2025-05-20 12:50:00,525,,521,,500,,519,,,519,,521,518,531,516,519.39</t>
  </si>
  <si>
    <t>2025-05-20 12:50:00,6000,,,5930,5700,,5940,,,5930,,5970,5900,5930,5990,5936</t>
  </si>
  <si>
    <t>2025-05-20 12:50:00,21325,,,21050,21325,,21325,,,,,21500,21050,21050,21000,21320.75</t>
  </si>
  <si>
    <t>2025-05-20 12:50:00,1484846969.09156,9358216359.77259,32050.4352647139,19722,-11313.369229798,-6852.39,476.344915081107,-5102.55,592.5</t>
  </si>
  <si>
    <t>2025-05-20 12:50:00,-173976862.540464,1908435082.02484,3885.85965462766,2636,1884.45018643305,1265.21,81.4483047169843,904.95,519.39</t>
  </si>
  <si>
    <t>2025-05-20 12:50:00,17523190.7546697,-97277250.021692,2204.95364705882,2515,13785.0736462745,12873.9,-10.5544564728316,881.76,5936</t>
  </si>
  <si>
    <t>2025-05-20 12:50:00,186484007.448985,-764828.919520988,64.1115773115773,67,606.651832944833,487.47,-0.037108279940081,9.57,21320.75</t>
  </si>
  <si>
    <t>2025-05-20 12:51:00,600,,594,,580,,591.5,,,,593,594,590,594,595,592.82</t>
  </si>
  <si>
    <t>2025-05-20 12:51:00,525,,521,,500,,519,,,,,521,518,531,516,519.72</t>
  </si>
  <si>
    <t>2025-05-20 12:51:00,6000,,5950,,5700,,5940,,,,5930,5970,5900,5930,5990,5939</t>
  </si>
  <si>
    <t>2025-05-20 12:51:00,21325,,,,21325,,21325,,,,,21500,21050,21050,21000,21335</t>
  </si>
  <si>
    <t>2025-05-20 12:51:00,1800980762.37179,19558295323.0668,22480.6675956892,2326,-7984.01271153846,-8932.59,1863.15441575874,-5116.45,592.82</t>
  </si>
  <si>
    <t>2025-05-20 12:51:00,-81145664.8517281,4582056377.40831,2435.55391180654,1236,-62.5350355618821,-946.09,158.080804586793,67.79,519.72</t>
  </si>
  <si>
    <t>2025-05-20 12:51:00,24139441.353308,-8153749.53015943,-3194.15595238095,-2991,-35123.6350476189,-15570.24,55.0349509776559,-818.05,5939</t>
  </si>
  <si>
    <t>2025-05-20 12:51:00,187457759.910949,-445412.513005447,-34.7079709827299,-21,-485.404700929254,-289.88,0.0279156394587984,-4.87,21335</t>
  </si>
  <si>
    <t>2025-05-20 12:52:00,600,,594,,580,,591.5,,,,,594,590,594,595,592.755</t>
  </si>
  <si>
    <t>2025-05-20 12:52:00,525,,521,,500,,519,,,,,521,518,531,516,519.71</t>
  </si>
  <si>
    <t>2025-05-20 12:52:00,6000,,5950,,5700,,5940,,,,,5970,5900,5930,5990,5938.5</t>
  </si>
  <si>
    <t>2025-05-20 12:52:00,21325,,,,21325,,21325,,,,,21500,21050,21050,21000,21333.75</t>
  </si>
  <si>
    <t>2025-05-20 12:52:00,1793409586.11849,19765091128.9092,9194.26033591735,4613,-2291.61964285714,-1231.53,-128.563737951586,-628.92,592.755</t>
  </si>
  <si>
    <t>2025-05-20 12:52:00,-63162953.1932474,4737408309.17145,-2642.40268176085,-2132,-1885.13201291062,-1706.19,-80.380205055365,-1030.93,519.71</t>
  </si>
  <si>
    <t>2025-05-20 12:52:00,24706162.4024446,767693.444413058,-259.746428571431,-1231,-1933.32765476192,-3382.05,-13.1169286619686,-308.28,5938.5</t>
  </si>
  <si>
    <t>2025-05-20 12:52:00,187834723.547569,-444788.844331022,2.03104395604397,-5,177.772398351649,-55.21,0.0157103797261036,-1.13,21333.75</t>
  </si>
  <si>
    <t>2025-05-20 12:53:00,600,,594,,580,,591.5,,593,,,594,590,594,595,592.87</t>
  </si>
  <si>
    <t>2025-05-20 12:53:00,525,,521,,500,,519,,,,,521,518,531,516,519.8</t>
  </si>
  <si>
    <t>2025-05-20 12:53:00,6000,,5950,,5700,,5940,,,,,5970,5900,5930,5990,5939.75</t>
  </si>
  <si>
    <t>2025-05-20 12:53:00,21325,,,,21325,,21325,,,,,21500,21050,21050,21000,21337.75</t>
  </si>
  <si>
    <t>2025-05-20 12:53:00,1830386432.38566,19798107060.8466,6948.12970540104,2639,253.202698412697,-1359.37,-122.716356594595,-781.91,592.87</t>
  </si>
  <si>
    <t>2025-05-20 12:53:00,-56422256.1716108,4651700642.23677,4245.57751807147,3817,1985.78975463721,2014.62,291.773465591462,1267.37,519.8</t>
  </si>
  <si>
    <t>2025-05-20 12:53:00,25998804.0692016,26752343.1410064,741.314285714286,1068,-339.125499999997,1226.48,-8.02186331550033,122.23,5939.75</t>
  </si>
  <si>
    <t>2025-05-20 12:53:00,188293699.037952,-346733.713107656,8.54285714285714,9,100.184285714286,17.1,0.0220736509924933,1,21337.75</t>
  </si>
  <si>
    <t>2025-05-20 12:54:00,600,,594,,580,,591.5,593,,,,594,590,594,595,592.82</t>
  </si>
  <si>
    <t>2025-05-20 12:54:00,525,,521,,500,,519,,,,,521,518,531,516,519.79</t>
  </si>
  <si>
    <t>2025-05-20 12:54:00,6000,,5950,,5700,,5940,,,,,5970,5900,5930,5990,5939</t>
  </si>
  <si>
    <t>2025-05-20 12:54:00,21325,,,,21325,,21325,,,,,21500,21050,21050,21000,21336.75</t>
  </si>
  <si>
    <t>2025-05-20 12:54:00,1814107937.35744,19424330768.4083,4536.00477326985,1447,487.050666666667,96.7900000000001,237.005867255489,173.83,592.82</t>
  </si>
  <si>
    <t>2025-05-20 12:54:00,-75338767.0802153,4622482596.29103,138.283333333333,420,-1057.63083333333,-843.9,69.151661622852,-532.25,519.79</t>
  </si>
  <si>
    <t>2025-05-20 12:54:00,25380510.5502635,13050618.2791098,-140.84,-331,-1099.84295000001,-2240.29,7.36506339543334,-162.14,5939</t>
  </si>
  <si>
    <t>2025-05-20 12:54:00,188267443.981439,-391795.571458153,-1.33333333333334,-1,-17.0800000000001,-43.2,-0.0105063867556809,-0.91,21336.75</t>
  </si>
  <si>
    <t>2025-05-20 12:55:00,600,,594,,580,,591.5,,593,,,594,590,594,595,592.86</t>
  </si>
  <si>
    <t>2025-05-20 12:55:00,525,,521,,500,,519,,,,,521,518,531,516,519.83</t>
  </si>
  <si>
    <t>2025-05-20 12:55:00,6000,,5950,,5700,,5940,,,,,5970,5900,5930,5990,5940</t>
  </si>
  <si>
    <t>2025-05-20 12:55:00,21325,,,,21325,,21325,,,,,21500,21050,21050,21000,21338.75</t>
  </si>
  <si>
    <t>2025-05-20 12:55:00,1837792384.10766,20764604071.4486,4272.06267330751,3600,-693.653999999999,-1347.38,-345.123116267127,-785.64,592.86</t>
  </si>
  <si>
    <t>2025-05-20 12:55:00,-54674744.2937771,4838027095.15176,402.828947368421,313,567.311447368421,5.16999999999991,-235.52870960976,29.58,519.83</t>
  </si>
  <si>
    <t>2025-05-20 12:55:00,26099927.2144138,33749785.1622792,-294.85,-558,3147.72399999998,-170.14,7.91507421116878,-92.45,5940</t>
  </si>
  <si>
    <t>2025-05-20 12:55:00,189083018.021072,-329784.002251529,24.2333333333334,12,760.366666666668,290,0.00926331317449221,4.76,21338.75</t>
  </si>
  <si>
    <t>2025-05-20 12:56:00,600,,594,,580,,591.5,,,,,594,590,594,595,592.86</t>
  </si>
  <si>
    <t>2025-05-20 12:56:00,525,,521,,500,,519,,,,,521,518,531,516,519.77</t>
  </si>
  <si>
    <t>2025-05-20 12:56:00,6000,,5950,,5700,,5940,,,,,5970,5900,5930,5990,5939.5</t>
  </si>
  <si>
    <t>2025-05-20 12:56:00,21325,,,,21325,,21325,,,,,21500,21050,21050,21000,21336.5</t>
  </si>
  <si>
    <t>2025-05-20 12:56:00,1820779959.62804,19786294124.8297,3377.9062281665,2301,903.798142857143,1075.53,199.706170451718,681.41,592.86</t>
  </si>
  <si>
    <t>2025-05-20 12:56:00,-56471599.8761431,4830051406.98221,1381.08958333333,1420,348.568895833333,354.39,-96.3685793225529,228.99,519.77</t>
  </si>
  <si>
    <t>2025-05-20 12:56:00,25767257.7965249,21077073.5863364,167.85,378,1366.59,2061.07,-4.01337126968244,144.5,5939.5</t>
  </si>
  <si>
    <t>2025-05-20 12:56:00,188402840.782622,-389260.938430612,3.91714285714286,3,112.069828571429,141.7,0.0494168900671422,2.07,21336.5</t>
  </si>
  <si>
    <t>2025-05-20 12:57:00,600,,594,,580,,591.5,,,,,594,590,594,595,592.8</t>
  </si>
  <si>
    <t>2025-05-20 12:57:00,525,,521,,500,,519,,,,,521,518,531,516,519.695</t>
  </si>
  <si>
    <t>2025-05-20 12:57:00,6000,,5950,,5700,,5940,,,,,5970,5900,5930,5990,5938.75</t>
  </si>
  <si>
    <t>2025-05-20 12:57:00,21325,,,,21325,,21325,,,,,21500,21050,21050,21000,21334</t>
  </si>
  <si>
    <t>2025-05-20 12:57:00,1814603843.78843,20175149204.8491,6332.16060767592,4635,992.005,210.43,520.289115055733,190.65,592.8</t>
  </si>
  <si>
    <t>2025-05-20 12:57:00,-74048105.9575071,4590043639.99725,-438.582813582813,-222,-341.641559251559,-318.03,10.9265939977465,-149.17,519.695</t>
  </si>
  <si>
    <t>2025-05-20 12:57:00,23883209.0404925,2883409.28818805,257.266666666667,118,849.995666666665,1883.83,1.69956864327192,133.36,5938.75</t>
  </si>
  <si>
    <t>2025-05-20 12:57:00,188273953.577624,-406650.270425702,3.90961199294531,1,228.255604938271,168.34,-0.0156728855116436,2.41,21334</t>
  </si>
  <si>
    <t>2025-05-20 12:58:00,600,,594,,580,,591.5,,,,,594,590,594,595,592.98</t>
  </si>
  <si>
    <t>2025-05-20 12:58:00,525,,521,,500,,519,,,,,521,518,531,516,519.86</t>
  </si>
  <si>
    <t>2025-05-20 12:58:00,6000,,5950,,5700,,5940,,,,,5970,5900,5930,5990,5940.5</t>
  </si>
  <si>
    <t>2025-05-20 12:58:00,21325,,,,21325,,21325,,,,,21500,21050,21050,21000,21341</t>
  </si>
  <si>
    <t>2025-05-20 12:58:00,1915691568.15146,25392335434.8497,1711.37034117795,700,-1202.26653968254,-2426.49,-184.95602116473,-1550.82,592.98</t>
  </si>
  <si>
    <t>2025-05-20 12:58:00,-63146573.7747241,5262202705.59084,-131.900756439109,-152,101.789649287323,129.89,37.1937360673835,40.59,519.86</t>
  </si>
  <si>
    <t>2025-05-20 12:58:00,27331568.5214035,45816705.0030125,16.5284313725488,-364,-3056.82880392157,-2715.26,2.73121310746552,-163.81,5940.5</t>
  </si>
  <si>
    <t>2025-05-20 12:58:00,188367186.648555,-292617.300436326,-0.519341046277663,-11,-110.409544768612,-195.86,-0.0141860313678959,-3.11,21341</t>
  </si>
  <si>
    <t>2025-05-20 12:59:00,600,,594,,580,,591.5,,,,,594,590,594,595,593.07</t>
  </si>
  <si>
    <t>2025-05-20 12:59:00,525,,521,,500,,519,,,,,521,518,531,516,519.93</t>
  </si>
  <si>
    <t>2025-05-20 12:59:00,6000,,5950,,5700,,5940,,,,,5970,5900,5930,5990,5941.75</t>
  </si>
  <si>
    <t>2025-05-20 12:59:00,21325,,,,21325,,21325,,,,,21500,21050,21050,21000,21343</t>
  </si>
  <si>
    <t>2025-05-20 12:59:00,1945330830.57322,25588991138.6036,2873.70258195523,3148,2254.55041666668,2127.26,760.963727191606,1247.35,593.07</t>
  </si>
  <si>
    <t>2025-05-20 12:59:00,-36078839.7476698,5710490061.98599,948.436936936936,1248,811.407117117116,871.36,80.1353843956612,499.58,519.93</t>
  </si>
  <si>
    <t>2025-05-20 12:59:00,26595137.0246222,60458621.2262538,284.375000000001,-94,790.344750000009,336.07,1.23402844966658,27.37,5941.75</t>
  </si>
  <si>
    <t>2025-05-20 12:59:00,189012278.11568,-235829.011383327,-0.760831656606307,2,4.05629292421191,54.55,-0.00015627700572305,1.13,21343</t>
  </si>
  <si>
    <t>2025-05-20 13:00:00,600,,594,,580,,591.5,,,,,594,590,594,595,593.005</t>
  </si>
  <si>
    <t>2025-05-20 13:00:00,525,,521,,500,,519,,,,,521,518,531,516,519.885</t>
  </si>
  <si>
    <t>2025-05-20 13:00:00,6000,,5950,,5700,,5940,,,,,5970,5900,5930,5990,5940.75</t>
  </si>
  <si>
    <t>2025-05-20 13:00:00,21325,,,,21325,,21300,,,,,21500,21050,21050,21000,21341.75</t>
  </si>
  <si>
    <t>2025-05-20 13:00:00,1921635842.8482,23957146370.9463,1638.90342448875,1229,-1011.60238095239,-1499.47,189.143942880094,-1008.19,593.005</t>
  </si>
  <si>
    <t>2025-05-20 13:00:00,-48227172.4366658,5547785333.22544,594.314814814816,694,380.55351851852,206.1,3.42132614132668,166.28,519.885</t>
  </si>
  <si>
    <t>2025-05-20 13:00:00,26336229.8605756,50461982.2714978,-105.766666666667,-470,603.709333333333,167.56,9.55091192020733,-16.86,5940.75</t>
  </si>
  <si>
    <t>2025-05-20 13:00:00,189482068.285016,-207996.533720689,0.54910714285715,-4,11.8508482142858,-7.56,-0.000417369611873233,-0.23,21341.75</t>
  </si>
  <si>
    <t>2025-05-20 13:01:00,600,,594,,580,,591.5,,,,,594,590,594,595,592.79</t>
  </si>
  <si>
    <t>2025-05-20 13:01:00,525,,521,,500,,519,,,,,521,518,531,516,519.69</t>
  </si>
  <si>
    <t>2025-05-20 13:01:00,6000,,5950,,5700,,5940,,,,,5970,5900,5930,5990,5938.75</t>
  </si>
  <si>
    <t>2025-05-20 13:01:00,21325,,,,21325,,21300,,,,,21500,21050,21050,21000,21333.25</t>
  </si>
  <si>
    <t>2025-05-20 13:01:00,1793309147.11638,19913394810.5131,10348.3003160182,7576,2176.042,1238.86,-229.356559660499,909.24,592.79</t>
  </si>
  <si>
    <t>2025-05-20 13:01:00,-66714337.1377089,4836170019.89912,922.12134502924,383,454.934926900585,599.96,-18.6748572308087,428.18,519.69</t>
  </si>
  <si>
    <t>2025-05-20 13:01:00,22383353.9439322,15210879.9836702,1047.84222222222,1069,3437.12673333333,5329.82,4.12481474380966,375.54,5938.75</t>
  </si>
  <si>
    <t>2025-05-20 13:01:00,188748305.198586,-400432.337071428,0.340073260073248,1,14.3568234432233,-6.94,-0.00112833785043876,-0.24,21333.25</t>
  </si>
  <si>
    <t>2025-05-20 13:02:00,600,,594,,580,,591.5,,,,,594,590,594,595,592.95</t>
  </si>
  <si>
    <t>2025-05-20 13:02:00,525,,521,,500,,519,,,,,521,518,531,516,519.86</t>
  </si>
  <si>
    <t>2025-05-20 13:02:00,6000,,5950,,5700,,5940,,,,,5970,5900,6050,5990,5940.25</t>
  </si>
  <si>
    <t>2025-05-20 13:02:00,21325,,,,21325,,21325,,,,,21500,21050,21050,21000,21340.75</t>
  </si>
  <si>
    <t>2025-05-20 13:02:00,1878188868.28857,24388762785.7275,3405.67429292021,1673,-947.689484126984,-1492.8,10.48337019843,-956.6,592.95</t>
  </si>
  <si>
    <t>2025-05-20 13:02:00,-58194137.9239473,5621463081.54587,-1046.36904761905,-1120,-556.541547619048,-804.39,-12.4412003812565,-491.78,519.86</t>
  </si>
  <si>
    <t>2025-05-20 13:02:00,25062870.8338487,52888004.2014022,-231.55,-593,-649.875000000006,-2823.41,-1.5852492939087,-217.25,5940.25</t>
  </si>
  <si>
    <t>2025-05-20 13:02:00,189411349.672195,-250411.800531349,0.15,-1,-0.673499999999999,-32.79,-0.0102862452127196,-0.64,21340.75</t>
  </si>
  <si>
    <t>2025-05-20 13:03:00,600,,594,,580,,591.5,,,,,594,590,594,595,593.044</t>
  </si>
  <si>
    <t>2025-05-20 13:03:00,525,,521,,500,,519,,,,,521,518,531,516,519.95</t>
  </si>
  <si>
    <t>2025-05-20 13:03:00,6000,,5950,,5700,,5940,,,,,5970,5900,5930,5990,5941.25</t>
  </si>
  <si>
    <t>2025-05-20 13:03:00,21325,,,,21325,,21325,,,,,21500,21050,21050,21000,21344.5</t>
  </si>
  <si>
    <t>2025-05-20 13:03:00,1892823159.46311,24203902623.0608,927.58573412024,1250,856.242142857143,596.87,74.3807762669952,424.13,593.044</t>
  </si>
  <si>
    <t>2025-05-20 13:03:00,-45421956.676861,5746760247.28294,1426.3645945946,1616,1299.25435135135,854.05,199.900275802789,540.76,519.95</t>
  </si>
  <si>
    <t>2025-05-20 13:03:00,27271123.4919982,75902288.2102911,1006.6,1390,4820.482,4797.65,-3.95699693698594,419.2,5941.25</t>
  </si>
  <si>
    <t>2025-05-20 13:03:00,189567731.743121,-151731.491436002,-2.33891341991345,-70,-82.275122034632,-308.55,-0.110649912097357,-5.98,21344.5</t>
  </si>
  <si>
    <t>2025-05-20 13:04:00,600,,594,,580,,591.5,593,,,,594,590,594,595,593.13</t>
  </si>
  <si>
    <t>2025-05-20 13:04:00,525,,521,,500,,519,,,,,521,518,531,516,520.05</t>
  </si>
  <si>
    <t>2025-05-20 13:04:00,6000,,5950,,5700,,5940,,,,,5970,5900,5930,5990,5942.25</t>
  </si>
  <si>
    <t>2025-05-20 13:04:00,21325,,,,21325,,21300,,,,,21500,21050,21050,21000,21348.25</t>
  </si>
  <si>
    <t>2025-05-20 13:04:00,1953944633.95552,27057958732.0561,1740.3812680376,2040,833.786785714285,-314.41,402.106697717507,-42.85,593.13</t>
  </si>
  <si>
    <t>2025-05-20 13:04:00,-16602639.0791467,6524248402.41284,1502.05277777778,2480,1056.83426984127,1302.02,333.963855915507,916.89,520.05</t>
  </si>
  <si>
    <t>2025-05-20 13:04:00,28223027.0477705,121187244.535709,182.123069105692,824,721.425040650423,1170.94,-0.444217328600917,135.84,5942.25</t>
  </si>
  <si>
    <t>2025-05-20 13:04:00,189840364.541273,-50586.8621190834,0.0759999999999955,-7,-34.2724400000001,-127.31,-0.0170973765564414,-2.43,21348.25</t>
  </si>
  <si>
    <t>2025-05-20 13:05:00,600,,594,,580,,591.5,,,,,594,590,594,595,593.1</t>
  </si>
  <si>
    <t>2025-05-20 13:05:00,525,,521,,500,,519,,,,,521,518,531,516,520.015</t>
  </si>
  <si>
    <t>2025-05-20 13:05:00,6000,,5950,,5700,,5940,,,,,5970,5900,5930,5990,5942</t>
  </si>
  <si>
    <t>2025-05-20 13:05:00,21325,,,,21325,,21325,,,,,21500,21050,21050,21000,21348</t>
  </si>
  <si>
    <t>2025-05-20 13:05:00,1922491150.85739,27076579913.9987,2766.44476327117,2200,-91.0928571428594,-1252.06,-258.841344306293,-1022.22,593.1</t>
  </si>
  <si>
    <t>2025-05-20 13:05:00,-11751986.9059884,6599510301.66156,219.33908045977,697,191.501954022989,274.96,-16.4158454080717,251.08,520.015</t>
  </si>
  <si>
    <t>2025-05-20 13:05:00,27387030.5683106,110939251.591298,243.55,123,1123.821,492.31,2.32551235206936,27.7,5942</t>
  </si>
  <si>
    <t>2025-05-20 13:05:00,188807608.044988,-119821.139712326,-2.24404761904763,-6,-38.9136904761909,-213.4,-0.0223180704356175,-3.48,21348</t>
  </si>
  <si>
    <t>2025-05-20 13:06:00,600,,594,,580,,591.5,,,,,594,590,594,595,593.13</t>
  </si>
  <si>
    <t>2025-05-20 13:06:00,525,,521,,500,,519,,520,,,521,518,531,516,520.07</t>
  </si>
  <si>
    <t>2025-05-20 13:06:00,6000,,5950,,5700,,5940,,,,,5970,5900,5930,5990,5942.25</t>
  </si>
  <si>
    <t>2025-05-20 13:06:00,21325,,,,21325,,21325,,,,,21500,21050,21050,21000,21349</t>
  </si>
  <si>
    <t>2025-05-20 13:06:00,1952706720.28077,26876042336.9521,1610.2633378933,1641,735.471065359477,366.51,-25.4183331685031,255.6,593.13</t>
  </si>
  <si>
    <t>2025-05-20 13:06:00,-25152882.2478442,6250504517.05807,-850.701282618311,-1334,-378.209204997789,-1340.04,-164.296940185798,-801,520.07</t>
  </si>
  <si>
    <t>2025-05-20 13:06:00,28387704.8751187,110000240.443421,-19.5083333333334,-336,-556.288083333333,-3376.14,-2.41981855001916,-166.49,5942.25</t>
  </si>
  <si>
    <t>2025-05-20 13:06:00,189295460.555014,-77122.5747352214,-0.111111111111111,-2,-1.48888888888888,-36.2,-0.00730293685045909,-0.75,21349</t>
  </si>
  <si>
    <t>2025-05-20 13:07:00,600,,594,,580,,591.5,,,,,594,590,594,595,593.16</t>
  </si>
  <si>
    <t>2025-05-20 13:07:00,525,,521,,500,,519,,,,,521,518,531,516,520.03</t>
  </si>
  <si>
    <t>2025-05-20 13:07:00,6000,,5950,,5700,,5940,,,,,5970,5900,5930,5990,5942</t>
  </si>
  <si>
    <t>2025-05-20 13:07:00,21325,,21450,,21325,,21300,,,,,21500,21050,21050,21000,21350</t>
  </si>
  <si>
    <t>2025-05-20 13:07:00,2043390739.00918,28378870108.8986,2272.74485759496,1870,-175.836904761905,-1390.72,-197.505120130776,-926.39,593.16</t>
  </si>
  <si>
    <t>2025-05-20 13:07:00,7924486.95097396,6560499634.43563,458.583333333333,976,-33.9250000000002,7.47999999999999,-150.658974340079,81.72,520.03</t>
  </si>
  <si>
    <t>2025-05-20 13:07:00,27552081.2339877,119651942.200006,46.7666666666668,95,455.603666666667,144.88,-4.06757966613842,16.47,5942</t>
  </si>
  <si>
    <t>2025-05-20 13:07:00,190384079.631134,5893.31040088438,13.42,11,28.8623428571428,-20.28,0.0149845790221337,-0.32,21350</t>
  </si>
  <si>
    <t>2025-05-20 13:08:00,600,,594,,580,,591.5,,,,,594,590,594,595,593.02</t>
  </si>
  <si>
    <t>2025-05-20 13:08:00,525,,521,,500,,519,,520,,,521,518,531,516,519.99</t>
  </si>
  <si>
    <t>2025-05-20 13:08:00,6000,,5950,,5700,,5940,,,,,5970,5900,5930,5990,5941</t>
  </si>
  <si>
    <t>2025-05-20 13:08:00,21325,,,,21325,,21325,,,,,21500,21050,21050,21000,21346</t>
  </si>
  <si>
    <t>2025-05-20 13:08:00,1889697692.99563,24501598983.2795,3575.80605953404,5814,-1829.26507407406,-2590.98,-119.668907938127,-1584.27,593.02</t>
  </si>
  <si>
    <t>2025-05-20 13:08:00,-11530219.7528694,6106900595.19091,-526.946722899987,-1767,-43.7619750921335,-1034.33,-45.6834760781593,-755.33,519.99</t>
  </si>
  <si>
    <t>2025-05-20 13:08:00,26861371.2479728,64755956.6396723,-668.130000000001,-1587,-1439.55090000002,-3960.94,-9.2124956282888,-358.74,5941</t>
  </si>
  <si>
    <t>2025-05-20 13:08:00,189228932.625612,-134898.602040981,21.7233073593074,7,388.097038181818,121.8,-0.00452249597092654,2.53,21346</t>
  </si>
  <si>
    <t>2025-05-20 13:09:00,600,,594,,580,,591.5,,,,,594,590,594,595,592.93</t>
  </si>
  <si>
    <t>2025-05-20 13:09:00,525,,521,,500,,519,,520,,,521,518,531,516,519.86</t>
  </si>
  <si>
    <t>2025-05-20 13:09:00,6000,,5950,,5700,,5940,,,,,5970,5900,5930,5990,5940</t>
  </si>
  <si>
    <t>2025-05-20 13:09:00,21325,,,,21325,,21325,,,,,21500,21050,21050,21000,21340.25</t>
  </si>
  <si>
    <t>2025-05-20 13:09:00,1927229813.95259,24422555507.9479,4428.39060226946,4727,255.596137992828,-151.08,-364.826537656735,-444.07,592.93</t>
  </si>
  <si>
    <t>2025-05-20 13:09:00,-28244318.0174927,5873325989.13774,145.0361611877,-998,114.951685047721,-631.32,-133.425280218908,-480.27,519.86</t>
  </si>
  <si>
    <t>2025-05-20 13:09:00,26726009.2022108,53972228.5387963,614.966666666666,627,3682.33966666666,3471.7,-5.75759959666858,214.95,5940</t>
  </si>
  <si>
    <t>2025-05-20 13:09:00,189123559.68848,-238978.33785029,11.2872877846791,14,74.9129250517597,167.16,-0.0358336784220265,3.46,21340.25</t>
  </si>
  <si>
    <t>2025-05-20 13:10:00,600,,594,,580,,591.5,,,,,594,590,594,595,593</t>
  </si>
  <si>
    <t>2025-05-20 13:10:00,525,,521,,500,,519,,,,,521,518,531,516,519.975</t>
  </si>
  <si>
    <t>2025-05-20 13:10:00,6000,,5950,,5700,,5940,5940,5950,,,5970,5900,5930,5990,5941</t>
  </si>
  <si>
    <t>2025-05-20 13:10:00,21325,,,,21325,,21325,,,,,21500,21050,21050,21000,21345</t>
  </si>
  <si>
    <t>2025-05-20 13:10:00,1887504518.25623,25390329234.1864,2294.2469204928,3255,51.76542857143,-568.93,663.771938489977,-319.38,593</t>
  </si>
  <si>
    <t>2025-05-20 13:10:00,-33597973.2745805,6353317927.51787,-362.083333333333,-1933,-298.582499999998,-751.08,-335.681269060362,-610.61,519.975</t>
  </si>
  <si>
    <t>2025-05-20 13:10:00,26318949.7071364,104219165.342736,513.579999999999,355,3556.04959999999,2802.43,-2.26963314909212,215.21,5941</t>
  </si>
  <si>
    <t>2025-05-20 13:10:00,189755767.98362,-93353.4101368071,-5.52069264069265,-5,-267.518086580087,-124.04,0.00342325825298109,-2.18,21345</t>
  </si>
  <si>
    <t>2025-05-20 13:11:00,600,,594,,580,,591.5,,,,,594,590,594,595,593.1</t>
  </si>
  <si>
    <t>2025-05-20 13:11:00,525,,521,,500,,519,,,,,521,518,531,516,520.09</t>
  </si>
  <si>
    <t>2025-05-20 13:11:00,6000,,5950,,5700,,5940,,,,,5970,5900,5930,5990,5942</t>
  </si>
  <si>
    <t>2025-05-20 13:11:00,21325,,,,21325,,21325,,,,,21500,21050,21050,21000,21350.25</t>
  </si>
  <si>
    <t>2025-05-20 13:11:00,1931408786.01849,27034539161.1396,598.080538724604,1721,1121.62547619048,1228.01,117.857801153174,830.95,593.1</t>
  </si>
  <si>
    <t>2025-05-20 13:11:00,-23392185.7009899,6722366053.5077,727.28320764203,963,326.748503770738,326.16,194.226600030805,287.99,520.09</t>
  </si>
  <si>
    <t>2025-05-20 13:11:00,27854870.9542437,106740675.38127,-18.9500000000005,-356,1156.875,-133.78,-3.65355332477671,-20.57,5942</t>
  </si>
  <si>
    <t>2025-05-20 13:11:00,189774276.208067,-13996.8222435563,-3.66246031746032,-9,14.7646095238095,-146.46,0.00243104024011108,-2.48,21350.25</t>
  </si>
  <si>
    <t>2025-05-20 13:13:00,600,,594,,580,,591.5,,,,,594,590,594,595,593.04</t>
  </si>
  <si>
    <t>2025-05-20 13:13:00,525,,521,,500,,519,,,,,521,518,531,516,520</t>
  </si>
  <si>
    <t>2025-05-20 13:13:00,6000,,5950,,5700,,5940,,,,,5970,5900,5930,5990,5941.5</t>
  </si>
  <si>
    <t>2025-05-20 13:13:00,21325,,,,21325,,21325,,,,,21500,21050,21050,21000,21347</t>
  </si>
  <si>
    <t>2025-05-20 13:13:00,1907230756.95267,25661326945.9732,107.922611649753,-255,334.986333333337,434.87,-263.643062962543,375.94,593.04</t>
  </si>
  <si>
    <t>2025-05-20 13:13:00,-18466398.0257983,6198185669.76214,-153.111111111112,39,89.427777777777,175.86,-4.34981138597069,38.42,520</t>
  </si>
  <si>
    <t>2025-05-20 13:13:00,27336779.3511843,89751380.4888218,-146.340476190476,-80,-566.88030952381,-479.53,1.30262836010692,-27.14,5941.5</t>
  </si>
  <si>
    <t>2025-05-20 13:13:00,189481599.188938,-95023.4025236748,1.5,0,18.6,0,0,0,21347</t>
  </si>
  <si>
    <t>2025-05-20 13:14:00,600,,594,,580,,591.5,,,,,594,590,594,595,592.99</t>
  </si>
  <si>
    <t>2025-05-20 13:14:00,525,,521,,500,,519,,,,,521,518,531,516,519.98</t>
  </si>
  <si>
    <t>2025-05-20 13:14:00,6000,,5950,,5700,,5940,,,,,5970,5900,5930,5990,5941</t>
  </si>
  <si>
    <t>2025-05-20 13:14:00,21325,,,,21325,,21325,,,,,21500,21050,21050,21000,21344.5</t>
  </si>
  <si>
    <t>2025-05-20 13:14:00,1885201439.87908,25010660159.3839,2069.40000000001,3146,16.3612857142804,-24.55,-110.447585522377,-60.04,592.99</t>
  </si>
  <si>
    <t>2025-05-20 13:14:00,-20627607.6843506,6574973517.11218,-116.380781484492,-234,-65.0213738158829,-94.16,-52.6502479052451,-69.63,519.98</t>
  </si>
  <si>
    <t>2025-05-20 13:14:00,26450065.5811216,80001799.7128707,126.5,-55,1079.88816666666,720.73,-4.5914613818043,19.94,5941</t>
  </si>
  <si>
    <t>2025-05-20 13:14:00,189171926.920459,-165353.315292566,-3,-5,-11.599,-17.15,0.0133916461588295,-0.42,21344.5</t>
  </si>
  <si>
    <t>2025-05-20 13:15:00,600,,594,,580,,591.5,,,,,594,590,594,595,592.975</t>
  </si>
  <si>
    <t>2025-05-20 13:15:00,525,,521,,500,,519,,,,,521,518,531,516,519.95</t>
  </si>
  <si>
    <t>2025-05-20 13:15:00,6000,,5950,,5700,,5940,,,,,5970,5900,5930,5990,5940.5</t>
  </si>
  <si>
    <t>2025-05-20 13:15:00,21325,,,,21325,,21300,,,,,21500,21050,21050,21000,21344.75</t>
  </si>
  <si>
    <t>2025-05-20 13:15:00,1885891469.59124,25133267002.4083,3523.78031575416,4516,457.103333333334,771.25,172.360341207878,730.46,592.975</t>
  </si>
  <si>
    <t>2025-05-20 13:15:00,-23574186.0722081,6207096560.71366,330,199,92.8400000000001,86.04,-23.586565774464,72.51,519.95</t>
  </si>
  <si>
    <t>2025-05-20 13:15:00,24191752.3631562,74336015.9492962,-75.4999999999989,-134,983.504000000002,774.49,6.24358361082021,72.29,5940.5</t>
  </si>
  <si>
    <t>2025-05-20 13:15:00,190040645.522844,-115469.64256664,-4.30857142857143,-1,0.518200000000079,-9,0.00336485632596675,-0.21,21344.75</t>
  </si>
  <si>
    <t>2025-05-20 13:16:00,600,,594,,580,,591.5,,,,,594,590,594,595,592.89</t>
  </si>
  <si>
    <t>2025-05-20 13:16:00,525,,521,,500,,519,,,,,521,518,531,516,519.93</t>
  </si>
  <si>
    <t>2025-05-20 13:16:00,6000,,5950,,5700,,5940,5950,,,,5970,5900,5930,5990,5940.25</t>
  </si>
  <si>
    <t>2025-05-20 13:16:00,21325,,,,21325,,21325,,,,,21500,21050,21050,21000,21343.75</t>
  </si>
  <si>
    <t>2025-05-20 13:16:00,1844437604.79522,24178795640.9256,6728.97778537271,8678,-450.740392089095,-881.59,376.081213035903,-982.12,592.89</t>
  </si>
  <si>
    <t>2025-05-20 13:16:00,-24716912.8668223,6151085307.47408,368.158270864567,-246,679.777787106445,445.36,-114.468944204134,193.06,519.93</t>
  </si>
  <si>
    <t>2025-05-20 13:16:00,25162727.7854387,87048156.3391828,340.121304347826,720,1733.13294782609,2721.81,5.30578715468118,191.46,5940.25</t>
  </si>
  <si>
    <t>2025-05-20 13:16:00,189585022.563628,-143028.429422874,6.46469465648854,15,20.6029869138494,34.3,-0.0358076192325419,2.13,21343.75</t>
  </si>
  <si>
    <t>2025-05-20 13:17:00,600,,594,,580,,591.5,,,,592,594,590,594,595,592.474</t>
  </si>
  <si>
    <t>2025-05-20 13:17:00,525,,520,,500,,519,520,,,,521,518,519,516,519.503</t>
  </si>
  <si>
    <t>2025-05-20 13:17:00,6000,,5950,,5700,,5940,,,,5930,5970,5900,6050,5990,5935.5</t>
  </si>
  <si>
    <t>2025-05-20 13:17:00,21325,,,,21325,,21300,,,,,21500,21050,21050,21000,21325.25</t>
  </si>
  <si>
    <t>2025-05-20 13:17:00,1628534950.71125,16530950195.2181,48044.1028030812,21876,3074.87470238095,5396.7,-99.6635773729892,2446.78,592.474</t>
  </si>
  <si>
    <t>2025-05-20 13:17:00,-138575718.205016,4207964374.95387,4029.92889968392,428,3154.64154523288,1787.06,-426.354558493129,894.2,519.503</t>
  </si>
  <si>
    <t>2025-05-20 13:17:00,19398847.1497258,-67314922.4031681,563.647804019829,-1220,3709.94202579073,-5497.96,10.5957117744255,-489.04,5935.5</t>
  </si>
  <si>
    <t>2025-05-20 13:17:00,188498856.058417,-553935.257865914,43.1031552297032,54,587.169936592045,545.27,0.042896071444427,8.42,21325.25</t>
  </si>
  <si>
    <t>2025-05-20 13:18:00,600,,594,,580,,591.5,,,,592,594,590,594,595,592.42</t>
  </si>
  <si>
    <t>2025-05-20 13:18:00,525,,521,,500,,519,,,,,521,518,519,516,519.44</t>
  </si>
  <si>
    <t>2025-05-20 13:18:00,6000,,,5930,5700,,5940,,5940,,5930,5970,5900,6050,5990,5935.25</t>
  </si>
  <si>
    <t>2025-05-20 13:18:00,21325,,,,21325,,21325,,,,,21500,21050,21050,21000,21323.25</t>
  </si>
  <si>
    <t>2025-05-20 13:18:00,1429098441.07066,11253043096.6808,37280.6605338337,19228,596.00806349206,-2366.77,-700.011214907277,-3007.1,592.42</t>
  </si>
  <si>
    <t>2025-05-20 13:18:00,-177671118.104287,2735431300.15605,1576.18707062865,-1871,1104.78057046395,-978.25,163.759983503886,-788.01,519.44</t>
  </si>
  <si>
    <t>2025-05-20 13:18:00,16851644.4702149,-142921869.629284,-816.420289855073,-1896,-1731.06973550726,-8658.53,26.9911430774329,-753.03,5935.25</t>
  </si>
  <si>
    <t>2025-05-20 13:18:00,186616510.124689,-722603.437273535,-36.0388888888889,-21,-241.268861111111,-202.11,0.0549612174988538,-4.73,21323.25</t>
  </si>
  <si>
    <t>2025-05-20 13:19:00,600,,594,,580,,591.5,593,,,,594,590,594,595,592.67</t>
  </si>
  <si>
    <t>2025-05-20 13:19:00,525,,521,,500,,519,,520,,,521,518,531,516,519.71</t>
  </si>
  <si>
    <t>2025-05-20 13:19:00,6000,,,5930,5700,,5940,,5940,,5930,5960,5900,6050,5990,5937.5</t>
  </si>
  <si>
    <t>2025-05-20 13:19:00,21325,,,,21325,,21325,,,,,21500,21050,21050,21000,21334.5</t>
  </si>
  <si>
    <t>2025-05-20 13:19:00,1705082707.33998,20293589766.2623,30530.4580164762,3934,-689.537309523808,-154.019999999999,2137.08539437912,789.57,592.67</t>
  </si>
  <si>
    <t>2025-05-20 13:19:00,-97038307.9676964,5338411342.29592,-2095.03174603175,-4369,-1742.66071428571,-2829.33,-562.386321013938,-1907.87,519.71</t>
  </si>
  <si>
    <t>2025-05-20 13:19:00,19586349.9019597,-68003092.1939895,-1962.33333333333,-1018,-311854.917428571,-143322.97,4.97138832953241,-724.45,5937.5</t>
  </si>
  <si>
    <t>2025-05-20 13:19:00,187733836.200587,-431494.076188569,-26.6064935064935,-26,-497.129155844157,-516.45,-0.0316952005568711,-9.5,21334.5</t>
  </si>
  <si>
    <t>2025-05-20 13:20:00,600,,594,,580,,591.5,,,,,594,590,594,595,592.47</t>
  </si>
  <si>
    <t>2025-05-20 13:20:00,525,,520,,500,,519,,520,,,521,518,531,520,519.52</t>
  </si>
  <si>
    <t>2025-05-20 13:20:00,6000,,5950,,5700,,5940,,,,,5960,5900,6050,5990,5935.5</t>
  </si>
  <si>
    <t>2025-05-20 13:20:00,21325,,,,21325,,21300,,,,,21500,21050,21050,21000,21326.75</t>
  </si>
  <si>
    <t>2025-05-20 13:20:00,1635424226.81276,16810780032.2271,14143.9140730046,6747,3594.85666666667,3163.59,264.636469995245,2038.29,592.47</t>
  </si>
  <si>
    <t>2025-05-20 13:20:00,-101106312.514355,4478291520.98545,2049.64523809524,-79,2067.90023809524,995.69,-451.843192450727,384.11,519.52</t>
  </si>
  <si>
    <t>2025-05-20 13:20:00,18068419.0936217,-80091870.0092117,813.496428571431,858,3268.95467857144,2926.98,4.55841822607358,175.99,5935.5</t>
  </si>
  <si>
    <t>2025-05-20 13:20:00,189403678.179011,-516512.123077735,15.159478021978,27,385.43209478022,358.78,-0.0514203117710373,7.29,21326.75</t>
  </si>
  <si>
    <t>2025-05-20 13:21:00,600,,594,,580,,591.5,,,,592,594,590,594,595,592.08</t>
  </si>
  <si>
    <t>2025-05-20 13:21:00,525,,521,,500,,519,,,,519,521,518,531,516,519.2</t>
  </si>
  <si>
    <t>2025-05-20 13:21:00,6000,,,5930,5700,,5940,,,5930,5940,5960,5900,6050,5990,5931.5</t>
  </si>
  <si>
    <t>2025-05-20 13:21:00,21325,,,21050,21325,,21325,,,,,21500,21050,21050,21000,21308.25</t>
  </si>
  <si>
    <t>2025-05-20 13:21:00,1278149797.64108,4653248775.4203,55878.838890902,23003,-5738.4,-1774.42,-782.847823294653,-2619.79,592.08</t>
  </si>
  <si>
    <t>2025-05-20 13:21:00,-252961653.821885,961545152.503896,-129.884846263291,2160,-1167.15936381434,1024.88,730.244410811927,476.68,519.2</t>
  </si>
  <si>
    <t>2025-05-20 13:21:00,13109172.8128448,-258180899.783145,-2500.65482142858,989,-10305.4940053571,-424.179999999999,-7.24845756943965,-117.91,5931.5</t>
  </si>
  <si>
    <t>2025-05-20 13:21:00,185514981.35491,-1066760.7466002,59.6437675070028,61,718.017328431373,420.88,-0.0470237935722773,9.2,21308.25</t>
  </si>
  <si>
    <t>2025-05-20 13:22:00,600,,594,,580,,591.5,,,591,,594,590,594,595,591.43</t>
  </si>
  <si>
    <t>2025-05-20 13:22:00,525,,520,,500,,519,,,,519,521,518,531,516,518.535</t>
  </si>
  <si>
    <t>2025-05-20 13:22:00,6000,,,5930,5700,,5940,,,,5930,5960,5900,6050,5990,5925.25</t>
  </si>
  <si>
    <t>2025-05-20 13:22:00,21325,,,21050,21325,,21325,,,,,21500,21050,21050,21000,21286</t>
  </si>
  <si>
    <t>2025-05-20 13:22:00,1240205960.82195,4261714582.70143,187911.98449803,82000,-29713.6677365134,-19866.22,2246.23270297711,-8128.31,591.43</t>
  </si>
  <si>
    <t>2025-05-20 13:22:00,-278828680.756477,474221898.767037,550.149223240442,2295,-1135.95630368773,-663.239999999999,1091.640241709,-46.44,518.535</t>
  </si>
  <si>
    <t>2025-05-20 13:22:00,9338297.92800543,-270432228.034035,-13757.559699793,-7599,-90194.5179222566,-73203.91,97.9632692102026,-3897.41,5925.25</t>
  </si>
  <si>
    <t>2025-05-20 13:22:00,184780541.028419,-1431816.77317808,17.3553784254269,-38,47.2733078513117,116.12,-0.370308221692362,0.590000000000001,21286</t>
  </si>
  <si>
    <t>2025-05-20 13:23:00,600,,594,,580,,591.5,,,,,594,590,594,595,591.54</t>
  </si>
  <si>
    <t>2025-05-20 13:23:00,525,,520,,500,,519,519,,519,,521,518,531,516,518.56</t>
  </si>
  <si>
    <t>2025-05-20 13:23:00,6000,,,5930,5700,,5940,,,,5920,5960,5900,6050,5990,5926.25</t>
  </si>
  <si>
    <t>2025-05-20 13:23:00,21325,,,21050,21325,,21325,,,,,21500,21050,21050,21000,21286.75</t>
  </si>
  <si>
    <t>2025-05-20 13:23:00,1254932668.75718,4509524609.42447,38162.2853949623,38611,-14635.1706391825,-5821.34,1685.50033716695,-3869.6,591.54</t>
  </si>
  <si>
    <t>2025-05-20 13:23:00,-289219386.964978,275441288.179323,1182.20468417709,-4744,786.879085236091,-1320.79,-202.040008673008,-751.18,518.56</t>
  </si>
  <si>
    <t>2025-05-20 13:23:00,9172898.81666092,-321758045.4957,-4050.75666666667,-5041,-20805.7898333333,-23036.06,-13.0454458524001,-1492.19,5926.25</t>
  </si>
  <si>
    <t>2025-05-20 13:23:00,183370577.708769,-1468584.55895595,6.7459311601188,-6,532.681146768816,282.04,-0.021083335974089,2.82,21286.75</t>
  </si>
  <si>
    <t>2025-05-20 13:24:00,600,,594,,580,,591.5,592,,,,594,590,594,595,591.74</t>
  </si>
  <si>
    <t>2025-05-20 13:24:00,525,,520,,500,,519,519,,,,521,518,519,516,518.834</t>
  </si>
  <si>
    <t>2025-05-20 13:24:00,6000,,,5930,5700,,5940,,,,,5960,5900,6050,5990,5928.25</t>
  </si>
  <si>
    <t>2025-05-20 13:24:00,21325,,,,21325,,21325,,,,,21500,21050,21050,21000,21297.75</t>
  </si>
  <si>
    <t>2025-05-20 13:24:00,1365203820.89711,7495296935.07585,48150.056522935,23600,6422.45687229437,4469.85,1491.04542923393,2455,591.74</t>
  </si>
  <si>
    <t>2025-05-20 13:24:00,-235794647.048856,1971522966.43839,1527.50533694893,3795,451.30842730517,3666.9,83.2695598982139,1916.8,518.834</t>
  </si>
  <si>
    <t>2025-05-20 13:24:00,11909872.0549688,-242447317.479982,1165.50515151516,-8,-4766.65252727268,-13256.94,-27.418937922692,115.36,5928.25</t>
  </si>
  <si>
    <t>2025-05-20 13:24:00,185333562.796689,-1192164.46863581,2.44229381729381,-39,-22.8606492673993,-82.76,-0.186403874066926,-3.66,21297.75</t>
  </si>
  <si>
    <t>2025-05-20 13:25:00,600,,594,,580,,591.5,,,,,594,590,594,590,591.93</t>
  </si>
  <si>
    <t>2025-05-20 13:25:00,525,,521,,500,,519,,519,,,521,518,519,516,519.03</t>
  </si>
  <si>
    <t>2025-05-20 13:25:00,6000,,,5930,5700,,5940,,,,,5960,5900,6050,5990,5930.75</t>
  </si>
  <si>
    <t>2025-05-20 13:25:00,21325,,,,21325,,21325,,,,,21500,21050,21050,21000,21304.75</t>
  </si>
  <si>
    <t>2025-05-20 13:25:00,1224909038.86472,4954718256.75026,7761.32473484059,-1988,3051.06693290043,-2093.72,429.957002287229,-590.69,591.93</t>
  </si>
  <si>
    <t>2025-05-20 13:25:00,-283808569.230512,1208189726.78454,-2091.02550565802,-2234,-1455.69556402031,-1267.85,-33.4398433910886,-808.63,519.03</t>
  </si>
  <si>
    <t>2025-05-20 13:25:00,12494269.4276325,-259674697.394726,-3995.6197385621,-3474,-62004.7394464054,-43025.41,-8.41511765285371,-1291.46,5930.75</t>
  </si>
  <si>
    <t>2025-05-20 13:25:00,183787435.296693,-1163104.5080804,-9.61476152502468,-18,-115.976872119693,-248.27,-0.0319594294333399,-4.81,21304.75</t>
  </si>
  <si>
    <t>2025-05-20 13:26:00,600,,594,,580,,591.5,,592,,,594,590,594,595,591.81</t>
  </si>
  <si>
    <t>2025-05-20 13:26:00,525,,520,,500,,519,,,,519,521,518,519,516,518.85</t>
  </si>
  <si>
    <t>2025-05-20 13:26:00,6000,,,5930,5700,,5940,,,,,5960,5900,6050,5990,5929</t>
  </si>
  <si>
    <t>2025-05-20 13:26:00,21325,,,,21325,,21325,,,,,21500,21050,21050,21000,21298.75</t>
  </si>
  <si>
    <t>2025-05-20 13:26:00,1261628003.72777,3423555983.35538,35313.2382531787,16052,-2312.58107142857,2733.64,-61.0168137193763,1318.56,591.81</t>
  </si>
  <si>
    <t>2025-05-20 13:26:00,-272771879.448752,847424644.297476,7758.03528015195,4504,3074.43404415954,1327.8,425.386205987882,984.29,518.85</t>
  </si>
  <si>
    <t>2025-05-20 13:26:00,11820351.1463786,-257191065.067038,4693.62276422764,2083,15235.9692398374,7286.23,4.90307475464283,359.94,5929</t>
  </si>
  <si>
    <t>2025-05-20 13:26:00,185487244.991103,-1226396.69186727,27.0343706293706,31,365.740361188811,368.94,-0.0377558248497599,7.56,21298.75</t>
  </si>
  <si>
    <t>2025-05-20 13:27:00,600,,594,,580,,591.5,,,,,594,590,594,590,591.6</t>
  </si>
  <si>
    <t>2025-05-20 13:27:00,525,,520,,500,,519,,519,,519,521,518,531,516,518.67</t>
  </si>
  <si>
    <t>2025-05-20 13:27:00,6000,,,5920,5700,,5940,,,,5920,5960,5900,6050,5990,5926.75</t>
  </si>
  <si>
    <t>2025-05-20 13:27:00,21325,,,21050,21325,,21300,,,,,21500,21050,21050,21000,21291.5</t>
  </si>
  <si>
    <t>2025-05-20 13:27:00,1330622440.41414,7749797930.09355,58196.7310159821,26886,-14371.1869064857,-7559.27,-32.018625705358,-4645.36,591.6</t>
  </si>
  <si>
    <t>2025-05-20 13:27:00,-254240652.971227,1680778930.16041,-13138.576890724,-3607,-11000.7950136376,-4302.95,504.262996255913,-2173.02,518.67</t>
  </si>
  <si>
    <t>2025-05-20 13:27:00,10303345.8540343,-264649946.74313,221.869047619062,142,8832.27466666678,571.13,-25.3380461857342,60.06,5926.75</t>
  </si>
  <si>
    <t>2025-05-20 13:27:00,184393530.280758,-1312906.01136704,6.50036075036076,26,-96.9044300144298,67.8,-0.0400089316917923,1.75,21291.5</t>
  </si>
  <si>
    <t>2025-05-20 13:28:00,600,,594,,580,,591.5,,,591,,594,590,594,590,591.25</t>
  </si>
  <si>
    <t>2025-05-20 13:28:00,525,,520,,500,,519,,,,518,521,518,531,516,518.28</t>
  </si>
  <si>
    <t>2025-05-20 13:28:00,6000,,,5930,5700,,5940,5930,,,5930,5950,5900,6050,5990,5923</t>
  </si>
  <si>
    <t>2025-05-20 13:28:00,21325,,,21050,21325,,21325,,,,,21500,21050,21050,21000,21276</t>
  </si>
  <si>
    <t>2025-05-20 13:28:00,1130282387.46477,1196482844.76193,77868.4010416671,28371,-8261.19209090906,-6176.08,168.285312578882,-2307.63,591.25</t>
  </si>
  <si>
    <t>2025-05-20 13:28:00,-334278193.934232,-71234547.6561331,-1475.06122970561,-1997,-3307.21465509654,-2877.9,453.012800120681,-1674.81,518.28</t>
  </si>
  <si>
    <t>2025-05-20 13:28:00,4998389.25667935,-374332429.88236,-302.101582887696,-956,-6622.82243700534,-2086.56,-1.08482388890365,-179.6,5923</t>
  </si>
  <si>
    <t>2025-05-20 13:28:00,183107672.900714,-1694738.35219596,-6.48845746041399,6,-827.125449920128,-886.06,0.0516928867591068,-11.51,21276</t>
  </si>
  <si>
    <t>2025-05-20 13:29:00,600,,,,580,,591.5,,591,,591,594,590,594,590,590.88</t>
  </si>
  <si>
    <t>2025-05-20 13:29:00,525,,520,,500,,519,,,518,,521,518,531,516,517.94</t>
  </si>
  <si>
    <t>2025-05-20 13:29:00,6000,,,5920,5700,,5940,,,,5910,5950,5900,6050,5990,5919.5</t>
  </si>
  <si>
    <t>2025-05-20 13:29:00,21325,,,21050,21325,,21300,,,,21250,21500,21050,21050,21000,21261.75</t>
  </si>
  <si>
    <t>2025-05-20 13:29:00,1040225617.15385,-51343972.5001806,99672.1639868879,59491,-14715.4351495829,-6976.21,610.598155898966,-4992.47,590.88</t>
  </si>
  <si>
    <t>2025-05-20 13:29:00,-370730618.893742,-337813167.718883,-651.169467789245,-5697,-1773.47361960057,-5792.26,-117.587633620939,-2665.4,517.94</t>
  </si>
  <si>
    <t>2025-05-20 13:29:00,4474268.7712433,-380982693.859189,-3637.60047619048,-291,-33797.7294142858,-14441.69,4.00141037042877,-535.4,5919.5</t>
  </si>
  <si>
    <t>2025-05-20 13:29:00,181540163.446343,-1904822.23079153,-64.4330774170246,-92,-2610.48298847108,-2237.08,0.0679684590698096,-32.4,21261.75</t>
  </si>
  <si>
    <t>2025-05-20 13:30:00,600,,,,580,,591.5,,591,,,594,590,594,590,590.899</t>
  </si>
  <si>
    <t>2025-05-20 13:30:00,525,,520,,500,,519,518,,518,,521,518,523,516,518</t>
  </si>
  <si>
    <t>2025-05-20 13:30:00,6000,,,5920,5700,,5940,,,,,5950,5900,6050,5990,5919.75</t>
  </si>
  <si>
    <t>2025-05-20 13:30:00,21325,,,21050,21325,,21300,,,,,21500,21050,21050,21000,21263.5</t>
  </si>
  <si>
    <t>2025-05-20 13:30:00,1038702798.14637,-1807772169.76825,35724.0364224117,31598,5336.4017391301,6191.72,-655.409419043426,4505.96,590.899</t>
  </si>
  <si>
    <t>2025-05-20 13:30:00,-374355380.547907,-880216005.831216,-2752.5862343828,-226,1118.44944489274,2985.05,-154.974067856036,1334.27,518</t>
  </si>
  <si>
    <t>2025-05-20 13:30:00,4194092.29069844,-395054727.39782,1826.28833333333,5140,-7159.02121666667,15287.05,-26.7381648483617,1221.05,5919.75</t>
  </si>
  <si>
    <t>2025-05-20 13:30:00,180635845.788107,-1940946.05567154,-15.1716605032395,-32,-290.747110433427,-589.68,-0.00347829020743903,-9.16,21263.5</t>
  </si>
  <si>
    <t>2025-05-20 13:31:00,600,,594,,580,,591.5,,591,,,594,590,594,590,590.76</t>
  </si>
  <si>
    <t>2025-05-20 13:31:00,525,,520,,500,,518,518,,,,521,518,523,516,517.96</t>
  </si>
  <si>
    <t>2025-05-20 13:31:00,6000,,,5900,5700,,5940,,,,,5950,5900,6050,5990,5918.25</t>
  </si>
  <si>
    <t>2025-05-20 13:31:00,21325,,,21050,21325,,21300,,,,,21500,21050,21050,21000,21261.75</t>
  </si>
  <si>
    <t>2025-05-20 13:31:00,1185514494.74759,2249082686.20222,60323.28971236,23810,-143.056702753503,1001.99,185.562566992579,237.11,590.76</t>
  </si>
  <si>
    <t>2025-05-20 13:31:00,-284448408.066584,1188023157.26372,4400.34078868027,5137,4040.88562070089,3983.89,-156.902466142128,2052.47,517.96</t>
  </si>
  <si>
    <t>2025-05-20 13:31:00,6361335.42360817,-356372088.10146,6112.32999999999,3708,40646.4257666666,23568.63,-40.2715352281768,1343.19,5918.25</t>
  </si>
  <si>
    <t>2025-05-20 13:31:00,181746271.017999,-1901423.37510556,6.18722943722944,19,705.87387979798,512,-0.0162860195667264,8.17,21261.75</t>
  </si>
  <si>
    <t>2025-05-20 13:32:00,600,,,,580,,591.5,,,,,594,590,594,590,590.7</t>
  </si>
  <si>
    <t>2025-05-20 13:32:00,525,,,518,500,,519,,,,,521,518,523,516,518</t>
  </si>
  <si>
    <t>2025-05-20 13:32:00,6000,,,5920,5700,,5940,,,,5920,5950,5900,6050,5990,5917.75</t>
  </si>
  <si>
    <t>2025-05-20 13:32:00,21325,,,21050,21325,,21300,,,,,21500,21050,21050,21000,21261.5</t>
  </si>
  <si>
    <t>2025-05-20 13:32:00,858638580.814706,-7230710291.36413,23229.6611598986,-5620,-4151.56598681404,-2343.52,-717.330300608609,-1055.28,590.7</t>
  </si>
  <si>
    <t>2025-05-20 13:32:00,-403428879.481691,-1652691967.86677,1493.23540261175,1191,657.605251311792,866.25,-132.457489344162,558.9,518</t>
  </si>
  <si>
    <t>2025-05-20 13:32:00,663196.461749419,-433389377.598185,-1592.6886904762,-348,-12512.8960000001,-7168.87,-1.66939657561133,-409.26,5917.75</t>
  </si>
  <si>
    <t>2025-05-20 13:32:00,179915995.213625,-2062054.68392183,-21.9620548242607,-2,-641.29439780383,-28.21,-0.00358531769428318,0.570000000000001,21261.5</t>
  </si>
  <si>
    <t>2025-05-20 13:33:00,600,,,,580,,591.5,,,,,594,590,594,590,590.99</t>
  </si>
  <si>
    <t>2025-05-20 13:33:00,525,,520,,500,,519,,,518,,521,518,523,516,518.28</t>
  </si>
  <si>
    <t>2025-05-20 13:33:00,6000,,,5920,5700,,5940,,,5920,,5950,5900,6050,5990,5920.5</t>
  </si>
  <si>
    <t>2025-05-20 13:33:00,21325,,,21050,21325,,21325,,,,,21500,21050,21050,21000,21275.5</t>
  </si>
  <si>
    <t>2025-05-20 13:33:00,1041699929.29751,-674261542.404333,20394.6369109869,-2791,-1415.85484848484,-1399.49,-414.4294092674,-429.62,590.99</t>
  </si>
  <si>
    <t>2025-05-20 13:33:00,-364316505.76251,52202563.009313,4307.90022454982,4966,2323.45015204982,3027.12,458.065942340685,1768.08,518.28</t>
  </si>
  <si>
    <t>2025-05-20 13:33:00,3469190.42651619,-406216452.123929,-438.116666666663,48,-3871.24433333332,-2101.45,14.2673073134728,-50.32,5920.5</t>
  </si>
  <si>
    <t>2025-05-20 13:33:00,180883411.266537,-1873171.20794168,-10.3483849266202,-12,-436.619548544375,-352.26,0.0208768686346595,-5.18,21275.5</t>
  </si>
  <si>
    <t>2025-05-20 13:34:00,600,,,,580,,591.5,,,,,594,590,594,590,590.87</t>
  </si>
  <si>
    <t>2025-05-20 13:34:00,525,,520,,500,,519,,518,,,521,518,523,516,518.17</t>
  </si>
  <si>
    <t>2025-05-20 13:34:00,6000,,,5920,5700,,5940,,,5910,,5950,5900,6050,5990,5919.25</t>
  </si>
  <si>
    <t>2025-05-20 13:34:00,21325,,,21050,21325,,21300,,,,,21500,21050,21050,21000,21270.75</t>
  </si>
  <si>
    <t>2025-05-20 13:34:00,1036193626.66666,-3305809754.14889,21934.4801864802,-69,1236.14105555556,2835.22,-273.581810696189,1771.29,590.87</t>
  </si>
  <si>
    <t>2025-05-20 13:34:00,-397319597.994878,-897575797.063702,670.93772618365,-816,-921.009806644185,-2202.4,74.9855833521501,-980.47,518.17</t>
  </si>
  <si>
    <t>2025-05-20 13:34:00,1800758.65784497,-429393718.338152,-852.286754385966,-27,-3042.46021754386,3320.38,2.32049727729789,106.01,5919.25</t>
  </si>
  <si>
    <t>2025-05-20 13:34:00,180809245.521706,-1940766.96422836,5.37038199895343,10,-7.69171066631775,227.88,0.0107790986199061,3.02,21270.75</t>
  </si>
  <si>
    <t>2025-05-20 13:35:00,600,,,,580,,591.5,,,,,594,590,594,590,591.05</t>
  </si>
  <si>
    <t>2025-05-20 13:35:00,525,,520,,500,,519,,,,,521,518,523,516,518.25</t>
  </si>
  <si>
    <t>2025-05-20 13:35:00,6000,,,5920,5700,,5940,,,,,5950,5900,6050,5990,5921</t>
  </si>
  <si>
    <t>2025-05-20 13:35:00,21325,,,21050,21325,,21300,,,,,21500,21050,21050,21000,21276</t>
  </si>
  <si>
    <t>2025-05-20 13:35:00,1044618076.76642,-2099363562.53367,16982.5248166032,84,2694.55728367418,3553.17,-43.6997233170756,1617.51,591.05</t>
  </si>
  <si>
    <t>2025-05-20 13:35:00,-378219396.717505,-104889550.976349,-675.049821114903,-1722,-645.936029231674,-1008.83,39.775140420338,-659.63,518.25</t>
  </si>
  <si>
    <t>2025-05-20 13:35:00,4417444.51130333,-418529392.101996,551.601666666667,708,7422.67035000001,2935.38,4.5985203929231,200.98,5921</t>
  </si>
  <si>
    <t>2025-05-20 13:35:00,181211213.135819,-1845171.06287531,1.28514652014651,11,-7.89460494505511,92.36,0.0560764544324655,1.8,21276</t>
  </si>
  <si>
    <t>2025-05-20 13:36:00,600,,,,580,,591.5,,,,,594,590,594,590,591.255</t>
  </si>
  <si>
    <t>2025-05-20 13:36:00,525,,520,,500,,519,518,,,,521,518,523,516,518.48</t>
  </si>
  <si>
    <t>2025-05-20 13:36:00,6000,,,5920,5700,,5940,,,,,5950,5900,6050,5990,5923.25</t>
  </si>
  <si>
    <t>2025-05-20 13:36:00,21325,,,21050,21325,,21300,,,,,21500,21050,21050,21000,21283.5</t>
  </si>
  <si>
    <t>2025-05-20 13:36:00,1095349025.99523,-469629360.030598,33481.1027906041,4178,5857.38893253969,8842.19,1339.58671109826,4582.33,591.255</t>
  </si>
  <si>
    <t>2025-05-20 13:36:00,-359387276.528799,430750951.477512,1110.35618279571,1742,2178.07921774195,1230.5,-35.0196884664012,570.74,518.48</t>
  </si>
  <si>
    <t>2025-05-20 13:36:00,6363569.0716291,-405068202.685192,803.185,1478,1156.71253333336,-1363.05,-11.2111979247705,236.6,5923.25</t>
  </si>
  <si>
    <t>2025-05-20 13:36:00,182915221.056221,-1692089.4385497,-2.09832455126573,0,-91.1749821093939,42.44,-0.0130735491500229,0.95,21283.5</t>
  </si>
  <si>
    <t>2025-05-20 13:37:00,600,,594,,580,,591.5,,,,,594,590,594,590,591.19</t>
  </si>
  <si>
    <t>2025-05-20 13:37:00,525,,520,,500,,519,,,,,521,518,523,516,518.41</t>
  </si>
  <si>
    <t>2025-05-20 13:37:00,6000,,,5920,5700,,5940,,,,,5950,5900,6050,5990,5922</t>
  </si>
  <si>
    <t>2025-05-20 13:37:00,21325,,,21050,21325,,21300,,,,,21500,21050,21050,21000,21281.25</t>
  </si>
  <si>
    <t>2025-05-20 13:37:00,1142774979.29743,1845087823.47911,17288.9480475138,1033,-3630.00333119659,-2947.55,418.607053104953,-1323.44,591.19</t>
  </si>
  <si>
    <t>2025-05-20 13:37:00,-352935348.198768,577882902.362648,-2867.04464285714,-4367,-1877.78214285714,-2410.08,-77.2037423241873,-1458.46,518.41</t>
  </si>
  <si>
    <t>2025-05-20 13:37:00,3776260.98632196,-413137463.144197,-2742.88999999999,-2598,-12463.6418,-8447.23,11.0159053804115,-552.18,5922</t>
  </si>
  <si>
    <t>2025-05-20 13:37:00,181797592.656893,-1747686.18125907,-10.6742063492063,-10,-272.241777777777,-246.87,-0.0117874416052155,-4,21281.25</t>
  </si>
  <si>
    <t>2025-05-20 13:38:00,600,,594,,580,,591.5,,,,,594,590,594,590,591.47</t>
  </si>
  <si>
    <t>2025-05-20 13:38:00,525,,520,,500,,519,,519,,,521,518,531,516,518.63</t>
  </si>
  <si>
    <t>2025-05-20 13:38:00,6000,,,5920,5700,,5940,,,,,5950,5900,6050,5990,5924.75</t>
  </si>
  <si>
    <t>2025-05-20 13:38:00,21325,,,21050,21325,,21300,,,,,21500,21050,21050,21000,21291.25</t>
  </si>
  <si>
    <t>2025-05-20 13:38:00,1248371141.96006,3384436352.35803,17884.425257378,2235,-3816.0708908046,-5276.06,1092.34999644724,-2431.56,591.47</t>
  </si>
  <si>
    <t>2025-05-20 13:38:00,-306276904.710313,1871385647.75976,-748.273147819922,-3300,-115.285786600497,-1576.99,-127.696635506899,-1193.29,518.63</t>
  </si>
  <si>
    <t>2025-05-20 13:38:00,6409757.41196625,-386398187.988689,-1146.23640564827,-1584,-7707.18659088576,-10534.1,8.02360786659137,-612.8,5924.75</t>
  </si>
  <si>
    <t>2025-05-20 13:38:00,183196496.061762,-1512840.30265912,15.8853666594843,31,-13.1231298714358,106.92,0.0645643810154543,3.86,21291.25</t>
  </si>
  <si>
    <t>2025-05-20 13:39:00,600,,594,,580,,591.5,,592,,,594,590,594,590,591.55</t>
  </si>
  <si>
    <t>2025-05-20 13:39:00,525,,520,,500,,519,,,,,521,518,531,516,518.72</t>
  </si>
  <si>
    <t>2025-05-20 13:39:00,6000,,,5930,5700,,5940,,,,,5950,5900,6050,5990,5926.5</t>
  </si>
  <si>
    <t>2025-05-20 13:39:00,21325,,,,21325,,21300,,,,,21500,21050,21050,21000,21293.25</t>
  </si>
  <si>
    <t>2025-05-20 13:39:00,1185347707.49268,1542372157.80192,11578.4577850329,3872,-1467.70309523809,-2444.42,-191.110851036477,-1315.29,591.55</t>
  </si>
  <si>
    <t>2025-05-20 13:39:00,-304897007.458187,1563947624.33341,-1753.53333333333,1304,-1391.59333333334,-36.4299999999999,-211.839977691149,-50.76,518.72</t>
  </si>
  <si>
    <t>2025-05-20 13:39:00,8039638.26137976,-389131760.138653,-1240.5,-909,-5635.95499999999,-6847.18,-24.3114529347938,-477.49,5926.5</t>
  </si>
  <si>
    <t>2025-05-20 13:39:00,183416182.513582,-1473558.37267833,11.3163095238095,15,173.921761688312,238.29,0.00439806475519984,4.62,21293.25</t>
  </si>
  <si>
    <t>2025-05-20 13:40:00,600,,,,580,,591.5,,,,,594,590,594,590,591.195</t>
  </si>
  <si>
    <t>2025-05-20 13:40:00,525,,520,,500,,519,,,,,521,518,531,516,518.38</t>
  </si>
  <si>
    <t>2025-05-20 13:40:00,6000,,,5920,5700,,5940,5930,,,5920,5950,5900,6050,5990,5922.75</t>
  </si>
  <si>
    <t>2025-05-20 13:40:00,21325,,,21050,21325,,21300,,,,,21500,21050,21050,21000,21278.25</t>
  </si>
  <si>
    <t>2025-05-20 13:40:00,1064077498.36438,-3775741345.67581,19616.5015069256,6323,2804.32727878788,3184.54,297.923799608499,1678.07,591.195</t>
  </si>
  <si>
    <t>2025-05-20 13:40:00,-355829778.800231,-160530264.229453,3312.26071428572,2643,2610.25939285714,2452.56,-23.2599790114909,1294.88,518.38</t>
  </si>
  <si>
    <t>2025-05-20 13:40:00,5401571.84275804,-411871802.556599,1385.66666666666,412,10764.0016666666,6409.16,0.360192677721007,366.38,5922.75</t>
  </si>
  <si>
    <t>2025-05-20 13:40:00,183489104.863049,-1780999.82954645,22.0351538167715,18,416.771874280132,228.03,-0.00534718284487459,4.41,21278.25</t>
  </si>
  <si>
    <t>2025-05-20 13:41:00,600,,,,580,,591.5,,,591,,594,590,594,590,590.8</t>
  </si>
  <si>
    <t>2025-05-20 13:41:00,525,,,518,500,,519,,,,518,521,518,531,516,517.97</t>
  </si>
  <si>
    <t>2025-05-20 13:41:00,6000,,,5920,5700,,5940,,,,,5950,5900,6050,5990,5919.75</t>
  </si>
  <si>
    <t>2025-05-20 13:41:00,21325,,,21050,21325,,21300,,,,,21500,21050,21050,21000,21259.25</t>
  </si>
  <si>
    <t>2025-05-20 13:41:00,874614885.933355,-7931522279.80514,50321.1973608722,20957,1892.55059041647,5866.62,-790.643348985001,2260.84,590.8</t>
  </si>
  <si>
    <t>2025-05-20 13:41:00,-446426869.80692,-2584464911.73751,-1770.53475935829,-3595,-1869.2029768271,-869.02,261.519469246216,-972.01,517.97</t>
  </si>
  <si>
    <t>2025-05-20 13:41:00,2554736.04145612,-473185046.735683,-357.131666666668,-879,7512.29928333334,1083.51,22.1502964756666,-63.63,5919.75</t>
  </si>
  <si>
    <t>2025-05-20 13:41:00,180282583.25393,-2177718.77999501,23.4214609161048,18,460.301223394493,608.59,-0.00971273425480496,6.93,21259.25</t>
  </si>
  <si>
    <t>2025-05-20 13:42:00,600,,,,580,,591.5,,,,,594,590,594,590,590.745</t>
  </si>
  <si>
    <t>2025-05-20 13:42:00,525,,520,,500,,519,,518,518,,521,518,531,516,517.855</t>
  </si>
  <si>
    <t>2025-05-20 13:42:00,6000,,,5900,5700,,5940,,,,5910,5950,5900,6050,5990,5918.25</t>
  </si>
  <si>
    <t>2025-05-20 13:42:00,21325,,,21050,21325,,21300,,,,,21500,21050,21050,21000,21257.25</t>
  </si>
  <si>
    <t>2025-05-20 13:42:00,957570484.345792,-4525522617.3925,60333.7105357778,26405,-1994.27202946129,937.42,708.110346531153,-972.299999999999,590.745</t>
  </si>
  <si>
    <t>2025-05-20 13:42:00,-437554822.445867,-1246630944.79945,-2153.99523348661,-1218,-2461.9111098611,-1046.4,-542.697226538465,-488.56,517.855</t>
  </si>
  <si>
    <t>2025-05-20 13:42:00,1210780.66824647,-492796705.493189,1331.69824561403,1742,2175.97931578948,9426.34,-14.3313175961936,595.04,5918.25</t>
  </si>
  <si>
    <t>2025-05-20 13:42:00,179293338.74794,-2224823.42267888,2.93637613305909,-2,-31.0308415753799,213.64,-0.0485426871220133,0.82,21257.25</t>
  </si>
  <si>
    <t>2025-05-20 13:43:00,600,,,,580,,591.5,,,,,594,590,594,590,591</t>
  </si>
  <si>
    <t>2025-05-20 13:43:00,525,,520,,500,,519,,,,518,521,518,531,516,518.099</t>
  </si>
  <si>
    <t>2025-05-20 13:43:00,6000,,,5920,5700,,5940,,,,,5950,5900,6050,5990,5920.5</t>
  </si>
  <si>
    <t>2025-05-20 13:43:00,21325,,,21050,21325,,21300,,,,,21500,21050,21050,21000,21267.75</t>
  </si>
  <si>
    <t>2025-05-20 13:43:00,977219533.206708,-3936736367.47133,23126.2062387486,6845,-5446.04419191919,-2713.33,253.593352470263,-1293.04,591</t>
  </si>
  <si>
    <t>2025-05-20 13:43:00,-422019005.285302,-968303368.760941,-766.702380952379,-1328,-1619.75636363636,-1979.18,-118.958442540392,-960.83,518.099</t>
  </si>
  <si>
    <t>2025-05-20 13:43:00,1835972.05967446,-527046946.016305,-1267.26376811595,185,-10558.0258985508,-6701.47,2.16663754756644,-371.13,5920.5</t>
  </si>
  <si>
    <t>2025-05-20 13:43:00,180746282.251427,-2099024.13480172,-19.500111000111,-22,-532.414620379621,-264.2,0.0217491890815957,-4.67,21267.75</t>
  </si>
  <si>
    <t>2025-05-20 13:44:00,600,,,,580,,591.5,,,,,594,590,594,590,590.96</t>
  </si>
  <si>
    <t>2025-05-20 13:44:00,525,,520,,500,,519,,,,,521,518,531,516,518.07</t>
  </si>
  <si>
    <t>2025-05-20 13:44:00,6000,,,5920,5700,,5940,,,,,5950,5900,6050,5990,5920.5</t>
  </si>
  <si>
    <t>2025-05-20 13:44:00,21325,,,21050,21325,,21300,,,,,21500,21050,21050,21000,21266.75</t>
  </si>
  <si>
    <t>2025-05-20 13:44:00,937284979.258361,-4776860524.60733,17956.3536682615,5063,-4170.02133333332,-702.9,300.331801944311,-6.32000000000003,590.96</t>
  </si>
  <si>
    <t>2025-05-20 13:44:00,-448435555.683081,-1222914026.13312,-4572.56500933708,-3206,-4196.73780345473,-2331.55,60.3623805617839,-1321.96,518.07</t>
  </si>
  <si>
    <t>2025-05-20 13:44:00,-251504.442089876,-515368013.942551,-2235.51833333332,-2276,-15360.909545238,-9609.8,14.8319526913252,-650.23,5920.5</t>
  </si>
  <si>
    <t>2025-05-20 13:44:00,180395713.704528,-2086713.82093163,-7.90874984438519,-7,819.81959638888,-76,0.0067464628812436,-1.36,21266.75</t>
  </si>
  <si>
    <t>2025-05-20 13:45:00,600,,,,580,,591.5,,,,,594,590,594,590,591.05</t>
  </si>
  <si>
    <t>2025-05-20 13:45:00,525,,520,,500,,519,,,,,521,518,531,516,518.155</t>
  </si>
  <si>
    <t>2025-05-20 13:45:00,6000,,,5920,5700,,5940,,,5920,,5950,5900,6050,5990,5921.25</t>
  </si>
  <si>
    <t>2025-05-20 13:45:00,21325,,,21050,21325,,21300,,,,,21500,21050,21050,21000,21270.25</t>
  </si>
  <si>
    <t>2025-05-20 13:45:00,1034578226.70613,-2038744805.75959,21257.4949693939,6654,963.846212121213,1439.01,234.471683593309,913.93,591.05</t>
  </si>
  <si>
    <t>2025-05-20 13:45:00,-389945508.080369,-420937490.902032,2722.59993943523,2297,1687.69763933682,1085.12,129.087038547156,758.57,518.155</t>
  </si>
  <si>
    <t>2025-05-20 13:45:00,3809980.26431214,-485644896.866888,4130.3781052281,2817,16553.1331212121,1395,5.77844009469782,734.34,5921.25</t>
  </si>
  <si>
    <t>2025-05-20 13:45:00,181191270.723218,-2023127.594676,3.69997383568812,5,3918.33266441891,122.04,0.00445682561508323,1.96,21270.25</t>
  </si>
  <si>
    <t>2025-05-20 13:47:00,600,,,590,580,,591.5,,,,,594,590,594,590,590.785</t>
  </si>
  <si>
    <t>2025-05-20 13:47:00,525,,520,,500,,519,,,,,521,518,531,516,517.87</t>
  </si>
  <si>
    <t>2025-05-20 13:47:00,6000,,,5900,5700,,5940,,,,,5950,5900,6050,5990,5918.5</t>
  </si>
  <si>
    <t>2025-05-20 13:47:00,21325,,,21050,21325,,21300,,,,,21500,21050,21050,21000,21257.5</t>
  </si>
  <si>
    <t>2025-05-20 13:47:00,915588824.8178,-6989356732.10055,32405.6243386242,9283,-4.88981818180525,628.69,-504.030620883898,-487.99,590.785</t>
  </si>
  <si>
    <t>2025-05-20 13:47:00,-441795517.645887,-1975960927.84628,2187.59935064935,870,1002.9308008658,568.48,202.484696352438,297.26,517.87</t>
  </si>
  <si>
    <t>2025-05-20 13:47:00,-693618.993367863,-526555243.063572,3634.83333333333,2439,15190.4911666667,9144.82,-15.8764441392334,610.54,5918.5</t>
  </si>
  <si>
    <t>2025-05-20 13:47:00,179750221.447194,-2264492.94783533,23.2495421245421,21,643.289010989011,263.45,0.0092877867899895,4.29,21257.5</t>
  </si>
  <si>
    <t>2025-05-20 13:48:00,600,,,590,580,,591.5,,,,,594,590,594,590,590.84</t>
  </si>
  <si>
    <t>2025-05-20 13:48:00,525,,520,,500,,519,,,,,521,518,531,516,517.895</t>
  </si>
  <si>
    <t>2025-05-20 13:48:00,6000,,,5920,5700,,5940,,,5920,,5950,5900,6050,5990,5919</t>
  </si>
  <si>
    <t>2025-05-20 13:48:00,21325,,,21050,21325,,21300,,,,,21500,21050,21050,21000,21260</t>
  </si>
  <si>
    <t>2025-05-20 13:48:00,953462937.020229,-5511278732.46914,18929.6797739227,10846,-2937.95166666666,-657.15,29.8338706816878,-1093.68,590.84</t>
  </si>
  <si>
    <t>2025-05-20 13:48:00,-433085904.715334,-1344642392.54158,1318.74126984127,977,297.23730952381,570.44,221.111070958411,267.29,517.895</t>
  </si>
  <si>
    <t>2025-05-20 13:48:00,-1024679.51967106,-547347334.300203,-683.215000000004,-1043,58574.974316666,24698.64,-9.10613154879414,-104.03,5919</t>
  </si>
  <si>
    <t>2025-05-20 13:48:00,179950696.690683,-2210416.00185775,-10.0875415207581,-12,-408.937045174218,-456.65,0.0477131606257247,-6.45,21260</t>
  </si>
  <si>
    <t>2025-05-20 13:49:00,600,,,,580,,591.5,,,,,594,590,594,590,590.94</t>
  </si>
  <si>
    <t>2025-05-20 13:49:00,525,,520,,500,,519,,,,,521,518,531,516,517.97</t>
  </si>
  <si>
    <t>2025-05-20 13:49:00,6000,,,5920,5700,,5940,,,,,5950,5900,6050,5990,5920</t>
  </si>
  <si>
    <t>2025-05-20 13:49:00,21325,,,21050,21325,,21300,,,,,21500,21050,21050,21000,21262.75</t>
  </si>
  <si>
    <t>2025-05-20 13:49:00,978479711.869189,-3492779678.73391,12549.2406837608,6198,40.8514778325119,107.27,-140.541812197502,-108.09,590.94</t>
  </si>
  <si>
    <t>2025-05-20 13:49:00,-412142274.155132,-950185341.542147,620.984848484849,569,438.491060606061,667.27,-35.8475073547713,301.4,517.97</t>
  </si>
  <si>
    <t>2025-05-20 13:49:00,1561919.46215892,-534584442.831818,194.65,1008,900.407500000001,2787.35,-7.51773021507656,203.62,5920</t>
  </si>
  <si>
    <t>2025-05-20 13:49:00,180661477.410656,-2200730.28730397,-3.34146825396825,-1,-40.8233849206349,13,0.00279598332557582,0.08,21262.75</t>
  </si>
  <si>
    <t>2025-05-20 13:50:00,600,,,,580,,591.5,,,,,594,590,594,590,590.99</t>
  </si>
  <si>
    <t>2025-05-20 13:50:00,525,,520,,500,,519,,,,,521,518,531,516,517.99</t>
  </si>
  <si>
    <t>2025-05-20 13:50:00,6000,,,5920,5700,,5940,,,,,5950,5900,6050,5990,5920</t>
  </si>
  <si>
    <t>2025-05-20 13:50:00,21325,,,21050,21325,,21300,,,,,21500,21050,21050,21000,21266.25</t>
  </si>
  <si>
    <t>2025-05-20 13:50:00,1054432771.65583,-1966682205.69213,11280.7628909554,3767,1711.11039285716,144.660000000001,93.2703210907423,1205.77,590.99</t>
  </si>
  <si>
    <t>2025-05-20 13:50:00,-395890728.31904,-483091840.509849,-275.445035255479,-566,-604.674760649087,-1244.11,-62.1168090374968,-548.04,517.99</t>
  </si>
  <si>
    <t>2025-05-20 13:50:00,1327759.01030307,-536281335.159543,411.65,398,1565.9555,3401.75,1.12502752611936,248.67,5920</t>
  </si>
  <si>
    <t>2025-05-20 13:50:00,180592653.675187,-2154604.288297,-16.9940332543274,-20,-199.847120340444,-200.76,0.0329128161154724,-3.72,21266.25</t>
  </si>
  <si>
    <t>2025-05-20 13:51:00,600,,,,580,,591.5,,,,,594,590,594,590,591.01</t>
  </si>
  <si>
    <t>2025-05-20 13:51:00,525,,520,,500,,519,,,,,521,518,531,516,518.08</t>
  </si>
  <si>
    <t>2025-05-20 13:51:00,6000,,,5920,5700,,5930,,,,,5950,5900,6050,5990,5920.75</t>
  </si>
  <si>
    <t>2025-05-20 13:51:00,21325,,,21050,21325,,21300,,,,,21500,21050,21050,21000,21267.25</t>
  </si>
  <si>
    <t>2025-05-20 13:51:00,1004094247.72111,-3894693426.491,16808.3593875911,5955,303.412855555554,-229.57,244.638606774215,-209.94,591.01</t>
  </si>
  <si>
    <t>2025-05-20 13:51:00,-415141127.399505,-896782370.213147,-1071.98857142858,-3968,-575.084219047621,-1018.15,39.8376574467118,-695.39,518.08</t>
  </si>
  <si>
    <t>2025-05-20 13:51:00,756834.772528806,-503750551.578248,-259.455000000001,259,4036.05994999996,466.16,8.27233593768784,-10.75,5920.75</t>
  </si>
  <si>
    <t>2025-05-20 13:51:00,181043314.783589,-2146269.33801703,9.75159090909091,29,46.6158992424242,60.92,0.0430169568270295,1.42,21267.25</t>
  </si>
  <si>
    <t>2025-05-20 13:52:00,600,,,,580,,591.5,,,,,594,590,594,590,591.08</t>
  </si>
  <si>
    <t>2025-05-20 13:52:00,525,,520,,500,,519,,,,,521,518,531,516,518.15</t>
  </si>
  <si>
    <t>2025-05-20 13:52:00,6000,,,5920,5700,,5930,,,,,5950,5900,6050,5990,5921.25</t>
  </si>
  <si>
    <t>2025-05-20 13:52:00,21325,,,21050,21325,,21300,,,,,21500,21050,21050,21000,21270</t>
  </si>
  <si>
    <t>2025-05-20 13:52:00,1043577190.96687,-2240882580.66606,1823.08485329097,104,2334.58762820513,3091.87,-317.398482900513,1864,591.08</t>
  </si>
  <si>
    <t>2025-05-20 13:52:00,-378191266.202355,-491174120.551932,1495.89901960784,1113,674.777754901961,102.53,-33.0095940752027,136.65,518.15</t>
  </si>
  <si>
    <t>2025-05-20 13:52:00,2006723.93112525,-476431558.471648,924.23623188406,138,11451.4480507247,4250.77,-18.5428407631531,58.03,5921.25</t>
  </si>
  <si>
    <t>2025-05-20 13:52:00,181616123.793554,-2039551.95460476,-3.59401938641069,-4,-0.950714944475768,-35.92,-0.00865666408012278,0.21,21270</t>
  </si>
  <si>
    <t>2025-05-20 13:53:00,600,,,,580,,591.5,,,,,594,590,594,590,590.93</t>
  </si>
  <si>
    <t>2025-05-20 13:53:00,525,,520,,500,,519,,,,,521,518,531,516,517.99</t>
  </si>
  <si>
    <t>2025-05-20 13:53:00,6000,,,5920,5700,,5940,,,,5920,5950,5900,6050,5990,5920</t>
  </si>
  <si>
    <t>2025-05-20 13:53:00,21325,,,21050,21325,,21300,,,,,21500,21050,21050,21000,21263.25</t>
  </si>
  <si>
    <t>2025-05-20 13:53:00,988408383.04433,-4680194849.91801,10551.2195715672,533,-1338.28059451659,-1798.47,-426.725080435637,-1332.89,590.93</t>
  </si>
  <si>
    <t>2025-05-20 13:53:00,-404721766.070689,-1124204126.27349,-508.90238095238,-353,-665.570190476189,-936.66,-350.513949817002,-298.41,517.99</t>
  </si>
  <si>
    <t>2025-05-20 13:53:00,2041639.31891089,-529191111.294479,2124.7545714286,795,203519.311088575,59690.6,18.4594791255102,515.3,5920</t>
  </si>
  <si>
    <t>2025-05-20 13:53:00,180951602.039655,-2186043.09284203,-30.9762788381209,-37,-350.201304752265,-349.74,-0.0129858262906096,-7.05,21263.25</t>
  </si>
  <si>
    <t>2025-05-20 13:54:00,600,,,,580,,591.5,,,,,594,590,594,590,590.97</t>
  </si>
  <si>
    <t>2025-05-20 13:54:00,525,,520,,500,,519,,,,,521,518,531,516,518.08</t>
  </si>
  <si>
    <t>2025-05-20 13:54:00,6000,,,5900,5700,,5930,,,,,5950,5900,6050,5990,5920.25</t>
  </si>
  <si>
    <t>2025-05-20 13:54:00,21325,,,21050,21325,,21300,,,,,21500,21050,21050,21000,21266.75</t>
  </si>
  <si>
    <t>2025-05-20 13:54:00,978723489.726203,-3322929508.25778,7044.47439353077,1096,30.4160119047548,1427.46,-607.072364517938,525.42,590.97</t>
  </si>
  <si>
    <t>2025-05-20 13:54:00,-411500636.671316,-380193109.530027,1369.54285714286,1268,369.271714285714,679.04,-11.001089158025,522.28,518.08</t>
  </si>
  <si>
    <t>2025-05-20 13:54:00,934320.170848435,-496788982.656374,26.6249999999979,-54,1363.43925,1036.8,-6.93338525714836,11.58,5920.25</t>
  </si>
  <si>
    <t>2025-05-20 13:54:00,180855266.744137,-2141680.14969531,-3.25812348408093,-2,-85.3685744281724,45.73,0.00282755618407446,0.38,21266.75</t>
  </si>
  <si>
    <t>2025-05-20 13:55:00,600,,,,580,,591.5,,,,,594,590,594,590,590.95</t>
  </si>
  <si>
    <t>2025-05-20 13:55:00,525,,520,,500,,519,,,,,521,518,531,516,518.04</t>
  </si>
  <si>
    <t>2025-05-20 13:55:00,6000,,,5900,5700,,5930,,,,,5950,5900,6050,5990,5920.5</t>
  </si>
  <si>
    <t>2025-05-20 13:55:00,21325,,,21050,21325,,21300,,,,,21500,21050,21050,21000,21265.75</t>
  </si>
  <si>
    <t>2025-05-20 13:55:00,975213140.894565,-4813387970.63242,8378.31749999992,390,606.22245238095,1581.99,-40.9587854982018,929.79,590.95</t>
  </si>
  <si>
    <t>2025-05-20 13:55:00,-402931569.352906,-669269780.260771,680.931337535015,957,361.919836834735,493.81,3.6954454728068,340.07,518.04</t>
  </si>
  <si>
    <t>2025-05-20 13:55:00,3939907.31211017,-504120306.656212,832.333333333335,601,4828.60066666667,3974.01,1.83864676534044,261.88,5920.5</t>
  </si>
  <si>
    <t>2025-05-20 13:55:00,180940240.377683,-2204118.25254222,0.289080919080904,4,-105.639498101898,-72.05,-0.0607291734189069,-1.34,21265.75</t>
  </si>
  <si>
    <t>2025-05-20 13:56:00,600,,,,580,,591.5,,,,,594,590,594,590,590.89</t>
  </si>
  <si>
    <t>2025-05-20 13:56:00,525,,520,,500,,519,,,,,521,518,531,516,517.93</t>
  </si>
  <si>
    <t>2025-05-20 13:56:00,6000,,,5920,5700,,5930,,,,5920,5950,5900,6050,5990,5919.5</t>
  </si>
  <si>
    <t>2025-05-20 13:56:00,21325,,,21050,21325,,21300,,,,,21500,21050,21050,21000,21260.75</t>
  </si>
  <si>
    <t>2025-05-20 13:56:00,980168601.292498,-3550050437.23435,9857.25093984949,6145,983.725115440118,439.12,-245.78962126557,-103.73,590.89</t>
  </si>
  <si>
    <t>2025-05-20 13:56:00,-430354502.600513,-1459749917.27512,-3377.57142857147,-729,-2563.09761904765,-296.12,-62.5788566052644,-188.49,517.93</t>
  </si>
  <si>
    <t>2025-05-20 13:56:00,1004182.60207511,-532254246.407008,-2172.41666666667,334,1483.80899999998,602.26,8.68991181156876,-25.92,5919.5</t>
  </si>
  <si>
    <t>2025-05-20 13:56:00,179831213.509691,-2326995.65608377,25.9271929824561,19,328.274596491228,218.14,0.0454421807140977,4.33,21260.75</t>
  </si>
  <si>
    <t>2025-05-20 13:57:00,600,,,,580,,591.5,,,,,594,590,594,590,590.91</t>
  </si>
  <si>
    <t>2025-05-20 13:57:00,525,,520,,500,,519,,,,,521,518,531,516,517.93</t>
  </si>
  <si>
    <t>2025-05-20 13:57:00,6000,,,5900,5700,,5930,,,,,5950,5900,6050,5990,5919.75</t>
  </si>
  <si>
    <t>2025-05-20 13:57:00,21325,,,21050,21325,,21300,,,,,21500,21050,21050,21000,21261.5</t>
  </si>
  <si>
    <t>2025-05-20 13:57:00,998561058.831156,-2495946235.11798,6642.24240465397,5616,1147.79695238095,2249.41,-398.462535240434,1235.43,590.91</t>
  </si>
  <si>
    <t>2025-05-20 13:57:00,-401027758.75977,-703012572.040228,562.775956801819,440,539.386690034103,323.18,31.5096563494704,122.54,517.93</t>
  </si>
  <si>
    <t>2025-05-20 13:57:00,537559.026643094,-510533048.486416,60.153333333333,60,1633.50493333333,1700.59,-4.14204515291336,105.77,5919.75</t>
  </si>
  <si>
    <t>2025-05-20 13:57:00,180497856.441822,-2194818.95175914,7.26285354774514,13,50.9605918943007,586.9,-0.00206032647346699,5.58,21261.5</t>
  </si>
  <si>
    <t>2025-05-20 13:58:00,600,,,,580,,591.5,,,,,594,590,594,590,590.93</t>
  </si>
  <si>
    <t>2025-05-20 13:58:00,525,,520,,500,,519,,,,,521,518,531,516,517.95</t>
  </si>
  <si>
    <t>2025-05-20 13:58:00,6000,,,5900,5700,,5930,,,,,5950,5900,6050,5990,5920</t>
  </si>
  <si>
    <t>2025-05-20 13:58:00,21325,,,21050,21325,,21300,,,,,21500,21050,21050,21000,21261.25</t>
  </si>
  <si>
    <t>2025-05-20 13:58:00,1025578703.15304,-3714419936.48595,7801.7578351641,4148,8273.44093073593,2404.6,-649.499303438656,1681.27,590.93</t>
  </si>
  <si>
    <t>2025-05-20 13:58:00,-435441364.300988,-2027155130.03821,2257.92261904762,1777,2147.36291666667,1455.55,-119.220230145747,843.2,517.95</t>
  </si>
  <si>
    <t>2025-05-20 13:58:00,1764251.07941247,-474940542.25127,1746.90714285715,674,16187.6504285715,5400.78,8.44177808180883,297.51,5920</t>
  </si>
  <si>
    <t>2025-05-20 13:58:00,180745719.851615,-2259293.41657877,17.4631631080784,21,271.406878384328,364.3,-0.00949635566216723,6.96,21261.25</t>
  </si>
  <si>
    <t>2025-05-20 13:59:00,600,,,,580,,591.5,,,,,594,590,594,590,591.02</t>
  </si>
  <si>
    <t>2025-05-20 13:59:00,525,,520,,500,,519,,,518,,521,518,531,516,518.052</t>
  </si>
  <si>
    <t>2025-05-20 13:59:00,6000,,,5920,5700,,5930,,,,,5950,5900,6050,5990,5921</t>
  </si>
  <si>
    <t>2025-05-20 13:59:00,21325,,,21050,21325,,21300,,,,,21500,21050,21050,21000,21266.5</t>
  </si>
  <si>
    <t>2025-05-20 13:59:00,1004857301.00101,-4059421442.5734,1923.92763754021,-418,766.481031746032,999.44,-126.70516994832,543.82,591.02</t>
  </si>
  <si>
    <t>2025-05-20 13:59:00,-411902804.307004,-978256953.182817,1367.84872976486,3891,-321.401144747722,1573.16,-569.008451877688,1189.93,518.052</t>
  </si>
  <si>
    <t>2025-05-20 13:59:00,1538140.30394105,-507355600.033783,-469.216666666667,-1086,-836.228666666667,-1388.01,4.61200885879076,-167.78,5921</t>
  </si>
  <si>
    <t>2025-05-20 13:59:00,180904621.836451,-2151068.27138681,-15.4802494873548,-20,-195.885749760766,-151.97,0.0255219763948467,-3.08,21266.5</t>
  </si>
  <si>
    <t>2025-05-20 14:00:00,600,,,590,580,,591.5,,,,,594,590,594,590,590.521</t>
  </si>
  <si>
    <t>2025-05-20 14:00:00,525,,520,,500,,518,,,,517,521,518,531,520,517.45</t>
  </si>
  <si>
    <t>2025-05-20 14:00:00,6000,,,5900,5700,,5930,,,,5910,5950,5900,6050,5990,5915</t>
  </si>
  <si>
    <t>2025-05-20 14:00:00,21325,,,21050,21325,,21300,,,,,21500,21050,21050,21000,21245.5</t>
  </si>
  <si>
    <t>2025-05-20 14:00:00,933540231.871444,-4517772000.67657,54385.7647250835,20111,-12424.6798160173,-8200.98,594.039325875983,-4624.65,590.521</t>
  </si>
  <si>
    <t>2025-05-20 14:00:00,-484222624.430686,-1710618283.43301,901.770855778204,900,-453.487569920281,180.26,591.257693221827,244.62,517.45</t>
  </si>
  <si>
    <t>2025-05-20 14:00:00,-2267501.19657735,-569850112.499904,-2132.64802197803,-1858,-15627.7251307693,-13289.22,0.422051940926168,-741.25,5915</t>
  </si>
  <si>
    <t>2025-05-20 14:00:00,179685784.848146,-2452660.11998334,22.4709624281261,17,455.706744661004,518.89,-0.012685689000768,4.93,21245.5</t>
  </si>
  <si>
    <t>2025-05-20 14:01:00,600,,,590,580,,591.5,,,,590,594,590,594,590,590.3</t>
  </si>
  <si>
    <t>2025-05-20 14:01:00,525,,,518,500,,519,,,,517,521,518,531,516,517.48</t>
  </si>
  <si>
    <t>2025-05-20 14:01:00,6000,,,5900,5700,,5930,5920,,,5920,5950,5900,5900,5990,5914.75</t>
  </si>
  <si>
    <t>2025-05-20 14:01:00,21325,,,21050,21325,,21300,,,,,21500,21050,21050,21000,21239.5</t>
  </si>
  <si>
    <t>2025-05-20 14:01:00,605847587.767473,-13882430744.724,66520.473962929,35018,-13820.5643962781,-15342.95,972.542461015697,-10320.59,590.3</t>
  </si>
  <si>
    <t>2025-05-20 14:01:00,-523917483.340393,-4250389348.45716,-3688.47566077713,-4295,-4587.39012384184,-5100.77,521.105222017885,-2935.82,517.48</t>
  </si>
  <si>
    <t>2025-05-20 14:01:00,-3363788.61498182,-634741791.430252,834.21786977324,-555,-10534.5383176618,-9127.9,-30.9985659755,-235.67,5914.75</t>
  </si>
  <si>
    <t>2025-05-20 14:01:00,176368114.082578,-2766996.97820479,6.65028495626252,-2,-117.948972691013,-166.56,-0.0185532717255988,-2.04,21239.5</t>
  </si>
  <si>
    <t>2025-05-20 14:02:00,600,,,590,580,,591.5,,,,,594,590,594,590,590.38</t>
  </si>
  <si>
    <t>2025-05-20 14:02:00,525,,520,,500,,518,,,,517,521,518,531,516,517.48</t>
  </si>
  <si>
    <t>2025-05-20 14:02:00,6000,,,5900,5700,,5930,5920,,,,5950,5900,5900,5990,5914.5</t>
  </si>
  <si>
    <t>2025-05-20 14:02:00,21325,,,21050,21325,,21300,,,,,21500,21050,21050,21000,21243</t>
  </si>
  <si>
    <t>2025-05-20 14:02:00,825067480.596496,-6790305905.13694,26413.2026836152,16897,1490.91610248448,4236.06,203.323893254405,2285.09,590.38</t>
  </si>
  <si>
    <t>2025-05-20 14:02:00,-474672692.548873,-1972775712.42874,4540.03378306878,4597,2753.78956825397,3217.75,476.79344042086,1957.83,517.48</t>
  </si>
  <si>
    <t>2025-05-20 14:02:00,-3699135.2145569,-602637467.390755,2017.35217391305,3012,10096.2020652174,11775.05,-17.001236280511,873.9,5914.5</t>
  </si>
  <si>
    <t>2025-05-20 14:02:00,177062529.387966,-2623766.77326457,3.54793419609489,8,-99.5630625509254,122.21,0.0160869886827199,2.63,21243</t>
  </si>
  <si>
    <t>2025-05-20 14:03:00,600,,,590,580,,591.5,,,590,,594,590,594,590,590.145</t>
  </si>
  <si>
    <t>2025-05-20 14:03:00,525,,,518,500,,519,,,,517,521,518,531,517,517.24</t>
  </si>
  <si>
    <t>2025-05-20 14:03:00,6000,,,5900,5700,,5930,5910,5920,,5910,5950,5900,5900,5990,5912.25</t>
  </si>
  <si>
    <t>2025-05-20 14:03:00,21325,,,21050,21325,,21300,,,,,21500,21050,21050,21000,21233</t>
  </si>
  <si>
    <t>2025-05-20 14:03:00,700495756.516693,-11607932197.3802,36672.063712982,24959,-3666.90651727983,528.759999999999,-184.270305729293,1405.55,590.145</t>
  </si>
  <si>
    <t>2025-05-20 14:03:00,-524063267.577583,-3857711541.01852,-2775.41153846154,-4141,-1388.97168681319,-29.0400000000001,19.455957710155,-436.15,517.24</t>
  </si>
  <si>
    <t>2025-05-20 14:03:00,-7197115.71534816,-653324024.842515,-1703.23333333333,-2269,-10831.5385,-12341.48,7.73021657323592,-802.62,5912.25</t>
  </si>
  <si>
    <t>2025-05-20 14:03:00,175397007.742287,-2900589.6459353,-29.3926814381565,-21,-698.097387914453,-482.79,0.101616515766663,-8.61,21233</t>
  </si>
  <si>
    <t>2025-05-20 14:04:00,600,,,590,580,,591.5,,,590,,594,590,594,590,589.88</t>
  </si>
  <si>
    <t>2025-05-20 14:04:00,525,,520,,500,,519,,,517,,521,518,531,520,516.98</t>
  </si>
  <si>
    <t>2025-05-20 14:04:00,6000,,,5900,5700,,5930,,,,,5950,5900,5900,5990,5909.5</t>
  </si>
  <si>
    <t>2025-05-20 14:04:00,21325,,,21050,21325,,21300,,,,,21500,21050,21050,21000,21222.5</t>
  </si>
  <si>
    <t>2025-05-20 14:04:00,710598909.613837,-7736794762.13288,43331.9861574547,37487,-6349.07183381561,5262.26,-303.62919280096,3948.85,589.88</t>
  </si>
  <si>
    <t>2025-05-20 14:04:00,-557379733.158542,-3787881450.15243,5172.01772657451,-2419,2462.85131377762,8.18999999999981,-699.702123521257,117.94,516.98</t>
  </si>
  <si>
    <t>2025-05-20 14:04:00,-4982884.63693736,-614762314.438536,-2090.62686733557,-2017,-16119.5190253226,-4393.81,19.8428218108722,-279.92,5909.5</t>
  </si>
  <si>
    <t>2025-05-20 14:04:00,174796348.898942,-2986630.31157249,7.14785353215458,14,-319.878039625227,390.28,0.0620692336008864,-1.31,21222.5</t>
  </si>
  <si>
    <t>2025-05-20 14:05:00,600,,,590,580,,591.5,590,,590,,594,590,594,588,589.89</t>
  </si>
  <si>
    <t>2025-05-20 14:05:00,525,,520,,500,,518,,,517,,521,518,531,519,516.96</t>
  </si>
  <si>
    <t>2025-05-20 14:05:00,6000,,,5900,5700,,5930,,,5900,5910,5950,5900,5900,5990,5909.25</t>
  </si>
  <si>
    <t>2025-05-20 14:05:00,21325,,,21050,21325,,21300,,,,,21500,21050,21050,21000,21220.5</t>
  </si>
  <si>
    <t>2025-05-20 14:05:00,569406874.700047,-10858216459.8401,46169.5023983846,34701,-6899.21451143207,-884.119999999999,1121.48232165209,-116.03,589.89</t>
  </si>
  <si>
    <t>2025-05-20 14:05:00,-571887286.756091,-3627935736.16678,-2798.17830747682,-1758,-4971.0778632299,-785.37,-879.528099429456,-181.99,516.96</t>
  </si>
  <si>
    <t>2025-05-20 14:05:00,-8004966.14287976,-717873605.580407,-3041.92999999999,-1382,-43244.1332999999,-10025.72,-25.0089736753493,-461.05,5909.25</t>
  </si>
  <si>
    <t>2025-05-20 14:05:00,173795553.603036,-3196638.91857483,-42.7525976505773,-47,-1809.89593194801,-1611,0.0657570563501299,-12.25,21220.5</t>
  </si>
  <si>
    <t>2025-05-20 14:06:00,600,,,590,580,,591.5,,590,590,,594,590,594,588,590.17</t>
  </si>
  <si>
    <t>2025-05-20 14:06:00,525,,520,,500,,519,,,,,521,518,531,519,517.205</t>
  </si>
  <si>
    <t>2025-05-20 14:06:00,6000,,,5900,5700,,5930,5920,,,,5950,5900,5900,5990,5912.5</t>
  </si>
  <si>
    <t>2025-05-20 14:06:00,21325,,,21050,21325,,21300,,,,,21500,21050,21050,21000,21231.5</t>
  </si>
  <si>
    <t>2025-05-20 14:06:00,591083842.05727,-11905735821.495,3304.09361534616,-5283,-971.022802133543,-1413.54,-914.338380686466,209.53,590.17</t>
  </si>
  <si>
    <t>2025-05-20 14:06:00,-545745825.283571,-3684119597.91637,1851.87213064712,2094,2027.9901559829,1345.52,-687.649733256936,876.09,517.205</t>
  </si>
  <si>
    <t>2025-05-20 14:06:00,-5414669.02332172,-710506337.522119,-605.481666666668,-21,-5362.11711666668,2392.8,10.5556609859583,101.22,5912.5</t>
  </si>
  <si>
    <t>2025-05-20 14:06:00,175409920.739662,-3006317.27316016,-20.7899727674473,-16,-599.782737783929,-599.7,-0.0157480859655248,-8.43,21231.5</t>
  </si>
  <si>
    <t>2025-05-20 14:07:00,600,,,590,580,,591.5,,,,,594,590,594,588,589.98</t>
  </si>
  <si>
    <t>2025-05-20 14:07:00,525,,,518,500,,519,,,,,521,518,531,519,517.05</t>
  </si>
  <si>
    <t>2025-05-20 14:07:00,6000,,,5900,5700,,5930,,,,,5950,5900,5900,5950,5910.5</t>
  </si>
  <si>
    <t>2025-05-20 14:07:00,21325,,,21050,21325,,21300,,,,,21500,21050,21050,21000,21223.75</t>
  </si>
  <si>
    <t>2025-05-20 14:07:00,637786403.692787,-13062482376.7637,17568.0466017339,11024,-1899.08205803063,-2498.84,52.0209743006325,-932.67,589.98</t>
  </si>
  <si>
    <t>2025-05-20 14:07:00,-530297064.252054,-4280358802.70064,513.930952380952,480,-93.1671666666665,126.73,-453.015396829851,101.11,517.05</t>
  </si>
  <si>
    <t>2025-05-20 14:07:00,-6711758.66417597,-705174131.384247,308.873423038032,282,86575.6610009333,67857.67,-14.8692162777484,716.45,5910.5</t>
  </si>
  <si>
    <t>2025-05-20 14:07:00,174192217.779192,-3141668.72688011,-10.4053832697738,-1,-131.447164273902,-25.51,0.0194892838561961,-1.82,21223.75</t>
  </si>
  <si>
    <t>2025-05-20 14:08:00,600,,,590,580,,591.5,,590,,,594,590,594,588,590.39</t>
  </si>
  <si>
    <t>2025-05-20 14:08:00,525,,520,,500,,518,,,,,521,518,531,519,517.39</t>
  </si>
  <si>
    <t>2025-05-20 14:08:00,6000,,,5900,5700,,5930,,,,,5950,5900,5900,5950,5914.5</t>
  </si>
  <si>
    <t>2025-05-20 14:08:00,21325,,,21050,21325,,21300,,,,,21500,21050,21050,21000,21239</t>
  </si>
  <si>
    <t>2025-05-20 14:08:00,661972235.819743,-10891453566.2528,6640.69013812413,4085,1514.53604998922,268.29,-105.594233855415,403.96,590.39</t>
  </si>
  <si>
    <t>2025-05-20 14:08:00,-550578749.506455,-3361995588.85527,-1268.50969678469,-1117,-1357.04993406593,-1058.25,674.374597916057,-635.92,517.39</t>
  </si>
  <si>
    <t>2025-05-20 14:08:00,-4102225.02019264,-685106519.416269,62.2219907407403,-571,4309.85897916664,4310.82,-31.7235487470553,-79.64,5914.5</t>
  </si>
  <si>
    <t>2025-05-20 14:08:00,176594785.471976,-2895215.67706932,-6.75731222800188,12,-22.6007511166993,86.28,0.0271615813634854,2.11,21239</t>
  </si>
  <si>
    <t>2025-05-20 14:09:00,600,,,590,580,,591.5,591,,,,594,590,594,588,590.59</t>
  </si>
  <si>
    <t>2025-05-20 14:09:00,525,,520,,500,,519,,518,,,521,518,531,519,517.64</t>
  </si>
  <si>
    <t>2025-05-20 14:09:00,6000,,,5900,5700,,5930,,5920,5910,,5950,5900,5900,5950,5917</t>
  </si>
  <si>
    <t>2025-05-20 14:09:00,21325,,,21050,21325,,21300,,,,,21500,21050,21050,21000,21248.5</t>
  </si>
  <si>
    <t>2025-05-20 14:09:00,777880946.291037,-9442362063.82654,-2616.21231904014,-5191,1474.0186121554,1413.92,1015.45609407632,1551.87,590.59</t>
  </si>
  <si>
    <t>2025-05-20 14:09:00,-514203099.666489,-3360156105.21442,-3906.38452380955,-4936,-2706.05011904763,-3838.63,-104.170966384709,-2346.89,517.64</t>
  </si>
  <si>
    <t>2025-05-20 14:09:00,-769674.038008696,-636580765.229819,-559.873809523807,-2,-12280.2428095238,-11491.81,4.76625417183949,-594.86,5917</t>
  </si>
  <si>
    <t>2025-05-20 14:09:00,178501397.790977,-2757289.58464496,-32.1730947019379,-15,-881.320536410989,-386.7,0.0759065832359497,-6.19,21248.5</t>
  </si>
  <si>
    <t>2025-05-20 14:10:00,600,,,590,580,,591.5,,591,,,594,590,594,592,590.69</t>
  </si>
  <si>
    <t>2025-05-20 14:10:00,525,,520,,500,,518,,518,,,521,518,531,519,517.68</t>
  </si>
  <si>
    <t>2025-05-20 14:10:00,6000,,,5900,5700,,5930,,,5910,,5950,5900,5900,5950,5917.5</t>
  </si>
  <si>
    <t>2025-05-20 14:10:00,21325,,,21050,21325,,21300,,,,,21500,21050,21050,21000,21251.5</t>
  </si>
  <si>
    <t>2025-05-20 14:10:00,849799320.365474,-4924968990.27852,-3027.82532504236,-7395,-13442.7144129073,-4968.6,-1195.64699971517,-2835.02,590.69</t>
  </si>
  <si>
    <t>2025-05-20 14:10:00,-489052273.145155,-1971843020.26252,-3766.84815270934,-2930,-4295.49503571427,-2363.69,-275.56461417107,-1372.89,517.68</t>
  </si>
  <si>
    <t>2025-05-20 14:10:00,82061.5230216928,-572556537.988136,453.71666666667,-78,-9753.2736666666,-1747.74,15.5178596012292,95.29,5917.5</t>
  </si>
  <si>
    <t>2025-05-20 14:10:00,178514010.433698,-2683812.4709618,5.67451784326784,19,59.1516348581974,24.8,-0.0613476827535479,0.81,21251.5</t>
  </si>
  <si>
    <t>2025-05-20 14:11:00,600,,,590,580,,591.5,,,,,594,590,594,588,590.465</t>
  </si>
  <si>
    <t>2025-05-20 14:11:00,525,,,518,500,,519,,,,,521,518,531,519,517.57</t>
  </si>
  <si>
    <t>2025-05-20 14:11:00,6000,,,5900,5700,,5930,,,,,5950,5900,5900,5950,5916</t>
  </si>
  <si>
    <t>2025-05-20 14:11:00,21325,,,21050,21325,,21300,,,,,21500,21050,21050,21000,21244.25</t>
  </si>
  <si>
    <t>2025-05-20 14:11:00,799234138.456013,-9983353555.77765,4473.93229351296,6089,9344.58470231729,4437.19,147.926982063957,2828.75,590.465</t>
  </si>
  <si>
    <t>2025-05-20 14:11:00,-494164378.002815,-3796374062.9309,2699.24754901961,1649,2059.19178921568,1136.58,49.8522917492238,714.65,517.57</t>
  </si>
  <si>
    <t>2025-05-20 14:11:00,-1256153.53968832,-611143456.074135,3597.21162790697,2753,13314.4730232558,13188.74,-13.6379269826676,915.77,5916</t>
  </si>
  <si>
    <t>2025-05-20 14:11:00,179088643.384015,-2750828.41580027,11.3709777599679,-1,-59.0447026314032,-28.7,0.0228132289348146,-0.74,21244.25</t>
  </si>
  <si>
    <t>2025-05-20 14:12:00,600,,,590,580,,591.5,,,,,594,590,594,588,590.7</t>
  </si>
  <si>
    <t>2025-05-20 14:12:00,525,,520,,500,,519,,518,,,521,516,531,519,517.78</t>
  </si>
  <si>
    <t>2025-05-20 14:12:00,6000,,,5900,5700,,5930,,,5910,,5950,5900,5900,5950,5917.75</t>
  </si>
  <si>
    <t>2025-05-20 14:12:00,21325,,,21050,21325,,21300,,,,,21500,21050,21050,21000,21255.25</t>
  </si>
  <si>
    <t>2025-05-20 14:12:00,862619561.1593,-7213232142.64294,-5175.94076775444,-5148,2311.7352464986,2174.62,-237.084364725468,832.45,590.7</t>
  </si>
  <si>
    <t>2025-05-20 14:12:00,-464804021.790277,-2183741317.96167,914.592713737875,-300,1328.73889690954,-316.63,-336.953992506001,-259.31,517.78</t>
  </si>
  <si>
    <t>2025-05-20 14:12:00,-668824.019259536,-589886954.30227,528.321666666666,1459,2965.13294999998,6296.77,-7.13131127923075,509.04,5917.75</t>
  </si>
  <si>
    <t>2025-05-20 14:12:00,179194538.626758,-2564901.59682582,-11.4489466089466,-11,-135.790689177489,-104.06,0.00087114145229971,-2.46,21255.25</t>
  </si>
  <si>
    <t>2025-05-20 14:13:00,600,,,590,580,,591.5,591,,,,594,590,594,588,590.8</t>
  </si>
  <si>
    <t>2025-05-20 14:13:00,525,,520,,500,,518,518,,,,521,516,531,519,517.89</t>
  </si>
  <si>
    <t>2025-05-20 14:13:00,6000,,,5900,5700,,5930,5920,,,,5950,5900,5900,5950,5918.75</t>
  </si>
  <si>
    <t>2025-05-20 14:13:00,21325,,,21050,21325,,21300,,,,,21500,21050,21050,21000,21259.5</t>
  </si>
  <si>
    <t>2025-05-20 14:13:00,936231293.947312,-3949209570.35632,-9760.36382665003,-15896,5326.36634927899,7426.33,275.538652776685,4824.61,590.8</t>
  </si>
  <si>
    <t>2025-05-20 14:13:00,-423236461.700848,-1011307460.53179,2005.48557692308,2054,1664.1773525641,2783.11,-296.764207718463,1577.33,517.89</t>
  </si>
  <si>
    <t>2025-05-20 14:13:00,-991700.971708227,-580071084.871903,153.303030303028,-285,8543.69681818182,3826.15,14.5309727788703,249.72,5918.75</t>
  </si>
  <si>
    <t>2025-05-20 14:13:00,179741129.214742,-2451759.98240263,30.1386446886447,48,176.897763736264,283.84,0.0152018159529696,6.89,21259.5</t>
  </si>
  <si>
    <t>2025-05-20 14:14:00,600,,,590,580,,591.5,,,,,594,590,594,588,590.86</t>
  </si>
  <si>
    <t>2025-05-20 14:14:00,525,,520,,500,,518,,,,518,520,516,531,519,517.965</t>
  </si>
  <si>
    <t>2025-05-20 14:14:00,6000,,,5900,5700,,5930,,,,,5950,5900,5900,5950,5919.25</t>
  </si>
  <si>
    <t>2025-05-20 14:14:00,21325,,,21050,21325,,21300,,,,,21500,21050,21050,21000,21262.25</t>
  </si>
  <si>
    <t>2025-05-20 14:14:00,950485373.135325,-4756067980.80929,-7405.77913240096,-9861,2137.81930462185,2993.68,-463.767296809504,1828.92,590.86</t>
  </si>
  <si>
    <t>2025-05-20 14:14:00,-414403096.037102,-911894608.176349,377.874871794871,1234,905.963605128204,1446.07,65.8643382877656,722.22,517.965</t>
  </si>
  <si>
    <t>2025-05-20 14:14:00,-878356.745522529,-560869759.742706,610.553333333332,1027,5300.64223333332,9780.78,10.3053284539829,328.6,5919.25</t>
  </si>
  <si>
    <t>2025-05-20 14:14:00,180111972.993794,-2343532.52375837,7.88798798798799,9,-159.338452166452,106.55,0.00718493872080884,2.2,21262.25</t>
  </si>
  <si>
    <t>2025-05-20 14:15:00,600,,,590,580,,591.5,,,,,594,590,594,588,590.87</t>
  </si>
  <si>
    <t>2025-05-20 14:15:00,525,,520,,500,,518,,,,,520,516,531,519,517.96</t>
  </si>
  <si>
    <t>2025-05-20 14:15:00,6000,,,5900,5700,,5930,,,,,5950,5900,5900,5950,5919.25</t>
  </si>
  <si>
    <t>2025-05-20 14:15:00,21325,,,21050,21325,,21300,,,,,21500,21050,21050,21000,21263.75</t>
  </si>
  <si>
    <t>2025-05-20 14:15:00,903630413.856683,-3415547196.20394,-1462.0061817035,-2978,-1691.05821139971,-3145.84,-339.585966635583,-2092.73,590.87</t>
  </si>
  <si>
    <t>2025-05-20 14:15:00,-452487579.911836,-864685379.349481,-478.445887445889,-935,-786.3054978355,-1070.99,-8.85999098084221,-621.94,517.96</t>
  </si>
  <si>
    <t>2025-05-20 14:15:00,903646.726952307,-580741722.154052,-488.454999999999,-389,-3492.82354999999,-4765.65,-8.77643098267203,-333.17,5919.25</t>
  </si>
  <si>
    <t>2025-05-20 14:15:00,180525628.279322,-2366734.55850492,-4.53102175602175,-15,-44.0385132090132,-97.31,0.0156387823153262,-2.27,21263.75</t>
  </si>
  <si>
    <t>2025-05-20 14:16:00,600,,,590,580,,591.5,,,,,594,590,594,588,590.79</t>
  </si>
  <si>
    <t>2025-05-20 14:16:00,525,,520,,500,,518,,,,,520,516,531,519,517.905</t>
  </si>
  <si>
    <t>2025-05-20 14:16:00,6000,,,5900,5700,,5930,,,,,5950,5900,5900,5950,5918.75</t>
  </si>
  <si>
    <t>2025-05-20 14:16:00,21325,,,21050,21325,,21300,,,,,21500,21050,21050,21000,21260.5</t>
  </si>
  <si>
    <t>2025-05-20 14:16:00,902486304.519778,-5713129415.22258,114.424249780974,1042,2778.96347763348,1759.67,-53.4130664502357,1176.96,590.79</t>
  </si>
  <si>
    <t>2025-05-20 14:16:00,-423125837.085709,-1317425660.796,1692.79420289855,951,1388.75715942029,954,-6.66368498025626,564.75,517.905</t>
  </si>
  <si>
    <t>2025-05-20 14:16:00,850038.123340821,-594122706.941146,635.56,503,2159.6098,1151.78,-4.83845151082265,85.64,5918.75</t>
  </si>
  <si>
    <t>2025-05-20 14:16:00,179978738.037379,-2433751.62398147,3.56565656565656,13,75.4669797979797,142.59,0.0217976216820462,3.23,21260.5</t>
  </si>
  <si>
    <t>2025-05-20 14:17:00,600,,,590,580,,591.5,,,,,594,590,594,588,590.8</t>
  </si>
  <si>
    <t>2025-05-20 14:17:00,525,,520,,500,,519,,,,,520,516,531,519,517.91</t>
  </si>
  <si>
    <t>2025-05-20 14:17:00,6000,,,5900,5700,,5930,,,,,5950,5900,5900,5950,5918.75</t>
  </si>
  <si>
    <t>2025-05-20 14:17:00,21325,,,21200,21325,,21300,,,,,21500,21050,21050,21000,21260.25</t>
  </si>
  <si>
    <t>2025-05-20 14:17:00,839084674.119342,-7389897481.38294,-2853.92206870735,-1187,-720.355220279723,-1594.75,-61.8422496991788,-928.62,590.8</t>
  </si>
  <si>
    <t>2025-05-20 14:17:00,-468940005.990523,-1806275330.4522,-192.263748894784,-996,-325.76346419098,-846.42,204.400714364731,-569.94,517.91</t>
  </si>
  <si>
    <t>2025-05-20 14:17:00,66884.8013959861,-630263426.640936,-795.082196969697,-1344,-2331.93045833334,-3938.8,-8.55517506345166,-366.47,5918.75</t>
  </si>
  <si>
    <t>2025-05-20 14:17:00,180044148.146134,-2470661.12210958,-0.63161677688827,-2,57.5412965715281,29.71,0.0108460351692073,0.13,21260.25</t>
  </si>
  <si>
    <t>2025-05-20 14:18:00,600,,,590,580,,591.5,,,,,594,590,594,588,590.96</t>
  </si>
  <si>
    <t>2025-05-20 14:18:00,525,,520,,500,,518,,,,,520,516,531,519,518.05</t>
  </si>
  <si>
    <t>2025-05-20 14:18:00,6000,,,5900,5700,,5930,,,,5920,5950,5900,5900,5950,5920.75</t>
  </si>
  <si>
    <t>2025-05-20 14:18:00,21325,,,21200,21325,,21300,,,,,21500,21050,21050,21000,21266.5</t>
  </si>
  <si>
    <t>2025-05-20 14:18:00,878376138.416372,-3869195633.22675,-923.232272297546,1398,-493.57822222222,-455.21,376.963884294312,69.43,590.96</t>
  </si>
  <si>
    <t>2025-05-20 14:18:00,-447540397.204826,-582261844.960833,-1080.50042596349,-1018,-823.003095740362,-878.69,-39.9085738357585,-561.5,518.05</t>
  </si>
  <si>
    <t>2025-05-20 14:18:00,228513.405129294,-598386381.902738,-426.049999999999,-385,-3939.371,-5373.82,2.83454356052292,-342.69,5920.75</t>
  </si>
  <si>
    <t>2025-05-20 14:18:00,181033482.891248,-2329186.61841226,-10.260767010767,-23,-144.443898379398,-171.25,0.0231532210471072,-3.76,21266.5</t>
  </si>
  <si>
    <t>2025-05-20 14:19:00,600,,,,580,,591.5,,,,,594,590,594,592,591.205</t>
  </si>
  <si>
    <t>2025-05-20 14:19:00,525,,520,,500,,518,,,,,520,516,531,519,518.29</t>
  </si>
  <si>
    <t>2025-05-20 14:19:00,6000,,,5900,5700,,5930,,5930,,,5950,5900,5900,5950,5923</t>
  </si>
  <si>
    <t>2025-05-20 14:19:00,21325,,,21250,21325,,21300,,,,,21500,21050,21050,21000,21276.25</t>
  </si>
  <si>
    <t>2025-05-20 14:19:00,1059141134.80191,-1728032127.97866,-25038.6689036299,-17754,1256.41786111111,380.82,-1379.8706150969,749.89,591.205</t>
  </si>
  <si>
    <t>2025-05-20 14:19:00,-380695759.472479,143222672.332842,-646.313035240622,-1288,310.038540545661,-424.49,19.0256942667208,-515.73,518.29</t>
  </si>
  <si>
    <t>2025-05-20 14:19:00,4104029.82163855,-516123199.851497,-42.0105072463756,307,7741.01635869566,7624.64,-5.49015583442065,280.51,5923</t>
  </si>
  <si>
    <t>2025-05-20 14:19:00,182158478.124248,-2070851.73832517,-21.7508612536857,-73,-386.815713029038,-923.53,0.0669123774532171,-12.9,21276.25</t>
  </si>
  <si>
    <t>2025-05-20 14:20:00,600,,594,,580,,591.5,,,,,594,590,594,588,591.32</t>
  </si>
  <si>
    <t>2025-05-20 14:20:00,525,,520,,500,,518,,518,,,520,516,531,519,518.44</t>
  </si>
  <si>
    <t>2025-05-20 14:20:00,6000,,,5910,5700,,5930,5930,5920,5920,,5950,5900,5900,5950,5923.75</t>
  </si>
  <si>
    <t>2025-05-20 14:20:00,21325,,,,21325,,21300,,,,,21500,21050,21050,21000,21281.75</t>
  </si>
  <si>
    <t>2025-05-20 14:20:00,1090145435.29698,385489546.271683,-18789.954216199,-14796,3572.83628244943,4179.76,1555.69064693756,2770.54,591.32</t>
  </si>
  <si>
    <t>2025-05-20 14:20:00,-357273211.401889,944906304.623252,330.427588201273,559,606.61472874494,-12.59,-5.95779068783965,113.26,518.44</t>
  </si>
  <si>
    <t>2025-05-20 14:20:00,5155901.66367781,-487944110.056047,2398.89583333334,3342,6292.95087500001,3485.46,-14.6670972598605,518.03,5923.75</t>
  </si>
  <si>
    <t>2025-05-20 14:20:00,182461555.284913,-1872733.32993014,70.2613461201611,121,1565.75006196357,2498.45,0.429089563172921,45.09,21281.75</t>
  </si>
  <si>
    <t>2025-05-20 14:22:00,600,,,,580,,591.5,,,,,594,590,594,588,591.26</t>
  </si>
  <si>
    <t>2025-05-20 14:22:00,525,,520,,500,,518,,,,,520,518,531,519,518.38</t>
  </si>
  <si>
    <t>2025-05-20 14:22:00,6000,,,5900,5700,,5930,5930,,,,5950,5900,5900,5950,5923.5</t>
  </si>
  <si>
    <t>2025-05-20 14:22:00,21325,,,,21325,,21300,,,,,21500,21050,21050,21000,21279.5</t>
  </si>
  <si>
    <t>2025-05-20 14:22:00,1040713162.14698,-127438585.459337,-6543.99835487022,-10282,530.574185606061,87.5800000000003,157.163538363948,70.6600000000003,591.26</t>
  </si>
  <si>
    <t>2025-05-20 14:22:00,-373350881.121599,331269232.961421,-2518.32523554877,-759,-1228.75708046855,-61.83,9.23925681210902,-132.26,518.38</t>
  </si>
  <si>
    <t>2025-05-20 14:22:00,5297038.29700737,-478341713.694261,265.575000000001,404,528.925250000005,1962.68,-0.471835066206512,177.63,5923.5</t>
  </si>
  <si>
    <t>2025-05-20 14:22:00,181744042.789952,-1825547.22877364,23.1923155467721,9,263.321947233201,192.8,-0.00403431186584033,3.44,21279.5</t>
  </si>
  <si>
    <t>2025-05-20 14:23:00,600,,,590,580,,591.5,,,,,594,590,594,588,591.21</t>
  </si>
  <si>
    <t>2025-05-20 14:23:00,525,,520,,500,,518,,,,,520,518,531,519,518.37</t>
  </si>
  <si>
    <t>2025-05-20 14:23:00,6000,,,5900,5700,,5930,,,,,5950,5900,5900,5950,5923</t>
  </si>
  <si>
    <t>2025-05-20 14:23:00,21325,,,,21325,,21300,,,,,21500,21050,21050,21000,21279.25</t>
  </si>
  <si>
    <t>2025-05-20 14:23:00,1049853232.17453,-1641803880.79893,-8171.49262386226,-8714,-1186.6250974026,-1902.87,316.534641737374,-1518.98,591.21</t>
  </si>
  <si>
    <t>2025-05-20 14:23:00,-401905382.583568,446884897.665223,-379.310713923759,-480,-706.969699850878,-765.24,-161.819966950641,-477.96,518.37</t>
  </si>
  <si>
    <t>2025-05-20 14:23:00,3492030.59583917,-500719117.462392,-312.75,-614,-2900.27499999999,-4117.02,13.6509328040976,-244.09,5923</t>
  </si>
  <si>
    <t>2025-05-20 14:23:00,181670227.653008,-1922419.44491108,-3.19969696969697,-7,-141.601613419913,-126.13,0.00167389473159577,-2.96,21279.25</t>
  </si>
  <si>
    <t>2025-05-20 14:24:00,600,,594,,580,,591.5,,,,,594,590,594,588,591.37</t>
  </si>
  <si>
    <t>2025-05-20 14:24:00,525,,520,,500,,518,,,,,520,518,531,519,518.545</t>
  </si>
  <si>
    <t>2025-05-20 14:24:00,6000,,,5910,5700,,5930,,,,,5950,5900,5900,5950,5924.75</t>
  </si>
  <si>
    <t>2025-05-20 14:24:00,21325,,,,21325,,21300,,,,,21500,21050,21050,21000,21285.5</t>
  </si>
  <si>
    <t>2025-05-20 14:24:00,1045076626.08562,741041790.568962,-5452.72405773567,-6421,997.635444444444,1405.67,427.521737133582,803.81,591.37</t>
  </si>
  <si>
    <t>2025-05-20 14:24:00,-370123880.405209,1003671896.8024,61.6819645267006,892,-36.4362203478796,0.37000000000001,-60.808742720731,128.52,518.545</t>
  </si>
  <si>
    <t>2025-05-20 14:24:00,5273355.26010201,-465261816.698096,465.378354978355,-886,-2957.25717748917,-4975.34,12.5567000837471,-329.17,5924.75</t>
  </si>
  <si>
    <t>2025-05-20 14:24:00,182008412.131247,-1812262.20105007,-12.4207545841692,-28,-204.213965781508,-344.41,-0.0362339823696171,-5.32,21285.5</t>
  </si>
  <si>
    <t>2025-05-20 14:25:00,600,,594,,580,,591.5,,,,,594,590,594,588,591.31</t>
  </si>
  <si>
    <t>2025-05-20 14:25:00,525,,520,,500,,518,,,,,520,518,531,519,518.48</t>
  </si>
  <si>
    <t>2025-05-20 14:25:00,6000,,,5900,5700,,5930,,,,,5950,5900,5900,5950,5924</t>
  </si>
  <si>
    <t>2025-05-20 14:25:00,21325,,,,21325,,21300,,,,,21500,21050,21050,21000,21284</t>
  </si>
  <si>
    <t>2025-05-20 14:25:00,1138470712.98231,1068200801.332,-7067.85090871215,-9141,1303.18523308271,1011.01,131.660152365023,643.89,591.31</t>
  </si>
  <si>
    <t>2025-05-20 14:25:00,-330759030.813778,1213743385.02504,1773.365,2240,2249.10605,1382.77,-24.5823741348068,991.08,518.48</t>
  </si>
  <si>
    <t>2025-05-20 14:25:00,4174628.19985684,-460260382.988591,221.772332015811,-71,1312.26008498024,2248.13,-15.1488137724161,101.07,5924</t>
  </si>
  <si>
    <t>2025-05-20 14:25:00,183319690.698218,-1702819.55566465,1.85065018315018,11,52.2628500915751,118.73,0.00184194798441189,3,21284</t>
  </si>
  <si>
    <t>2025-05-20 14:26:00,600,,594,,580,,591.5,,,,,594,590,594,588,591.49</t>
  </si>
  <si>
    <t>2025-05-20 14:26:00,525,,520,,500,,518,519,,,,520,518,531,519,518.66</t>
  </si>
  <si>
    <t>2025-05-20 14:26:00,6000,,,5910,5700,,5930,,5930,5920,,5950,5900,5900,5950,5925.75</t>
  </si>
  <si>
    <t>2025-05-20 14:26:00,21325,,,,21325,,21300,,21275,,,21500,21050,21050,21000,21292.25</t>
  </si>
  <si>
    <t>2025-05-20 14:26:00,1004059121.81952,656956593.528127,-16137.8823718733,-11474,-4729.21051465201,-4324.49,-143.760548884876,-3166.57,591.49</t>
  </si>
  <si>
    <t>2025-05-20 14:26:00,-368181409.2748,1540906606.4518,1695.63114500442,101,1189.59504509284,424.97,273.469114299256,278.46,518.66</t>
  </si>
  <si>
    <t>2025-05-20 14:26:00,4813157.09322611,-462096352.14287,-283.923188405798,-919,-2774.39323188406,-7848.47,-13.0966502232739,-480.3,5925.75</t>
  </si>
  <si>
    <t>2025-05-20 14:26:00,183354800.59521,-1476403.03044495,-54.4642857142856,-91,-2059.27066666666,-2408.33,-0.217089989295858,-48.2,21292.25</t>
  </si>
  <si>
    <t>2025-05-20 14:27:00,600,,594,,580,,591.5,592,,,,594,590,594,588,591.56</t>
  </si>
  <si>
    <t>2025-05-20 14:27:00,525,,520,,500,,519,519,,,,520,518,531,519,518.72</t>
  </si>
  <si>
    <t>2025-05-20 14:27:00,6000,,,5910,5700,,5930,,5930,,,5950,5900,5900,5950,5926.5</t>
  </si>
  <si>
    <t>2025-05-20 14:27:00,21325,,,,21325,,21300,,,,,21500,21050,21050,21000,21293.75</t>
  </si>
  <si>
    <t>2025-05-20 14:27:00,1128026384.20899,1637662113.84552,-23407.6337494026,-16764,-5470.91170634923,-2679.91,-386.523695647419,-1799.8,591.56</t>
  </si>
  <si>
    <t>2025-05-20 14:27:00,-326790146.938459,1346543792.3803,-2152.99523809524,-1046,-878.218190476191,-304.09,338.467290403916,-48.73,518.72</t>
  </si>
  <si>
    <t>2025-05-20 14:27:00,6072992.92252929,-439556626.824796,-794.305000000001,-2354,-3698.79535000005,-10382.83,-8.51580500161702,-816.44,5926.5</t>
  </si>
  <si>
    <t>2025-05-20 14:27:00,183671616.967293,-1424645.20363339,-4.71405083220873,-10,-21.2918846153847,-306.28,-0.0248771332879219,-4.93,21293.75</t>
  </si>
  <si>
    <t>2025-05-20 14:28:00,600,,594,,580,,591.5,,,,,594,590,594,588,591.5</t>
  </si>
  <si>
    <t>2025-05-20 14:28:00,525,,520,,500,,518,,,,,520,518,531,519,518.67</t>
  </si>
  <si>
    <t>2025-05-20 14:28:00,6000,,,5910,5700,,5930,,,,5920,5950,5900,5900,5950,5925.75</t>
  </si>
  <si>
    <t>2025-05-20 14:28:00,21325,,,,21325,,21300,,,,,21500,21050,21050,21000,21291.75</t>
  </si>
  <si>
    <t>2025-05-20 14:28:00,1182072194.85513,3491966239.03487,-8015.42491015714,-7184,85.2557142857143,-804.46,-252.629564582053,-679.62,591.5</t>
  </si>
  <si>
    <t>2025-05-20 14:28:00,-316039250.768761,1891346516.7744,-560.44798136646,-263,481.301537267081,468.4,15.7537569841464,246.27,518.67</t>
  </si>
  <si>
    <t>2025-05-20 14:28:00,6145559.29700504,-450066574.492542,-1204.54345238095,-1595,-914.382220238097,-1743.95,3.51739933624528,-276.36,5925.75</t>
  </si>
  <si>
    <t>2025-05-20 14:28:00,183012613.906947,-1460842.27756457,-1.72085497835499,6,3.02804307359283,2.68,-0.0163220735592022,-0.28,21291.75</t>
  </si>
  <si>
    <t>2025-05-20 14:29:00,600,,594,,580,,591.5,,,,,594,590,594,588,591.525</t>
  </si>
  <si>
    <t>2025-05-20 14:29:00,525,,520,,500,,518,,,,,520,518,531,519,518.77</t>
  </si>
  <si>
    <t>2025-05-20 14:29:00,6000,,,5910,5700,,5930,,,,,5950,5900,5900,5950,5926.5</t>
  </si>
  <si>
    <t>2025-05-20 14:29:00,21325,,,,21325,,21300,,,,,21500,21050,21050,21000,21294.5</t>
  </si>
  <si>
    <t>2025-05-20 14:29:00,1131990195.67369,2381335562.53363,-6466.24149659858,-5697,1384.92058441558,1774.17,50.3179365729535,1225.92,591.525</t>
  </si>
  <si>
    <t>2025-05-20 14:29:00,-312212588.989575,2228745525.47432,1236.93733129615,1195,797.196969951617,690.82,183.307923952838,523.81,518.77</t>
  </si>
  <si>
    <t>2025-05-20 14:29:00,7301653.24902468,-413266303.410685,632.975000000001,1265,3176.27425,4803.03,-0.405769126791079,372.51,5926.5</t>
  </si>
  <si>
    <t>2025-05-20 14:29:00,183778292.72817,-1360812.49891365,-0.554761904761913,-12,112.034285714286,-50.85,0.0129746321758299,-0.81,21294.5</t>
  </si>
  <si>
    <t>2025-05-20 14:30:00,600,,594,,580,,591.5,,,,,594,590,594,588,591.385</t>
  </si>
  <si>
    <t>2025-05-20 14:30:00,525,,520,,500,,518,,519,,,520,518,531,519,518.66</t>
  </si>
  <si>
    <t>2025-05-20 14:30:00,6000,,,5910,5700,,5930,5930,,,5920,5950,5900,5900,5950,5924.75</t>
  </si>
  <si>
    <t>2025-05-20 14:30:00,21325,,,,21325,,21300,,,,,21500,21050,21050,21000,21291.5</t>
  </si>
  <si>
    <t>2025-05-20 14:30:00,1050712875.04791,1339336936.7231,-8505.10426018722,-12749,-1649.28889199448,-630.17,404.039625881393,-732.74,591.385</t>
  </si>
  <si>
    <t>2025-05-20 14:30:00,-349754479.961754,2298616538.64361,-1306.49285714287,-240,-1053.66085714286,-599.77,156.004017942866,-528.59,518.66</t>
  </si>
  <si>
    <t>2025-05-20 14:30:00,4781959.73017057,-464820369.132137,87.1409090909076,598,-1923.06963636364,-1196.49,15.8291108798446,8.63000000000001,5924.75</t>
  </si>
  <si>
    <t>2025-05-20 14:30:00,183277737.769189,-1456306.05369961,-4.99965640069119,-5,-212.15274532188,-299.92,0.0016092773824777,-4.48,21291.5</t>
  </si>
  <si>
    <t>2025-05-20 14:31:00,600,,594,,580,,591.5,,,,,594,590,594,592,591.815</t>
  </si>
  <si>
    <t>2025-05-20 14:31:00,525,,520,,500,,518,,,,,520,518,521,519,519.148</t>
  </si>
  <si>
    <t>2025-05-20 14:31:00,6000,,,5920,5700,,5930,,5930,,5920,5950,5900,5900,5950,5929.25</t>
  </si>
  <si>
    <t>2025-05-20 14:31:00,21325,,,,21325,,21300,,,,,21500,21050,21050,21000,21311.25</t>
  </si>
  <si>
    <t>2025-05-20 14:31:00,1152185253.60449,9112399262.47429,-132302.419643287,-78802,-2948.62926760036,-3449.03,2003.57131979517,-2088.23,591.815</t>
  </si>
  <si>
    <t>2025-05-20 14:31:00,-239976042.190457,5691533672.60234,-5283.62083099907,-7862,-4042.42094304389,-7308.77,332.113193919873,-4185.14,519.148</t>
  </si>
  <si>
    <t>2025-05-20 14:31:00,8865223.67543313,-344960062.708611,-1727.45909090909,-1516,-15932.9501363637,-16931.02,-17.2416584497002,-1314,5929.25</t>
  </si>
  <si>
    <t>2025-05-20 14:31:00,183421068.764222,-928492.570882314,-38.2005791998343,-42,-622.680330272441,-630.81,-0.0432973616803539,-14.05,21311.25</t>
  </si>
  <si>
    <t>2025-05-20 14:32:00,600,,594,,580,,591.5,,,,,594,590,594,592,591.89</t>
  </si>
  <si>
    <t>2025-05-20 14:32:00,525,,520,,500,,518,,519,,,520,518,521,519,519.12</t>
  </si>
  <si>
    <t>2025-05-20 14:32:00,6000,,5950,,5700,,5930,,,5920,,5950,5900,5900,5950,5929.5</t>
  </si>
  <si>
    <t>2025-05-20 14:32:00,21325,,,,21325,,21300,,,,,21500,21050,21050,21000,21313</t>
  </si>
  <si>
    <t>2025-05-20 14:32:00,1344584593.75576,12961024305.1859,-31479.6179444498,-18330,3391.60273046398,1187.25,-402.770873880141,517.97,591.89</t>
  </si>
  <si>
    <t>2025-05-20 14:32:00,-215182299.910774,5154722164.74964,-1238.49077082338,-754,-720.338399028507,-1583.53,82.5154150302613,-965.67,519.12</t>
  </si>
  <si>
    <t>2025-05-20 14:32:00,10017536.0849596,-273711893.990168,1387.70000000001,685,1565.21800000001,552.73,-19.5057478160457,124.35,5929.5</t>
  </si>
  <si>
    <t>2025-05-20 14:32:00,185793515.995601,-661320.540182148,-23.8829167883922,-27,-124.795067806018,-208.88,0.0209192190213454,-5.71,21313</t>
  </si>
  <si>
    <t>2025-05-20 14:33:00,600,,594,,580,,591.5,,,,,594,590,594,592,591.82</t>
  </si>
  <si>
    <t>2025-05-20 14:33:00,525,,520,,500,,518,,,,,520,518,521,519,519.1</t>
  </si>
  <si>
    <t>2025-05-20 14:33:00,6000,,5950,,5700,,5930,5930,,,5920,5950,5900,5900,5950,5929.25</t>
  </si>
  <si>
    <t>2025-05-20 14:33:00,21325,,,,21325,,21300,,,,,21500,21050,21050,21000,21309.5</t>
  </si>
  <si>
    <t>2025-05-20 14:33:00,1438592783.83946,15631274711.805,-11105.7599665166,-7580,236.699928571429,-311.98,85.107246251945,272.17,591.82</t>
  </si>
  <si>
    <t>2025-05-20 14:33:00,-220701089.502329,6161408634.1013,-1205.54413919414,-844,-959.662093406593,-857.1,-11.6929400180945,-587.43,519.1</t>
  </si>
  <si>
    <t>2025-05-20 14:33:00,7934118.3781502,-293984014.041845,-594.099999999999,-546,841.776000000008,719.06,15.2511413379333,-94.56,5929.25</t>
  </si>
  <si>
    <t>2025-05-20 14:33:00,185664267.390021,-655324.602027702,9.35713508151009,25,67.6537033971472,157.49,-0.0249113446526165,4.15,21309.5</t>
  </si>
  <si>
    <t>2025-05-20 14:34:00,600,,594,,580,,591.5,592,,,,594,590,594,588,592.03</t>
  </si>
  <si>
    <t>2025-05-20 14:34:00,525,,520,,500,,518,519,,519,,520,518,521,519,519.32</t>
  </si>
  <si>
    <t>2025-05-20 14:34:00,6000,,5950,,5700,,5930,5940,,,,5950,5900,5900,5950,5931.75</t>
  </si>
  <si>
    <t>2025-05-20 14:34:00,21325,,,,21325,,21300,,,,,21500,21050,21050,21000,21317.25</t>
  </si>
  <si>
    <t>2025-05-20 14:34:00,1364631855.41841,12657624136.7544,-21965.6364436754,-11127,1969.34202931125,1055.84,-127.101482210224,708.04,592.03</t>
  </si>
  <si>
    <t>2025-05-20 14:34:00,-188561855.002142,5134222240.45705,4763.45592660581,4004,3770.63154089237,2860.48,427.641348455581,2052.07,519.32</t>
  </si>
  <si>
    <t>2025-05-20 14:34:00,12101826.12662,-171596264.729676,2454.23888888889,998,16320.1491666666,10944.31,7.97146432266799,875.6,5931.75</t>
  </si>
  <si>
    <t>2025-05-20 14:34:00,185330565.203764,-551694.358190927,-10.4407811159031,8,-631.875086594164,-651.76,-0.0361403310149521,-7.36,21317.25</t>
  </si>
  <si>
    <t>2025-05-20 14:35:00,600,,594,,580,,591.5,,592,,,594,590,594,592,592.14</t>
  </si>
  <si>
    <t>2025-05-20 14:35:00,525,,520,,500,,518,,,519,,520,518,521,519,519.35</t>
  </si>
  <si>
    <t>2025-05-20 14:35:00,6000,,5950,,5700,,5930,5940,5930,,,5950,5900,5900,5950,5932.5</t>
  </si>
  <si>
    <t>2025-05-20 14:35:00,21325,,,,21325,,21300,,,,,21500,21050,21050,21000,21319.75</t>
  </si>
  <si>
    <t>2025-05-20 14:35:00,1391624365.90596,17772476590.9551,-34426.5816543485,-13684,-1793.04898181926,-4113.14,-1209.3265272826,-2793.1,592.14</t>
  </si>
  <si>
    <t>2025-05-20 14:35:00,-202130749.126929,6248657142.81821,-2372.28924116424,-918,-1703.59976091476,-986.17,-306.246446709817,-672.83,519.35</t>
  </si>
  <si>
    <t>2025-05-20 14:35:00,12163481.5001203,-207963090.483479,1106.73333333333,912,-1316.35450000001,-5007.88,-1.34270891968185,-114.61,5932.5</t>
  </si>
  <si>
    <t>2025-05-20 14:35:00,185099430.131372,-577556.787493841,-10.6354357448107,-10,-19.5101718559218,37.21,0.0389422939461959,0.28,21319.75</t>
  </si>
  <si>
    <t>2025-05-20 14:36:00,600,,594,,580,,591.5,,592,,,594,590,594,592,591.96</t>
  </si>
  <si>
    <t>2025-05-20 14:36:00,525,,520,,500,,518,519,,519,,520,516,521,516,519.23</t>
  </si>
  <si>
    <t>2025-05-20 14:36:00,6000,,5950,,5700,,5930,5940,5930,,,5950,5900,5900,5950,5930.5</t>
  </si>
  <si>
    <t>2025-05-20 14:36:00,21325,,,,21325,,21300,,,,,21500,21050,21050,21000,21313.5</t>
  </si>
  <si>
    <t>2025-05-20 14:36:00,1332599526.52483,11734648199.7811,-23278.0140594085,-14589,2021.00935163398,1386.82,-550.229538024947,1226.3,591.96</t>
  </si>
  <si>
    <t>2025-05-20 14:36:00,-205487419.85505,4577173075.26591,784.471405228754,-1627,3034.10104575163,1618.38,500.744211809736,1284.29,519.23</t>
  </si>
  <si>
    <t>2025-05-20 14:36:00,9956347.31154938,-194964592.238293,2193.96025641026,2325,9943.74220512821,6447.19,16.4859093569838,497.45,5930.5</t>
  </si>
  <si>
    <t>2025-05-20 14:36:00,185273981.951772,-626483.387007209,92.9241017316017,103,622.031756060606,495.43,0.0396324063890243,14.98,21313.5</t>
  </si>
  <si>
    <t>2025-05-20 14:37:00,600,,594,,580,,591.5,,,,,594,590,594,592,591.95</t>
  </si>
  <si>
    <t>2025-05-20 14:37:00,525,,520,,500,,518,519,,519,,520,516,521,516,519.24</t>
  </si>
  <si>
    <t>2025-05-20 14:37:00,6000,,5950,,5700,,5930,5940,,,,5950,5900,5900,5950,5930.75</t>
  </si>
  <si>
    <t>2025-05-20 14:37:00,21325,,,,21325,,21300,,,,,21500,21050,21050,21000,21316</t>
  </si>
  <si>
    <t>2025-05-20 14:37:00,1391415446.67786,14204492067.0213,-9671.84187383753,-8528,1985.18014790764,1760.54,523.583001786961,1165.64,591.95</t>
  </si>
  <si>
    <t>2025-05-20 14:37:00,-174863397.04657,5742789650.79899,3635.59924097231,3982,2450.10738235964,2525.89,-61.7853327450514,2101.97,519.24</t>
  </si>
  <si>
    <t>2025-05-20 14:37:00,12002030.9138285,-226242137.820073,1650.46761904762,2682,7507.64457142857,8024.65,-0.295410658798608,901.79,5930.75</t>
  </si>
  <si>
    <t>2025-05-20 14:37:00,185538559.165712,-655219.084198877,-5.25166695398996,31,-91.0787910393439,120.66,-0.0145417743453597,4.18,21316</t>
  </si>
  <si>
    <t>2025-05-20 14:38:00,600,,594,,580,,591.5,,,,,594,590,594,592,591.96</t>
  </si>
  <si>
    <t>2025-05-20 14:38:00,525,,520,,500,,518,,,,,520,516,521,516,519.26</t>
  </si>
  <si>
    <t>2025-05-20 14:38:00,6000,,5950,,5700,,5930,,,,,5950,5900,5900,5950,5930.75</t>
  </si>
  <si>
    <t>2025-05-20 14:38:00,21325,,,,21325,,21300,,,,,21500,21050,21050,21000,21315.75</t>
  </si>
  <si>
    <t>2025-05-20 14:38:00,1367413895.16163,14269484087.5581,-8127.29277797774,-4416,142.623888888889,21.9999999999999,53.4796062784495,28.68,591.96</t>
  </si>
  <si>
    <t>2025-05-20 14:38:00,-189726270.607544,5290460835.62708,391.9964060793,2961,1025.00149831309,3924.55,-240.855254465698,2526.65,519.26</t>
  </si>
  <si>
    <t>2025-05-20 14:38:00,12806352.8130603,-195860530.932615,632.120000000002,2070,7623.13440000001,8476.37,-14.751290057601,564.24,5930.75</t>
  </si>
  <si>
    <t>2025-05-20 14:38:00,186028580.126242,-649543.070170475,-16.188961038961,-7,-94.210435064935,-125.25,0.0230778505202289,-3.07,21315.75</t>
  </si>
  <si>
    <t>2025-05-20 14:39:00,600,,594,,580,,591.5,,,,,594,590,594,592,591.95</t>
  </si>
  <si>
    <t>2025-05-20 14:39:00,525,,520,,500,,518,,,,,520,516,521,516,519.23</t>
  </si>
  <si>
    <t>2025-05-20 14:39:00,6000,,5950,,5700,,5930,5940,,,,5950,5900,5900,5950,5930.5</t>
  </si>
  <si>
    <t>2025-05-20 14:39:00,21325,,,,21325,,21325,,,,,21500,21050,21050,21000,21314.25</t>
  </si>
  <si>
    <t>2025-05-20 14:39:00,1389734342.55295,13924165504.0715,-6819.91975841277,-3437,-71.2418809523798,107.4,83.2351932889386,-14.49,591.95</t>
  </si>
  <si>
    <t>2025-05-20 14:39:00,-204705346.585767,4559326687.34428,-581.316666666667,-651,-137.491666666667,-258.87,23.7908546291307,-194.23,519.23</t>
  </si>
  <si>
    <t>2025-05-20 14:39:00,10914515.1513128,-266528816.217406,649.142424242424,125,1315.49109090909,-60.06,-1.42075653378647,39.09,5930.5</t>
  </si>
  <si>
    <t>2025-05-20 14:39:00,185191214.735316,-756188.292985818,-13.2935281385281,-5,-73.0014690476191,-10.15,-0.00730424758203427,-0.43,21314.25</t>
  </si>
  <si>
    <t>2025-05-20 14:40:00,600,,594,,580,,591.5,,,,,594,590,594,592,592.17</t>
  </si>
  <si>
    <t>2025-05-20 14:40:00,525,,520,,500,,518,,,,,520,516,521,516,519.43</t>
  </si>
  <si>
    <t>2025-05-20 14:40:00,6000,,5950,,5700,,5930,5940,,,5930,5950,5900,5900,5950,5932.75</t>
  </si>
  <si>
    <t>2025-05-20 14:40:00,21325,,,,21325,,21300,,,21300,,21500,21050,21050,21000,21323</t>
  </si>
  <si>
    <t>2025-05-20 14:40:00,1513084338.29378,17902309338.0538,-23963.931020067,-6805,1564.21202380953,558.46,44.5972090019807,-60.71,592.17</t>
  </si>
  <si>
    <t>2025-05-20 14:40:00,-142860497.16566,6245429669.05299,3335.32738095238,3200,1697.24119047619,1232.14,188.092496400591,1044.71,519.43</t>
  </si>
  <si>
    <t>2025-05-20 14:40:00,15732982.6234958,-110054592.583207,1525.72358974359,2600,-3694.18199487187,4841.8,25.9562650650402,624.42,5932.75</t>
  </si>
  <si>
    <t>2025-05-20 14:40:00,186724527.248638,-376682.896662543,-22.6373015873016,93,-165.742650793651,328.87,-0.15856653318087,13,21323</t>
  </si>
  <si>
    <t>2025-05-20 14:41:00,600,,594,,580,,591.5,,,,,594,590,594,592,592.02</t>
  </si>
  <si>
    <t>2025-05-20 14:41:00,525,,520,,500,,518,,,,,520,516,521,516,519.25</t>
  </si>
  <si>
    <t>2025-05-20 14:41:00,6000,,5950,,5700,,5930,,5940,5930,,5950,5900,5900,5950,5931.5</t>
  </si>
  <si>
    <t>2025-05-20 14:41:00,21325,,,,21325,,21300,,,,,21500,21050,21050,21000,21316</t>
  </si>
  <si>
    <t>2025-05-20 14:41:00,1430528213.60905,15669547191.8195,-10041.3974745024,-4763,126.537857142857,-353.86,-186.204613339968,-193.22,592.02</t>
  </si>
  <si>
    <t>2025-05-20 14:41:00,-194418424.512358,5568520609.54608,-116.001322751323,-271,543.493115079365,510.61,35.1184389044362,293.44,519.25</t>
  </si>
  <si>
    <t>2025-05-20 14:41:00,13295440.1751095,-181945755.771364,21.5550000000001,-401,1485.21811666666,537.23,-11.5362455271772,-84.3499999999999,5931.5</t>
  </si>
  <si>
    <t>2025-05-20 14:41:00,185453450.27534,-588248.986167319,1.07264312484901,9,128.896513996624,86.62,-0.0407666357901032,1.75,21316</t>
  </si>
  <si>
    <t>2025-05-20 14:42:00,600,,594,,580,,591.5,,,,,594,590,594,592,591.99</t>
  </si>
  <si>
    <t>2025-05-20 14:42:00,525,,521,,500,,519,519,,519,,520,516,521,516,519.21</t>
  </si>
  <si>
    <t>2025-05-20 14:42:00,6000,,,5920,5700,,5930,,5940,,,5950,5900,5900,5950,5930.75</t>
  </si>
  <si>
    <t>2025-05-20 14:42:00,21325,,,,21325,,21325,,,,,21500,21050,21050,21000,21314.25</t>
  </si>
  <si>
    <t>2025-05-20 14:42:00,1312034632.06621,10654344032.2871,-6180.31664879369,-3170,574.586111111111,426.13,166.710330469385,85.53,591.99</t>
  </si>
  <si>
    <t>2025-05-20 14:42:00,-233227381.062933,2677726255.8378,2245.13888888889,5170,1813.12266666667,3137.72,-333.609328465669,2470.7,519.21</t>
  </si>
  <si>
    <t>2025-05-20 14:42:00,8617821.91323913,-312498464.291259,1051.97588744589,785,6267.76073896105,2111.21,-25.9089316344325,140.01,5930.75</t>
  </si>
  <si>
    <t>2025-05-20 14:42:00,183989167.906386,-924351.713929985,0.528761353026071,42,187.100367307529,265.02,-0.0478396409559445,7.32,21314.25</t>
  </si>
  <si>
    <t>2025-05-20 14:43:00,600,,594,,580,,591.5,,,,,594,590,594,592,591.86</t>
  </si>
  <si>
    <t>2025-05-20 14:43:00,525,,520,,500,,518,,,,,520,518,521,516,519.12</t>
  </si>
  <si>
    <t>2025-05-20 14:43:00,6000,,5950,,5700,,5930,,,5930,,5950,5900,5900,5950,5929.75</t>
  </si>
  <si>
    <t>2025-05-20 14:43:00,21325,,,,21325,,21300,,,,,21500,21050,21050,21000,21310</t>
  </si>
  <si>
    <t>2025-05-20 14:43:00,1370816826.78285,12164584269.1542,-10780.4968873798,-2075,335.926571428571,-322.41,37.0850403824194,-397.66,591.86</t>
  </si>
  <si>
    <t>2025-05-20 14:43:00,-200290801.60479,4562021056.60666,-121.638440860216,988,-396.217325268818,-294.42,-315.509835968232,-62.92,519.12</t>
  </si>
  <si>
    <t>2025-05-20 14:43:00,10454173.5399709,-255218043.135589,431.256969696967,897,-2483.73035757576,-1027.96,-10.4553038720595,242.58,5929.75</t>
  </si>
  <si>
    <t>2025-05-20 14:43:00,184420714.769975,-863721.286744931,3.97916666666667,8,41.22575,37.7,-0.00411410212397897,1.02,21310</t>
  </si>
  <si>
    <t>2025-05-20 14:44:00,600,,594,,580,,591.5,,,,,594,590,594,592,591.64</t>
  </si>
  <si>
    <t>2025-05-20 14:44:00,525,,520,,500,,518,,519,,,520,518,521,516,518.925</t>
  </si>
  <si>
    <t>2025-05-20 14:44:00,6000,,,5920,5700,,5930,,,5930,,5950,5900,5900,5950,5927.5</t>
  </si>
  <si>
    <t>2025-05-20 14:44:00,21325,,,,21325,,21300,,,,,21500,21050,21050,21000,21302</t>
  </si>
  <si>
    <t>2025-05-20 14:44:00,1254532151.02328,7026706747.52636,-2199.91746106235,-46,192.729630952382,-117.87,12.4285324030394,-462.23,591.64</t>
  </si>
  <si>
    <t>2025-05-20 14:44:00,-248558618.035869,2974308972.11711,-2638.51081954444,-3670,-1769.96827188329,-1346.26,-90.8940984832888,-1433.64,518.925</t>
  </si>
  <si>
    <t>2025-05-20 14:44:00,8819669.57979794,-328153246.761535,-14.5016666666667,419,481.812783333325,6453.81,-8.68610201403522,381.58,5927.5</t>
  </si>
  <si>
    <t>2025-05-20 14:44:00,183793348.653853,-1268739.25963548,13.9709956709957,18,203.085119047619,279.66,-0.00198474652214097,8.18,21302</t>
  </si>
  <si>
    <t>2025-05-20 14:45:00,600,,594,,580,,591.5,,,,,594,590,594,592,591.93</t>
  </si>
  <si>
    <t>2025-05-20 14:45:00,525,,520,,500,,518,,,,,521,518,531,516,519.2</t>
  </si>
  <si>
    <t>2025-05-20 14:45:00,6000,,,5920,5700,,5930,,,,,5950,5900,5900,5950,5930.5</t>
  </si>
  <si>
    <t>2025-05-20 14:45:00,21325,,,,21325,,21325,,,,,21500,21050,21050,21000,21314.5</t>
  </si>
  <si>
    <t>2025-05-20 14:45:00,1332861163.02529,15226412208.1483,-14548.0981308409,-7689,-351.141166666669,280.81,-208.27496771506,479.91,591.93</t>
  </si>
  <si>
    <t>2025-05-20 14:45:00,-232715610.364388,4948521812.07531,-3974.0276996059,-8777,-1539.71554031528,-2031.93,35.9712959473039,-1909.83,519.2</t>
  </si>
  <si>
    <t>2025-05-20 14:45:00,9343997.63554939,-273372263.17357,-932.376190476191,42,-7303.97364285716,-3635.34,6.50189180157696,-222.88,5930.5</t>
  </si>
  <si>
    <t>2025-05-20 14:45:00,184461046.333876,-854274.498710601,-42.6952467708024,-32,-486.312295270073,-348.82,-0.00272860143169001,-8.53,21314.5</t>
  </si>
  <si>
    <t>2025-05-20 14:46:00,600,,594,,580,,591.5,,,,,594,590,594,592,591.57</t>
  </si>
  <si>
    <t>2025-05-20 14:46:00,525,,520,,500,,518,,,519,,521,518,531,516,518.84</t>
  </si>
  <si>
    <t>2025-05-20 14:46:00,6000,,,5920,5700,,5930,,,5930,,5950,5900,5900,5950,5926.75</t>
  </si>
  <si>
    <t>2025-05-20 14:46:00,21325,,,,21325,,21300,,,,,21500,21050,21050,21000,21298.75</t>
  </si>
  <si>
    <t>2025-05-20 14:46:00,1268668403.5986,7160062932.23698,130.456896551716,-739,687.618547619048,323.51,-251.725110410889,237.63,591.57</t>
  </si>
  <si>
    <t>2025-05-20 14:46:00,-252464737.795359,2989876783.09583,-497.612989487293,755,333.664094835505,1272.5,-250.173138047673,515.66,518.84</t>
  </si>
  <si>
    <t>2025-05-20 14:46:00,7890443.86966494,-384563739.488006,522.785,962,2020.18188333334,2011.34,4.02547383434434,332.79,5926.75</t>
  </si>
  <si>
    <t>2025-05-20 14:46:00,182796783.878801,-1287785.93008235,43.3780701754386,76,175.677611111111,224.48,-0.203539253693676,10.04,21298.75</t>
  </si>
  <si>
    <t>2025-05-20 14:47:00,600,,594,,580,,591.5,,,,,594,590,594,592,591.85</t>
  </si>
  <si>
    <t>2025-05-20 14:47:00,525,,520,,500,,519,519,,,519,521,518,531,516,519.11</t>
  </si>
  <si>
    <t>2025-05-20 14:47:00,6000,,,5920,5700,,5930,,,,,5950,5900,5900,5950,5929.75</t>
  </si>
  <si>
    <t>2025-05-20 14:47:00,21325,,,,21325,,21325,,,,,21500,21050,21050,21000,21310.25</t>
  </si>
  <si>
    <t>2025-05-20 14:47:00,1222889393.74483,7393028536.62161,-9659.53043478246,-5649,-233.286190476193,461.81,367.833529527173,361.7,591.85</t>
  </si>
  <si>
    <t>2025-05-20 14:47:00,-245785919.183239,3208643204.009,1151.57748868778,2319,697.467997737557,945.72,280.052101944706,975.88,519.11</t>
  </si>
  <si>
    <t>2025-05-20 14:47:00,7828206.25550377,-357968913.08685,-1637.08333333333,-1033,-4941.00783333333,-5186.2,-44.9965354359445,-476.96,5929.75</t>
  </si>
  <si>
    <t>2025-05-20 14:47:00,183624510.417114,-1090699.88807444,-48.5746031746032,-6,-398.596749206349,-361.1,0.0414354540976449,-3.56,21310.25</t>
  </si>
  <si>
    <t>2025-05-20 14:48:00,600,,594,,580,,591.5,,,,,594,590,594,592,591.96</t>
  </si>
  <si>
    <t>2025-05-20 14:48:00,525,,520,,500,,518,,,,,521,518,531,516,519.18</t>
  </si>
  <si>
    <t>2025-05-20 14:48:00,6000,,,5920,5700,,5930,5940,,,,5950,5900,5900,5950,5930.5</t>
  </si>
  <si>
    <t>2025-05-20 14:48:00,21325,,,,21325,,21300,,,,,21500,21050,21050,21000,21313.25</t>
  </si>
  <si>
    <t>2025-05-20 14:48:00,1399270286.30174,15946963182.7293,-8796.62189662202,-4446,1002.96833333333,310.31,101.455004049206,281.37,591.96</t>
  </si>
  <si>
    <t>2025-05-20 14:48:00,-201506503.052879,5243111270.23345,732.674908424906,1128,624.485714285713,562.21,-54.436148039644,267.52,519.18</t>
  </si>
  <si>
    <t>2025-05-20 14:48:00,9802189.62505803,-272008218.503557,1739.6,3424,3270.9,6278.22,-11.9677552331107,748.1,5930.5</t>
  </si>
  <si>
    <t>2025-05-20 14:48:00,185534008.604319,-671131.768884094,-19.2455555555556,-27,-169.613811111111,-255.39,0.0209134687808414,-7.5,21313.25</t>
  </si>
  <si>
    <t>2025-05-20 14:49:00,600,,594,,580,,591.5,,,,,594,590,594,592,591.81</t>
  </si>
  <si>
    <t>2025-05-20 14:49:00,525,,521,,500,,519,,,,,521,518,531,516,519.16</t>
  </si>
  <si>
    <t>2025-05-20 14:49:00,6000,,,5920,5700,,5930,,,5920,,5950,5900,5900,5950,5929.75</t>
  </si>
  <si>
    <t>2025-05-20 14:49:00,21325,,,,21325,,21300,,,,,21500,21050,21050,21000,21310</t>
  </si>
  <si>
    <t>2025-05-20 14:49:00,1283711511.76046,9235965249.05285,-5630.62727548522,-478,3909.6865,3993.3,92.6360297080272,2834.01,591.81</t>
  </si>
  <si>
    <t>2025-05-20 14:49:00,-256608189.049873,2653047793.55437,2415.67601862616,3238,1611.27457183213,1604.89,-115.741501665897,849.27,519.16</t>
  </si>
  <si>
    <t>2025-05-20 14:49:00,9008337.36031889,-253742571.853699,2096.10691176471,1515,6371.32926666667,4427.71,0.772410019160651,463.23,5929.75</t>
  </si>
  <si>
    <t>2025-05-20 14:49:00,185889866.932756,-783477.98066537,75.2831708576382,91,379.000549558334,424.74,0.224271966447445,13.67,21310</t>
  </si>
  <si>
    <t>2025-05-20 14:50:00,600,,594,,580,,591.5,,,,,594,590,594,592,592.055</t>
  </si>
  <si>
    <t>2025-05-20 14:50:00,525,,520,,500,,518,,,,,521,518,531,516,519.41</t>
  </si>
  <si>
    <t>2025-05-20 14:50:00,6000,,,5920,5700,,5930,5930,,,5930,5950,5900,5900,5950,5931.5</t>
  </si>
  <si>
    <t>2025-05-20 14:50:00,21325,,,,21325,,21325,,,,,21500,21050,21050,21000,21322.5</t>
  </si>
  <si>
    <t>2025-05-20 14:50:00,1396712383.57352,15805703770.0456,-19521.3335009554,-7134,-977.339807692307,-1543.55,178.565836625433,-1017.62,592.055</t>
  </si>
  <si>
    <t>2025-05-20 14:50:00,-212969782.390104,6881559951.63661,-213.468284347232,215,181.233734791524,244.67,25.9291937818083,85.3,519.41</t>
  </si>
  <si>
    <t>2025-05-20 14:50:00,9042236.98686915,-300605586.865541,-1214.46666666667,-606,-1663.63466666666,-782.829999999999,29.1584704376971,-116.89,5931.5</t>
  </si>
  <si>
    <t>2025-05-20 14:50:00,184216438.699231,-500063.702982538,-41.3834505309505,-30,-51.1288153328153,-212.96,0.03217982985997,-8.47,21322.5</t>
  </si>
  <si>
    <t>2025-05-20 14:51:00,600,,594,,580,,591.5,,,,,594,590,594,592,592.08</t>
  </si>
  <si>
    <t>2025-05-20 14:51:00,525,,520,,500,,518,519,,,,521,518,531,516,519.46</t>
  </si>
  <si>
    <t>2025-05-20 14:51:00,6000,,,5920,5700,,5930,5940,,5930,,5950,5900,5900,5950,5932</t>
  </si>
  <si>
    <t>2025-05-20 14:51:00,21325,,,,21325,,21325,,,,,21500,21050,21050,21000,21325</t>
  </si>
  <si>
    <t>2025-05-20 14:51:00,1415837095.96849,16785042358.5123,-24930.7613961784,-9788,-282.291499999999,-398.05,-775.735381695833,-609.21,592.08</t>
  </si>
  <si>
    <t>2025-05-20 14:51:00,-188503029.811481,7010807886.21234,1919.00452847806,2573,1972.92048786181,2154.61,-13.8249200575056,1774.61,519.46</t>
  </si>
  <si>
    <t>2025-05-20 14:51:00,9559204.92956025,-256263245.446667,1299.15083333333,2765,5813.73060833334,10873.06,24.3579367190144,1331.43,5932</t>
  </si>
  <si>
    <t>2025-05-20 14:51:00,183903903.225806,-456910.946208902,-8.95734707065751,11,78.8841954650473,79.55,0.0873202003989249,1.58,21325</t>
  </si>
  <si>
    <t>2025-05-20 14:52:00,600,,594,,580,,591.5,592,,,,594,590,594,592,592.17</t>
  </si>
  <si>
    <t>2025-05-20 14:52:00,525,,521,,500,,519,520,,,520,521,518,531,516,519.54</t>
  </si>
  <si>
    <t>2025-05-20 14:52:00,6000,,5950,,5700,,5930,5940,,,,5950,5900,5900,5950,5932.75</t>
  </si>
  <si>
    <t>2025-05-20 14:52:00,21325,,,,21325,,21325,,,,,21500,21050,21050,21000,21327.5</t>
  </si>
  <si>
    <t>2025-05-20 14:52:00,1394405492.19528,16960448081.9609,-25190.235187814,-9457,51.7967045454506,-753.77,788.881442439632,-131.57,592.17</t>
  </si>
  <si>
    <t>2025-05-20 14:52:00,-207617609.864015,5885163295.19906,-1143.12877680848,-1053,-641.633558521368,-1372.23,329.731800336973,-1198.88,519.54</t>
  </si>
  <si>
    <t>2025-05-20 14:52:00,8816397.84707311,-182625115.819239,419.791111111111,158,4533.95435555557,1244.56,43.9577673216684,282.04,5932.75</t>
  </si>
  <si>
    <t>2025-05-20 14:52:00,183173546.337542,-469896.757987436,-16.48505728084,12,261.142868214405,233.17,0.111586478450385,7.62,21327.5</t>
  </si>
  <si>
    <t>2025-05-20 14:53:00,600,,594,,580,,591.5,,,,,594,590,594,592,592.27</t>
  </si>
  <si>
    <t>2025-05-20 14:53:00,525,,521,,500,,519,,,,,521,518,531,516,519.74</t>
  </si>
  <si>
    <t>2025-05-20 14:53:00,6000,,5950,,5700,,5930,5940,,,5930,5950,5900,5900,5950,5934.25</t>
  </si>
  <si>
    <t>2025-05-20 14:53:00,21325,,,,21325,,21325,,,,,21500,21050,21050,21000,21335</t>
  </si>
  <si>
    <t>2025-05-20 14:53:00,1352243166.94692,17400485841.2209,-19542.4977962145,-6976,1005.08553102453,-475.73,-233.305985161433,6.72,592.27</t>
  </si>
  <si>
    <t>2025-05-20 14:53:00,-124712756.19842,8063433048.68872,71.0053571428575,-2384,400.171392857144,-844.81,-128.841716557726,-549.35,519.74</t>
  </si>
  <si>
    <t>2025-05-20 14:53:00,7577437.42629902,-60915489.6576676,1189.91666666667,435,3234.1845,1860.85,44.1094144282933,201.42,5934.25</t>
  </si>
  <si>
    <t>2025-05-20 14:53:00,182826546.805088,-155557.218374619,-4.22801518883416,29,-23.8866094485496,-162.78,-0.126779006663113,-4.61,21335</t>
  </si>
  <si>
    <t>2025-05-20 14:54:00,600,,594,,580,,591.5,,,,,594,590,594,588,592.55</t>
  </si>
  <si>
    <t>2025-05-20 14:54:00,525,,521,,500,,518,,520,,,521,518,531,516,520.025</t>
  </si>
  <si>
    <t>2025-05-20 14:54:00,6000,,5950,,5700,,5930,5930,5940,,,5950,5900,5900,5950,5936.75</t>
  </si>
  <si>
    <t>2025-05-20 14:54:00,21325,,21400,,21325,,21325,,,,,21400,21050,21050,21000,21348.25</t>
  </si>
  <si>
    <t>2025-05-20 14:54:00,1521962094.15613,33426313774.8143,-30172.3674698794,-10043,915.733652958154,776.5,185.592232382876,1666.57,592.55</t>
  </si>
  <si>
    <t>2025-05-20 14:54:00,-82371132.4630006,11657183529.9018,1163.25551282051,481,1045.91912216117,157.6,-432.985059316364,-202.68,520.025</t>
  </si>
  <si>
    <t>2025-05-20 14:54:00,11961632.6366507,111633278.767031,-541.831666666666,-2127,-156.771366666656,-1123.32,-35.1743684296867,-471.4,5936.75</t>
  </si>
  <si>
    <t>2025-05-20 14:54:00,185553617.66766,982368.960864089,-20.1196526151444,47,-94.923318384075,-85.36,0.106749875361387,0.00999999999999983,21348.25</t>
  </si>
  <si>
    <t>2025-05-20 14:55:00,600,,594,,580,,591.5,,,,,594,590,594,592,592.158</t>
  </si>
  <si>
    <t>2025-05-20 14:55:00,525,,520,,500,,518,,520,,,520,518,531,516,519.68</t>
  </si>
  <si>
    <t>2025-05-20 14:55:00,6000,,,5920,5700,,5930,5940,,,,5950,5900,5900,5950,5932.75</t>
  </si>
  <si>
    <t>2025-05-20 14:55:00,21325,,,,21325,,21325,,,,,21400,21050,21050,21000,21333.5</t>
  </si>
  <si>
    <t>2025-05-20 14:55:00,1300644339.73847,20762802566.4244,1209.48772018976,-974,2009.00434615383,-255.67,-852.808569717258,-1185.08,592.158</t>
  </si>
  <si>
    <t>2025-05-20 14:55:00,-134704063.836032,10933346346.2266,-2058.25528567412,-3868,365.916188653685,-410.46,-232.94188760365,-617.43,519.68</t>
  </si>
  <si>
    <t>2025-05-20 14:55:00,-1957582.5558738,-253126702.700969,2178.27857142857,2971,1437.40636666667,1194.48,78.904674239073,390.39,5932.75</t>
  </si>
  <si>
    <t>2025-05-20 14:55:00,179846286.268069,-191877.769815488,5.3081312731123,13,210.904829403392,203.3,0.0281880089098119,3.6,21333.5</t>
  </si>
  <si>
    <t>2025-05-20 14:56:00,600,,594,,580,,591.5,,,,,594,590,594,588,592.46</t>
  </si>
  <si>
    <t>2025-05-20 14:56:00,525,,521,,500,,518,,520,,,520,518,531,516,519.98</t>
  </si>
  <si>
    <t>2025-05-20 14:56:00,6000,,5950,,5700,,5930,,5940,,,5950,5900,5900,5950,5936</t>
  </si>
  <si>
    <t>2025-05-20 14:56:00,21325,,21400,,21325,,21325,,,,21325,21400,21050,21050,21000,21345.75</t>
  </si>
  <si>
    <t>2025-05-20 14:56:00,1357400294.44762,33807969264.2053,-12251.7123749234,-5929,-1253.57600937951,712.75,-236.129012626098,1475.96,592.46</t>
  </si>
  <si>
    <t>2025-05-20 14:56:00,-53970688.0688222,13072466564.7405,-1675.93804042938,-2216,-205.214458075423,-785.85,354.081854732988,-845.04,519.98</t>
  </si>
  <si>
    <t>2025-05-20 14:56:00,1040045.17038927,81717115.1161671,-416.176501035196,-5217,1882.69517080745,-1427.07,-145.258089261417,-847.34,5936</t>
  </si>
  <si>
    <t>2025-05-20 14:56:00,182459137.9316,1102462.15247363,-84.9235806030955,-63,479.268577098971,-1368.6,0.511936860775345,-5.98,21345.75</t>
  </si>
  <si>
    <t>2025-05-20 14:57:00,600,,594,,580,,591.5,,,,,594,590,594,588,592.516</t>
  </si>
  <si>
    <t>2025-05-20 14:57:00,525,,521,,500,,518,,,,520,520,518,531,516,520</t>
  </si>
  <si>
    <t>2025-05-20 14:57:00,6000,,5940,,5700,,5930,5940,,5930,,5950,5900,5900,5950,5936.5</t>
  </si>
  <si>
    <t>2025-05-20 14:57:00,21325,,21400,,21325,,21325,,,,,21400,21050,21050,21000,21347.5</t>
  </si>
  <si>
    <t>2025-05-20 14:57:00,1368926526.56143,36187864937.5659,-21203.4932249323,-12132,-399.460705208534,-977.24,-315.449142575696,-1104.89,592.516</t>
  </si>
  <si>
    <t>2025-05-20 14:57:00,-53060600.9570516,13501810916.7393,-3868.17089237321,-4285,-444.85351182733,-1156.98,164.907300354424,-1435.95,520</t>
  </si>
  <si>
    <t>2025-05-20 14:57:00,-2608800.93242949,185759351.972692,1677.44523809524,2518,1374.29447619048,1004.71,99.5173068911422,562.79,5936.5</t>
  </si>
  <si>
    <t>2025-05-20 14:57:00,179881179.106095,1394624.90694646,-4.96080850522027,-20,30.1435248026484,-56.56,0.132445784807451,-4.65,21347.5</t>
  </si>
  <si>
    <t>2025-05-20 14:58:00,600,,593,,580,,591.5,,,,,594,590,594,588,592.42</t>
  </si>
  <si>
    <t>2025-05-20 14:58:00,525,,520,,500,,519,,520,,,520,518,531,520,519.88</t>
  </si>
  <si>
    <t>2025-05-20 14:58:00,6000,,5940,,5700,,5930,,5940,,5930,5950,5900,5900,5950,5935.5</t>
  </si>
  <si>
    <t>2025-05-20 14:58:00,21325,,21350,,21325,,21325,,,,,21400,21050,21050,21000,21342.75</t>
  </si>
  <si>
    <t>2025-05-20 14:58:00,1481413035.71239,34678164001.1711,-8928.50199556545,-5844,1866.67386928105,2313.56,853.2448495336,2536.81,592.42</t>
  </si>
  <si>
    <t>2025-05-20 14:58:00,-114927526.314973,12662265635.7673,-2550.15327798872,-6194,232.552802135878,-1311.75,-399.278530258252,-1669.33,519.88</t>
  </si>
  <si>
    <t>2025-05-20 14:58:00,-3896154.34130927,43139512.1066765,-2730.05024420024,-2501,1052.07736691087,1040.39,-90.242070846213,-479.33,5935.5</t>
  </si>
  <si>
    <t>2025-05-20 14:58:00,178180477.929676,980512.904965602,47.8192807067822,49,817.297857984734,374.59,0.116740888703968,19.01,21342.75</t>
  </si>
  <si>
    <t>2025-05-20 14:59:00,600,,594,,580,,591.5,593,,,,594,590,594,592,592.84</t>
  </si>
  <si>
    <t>2025-05-20 14:59:00,525,,521,,500,,518,520,,,,520,518,531,520,520.25</t>
  </si>
  <si>
    <t>2025-05-20 14:59:00,6000,,5950,,5700,,5940,,5940,5940,5930,5950,5900,5900,5950,5939.5</t>
  </si>
  <si>
    <t>2025-05-20 14:59:00,21325,,21375,,21325,,21350,,,,,21400,21050,21050,21000,21357.75</t>
  </si>
  <si>
    <t>2025-05-20 14:59:00,1572348032.32415,59697936464.1891,-14446.8760151597,-18059,128.790985181485,-2615.65,-1568.26904507697,-1920.29,592.84</t>
  </si>
  <si>
    <t>2025-05-20 14:59:00,10313409.9895229,18519536201.1235,-1334.27114234249,-311,400.022495270736,-372.76,544.31441047583,23.97,520.25</t>
  </si>
  <si>
    <t>2025-05-20 14:59:00,488693.520445834,-377076730.598416,271.900924075925,-2881,-17.2050514485527,-5437.54,-69.1212905445783,-2763.27,5939.5</t>
  </si>
  <si>
    <t>2025-05-20 14:59:00,175624529.054565,111409.993134096,8.19871679763345,24,-19.8189532056561,76.65,-0.0817690028002902,10.53,21357.75</t>
  </si>
  <si>
    <t>2025-05-20 15:00:00,600,,593,,580,,591.5,,593,,,594,590,594,592,592.52</t>
  </si>
  <si>
    <t>2025-05-20 15:00:00,525,,520,,500,,518,,520,,,520,518,531,520,519.92</t>
  </si>
  <si>
    <t>2025-05-20 15:00:00,6000,,,5930,5700,,5940,5940,,,,5950,5900,5900,5950,5936.25</t>
  </si>
  <si>
    <t>2025-05-20 15:00:00,21325,,,21300,21325,,21350,,,,,21400,21050,21050,21000,21342.75</t>
  </si>
  <si>
    <t>2025-05-20 15:00:00,1600621016.03346,57564600225.5778,-11116.5163770054,-7306,2057.93944871795,1906.65,-536.554126888039,1016.5,592.52</t>
  </si>
  <si>
    <t>2025-05-20 15:00:00,-13923710.4393236,20053891677.7858,-1332.82734309271,-1568,315.727530203601,271.44,-635.311404692862,-356.89,519.92</t>
  </si>
  <si>
    <t>2025-05-20 15:00:00,-14220592.1696721,-913252142.553588,433.207936507936,669,413.78749206349,417.29,1.25328549965575,425.04,5936.25</t>
  </si>
  <si>
    <t>2025-05-20 15:00:00,166412987.978891,-2829282.55799373,-9,-4,-0.45,0.2,-0.123219982570327,0.18,21342.75</t>
  </si>
  <si>
    <t>2025-05-20 15:01:00,600,,593,,580,,591.5,,,,,594,590,594,592,592.28</t>
  </si>
  <si>
    <t>2025-05-20 15:01:00,525,,520,,500,,519,,,,,520,518,531,520,519.63</t>
  </si>
  <si>
    <t>2025-05-20 15:01:00,6000,,,5930,5700,,5940,,,,,5950,5900,5900,5950,5934</t>
  </si>
  <si>
    <t>2025-05-20 15:01:00,21325,,,21300,21325,,21325,,,,,21400,21050,21050,21000,21331</t>
  </si>
  <si>
    <t>2025-05-20 15:01:00,1369092606.85896,33746601737.8912,-319.351819771887,-41,157.960643179467,755.22,-465.950683738314,645.06,592.28</t>
  </si>
  <si>
    <t>2025-05-20 15:01:00,-170023238.453957,12839096926.0653,1393.43164835165,733,84.1381076923081,263.83,35.5898283283557,476.17,519.63</t>
  </si>
  <si>
    <t>2025-05-20 15:01:00,-10600555.4812967,-1481788810.69713,0,0,0,0,0,0,5934</t>
  </si>
  <si>
    <t>2025-05-20 15:01:00,173836205.292009,-3327330.83494071,0,0,0,0,0,0,21331</t>
  </si>
  <si>
    <t>2025-05-20 15:02:00,600,,593,,580,,591.5,,,,,594,590,594,588,592.39</t>
  </si>
  <si>
    <t>2025-05-20 15:02:00,525,,520,,500,,518,,,,,520,518,531,520,519.83</t>
  </si>
  <si>
    <t>2025-05-20 15:02:00,6000,,,5930,5700,,5940,,,,,5950,5900,5900,5950,5935</t>
  </si>
  <si>
    <t>2025-05-20 15:02:00,21325,,,21300,21325,,21350,,,,,21400,21050,21050,21000,21340</t>
  </si>
  <si>
    <t>2025-05-20 15:02:00,1483191098.47392,48520395169.6072,-2883.70605303691,425,357.645266621591,1074.62,-874.619870932685,1034.9,592.39</t>
  </si>
  <si>
    <t>2025-05-20 15:02:00,-79798497.4401012,17881014992.3464,1785.35476230085,1478,-74.2998054657021,-92.5099999999999,144.980717133166,-29.98,519.83</t>
  </si>
  <si>
    <t>2025-05-20 15:02:00,-13283137.1294477,-1465223431.2552,0,0,0,0,0,0,5935</t>
  </si>
  <si>
    <t>2025-05-20 15:02:00,166945222.740846,-3117339.97168839,0,0,0,0,0,0,21340</t>
  </si>
  <si>
    <t>2025-05-20 15:03:00,600,,593,,580,,591.5,,,,,594,590,594,588,592.31</t>
  </si>
  <si>
    <t>2025-05-20 15:03:00,525,,520,,500,,518,,,,,520,518,531,520,519.74</t>
  </si>
  <si>
    <t>2025-05-20 15:03:00,6000,,,5930,5700,,5940,,,,,5950,5900,5900,5950,5934</t>
  </si>
  <si>
    <t>2025-05-20 15:03:00,21325,,,21300,21325,,21350,,,,,21400,21050,21050,21000,21335.75</t>
  </si>
  <si>
    <t>2025-05-20 15:03:00,1310587712.86555,35802154334.545,-229.024036298581,771,51.7965347683834,166.99,-1099.23181250071,213.09,592.31</t>
  </si>
  <si>
    <t>2025-05-20 15:03:00,-144267607.191504,16821072123.8493,257.02,-119,-27.9282666666666,-258.74,-53.7236486728034,-262.04,519.74</t>
  </si>
  <si>
    <t>2025-05-20 15:03:00,-10387778.1824641,-1494472098.24432,0,0,0,0,0,0,5934</t>
  </si>
  <si>
    <t>2025-05-20 15:03:00,169839953.302218,-3314954.5922683,0,0,0,0,0,0,21335.75</t>
  </si>
  <si>
    <t>2025-05-20 15:04:00,600,,593,,580,,591.5,,,,,594,590,594,588,592.27</t>
  </si>
  <si>
    <t>2025-05-20 15:04:00,525,,520,,500,,518,,520,,,520,518,531,520,519.7</t>
  </si>
  <si>
    <t>2025-05-20 15:04:00,6000,,,5930,5700,,5940,,,,,5950,5900,5900,5950,5933.5</t>
  </si>
  <si>
    <t>2025-05-20 15:04:00,21325,,,21300,21325,,21325,,,,,21400,21050,21050,21000,21334</t>
  </si>
  <si>
    <t>2025-05-20 15:04:00,1574822420.84302,45378240231.1034,-320.096081889473,1872,198.079848060173,288.86,-80.0413702359347,338.69,592.27</t>
  </si>
  <si>
    <t>2025-05-20 15:04:00,-111847813.524867,18324503289.2835,-394.084271284271,-666,-26.4085122655123,-108.96,-375.83426884268,-253.37,519.7</t>
  </si>
  <si>
    <t>2025-05-20 15:04:00,-8996096.01646916,-1491088279.80147,0,0,0,0,0,0,5933.5</t>
  </si>
  <si>
    <t>2025-05-20 15:04:00,171064900.950738,-3364213.78977396,0,0,0,0,0,0,21334</t>
  </si>
  <si>
    <t>2025-05-20 15:06:00,600,,593,,580,,591.5,,,,,594,590,594,588,592.36</t>
  </si>
  <si>
    <t>2025-05-20 15:06:00,525,,520,,500,,518,,,,,520,518,531,520,519.74</t>
  </si>
  <si>
    <t>2025-05-20 15:06:00,6000,,,5930,5700,,5940,,,,,5950,5900,5900,5950,5934.5</t>
  </si>
  <si>
    <t>2025-05-20 15:06:00,21325,,,21300,21325,,21350,,,,,21400,21050,21050,21000,21335.75</t>
  </si>
  <si>
    <t>2025-05-20 15:06:00,1311313235.35102,40473865777.6094,-7083.52647913085,-9699,-3609.19983802498,-2291.2,-778.621351050433,-1279.19,592.36</t>
  </si>
  <si>
    <t>2025-05-20 15:06:00,-128023854.582587,19517470487.5226,-1539.39948717949,-1096,75.9531794871796,166.25,388.076424798392,261.11,519.74</t>
  </si>
  <si>
    <t>2025-05-20 15:06:00,-13159604.0783519,-1510998287.7224,0,0,0,0,0,0,5934.5</t>
  </si>
  <si>
    <t>2025-05-20 15:06:00,169407108.507452,-3361345.45846669,0,0,0,0,0,0,21335.75</t>
  </si>
  <si>
    <t>2025-05-20 15:07:00,600,,593,,580,,591.5,,,,,594,590,594,592,592.35</t>
  </si>
  <si>
    <t>2025-05-20 15:07:00,525,,520,,500,,518,,,,,520,518,531,520,519.7</t>
  </si>
  <si>
    <t>2025-05-20 15:07:00,6000,,,5930,5700,,5940,,,,,5950,5900,5900,5950,5934.75</t>
  </si>
  <si>
    <t>2025-05-20 15:07:00,21325,,,21300,21325,,21325,,,,,21400,21050,21050,21000,21334.5</t>
  </si>
  <si>
    <t>2025-05-20 15:07:00,1129960492.48272,30829552932.1225,-996.929139012318,-2371,27.6130711858236,-46.93,-97.0092236259315,-186.53,592.35</t>
  </si>
  <si>
    <t>2025-05-20 15:07:00,-178782746.974459,16683130934.0108,604.060380605918,1542,-13.7358906687007,194.74,-155.954892399554,253.09,519.7</t>
  </si>
  <si>
    <t>2025-05-20 15:07:00,-13148542.2457857,-1514495372.5619,0,0,0,0,0,0,5934.75</t>
  </si>
  <si>
    <t>2025-05-20 15:07:00,170023006.712098,-3399437.27643904,0,0,0,0,0,0,21334.5</t>
  </si>
  <si>
    <t>2025-05-20 15:08:00,600,,593,,580,,591.5,,,,,594,590,594,592,592.18</t>
  </si>
  <si>
    <t>2025-05-20 15:08:00,525,,520,,500,,518,,,,,520,518,524,520,519.48</t>
  </si>
  <si>
    <t>2025-05-20 15:08:00,6000,,,5930,5700,,5940,,,,,5950,5900,5900,5950,5932.5</t>
  </si>
  <si>
    <t>2025-05-20 15:08:00,21325,,,21300,21325,,21325,,,,,21400,21050,21050,21000,21324.25</t>
  </si>
  <si>
    <t>2025-05-20 15:08:00,1301929096.94744,30280835698.7961,811.803331020165,256,2368.57685167465,1868.96,-134.33725643076,500.71,592.18</t>
  </si>
  <si>
    <t>2025-05-20 15:08:00,-234389567.537559,15946984940.9811,401.956862745098,135,37.9307401960782,-83.66,-14.1362590990879,-23.41,519.48</t>
  </si>
  <si>
    <t>2025-05-20 15:08:00,-6920215.42700191,-1512179368.17518,0,0,0,0,0,0,5932.5</t>
  </si>
  <si>
    <t>2025-05-20 15:08:00,179467428.817679,-3403283.75982268,0,0,0,0,0,0,21324.25</t>
  </si>
  <si>
    <t>2025-05-20 15:09:00,600,,593,,580,,591.5,,,,,594,590,594,592,592.17</t>
  </si>
  <si>
    <t>2025-05-20 15:09:00,525,,520,,500,,519,,,,,521,518,524,520,519.45</t>
  </si>
  <si>
    <t>2025-05-20 15:09:00,6000,,,5930,5700,,5940,,,,,5950,5900,5900,5950,5932.75</t>
  </si>
  <si>
    <t>2025-05-20 15:09:00,21325,,,21300,21325,,21325,,,,,21400,21050,21050,21000,21323.75</t>
  </si>
  <si>
    <t>2025-05-20 15:09:00,1204410198.10598,29447609763.5905,-731.34004823377,212,266.022454545459,-371.78,-163.40918613951,54.51,592.17</t>
  </si>
  <si>
    <t>2025-05-20 15:09:00,-288509867.749619,11912684344.7239,166.62679738562,360,687.553222222222,1494.91,-11.9615746516168,849.89,519.45</t>
  </si>
  <si>
    <t>2025-05-20 15:09:00,-6877893.69479003,-1513123205.6292,0,0,0,0,0,0,5932.75</t>
  </si>
  <si>
    <t>2025-05-20 15:09:00,179733176.45231,-3414648.01868517,0,0,0,0,0,0,21323.75</t>
  </si>
  <si>
    <t>2025-05-20 15:10:00,600,,593,,580,,591.5,,,,,594,590,594,592,592.14</t>
  </si>
  <si>
    <t>2025-05-20 15:10:00,525,,520,,500,,518,,,,,521,518,524,520,519.45</t>
  </si>
  <si>
    <t>2025-05-20 15:10:00,6000,,,5930,5700,,5940,,,,,5950,5900,5900,5950,5932.5</t>
  </si>
  <si>
    <t>2025-05-20 15:10:00,21325,,,21300,21325,,21400,,,,,21400,21050,21050,21000,21323.5</t>
  </si>
  <si>
    <t>2025-05-20 15:10:00,1137332507.07298,23094293956.8466,-505.092664092637,352,-5.5837272727273,57.52,-115.058667828086,85.5,592.14</t>
  </si>
  <si>
    <t>2025-05-20 15:10:00,-255842015.235847,14811396762.5698,-7.58748973727415,1918,-5.05801672824304,38.42,17.8731634574435,28.89,519.45</t>
  </si>
  <si>
    <t>2025-05-20 15:10:00,-7442843.56630132,-1525811626.03811,0,0,0,0,0,0,5932.5</t>
  </si>
  <si>
    <t>2025-05-20 15:10:00,180261338.54978,-3425573.78580376,0,0,0,0,0,0,21323.5</t>
  </si>
  <si>
    <t>2025-05-20 15:11:00,600,,593,,580,,591.5,,,,,594,590,594,592,592.06</t>
  </si>
  <si>
    <t>2025-05-20 15:11:00,525,,520,,500,,518,,,,,521,518,524,520,519.3</t>
  </si>
  <si>
    <t>2025-05-20 15:11:00,6000,,,5930,5700,,5940,,,,,5950,5900,5900,5950,5931.75</t>
  </si>
  <si>
    <t>2025-05-20 15:11:00,21325,,,21300,21325,,21400,,,,,21400,21050,21050,21000,21317.25</t>
  </si>
  <si>
    <t>2025-05-20 15:11:00,956633250.774859,8611320308.36323,-83.2324995332731,192,-196.213610500611,-140.74,-270.437993829119,-305.94,592.06</t>
  </si>
  <si>
    <t>2025-05-20 15:11:00,-371462009.405649,10481467635.3307,122.62087283426,128,-21.3053260869565,-20.55,50.0973669093753,-38.03,519.3</t>
  </si>
  <si>
    <t>2025-05-20 15:11:00,-7672433.43429332,-1563992414.43576,0,0,0,0,0,0,5931.75</t>
  </si>
  <si>
    <t>2025-05-20 15:11:00,184886676.91248,-3518117.72427486,0,0,0,0,0,0,21317.25</t>
  </si>
  <si>
    <t>2025-05-20 15:12:00,600,,593,,580,,591.5,,,,,594,590,594,592,592.23</t>
  </si>
  <si>
    <t>2025-05-20 15:12:00,525,,520,,500,,519,,,,,521,518,524,520,519.44</t>
  </si>
  <si>
    <t>2025-05-20 15:12:00,6000,,,5930,5700,,5940,,,,,5950,5900,5900,5950,5933.25</t>
  </si>
  <si>
    <t>2025-05-20 15:12:00,21325,,,21300,21325,,21400,,,,,21400,21050,21050,21000,21323.25</t>
  </si>
  <si>
    <t>2025-05-20 15:12:00,1123793615.86172,28129759221.9731,-2559.82876808534,158,-291.915888888889,-769.5,-159.732409550434,-256.7,592.23</t>
  </si>
  <si>
    <t>2025-05-20 15:12:00,-242428930.378638,13154075564.7548,29.0519047619047,-102,-1.6985,221.39,-514.704864674788,196.74,519.44</t>
  </si>
  <si>
    <t>2025-05-20 15:12:00,-11051422.9081545,-1524663425.5619,0,0,0,0,0,0,5933.25</t>
  </si>
  <si>
    <t>2025-05-20 15:12:00,180634599.466336,-3445286.59934553,0,0,0,0,0,0,21323.25</t>
  </si>
  <si>
    <t>2025-05-20 15:13:00,600,,593,,580,,591.5,,,,,594,590,594,592,592.14</t>
  </si>
  <si>
    <t>2025-05-20 15:13:00,,518,520,,500,,518,,,,,521,518,524,520,519.24</t>
  </si>
  <si>
    <t>2025-05-20 15:13:00,6000,,,5930,5700,,5940,,,,,5950,5900,5900,5950,5932.5</t>
  </si>
  <si>
    <t>2025-05-20 15:13:00,21325,,,21300,21325,,21400,,,,,21400,21050,21050,21000,21315</t>
  </si>
  <si>
    <t>2025-05-20 15:13:00,1110056780.41854,21565774463.8242,-3503.80958620685,-2341,179.766,277.08,685.303634326541,467.67,592.14</t>
  </si>
  <si>
    <t>2025-05-20 15:13:00,-304563523.606058,10048017780.497,278.033333333333,393,14.3263333333333,44.46,7.3668180955002,51.66,519.24</t>
  </si>
  <si>
    <t>2025-05-20 15:13:00,-8004828.08073579,-1545640879.74615,0,0,0,0,0,0,5932.5</t>
  </si>
  <si>
    <t>2025-05-20 15:13:00,186938442.351806,-3608618.55645368,0,0,0,0,0,0,21315</t>
  </si>
  <si>
    <t>2025-05-20 15:14:00,600,,593,,580,,591.5,,,,,594,590,594,588,592.11</t>
  </si>
  <si>
    <t>2025-05-20 15:14:00,,518,520,,500,,519,,,,,521,518,524,520,519.18</t>
  </si>
  <si>
    <t>2025-05-20 15:14:00,6000,,,5930,5700,,5940,,,,,5950,5900,5900,5950,5932</t>
  </si>
  <si>
    <t>2025-05-20 15:14:00,21325,,,21300,21325,,21400,,,,,21400,21050,21050,21000,21312.5</t>
  </si>
  <si>
    <t>2025-05-20 15:14:00,1241523409.06097,14008058285.2891,-1037.23937205858,4811,5.02366666666666,113.46,-458.178878384481,400,592.11</t>
  </si>
  <si>
    <t>2025-05-20 15:14:00,-432448663.998045,6470460075.97249,325.534920634921,489,-10.4279206349207,44.8,18.6505486187725,83.26,519.18</t>
  </si>
  <si>
    <t>2025-05-20 15:14:00,-8195375.26981525,-1576417579.20511,0,0,0,0,0,0,5932</t>
  </si>
  <si>
    <t>2025-05-20 15:14:00,187856325.063179,-3710959.77095135,0,0,0,0,0,0,21312.5</t>
  </si>
  <si>
    <t>2025-05-20 15:15:00,600,,593,,580,,590.5,,,,,594,590,594,592,592.14</t>
  </si>
  <si>
    <t>2025-05-20 15:15:00,520,,520,,500,,519,,,,,521,518,524,520,519.18</t>
  </si>
  <si>
    <t>2025-05-20 15:15:00,6000,,,5930,5700,,5940,,,,,5950,5900,5900,5950,5932.25</t>
  </si>
  <si>
    <t>2025-05-20 15:15:00,21325,,,21300,21325,,21400,,,,,21400,21050,21050,21000,21312.75</t>
  </si>
  <si>
    <t>2025-05-20 15:15:00,1829705577.20099,42317212433.6678,-263.648611167811,-1119,-4.84642330723168,-110.5,10.5669840718268,-257.53,592.14</t>
  </si>
  <si>
    <t>2025-05-20 15:15:00,-119527827.211703,4805560508.8988,-186.897028740365,1053,-13.1037058253728,134.64,-173.459850511581,176.95,519.18</t>
  </si>
  <si>
    <t>2025-05-20 15:15:00,-8852300.51930028,-1571446546.43237,0,0,0,0,0,0,5932.25</t>
  </si>
  <si>
    <t>2025-05-20 15:15:00,190643741.485677,-3721981.07724234,0,0,0,0,0,0,21312.75</t>
  </si>
  <si>
    <t>2025-05-20 15:16:00,600,,593,,580,,591.5,,,,,594,590,594,592,592.33</t>
  </si>
  <si>
    <t>2025-05-20 15:16:00,520,,520,,500,,519,,,,,521,518,524,520,519.4</t>
  </si>
  <si>
    <t>2025-05-20 15:16:00,6000,,,5930,5700,,5940,,,,,5950,5900,5900,5950,5934.25</t>
  </si>
  <si>
    <t>2025-05-20 15:16:00,21325,,,21300,21325,,21400,,,,,21400,21050,21050,21000,21321.75</t>
  </si>
  <si>
    <t>2025-05-20 15:16:00,1403055093.00625,41343653653.4724,0,0,0,0,0,0,592.33</t>
  </si>
  <si>
    <t>2025-05-20 15:16:00,209553865.716818,20400879047.5532,0,0,0,0,0,0,519.4</t>
  </si>
  <si>
    <t>2025-05-20 15:16:00,-12383349.2013822,-1552525104.50694,0,0,0,0,0,0,5934.25</t>
  </si>
  <si>
    <t>2025-05-20 15:16:00,188028739.574252,-3490232.09445631,0,0,0,0,0,0,21321.75</t>
  </si>
  <si>
    <t>2025-05-20 15:17:00,600,,593,,580,,591.5,,,,,594,590,594,592,592.24</t>
  </si>
  <si>
    <t>2025-05-20 15:17:00,520,,520,,500,,519,,,,,521,518,524,520,519.34</t>
  </si>
  <si>
    <t>2025-05-20 15:17:00,6000,,,5930,5700,,5940,,,,,5950,5900,5900,5950,5933.5</t>
  </si>
  <si>
    <t>2025-05-20 15:17:00,21325,,,21300,21325,,21400,,,,,21400,21050,21050,21000,21319</t>
  </si>
  <si>
    <t>2025-05-20 15:17:00,1190571296.86689,16596442474.9234,0,0,0,0,0,0,592.24</t>
  </si>
  <si>
    <t>2025-05-20 15:17:00,129444397.548627,16112705666.7253,0,0,0,0,0,0,519.34</t>
  </si>
  <si>
    <t>2025-05-20 15:17:00,-11008201.9056292,-1545800562.05033,0,0,0,0,0,0,5933.5</t>
  </si>
  <si>
    <t>2025-05-20 15:17:00,189101163.84319,-3552447.71386439,0,0,0,0,0,0,21319</t>
  </si>
  <si>
    <t>2025-05-20 15:18:00,600,,593,,580,,591.5,,,,,594,590,594,592,592.26</t>
  </si>
  <si>
    <t>2025-05-20 15:18:00,520,,520,,500,,519,,,,,521,518,524,520,519.42</t>
  </si>
  <si>
    <t>2025-05-20 15:18:00,6000,,,5930,5700,,5940,,,,,5950,5900,5900,5950,5933.75</t>
  </si>
  <si>
    <t>2025-05-20 15:18:00,21325,,,21300,21325,,21400,,,,,21400,21050,21050,21000,21323</t>
  </si>
  <si>
    <t>2025-05-20 15:18:00,1118105198.33339,20950577492.0647,0,0,0,0,0,0,592.26</t>
  </si>
  <si>
    <t>2025-05-20 15:18:00,235956141.934581,21957523306.4242,0,0,0,0,0,0,519.42</t>
  </si>
  <si>
    <t>2025-05-20 15:18:00,-11570913.3738639,-1549706793.75321,0,0,0,0,0,0,5933.75</t>
  </si>
  <si>
    <t>2025-05-20 15:18:00,187447056.385412,-3487903.94814607,0,0,0,0,0,0,21323</t>
  </si>
  <si>
    <t>2025-05-20 15:19:00,600,,593,,580,,591.5,,,,,594,590,594,592,592.33</t>
  </si>
  <si>
    <t>2025-05-20 15:19:00,520,,520,,500,,519,,,,,521,518,524,520,519.58</t>
  </si>
  <si>
    <t>2025-05-20 15:19:00,6000,,,5930,5700,,5940,,,,,5950,5900,5900,5950,5934.75</t>
  </si>
  <si>
    <t>2025-05-20 15:19:00,21325,,,21300,21325,,21400,,,,,21400,21050,21050,21000,21329</t>
  </si>
  <si>
    <t>2025-05-20 15:19:00,1373499270.81417,39035449519.0403,0,0,0,0,0,0,592.33</t>
  </si>
  <si>
    <t>2025-05-20 15:19:00,476414660.487269,36538313088.6801,0,0,0,0,0,0,519.58</t>
  </si>
  <si>
    <t>2025-05-20 15:19:00,-13765877.0788891,-1576594569.22145,0,0,0,0,0,0,5934.75</t>
  </si>
  <si>
    <t>2025-05-20 15:19:00,183843942.276268,-3495246.18370885,0,0,0,0,0,0,21329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</si>
</sst>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.SPXWC5780</stp>
        <tr r="J115" s="2"/>
        <tr r="B115" s="2"/>
        <tr r="F115" s="2"/>
        <tr r="C115" s="2"/>
      </tp>
      <tp t="s">
        <v>N/A</v>
        <stp/>
        <stp>VOLUME</stp>
        <stp>.SPXWP5780</stp>
        <tr r="J115" s="2"/>
        <tr r="B115" s="2"/>
        <tr r="F115" s="2"/>
        <tr r="C115" s="2"/>
      </tp>
      <tp t="s">
        <v>N/A</v>
        <stp/>
        <stp>VOLUME</stp>
        <stp>.SPXWC5790</stp>
        <tr r="F114" s="2"/>
        <tr r="J114" s="2"/>
        <tr r="C114" s="2"/>
        <tr r="B114" s="2"/>
      </tp>
      <tp t="s">
        <v>N/A</v>
        <stp/>
        <stp>VOLUME</stp>
        <stp>.SPXWP5790</stp>
        <tr r="F114" s="2"/>
        <tr r="J114" s="2"/>
        <tr r="C114" s="2"/>
        <tr r="B114" s="2"/>
      </tp>
      <tp t="s">
        <v>N/A</v>
        <stp/>
        <stp>VOLUME</stp>
        <stp>.SPXWC5740</stp>
        <tr r="J119" s="2"/>
        <tr r="F119" s="2"/>
        <tr r="B119" s="2"/>
        <tr r="C119" s="2"/>
      </tp>
      <tp t="s">
        <v>N/A</v>
        <stp/>
        <stp>VOLUME</stp>
        <stp>.SPXWP5740</stp>
        <tr r="J119" s="2"/>
        <tr r="F119" s="2"/>
        <tr r="B119" s="2"/>
        <tr r="C119" s="2"/>
      </tp>
      <tp t="s">
        <v>N/A</v>
        <stp/>
        <stp>VOLUME</stp>
        <stp>.SPXWC5750</stp>
        <tr r="F118" s="2"/>
        <tr r="C118" s="2"/>
        <tr r="B118" s="2"/>
        <tr r="J118" s="2"/>
      </tp>
      <tp t="s">
        <v>N/A</v>
        <stp/>
        <stp>VOLUME</stp>
        <stp>.SPXWP5750</stp>
        <tr r="F118" s="2"/>
        <tr r="C118" s="2"/>
        <tr r="B118" s="2"/>
        <tr r="J118" s="2"/>
      </tp>
      <tp t="s">
        <v>N/A</v>
        <stp/>
        <stp>VOLUME</stp>
        <stp>.SPXWC5760</stp>
        <tr r="C117" s="2"/>
        <tr r="B117" s="2"/>
        <tr r="J117" s="2"/>
        <tr r="F117" s="2"/>
      </tp>
      <tp t="s">
        <v>N/A</v>
        <stp/>
        <stp>VOLUME</stp>
        <stp>.SPXWP5760</stp>
        <tr r="C117" s="2"/>
        <tr r="B117" s="2"/>
        <tr r="J117" s="2"/>
        <tr r="F117" s="2"/>
      </tp>
      <tp t="s">
        <v>N/A</v>
        <stp/>
        <stp>VOLUME</stp>
        <stp>.SPXWC5770</stp>
        <tr r="C116" s="2"/>
        <tr r="F116" s="2"/>
        <tr r="B116" s="2"/>
        <tr r="J116" s="2"/>
      </tp>
      <tp t="s">
        <v>N/A</v>
        <stp/>
        <stp>VOLUME</stp>
        <stp>.SPXWP5770</stp>
        <tr r="C116" s="2"/>
        <tr r="F116" s="2"/>
        <tr r="B116" s="2"/>
        <tr r="J116" s="2"/>
      </tp>
      <tp t="s">
        <v>N/A</v>
        <stp/>
        <stp>VOLUME</stp>
        <stp>.SPXWC5700</stp>
        <tr r="B123" s="2"/>
        <tr r="J123" s="2"/>
        <tr r="F123" s="2"/>
        <tr r="C123" s="2"/>
      </tp>
      <tp t="s">
        <v>N/A</v>
        <stp/>
        <stp>VOLUME</stp>
        <stp>.SPXWP5700</stp>
        <tr r="B123" s="2"/>
        <tr r="J123" s="2"/>
        <tr r="F123" s="2"/>
        <tr r="C123" s="2"/>
      </tp>
      <tp t="s">
        <v>N/A</v>
        <stp/>
        <stp>VOLUME</stp>
        <stp>.SPXWC5710</stp>
        <tr r="B122" s="2"/>
        <tr r="F122" s="2"/>
        <tr r="J122" s="2"/>
        <tr r="C122" s="2"/>
      </tp>
      <tp t="s">
        <v>N/A</v>
        <stp/>
        <stp>VOLUME</stp>
        <stp>.SPXWP5710</stp>
        <tr r="B122" s="2"/>
        <tr r="F122" s="2"/>
        <tr r="J122" s="2"/>
        <tr r="C122" s="2"/>
      </tp>
      <tp t="s">
        <v>N/A</v>
        <stp/>
        <stp>VOLUME</stp>
        <stp>.SPXWC5720</stp>
        <tr r="J121" s="2"/>
        <tr r="C121" s="2"/>
        <tr r="B121" s="2"/>
        <tr r="F121" s="2"/>
      </tp>
      <tp t="s">
        <v>N/A</v>
        <stp/>
        <stp>VOLUME</stp>
        <stp>.SPXWP5720</stp>
        <tr r="J121" s="2"/>
        <tr r="C121" s="2"/>
        <tr r="B121" s="2"/>
        <tr r="F121" s="2"/>
      </tp>
      <tp t="s">
        <v>N/A</v>
        <stp/>
        <stp>VOLUME</stp>
        <stp>.SPXWC5730</stp>
        <tr r="F120" s="2"/>
        <tr r="J120" s="2"/>
        <tr r="C120" s="2"/>
        <tr r="B120" s="2"/>
      </tp>
      <tp t="s">
        <v>N/A</v>
        <stp/>
        <stp>VOLUME</stp>
        <stp>.SPXWP5730</stp>
        <tr r="F120" s="2"/>
        <tr r="J120" s="2"/>
        <tr r="C120" s="2"/>
        <tr r="B120" s="2"/>
      </tp>
      <tp>
        <v>0.01</v>
        <stp/>
        <stp>LAST</stp>
        <stp>.SPY250520P588</stp>
        <tr r="DB18" s="1"/>
        <tr r="DB18" s="1"/>
      </tp>
      <tp>
        <v>4.09</v>
        <stp/>
        <stp>LAST</stp>
        <stp>.SPY250520C588</stp>
        <tr r="DA18" s="1"/>
        <tr r="DA18" s="1"/>
      </tp>
      <tp>
        <v>0.01</v>
        <stp/>
        <stp>LAST</stp>
        <stp>.SPY250520P589</stp>
        <tr r="DB17" s="1"/>
        <tr r="DB17" s="1"/>
      </tp>
      <tp>
        <v>3.07</v>
        <stp/>
        <stp>LAST</stp>
        <stp>.SPY250520C589</stp>
        <tr r="DA17" s="1"/>
        <tr r="DA17" s="1"/>
      </tp>
      <tp>
        <v>0.01</v>
        <stp/>
        <stp>LAST</stp>
        <stp>.SPY250520P584</stp>
        <tr r="DB22" s="1"/>
        <tr r="DB22" s="1"/>
      </tp>
      <tp>
        <v>8.1300000000000008</v>
        <stp/>
        <stp>LAST</stp>
        <stp>.SPY250520C584</stp>
        <tr r="DA22" s="1"/>
        <tr r="DA22" s="1"/>
      </tp>
      <tp>
        <v>0.01</v>
        <stp/>
        <stp>LAST</stp>
        <stp>.SPY250520P585</stp>
        <tr r="DB21" s="1"/>
        <tr r="DB21" s="1"/>
      </tp>
      <tp>
        <v>7.16</v>
        <stp/>
        <stp>LAST</stp>
        <stp>.SPY250520C585</stp>
        <tr r="DA21" s="1"/>
        <tr r="DA21" s="1"/>
      </tp>
      <tp>
        <v>0.01</v>
        <stp/>
        <stp>LAST</stp>
        <stp>.SPY250520P586</stp>
        <tr r="DB20" s="1"/>
        <tr r="DB20" s="1"/>
      </tp>
      <tp>
        <v>6.08</v>
        <stp/>
        <stp>LAST</stp>
        <stp>.SPY250520C586</stp>
        <tr r="DA20" s="1"/>
        <tr r="DA20" s="1"/>
      </tp>
      <tp>
        <v>0.01</v>
        <stp/>
        <stp>LAST</stp>
        <stp>.SPY250520P587</stp>
        <tr r="DB19" s="1"/>
        <tr r="DB19" s="1"/>
      </tp>
      <tp>
        <v>5.0999999999999996</v>
        <stp/>
        <stp>LAST</stp>
        <stp>.SPY250520C587</stp>
        <tr r="DA19" s="1"/>
        <tr r="DA19" s="1"/>
      </tp>
      <tp>
        <v>0.01</v>
        <stp/>
        <stp>LAST</stp>
        <stp>.SPY250520P580</stp>
        <tr r="DB26" s="1"/>
        <tr r="DB26" s="1"/>
      </tp>
      <tp>
        <v>12.55</v>
        <stp/>
        <stp>LAST</stp>
        <stp>.SPY250520C580</stp>
        <tr r="DA26" s="1"/>
        <tr r="DA26" s="1"/>
      </tp>
      <tp>
        <v>0.01</v>
        <stp/>
        <stp>LAST</stp>
        <stp>.SPY250520P581</stp>
        <tr r="DB25" s="1"/>
        <tr r="DB25" s="1"/>
      </tp>
      <tp>
        <v>11.45</v>
        <stp/>
        <stp>LAST</stp>
        <stp>.SPY250520C581</stp>
        <tr r="DA25" s="1"/>
        <tr r="DA25" s="1"/>
      </tp>
      <tp>
        <v>0.01</v>
        <stp/>
        <stp>LAST</stp>
        <stp>.SPY250520P582</stp>
        <tr r="DB24" s="1"/>
        <tr r="DB24" s="1"/>
      </tp>
      <tp>
        <v>10.3</v>
        <stp/>
        <stp>LAST</stp>
        <stp>.SPY250520C582</stp>
        <tr r="DA24" s="1"/>
        <tr r="DA24" s="1"/>
      </tp>
      <tp>
        <v>0.01</v>
        <stp/>
        <stp>LAST</stp>
        <stp>.SPY250520P583</stp>
        <tr r="DB23" s="1"/>
        <tr r="DB23" s="1"/>
      </tp>
      <tp>
        <v>9.1199999999999992</v>
        <stp/>
        <stp>LAST</stp>
        <stp>.SPY250520C583</stp>
        <tr r="DA23" s="1"/>
        <tr r="DA23" s="1"/>
      </tp>
      <tp>
        <v>5.92</v>
        <stp/>
        <stp>LAST</stp>
        <stp>.SPY250520P598</stp>
        <tr r="DB8" s="1"/>
        <tr r="DB8" s="1"/>
      </tp>
      <tp>
        <v>0.01</v>
        <stp/>
        <stp>LAST</stp>
        <stp>.SPY250520C598</stp>
        <tr r="DA8" s="1"/>
        <tr r="DA8" s="1"/>
      </tp>
      <tp>
        <v>6.8</v>
        <stp/>
        <stp>LAST</stp>
        <stp>.SPY250520P599</stp>
        <tr r="DB7" s="1"/>
        <tr r="DB7" s="1"/>
      </tp>
      <tp>
        <v>0.01</v>
        <stp/>
        <stp>LAST</stp>
        <stp>.SPY250520C599</stp>
        <tr r="DA7" s="1"/>
        <tr r="DA7" s="1"/>
      </tp>
      <tp>
        <v>1.95</v>
        <stp/>
        <stp>LAST</stp>
        <stp>.SPY250520P594</stp>
        <tr r="DB12" s="1"/>
        <tr r="DB12" s="1"/>
      </tp>
      <tp>
        <v>0.01</v>
        <stp/>
        <stp>LAST</stp>
        <stp>.SPY250520C594</stp>
        <tr r="DA12" s="1"/>
        <tr r="DA12" s="1"/>
      </tp>
      <tp>
        <v>2.85</v>
        <stp/>
        <stp>LAST</stp>
        <stp>.SPY250520P595</stp>
        <tr r="DB11" s="1"/>
        <tr r="DB11" s="1"/>
      </tp>
      <tp>
        <v>0.01</v>
        <stp/>
        <stp>LAST</stp>
        <stp>.SPY250520C595</stp>
        <tr r="DA11" s="1"/>
        <tr r="DA11" s="1"/>
      </tp>
      <tp>
        <v>3.65</v>
        <stp/>
        <stp>LAST</stp>
        <stp>.SPY250520P596</stp>
        <tr r="DB10" s="1"/>
        <tr r="DB10" s="1"/>
      </tp>
      <tp>
        <v>0.01</v>
        <stp/>
        <stp>LAST</stp>
        <stp>.SPY250520C596</stp>
        <tr r="DA10" s="1"/>
        <tr r="DA10" s="1"/>
      </tp>
      <tp>
        <v>4.55</v>
        <stp/>
        <stp>LAST</stp>
        <stp>.SPY250520P597</stp>
        <tr r="DB9" s="1"/>
        <tr r="DB9" s="1"/>
      </tp>
      <tp>
        <v>0.01</v>
        <stp/>
        <stp>LAST</stp>
        <stp>.SPY250520C597</stp>
        <tr r="DA9" s="1"/>
        <tr r="DA9" s="1"/>
      </tp>
      <tp>
        <v>0.01</v>
        <stp/>
        <stp>LAST</stp>
        <stp>.SPY250520P590</stp>
        <tr r="DB16" s="1"/>
        <tr r="DB16" s="1"/>
      </tp>
      <tp>
        <v>2.1</v>
        <stp/>
        <stp>LAST</stp>
        <stp>.SPY250520C590</stp>
        <tr r="DA16" s="1"/>
        <tr r="DA16" s="1"/>
      </tp>
      <tp>
        <v>0.01</v>
        <stp/>
        <stp>LAST</stp>
        <stp>.SPY250520P591</stp>
        <tr r="DB15" s="1"/>
        <tr r="DB15" s="1"/>
      </tp>
      <tp>
        <v>1.0900000000000001</v>
        <stp/>
        <stp>LAST</stp>
        <stp>.SPY250520C591</stp>
        <tr r="DA15" s="1"/>
        <tr r="DA15" s="1"/>
      </tp>
      <tp>
        <v>0.13</v>
        <stp/>
        <stp>LAST</stp>
        <stp>.SPY250520P592</stp>
        <tr r="DB14" s="1"/>
        <tr r="DB14" s="1"/>
      </tp>
      <tp>
        <v>0.2</v>
        <stp/>
        <stp>LAST</stp>
        <stp>.SPY250520C592</stp>
        <tr r="DA14" s="1"/>
        <tr r="DA14" s="1"/>
      </tp>
      <tp>
        <v>0.98</v>
        <stp/>
        <stp>LAST</stp>
        <stp>.SPY250520P593</stp>
        <tr r="DB13" s="1"/>
        <tr r="DB13" s="1"/>
      </tp>
      <tp>
        <v>0.01</v>
        <stp/>
        <stp>LAST</stp>
        <stp>.SPY250520C593</stp>
        <tr r="DA13" s="1"/>
        <tr r="DA13" s="1"/>
      </tp>
      <tp>
        <v>0.01</v>
        <stp/>
        <stp>LAST</stp>
        <stp>.SPY250520P568</stp>
        <tr r="DB38" s="1"/>
        <tr r="DB38" s="1"/>
      </tp>
      <tp>
        <v>23.62</v>
        <stp/>
        <stp>LAST</stp>
        <stp>.SPY250520C568</stp>
        <tr r="DA38" s="1"/>
        <tr r="DA38" s="1"/>
      </tp>
      <tp>
        <v>0.01</v>
        <stp/>
        <stp>LAST</stp>
        <stp>.SPY250520P569</stp>
        <tr r="DB37" s="1"/>
        <tr r="DB37" s="1"/>
      </tp>
      <tp>
        <v>21.23</v>
        <stp/>
        <stp>LAST</stp>
        <stp>.SPY250520C569</stp>
        <tr r="DA37" s="1"/>
        <tr r="DA37" s="1"/>
      </tp>
      <tp>
        <v>0.01</v>
        <stp/>
        <stp>LAST</stp>
        <stp>.SPY250520P578</stp>
        <tr r="DB28" s="1"/>
        <tr r="DB28" s="1"/>
      </tp>
      <tp>
        <v>12.8</v>
        <stp/>
        <stp>LAST</stp>
        <stp>.SPY250520C578</stp>
        <tr r="DA28" s="1"/>
        <tr r="DA28" s="1"/>
      </tp>
      <tp>
        <v>0.01</v>
        <stp/>
        <stp>LAST</stp>
        <stp>.SPY250520P579</stp>
        <tr r="DB27" s="1"/>
        <tr r="DB27" s="1"/>
      </tp>
      <tp>
        <v>13.27</v>
        <stp/>
        <stp>LAST</stp>
        <stp>.SPY250520C579</stp>
        <tr r="DA27" s="1"/>
        <tr r="DA27" s="1"/>
      </tp>
      <tp>
        <v>0.01</v>
        <stp/>
        <stp>LAST</stp>
        <stp>.SPY250520P574</stp>
        <tr r="DB32" s="1"/>
        <tr r="DB32" s="1"/>
      </tp>
      <tp>
        <v>18.07</v>
        <stp/>
        <stp>LAST</stp>
        <stp>.SPY250520C574</stp>
        <tr r="DA32" s="1"/>
        <tr r="DA32" s="1"/>
      </tp>
      <tp>
        <v>0.01</v>
        <stp/>
        <stp>LAST</stp>
        <stp>.SPY250520P575</stp>
        <tr r="DB31" s="1"/>
        <tr r="DB31" s="1"/>
      </tp>
      <tp>
        <v>16.54</v>
        <stp/>
        <stp>LAST</stp>
        <stp>.SPY250520C575</stp>
        <tr r="DA31" s="1"/>
        <tr r="DA31" s="1"/>
      </tp>
      <tp>
        <v>0.01</v>
        <stp/>
        <stp>LAST</stp>
        <stp>.SPY250520P576</stp>
        <tr r="DB30" s="1"/>
        <tr r="DB30" s="1"/>
      </tp>
      <tp>
        <v>15.34</v>
        <stp/>
        <stp>LAST</stp>
        <stp>.SPY250520C576</stp>
        <tr r="DA30" s="1"/>
        <tr r="DA30" s="1"/>
      </tp>
      <tp>
        <v>0.01</v>
        <stp/>
        <stp>LAST</stp>
        <stp>.SPY250520P577</stp>
        <tr r="DB29" s="1"/>
        <tr r="DB29" s="1"/>
      </tp>
      <tp>
        <v>15.56</v>
        <stp/>
        <stp>LAST</stp>
        <stp>.SPY250520C577</stp>
        <tr r="DA29" s="1"/>
        <tr r="DA29" s="1"/>
      </tp>
      <tp>
        <v>0.01</v>
        <stp/>
        <stp>LAST</stp>
        <stp>.SPY250520P570</stp>
        <tr r="DB36" s="1"/>
        <tr r="DB36" s="1"/>
      </tp>
      <tp>
        <v>21.68</v>
        <stp/>
        <stp>LAST</stp>
        <stp>.SPY250520C570</stp>
        <tr r="DA36" s="1"/>
        <tr r="DA36" s="1"/>
      </tp>
      <tp>
        <v>0.01</v>
        <stp/>
        <stp>LAST</stp>
        <stp>.SPY250520P571</stp>
        <tr r="DB35" s="1"/>
        <tr r="DB35" s="1"/>
      </tp>
      <tp>
        <v>19.440000000000001</v>
        <stp/>
        <stp>LAST</stp>
        <stp>.SPY250520C571</stp>
        <tr r="DA35" s="1"/>
        <tr r="DA35" s="1"/>
      </tp>
      <tp>
        <v>0.01</v>
        <stp/>
        <stp>LAST</stp>
        <stp>.SPY250520P572</stp>
        <tr r="DB34" s="1"/>
        <tr r="DB34" s="1"/>
      </tp>
      <tp>
        <v>18.07</v>
        <stp/>
        <stp>LAST</stp>
        <stp>.SPY250520C572</stp>
        <tr r="DA34" s="1"/>
        <tr r="DA34" s="1"/>
      </tp>
      <tp>
        <v>0.01</v>
        <stp/>
        <stp>LAST</stp>
        <stp>.SPY250520P573</stp>
        <tr r="DB33" s="1"/>
        <tr r="DB33" s="1"/>
      </tp>
      <tp>
        <v>18.5</v>
        <stp/>
        <stp>LAST</stp>
        <stp>.SPY250520C573</stp>
        <tr r="DA33" s="1"/>
        <tr r="DA33" s="1"/>
      </tp>
      <tp t="s">
        <v>N/A</v>
        <stp/>
        <stp>VOLUME</stp>
        <stp>.SPXWC5680</stp>
        <tr r="B125" s="2"/>
        <tr r="C125" s="2"/>
        <tr r="F125" s="2"/>
        <tr r="J125" s="2"/>
      </tp>
      <tp t="s">
        <v>N/A</v>
        <stp/>
        <stp>VOLUME</stp>
        <stp>.SPXWP5680</stp>
        <tr r="B125" s="2"/>
        <tr r="C125" s="2"/>
        <tr r="F125" s="2"/>
        <tr r="J125" s="2"/>
      </tp>
      <tp t="s">
        <v>N/A</v>
        <stp/>
        <stp>VOLUME</stp>
        <stp>.SPXWC5690</stp>
        <tr r="B124" s="2"/>
        <tr r="C124" s="2"/>
        <tr r="J124" s="2"/>
        <tr r="F124" s="2"/>
      </tp>
      <tp t="s">
        <v>N/A</v>
        <stp/>
        <stp>VOLUME</stp>
        <stp>.SPXWP5690</stp>
        <tr r="B124" s="2"/>
        <tr r="C124" s="2"/>
        <tr r="J124" s="2"/>
        <tr r="F124" s="2"/>
      </tp>
      <tp t="s">
        <v>N/A</v>
        <stp/>
        <stp>VOLUME</stp>
        <stp>.SPXWC5640</stp>
        <tr r="F129" s="2"/>
        <tr r="B129" s="2"/>
        <tr r="C129" s="2"/>
        <tr r="J129" s="2"/>
      </tp>
      <tp t="s">
        <v>N/A</v>
        <stp/>
        <stp>VOLUME</stp>
        <stp>.SPXWP5640</stp>
        <tr r="F129" s="2"/>
        <tr r="B129" s="2"/>
        <tr r="C129" s="2"/>
        <tr r="J129" s="2"/>
      </tp>
      <tp t="s">
        <v>N/A</v>
        <stp/>
        <stp>VOLUME</stp>
        <stp>.SPXWC5650</stp>
        <tr r="J128" s="2"/>
        <tr r="F128" s="2"/>
        <tr r="B128" s="2"/>
        <tr r="C128" s="2"/>
      </tp>
      <tp t="s">
        <v>N/A</v>
        <stp/>
        <stp>VOLUME</stp>
        <stp>.SPXWP5650</stp>
        <tr r="J128" s="2"/>
        <tr r="F128" s="2"/>
        <tr r="B128" s="2"/>
        <tr r="C128" s="2"/>
      </tp>
      <tp t="s">
        <v>N/A</v>
        <stp/>
        <stp>VOLUME</stp>
        <stp>.SPXWC5660</stp>
        <tr r="F127" s="2"/>
        <tr r="J127" s="2"/>
        <tr r="B127" s="2"/>
        <tr r="C127" s="2"/>
      </tp>
      <tp t="s">
        <v>N/A</v>
        <stp/>
        <stp>VOLUME</stp>
        <stp>.SPXWP5660</stp>
        <tr r="F127" s="2"/>
        <tr r="J127" s="2"/>
        <tr r="B127" s="2"/>
        <tr r="C127" s="2"/>
      </tp>
      <tp t="s">
        <v>N/A</v>
        <stp/>
        <stp>VOLUME</stp>
        <stp>.SPXWC5670</stp>
        <tr r="F126" s="2"/>
        <tr r="C126" s="2"/>
        <tr r="B126" s="2"/>
        <tr r="J126" s="2"/>
      </tp>
      <tp t="s">
        <v>N/A</v>
        <stp/>
        <stp>VOLUME</stp>
        <stp>.SPXWP5670</stp>
        <tr r="F126" s="2"/>
        <tr r="C126" s="2"/>
        <tr r="B126" s="2"/>
        <tr r="J126" s="2"/>
      </tp>
      <tp t="s">
        <v>N/A</v>
        <stp/>
        <stp>VOLUME</stp>
        <stp>.SPXWC5620</stp>
        <tr r="C131" s="2"/>
        <tr r="B131" s="2"/>
        <tr r="F131" s="2"/>
        <tr r="J131" s="2"/>
      </tp>
      <tp t="s">
        <v>N/A</v>
        <stp/>
        <stp>VOLUME</stp>
        <stp>.SPXWP5620</stp>
        <tr r="C131" s="2"/>
        <tr r="B131" s="2"/>
        <tr r="F131" s="2"/>
        <tr r="J131" s="2"/>
      </tp>
      <tp t="s">
        <v>N/A</v>
        <stp/>
        <stp>VOLUME</stp>
        <stp>.SPXWC5630</stp>
        <tr r="J130" s="2"/>
        <tr r="B130" s="2"/>
        <tr r="F130" s="2"/>
        <tr r="C130" s="2"/>
      </tp>
      <tp t="s">
        <v>N/A</v>
        <stp/>
        <stp>VOLUME</stp>
        <stp>.SPXWP5630</stp>
        <tr r="J130" s="2"/>
        <tr r="B130" s="2"/>
        <tr r="F130" s="2"/>
        <tr r="C130" s="2"/>
      </tp>
      <tp>
        <v>7.77</v>
        <stp/>
        <stp>LAST</stp>
        <stp>.SPY250520P600</stp>
        <tr r="DB6" s="1"/>
        <tr r="DB6" s="1"/>
      </tp>
      <tp>
        <v>0.01</v>
        <stp/>
        <stp>LAST</stp>
        <stp>.SPY250520C600</stp>
        <tr r="DA6" s="1"/>
        <tr r="DA6" s="1"/>
      </tp>
      <tp>
        <v>8.5299999999999994</v>
        <stp/>
        <stp>LAST</stp>
        <stp>.SPY250520P601</stp>
        <tr r="DB5" s="1"/>
        <tr r="DB5" s="1"/>
      </tp>
      <tp>
        <v>0.01</v>
        <stp/>
        <stp>LAST</stp>
        <stp>.SPY250520C601</stp>
        <tr r="DA5" s="1"/>
        <tr r="DA5" s="1"/>
      </tp>
      <tp>
        <v>9.6199999999999992</v>
        <stp/>
        <stp>LAST</stp>
        <stp>.SPY250520P602</stp>
        <tr r="DB4" s="1"/>
        <tr r="DB4" s="1"/>
      </tp>
      <tp>
        <v>0.01</v>
        <stp/>
        <stp>LAST</stp>
        <stp>.SPY250520C602</stp>
        <tr r="DA4" s="1"/>
        <tr r="DA4" s="1"/>
      </tp>
      <tp>
        <v>592.41</v>
        <stp/>
        <stp>MARK</stp>
        <stp>SPY</stp>
        <tr r="A3" s="1"/>
        <tr r="G84" s="1"/>
      </tp>
      <tp>
        <v>5940.46</v>
        <stp/>
        <stp>MARK</stp>
        <stp>SPX</stp>
        <tr r="E82" s="1"/>
      </tp>
      <tp>
        <v>-0.05</v>
        <stp/>
        <stp>DELTA</stp>
        <stp>.SPY250520P591</stp>
        <tr r="CE15" s="1"/>
        <tr r="CE15" s="1"/>
      </tp>
      <tp>
        <v>-0.47</v>
        <stp/>
        <stp>DELTA</stp>
        <stp>.SPY250523P592</stp>
        <tr r="CG14" s="1"/>
        <tr r="CG14" s="1"/>
      </tp>
      <tp>
        <v>1</v>
        <stp/>
        <stp>DELTA</stp>
        <stp>.SPY250520C591</stp>
        <tr r="CD15" s="1"/>
        <tr r="CD15" s="1"/>
      </tp>
      <tp>
        <v>0.53</v>
        <stp/>
        <stp>DELTA</stp>
        <stp>.SPY250523C592</stp>
        <tr r="CF14" s="1"/>
        <tr r="CF14" s="1"/>
      </tp>
      <tp>
        <v>-0.01</v>
        <stp/>
        <stp>DELTA</stp>
        <stp>.SPY250520P590</stp>
        <tr r="CE16" s="1"/>
        <tr r="CE16" s="1"/>
      </tp>
      <tp>
        <v>-0.52</v>
        <stp/>
        <stp>DELTA</stp>
        <stp>.SPY250523P593</stp>
        <tr r="CG13" s="1"/>
        <tr r="CG13" s="1"/>
      </tp>
      <tp>
        <v>1</v>
        <stp/>
        <stp>DELTA</stp>
        <stp>.SPY250520C590</stp>
        <tr r="CD16" s="1"/>
        <tr r="CD16" s="1"/>
      </tp>
      <tp>
        <v>0.48</v>
        <stp/>
        <stp>DELTA</stp>
        <stp>.SPY250523C593</stp>
        <tr r="CF13" s="1"/>
        <tr r="CF13" s="1"/>
      </tp>
      <tp>
        <v>-0.66</v>
        <stp/>
        <stp>DELTA</stp>
        <stp>.SPY250520P593</stp>
        <tr r="CE13" s="1"/>
        <tr r="CE13" s="1"/>
      </tp>
      <tp>
        <v>-0.39</v>
        <stp/>
        <stp>DELTA</stp>
        <stp>.SPY250523P590</stp>
        <tr r="CG16" s="1"/>
        <tr r="CG16" s="1"/>
      </tp>
      <tp>
        <v>0.04</v>
        <stp/>
        <stp>DELTA</stp>
        <stp>.SPY250520C593</stp>
        <tr r="CD13" s="1"/>
        <tr r="CD13" s="1"/>
      </tp>
      <tp>
        <v>0.62</v>
        <stp/>
        <stp>DELTA</stp>
        <stp>.SPY250523C590</stp>
        <tr r="CF16" s="1"/>
        <tr r="CF16" s="1"/>
      </tp>
      <tp>
        <v>-0.28000000000000003</v>
        <stp/>
        <stp>DELTA</stp>
        <stp>.SPY250520P592</stp>
        <tr r="CE14" s="1"/>
        <tr r="CE14" s="1"/>
      </tp>
      <tp>
        <v>-0.43</v>
        <stp/>
        <stp>DELTA</stp>
        <stp>.SPY250523P591</stp>
        <tr r="CG15" s="1"/>
        <tr r="CG15" s="1"/>
      </tp>
      <tp>
        <v>1</v>
        <stp/>
        <stp>DELTA</stp>
        <stp>.SPY250520C592</stp>
        <tr r="CD14" s="1"/>
        <tr r="CD14" s="1"/>
      </tp>
      <tp>
        <v>0.56999999999999995</v>
        <stp/>
        <stp>DELTA</stp>
        <stp>.SPY250523C591</stp>
        <tr r="CF15" s="1"/>
        <tr r="CF15" s="1"/>
      </tp>
      <tp>
        <v>-1</v>
        <stp/>
        <stp>DELTA</stp>
        <stp>.SPY250520P595</stp>
        <tr r="CE11" s="1"/>
        <tr r="CE11" s="1"/>
      </tp>
      <tp>
        <v>-0.65</v>
        <stp/>
        <stp>DELTA</stp>
        <stp>.SPY250523P596</stp>
        <tr r="CG10" s="1"/>
        <tr r="CG10" s="1"/>
      </tp>
      <tp>
        <v>0.01</v>
        <stp/>
        <stp>DELTA</stp>
        <stp>.SPY250520C595</stp>
        <tr r="CD11" s="1"/>
        <tr r="CD11" s="1"/>
      </tp>
      <tp>
        <v>0.34</v>
        <stp/>
        <stp>DELTA</stp>
        <stp>.SPY250523C596</stp>
        <tr r="CF10" s="1"/>
        <tr r="CF10" s="1"/>
      </tp>
      <tp>
        <v>-1</v>
        <stp/>
        <stp>DELTA</stp>
        <stp>.SPY250520P594</stp>
        <tr r="CE12" s="1"/>
        <tr r="CE12" s="1"/>
      </tp>
      <tp>
        <v>-0.69</v>
        <stp/>
        <stp>DELTA</stp>
        <stp>.SPY250523P597</stp>
        <tr r="CG9" s="1"/>
        <tr r="CG9" s="1"/>
      </tp>
      <tp>
        <v>0.02</v>
        <stp/>
        <stp>DELTA</stp>
        <stp>.SPY250520C594</stp>
        <tr r="CD12" s="1"/>
        <tr r="CD12" s="1"/>
      </tp>
      <tp>
        <v>0.3</v>
        <stp/>
        <stp>DELTA</stp>
        <stp>.SPY250523C597</stp>
        <tr r="CF9" s="1"/>
        <tr r="CF9" s="1"/>
      </tp>
      <tp>
        <v>-1</v>
        <stp/>
        <stp>DELTA</stp>
        <stp>.SPY250520P597</stp>
        <tr r="CE9" s="1"/>
        <tr r="CE9" s="1"/>
      </tp>
      <tp>
        <v>-0.56000000000000005</v>
        <stp/>
        <stp>DELTA</stp>
        <stp>.SPY250523P594</stp>
        <tr r="CG12" s="1"/>
        <tr r="CG12" s="1"/>
      </tp>
      <tp>
        <v>0.01</v>
        <stp/>
        <stp>DELTA</stp>
        <stp>.SPY250520C597</stp>
        <tr r="CD9" s="1"/>
        <tr r="CD9" s="1"/>
      </tp>
      <tp>
        <v>0.44</v>
        <stp/>
        <stp>DELTA</stp>
        <stp>.SPY250523C594</stp>
        <tr r="CF12" s="1"/>
        <tr r="CF12" s="1"/>
      </tp>
      <tp>
        <v>-0.88</v>
        <stp/>
        <stp>DELTA</stp>
        <stp>.SPY250520P596</stp>
        <tr r="CE10" s="1"/>
        <tr r="CE10" s="1"/>
      </tp>
      <tp>
        <v>-0.61</v>
        <stp/>
        <stp>DELTA</stp>
        <stp>.SPY250523P595</stp>
        <tr r="CG11" s="1"/>
        <tr r="CG11" s="1"/>
      </tp>
      <tp>
        <v>0.01</v>
        <stp/>
        <stp>DELTA</stp>
        <stp>.SPY250520C596</stp>
        <tr r="CD10" s="1"/>
        <tr r="CD10" s="1"/>
      </tp>
      <tp>
        <v>0.39</v>
        <stp/>
        <stp>DELTA</stp>
        <stp>.SPY250523C595</stp>
        <tr r="CF11" s="1"/>
        <tr r="CF11" s="1"/>
      </tp>
      <tp>
        <v>-1</v>
        <stp/>
        <stp>DELTA</stp>
        <stp>.SPY250520P599</stp>
        <tr r="CE7" s="1"/>
        <tr r="CE7" s="1"/>
      </tp>
      <tp>
        <v>0.01</v>
        <stp/>
        <stp>DELTA</stp>
        <stp>.SPY250520C599</stp>
        <tr r="CD7" s="1"/>
        <tr r="CD7" s="1"/>
      </tp>
      <tp>
        <v>-1</v>
        <stp/>
        <stp>DELTA</stp>
        <stp>.SPY250520P598</stp>
        <tr r="CE8" s="1"/>
        <tr r="CE8" s="1"/>
      </tp>
      <tp>
        <v>0.01</v>
        <stp/>
        <stp>DELTA</stp>
        <stp>.SPY250520C598</stp>
        <tr r="CD8" s="1"/>
        <tr r="CD8" s="1"/>
      </tp>
      <tp>
        <v>-0.73</v>
        <stp/>
        <stp>DELTA</stp>
        <stp>.SPY250523P598</stp>
        <tr r="CG8" s="1"/>
        <tr r="CG8" s="1"/>
      </tp>
      <tp>
        <v>0.25</v>
        <stp/>
        <stp>DELTA</stp>
        <stp>.SPY250523C598</stp>
        <tr r="CF8" s="1"/>
        <tr r="CF8" s="1"/>
      </tp>
      <tp>
        <v>-0.77</v>
        <stp/>
        <stp>DELTA</stp>
        <stp>.SPY250523P599</stp>
        <tr r="CG7" s="1"/>
        <tr r="CG7" s="1"/>
      </tp>
      <tp>
        <v>0.21</v>
        <stp/>
        <stp>DELTA</stp>
        <stp>.SPY250523C599</stp>
        <tr r="CF7" s="1"/>
        <tr r="CF7" s="1"/>
      </tp>
      <tp>
        <v>0</v>
        <stp/>
        <stp>DELTA</stp>
        <stp>.SPY250520P581</stp>
        <tr r="CE25" s="1"/>
        <tr r="CE25" s="1"/>
      </tp>
      <tp>
        <v>-0.15</v>
        <stp/>
        <stp>DELTA</stp>
        <stp>.SPY250523P582</stp>
        <tr r="CG24" s="1"/>
        <tr r="CG24" s="1"/>
      </tp>
      <tp>
        <v>1</v>
        <stp/>
        <stp>DELTA</stp>
        <stp>.SPY250520C581</stp>
        <tr r="CD25" s="1"/>
        <tr r="CD25" s="1"/>
      </tp>
      <tp>
        <v>0.86</v>
        <stp/>
        <stp>DELTA</stp>
        <stp>.SPY250523C582</stp>
        <tr r="CF24" s="1"/>
        <tr r="CF24" s="1"/>
      </tp>
      <tp>
        <v>0</v>
        <stp/>
        <stp>DELTA</stp>
        <stp>.SPY250520P580</stp>
        <tr r="CE26" s="1"/>
        <tr r="CE26" s="1"/>
      </tp>
      <tp>
        <v>-0.17</v>
        <stp/>
        <stp>DELTA</stp>
        <stp>.SPY250523P583</stp>
        <tr r="CG23" s="1"/>
        <tr r="CG23" s="1"/>
      </tp>
      <tp>
        <v>1</v>
        <stp/>
        <stp>DELTA</stp>
        <stp>.SPY250520C580</stp>
        <tr r="CD26" s="1"/>
        <tr r="CD26" s="1"/>
      </tp>
      <tp>
        <v>0.84</v>
        <stp/>
        <stp>DELTA</stp>
        <stp>.SPY250523C583</stp>
        <tr r="CF23" s="1"/>
        <tr r="CF23" s="1"/>
      </tp>
      <tp>
        <v>0</v>
        <stp/>
        <stp>DELTA</stp>
        <stp>.SPY250520P583</stp>
        <tr r="CE23" s="1"/>
        <tr r="CE23" s="1"/>
      </tp>
      <tp>
        <v>-0.11</v>
        <stp/>
        <stp>DELTA</stp>
        <stp>.SPY250523P580</stp>
        <tr r="CG26" s="1"/>
        <tr r="CG26" s="1"/>
      </tp>
      <tp>
        <v>1</v>
        <stp/>
        <stp>DELTA</stp>
        <stp>.SPY250520C583</stp>
        <tr r="CD23" s="1"/>
        <tr r="CD23" s="1"/>
      </tp>
      <tp>
        <v>0.9</v>
        <stp/>
        <stp>DELTA</stp>
        <stp>.SPY250523C580</stp>
        <tr r="CF26" s="1"/>
        <tr r="CF26" s="1"/>
      </tp>
      <tp>
        <v>0</v>
        <stp/>
        <stp>DELTA</stp>
        <stp>.SPY250520P582</stp>
        <tr r="CE24" s="1"/>
        <tr r="CE24" s="1"/>
      </tp>
      <tp>
        <v>-0.13</v>
        <stp/>
        <stp>DELTA</stp>
        <stp>.SPY250523P581</stp>
        <tr r="CG25" s="1"/>
        <tr r="CG25" s="1"/>
      </tp>
      <tp>
        <v>1</v>
        <stp/>
        <stp>DELTA</stp>
        <stp>.SPY250520C582</stp>
        <tr r="CD24" s="1"/>
        <tr r="CD24" s="1"/>
      </tp>
      <tp>
        <v>0.88</v>
        <stp/>
        <stp>DELTA</stp>
        <stp>.SPY250523C581</stp>
        <tr r="CF25" s="1"/>
        <tr r="CF25" s="1"/>
      </tp>
      <tp>
        <v>-0.01</v>
        <stp/>
        <stp>DELTA</stp>
        <stp>.SPY250520P585</stp>
        <tr r="CE21" s="1"/>
        <tr r="CE21" s="1"/>
      </tp>
      <tp>
        <v>-0.25</v>
        <stp/>
        <stp>DELTA</stp>
        <stp>.SPY250523P586</stp>
        <tr r="CG20" s="1"/>
        <tr r="CG20" s="1"/>
      </tp>
      <tp>
        <v>1</v>
        <stp/>
        <stp>DELTA</stp>
        <stp>.SPY250520C585</stp>
        <tr r="CD21" s="1"/>
        <tr r="CD21" s="1"/>
      </tp>
      <tp>
        <v>0.76</v>
        <stp/>
        <stp>DELTA</stp>
        <stp>.SPY250523C586</stp>
        <tr r="CF20" s="1"/>
        <tr r="CF20" s="1"/>
      </tp>
      <tp>
        <v>0</v>
        <stp/>
        <stp>DELTA</stp>
        <stp>.SPY250520P584</stp>
        <tr r="CE22" s="1"/>
        <tr r="CE22" s="1"/>
      </tp>
      <tp>
        <v>-0.28000000000000003</v>
        <stp/>
        <stp>DELTA</stp>
        <stp>.SPY250523P587</stp>
        <tr r="CG19" s="1"/>
        <tr r="CG19" s="1"/>
      </tp>
      <tp>
        <v>1</v>
        <stp/>
        <stp>DELTA</stp>
        <stp>.SPY250520C584</stp>
        <tr r="CD22" s="1"/>
        <tr r="CD22" s="1"/>
      </tp>
      <tp>
        <v>0.73</v>
        <stp/>
        <stp>DELTA</stp>
        <stp>.SPY250523C587</stp>
        <tr r="CF19" s="1"/>
        <tr r="CF19" s="1"/>
      </tp>
      <tp>
        <v>-0.01</v>
        <stp/>
        <stp>DELTA</stp>
        <stp>.SPY250520P587</stp>
        <tr r="CE19" s="1"/>
        <tr r="CE19" s="1"/>
      </tp>
      <tp>
        <v>-0.19</v>
        <stp/>
        <stp>DELTA</stp>
        <stp>.SPY250523P584</stp>
        <tr r="CG22" s="1"/>
        <tr r="CG22" s="1"/>
      </tp>
      <tp>
        <v>1</v>
        <stp/>
        <stp>DELTA</stp>
        <stp>.SPY250520C587</stp>
        <tr r="CD19" s="1"/>
        <tr r="CD19" s="1"/>
      </tp>
      <tp>
        <v>0.82</v>
        <stp/>
        <stp>DELTA</stp>
        <stp>.SPY250523C584</stp>
        <tr r="CF22" s="1"/>
        <tr r="CF22" s="1"/>
      </tp>
      <tp>
        <v>-0.01</v>
        <stp/>
        <stp>DELTA</stp>
        <stp>.SPY250520P586</stp>
        <tr r="CE20" s="1"/>
        <tr r="CE20" s="1"/>
      </tp>
      <tp>
        <v>-0.22</v>
        <stp/>
        <stp>DELTA</stp>
        <stp>.SPY250523P585</stp>
        <tr r="CG21" s="1"/>
        <tr r="CG21" s="1"/>
      </tp>
      <tp>
        <v>1</v>
        <stp/>
        <stp>DELTA</stp>
        <stp>.SPY250520C586</stp>
        <tr r="CD20" s="1"/>
        <tr r="CD20" s="1"/>
      </tp>
      <tp>
        <v>0.79</v>
        <stp/>
        <stp>DELTA</stp>
        <stp>.SPY250523C585</stp>
        <tr r="CF21" s="1"/>
        <tr r="CF21" s="1"/>
      </tp>
      <tp>
        <v>-0.02</v>
        <stp/>
        <stp>DELTA</stp>
        <stp>.SPY250520P589</stp>
        <tr r="CE17" s="1"/>
        <tr r="CE17" s="1"/>
      </tp>
      <tp>
        <v>1</v>
        <stp/>
        <stp>DELTA</stp>
        <stp>.SPY250520C589</stp>
        <tr r="CD17" s="1"/>
        <tr r="CD17" s="1"/>
      </tp>
      <tp>
        <v>-0.02</v>
        <stp/>
        <stp>DELTA</stp>
        <stp>.SPY250520P588</stp>
        <tr r="CE18" s="1"/>
        <tr r="CE18" s="1"/>
      </tp>
      <tp>
        <v>0.9</v>
        <stp/>
        <stp>DELTA</stp>
        <stp>.SPY250520C588</stp>
        <tr r="CD18" s="1"/>
        <tr r="CD18" s="1"/>
      </tp>
      <tp>
        <v>-0.31</v>
        <stp/>
        <stp>DELTA</stp>
        <stp>.SPY250523P588</stp>
        <tr r="CG18" s="1"/>
        <tr r="CG18" s="1"/>
      </tp>
      <tp>
        <v>0.7</v>
        <stp/>
        <stp>DELTA</stp>
        <stp>.SPY250523C588</stp>
        <tr r="CF18" s="1"/>
        <tr r="CF18" s="1"/>
      </tp>
      <tp>
        <v>-0.35</v>
        <stp/>
        <stp>DELTA</stp>
        <stp>.SPY250523P589</stp>
        <tr r="CG17" s="1"/>
        <tr r="CG17" s="1"/>
      </tp>
      <tp>
        <v>0.66</v>
        <stp/>
        <stp>DELTA</stp>
        <stp>.SPY250523C589</stp>
        <tr r="CF17" s="1"/>
        <tr r="CF17" s="1"/>
      </tp>
      <tp>
        <v>-0.6</v>
        <stp/>
        <stp>DELTA</stp>
        <stp>.SPY250620P601</stp>
        <tr r="CI5" s="1"/>
        <tr r="CI5" s="1"/>
      </tp>
      <tp>
        <v>0.4</v>
        <stp/>
        <stp>DELTA</stp>
        <stp>.SPY250620C601</stp>
        <tr r="CH5" s="1"/>
        <tr r="CH5" s="1"/>
      </tp>
      <tp>
        <v>-0.59</v>
        <stp/>
        <stp>DELTA</stp>
        <stp>.SPY250620P600</stp>
        <tr r="CI6" s="1"/>
        <tr r="CI6" s="1"/>
      </tp>
      <tp>
        <v>0.41</v>
        <stp/>
        <stp>DELTA</stp>
        <stp>.SPY250620C600</stp>
        <tr r="CH6" s="1"/>
        <tr r="CH6" s="1"/>
      </tp>
      <tp>
        <v>-0.62</v>
        <stp/>
        <stp>DELTA</stp>
        <stp>.SPY250620P602</stp>
        <tr r="CI4" s="1"/>
        <tr r="CI4" s="1"/>
      </tp>
      <tp>
        <v>0.38</v>
        <stp/>
        <stp>DELTA</stp>
        <stp>.SPY250620C602</stp>
        <tr r="CH4" s="1"/>
        <tr r="CH4" s="1"/>
      </tp>
      <tp>
        <v>0</v>
        <stp/>
        <stp>DELTA</stp>
        <stp>.SPY250520P571</stp>
        <tr r="CE35" s="1"/>
        <tr r="CE35" s="1"/>
      </tp>
      <tp>
        <v>-0.03</v>
        <stp/>
        <stp>DELTA</stp>
        <stp>.SPY250523P572</stp>
        <tr r="CG34" s="1"/>
        <tr r="CG34" s="1"/>
      </tp>
      <tp>
        <v>1</v>
        <stp/>
        <stp>DELTA</stp>
        <stp>.SPY250520C571</stp>
        <tr r="CD35" s="1"/>
        <tr r="CD35" s="1"/>
      </tp>
      <tp>
        <v>0.99</v>
        <stp/>
        <stp>DELTA</stp>
        <stp>.SPY250523C572</stp>
        <tr r="CF34" s="1"/>
        <tr r="CF34" s="1"/>
      </tp>
      <tp>
        <v>0</v>
        <stp/>
        <stp>DELTA</stp>
        <stp>.SPY250520P570</stp>
        <tr r="CE36" s="1"/>
        <tr r="CE36" s="1"/>
      </tp>
      <tp>
        <v>-0.04</v>
        <stp/>
        <stp>DELTA</stp>
        <stp>.SPY250523P573</stp>
        <tr r="CG33" s="1"/>
        <tr r="CG33" s="1"/>
      </tp>
      <tp>
        <v>1</v>
        <stp/>
        <stp>DELTA</stp>
        <stp>.SPY250520C570</stp>
        <tr r="CD36" s="1"/>
        <tr r="CD36" s="1"/>
      </tp>
      <tp>
        <v>0.98</v>
        <stp/>
        <stp>DELTA</stp>
        <stp>.SPY250523C573</stp>
        <tr r="CF33" s="1"/>
        <tr r="CF33" s="1"/>
      </tp>
      <tp>
        <v>0</v>
        <stp/>
        <stp>DELTA</stp>
        <stp>.SPY250520P573</stp>
        <tr r="CE33" s="1"/>
        <tr r="CE33" s="1"/>
      </tp>
      <tp>
        <v>-0.03</v>
        <stp/>
        <stp>DELTA</stp>
        <stp>.SPY250523P570</stp>
        <tr r="CG36" s="1"/>
        <tr r="CG36" s="1"/>
      </tp>
      <tp>
        <v>1</v>
        <stp/>
        <stp>DELTA</stp>
        <stp>.SPY250520C573</stp>
        <tr r="CD33" s="1"/>
        <tr r="CD33" s="1"/>
      </tp>
      <tp>
        <v>1</v>
        <stp/>
        <stp>DELTA</stp>
        <stp>.SPY250523C570</stp>
        <tr r="CF36" s="1"/>
        <tr r="CF36" s="1"/>
      </tp>
      <tp>
        <v>0</v>
        <stp/>
        <stp>DELTA</stp>
        <stp>.SPY250520P572</stp>
        <tr r="CE34" s="1"/>
        <tr r="CE34" s="1"/>
      </tp>
      <tp>
        <v>-0.03</v>
        <stp/>
        <stp>DELTA</stp>
        <stp>.SPY250523P571</stp>
        <tr r="CG35" s="1"/>
        <tr r="CG35" s="1"/>
      </tp>
      <tp>
        <v>1</v>
        <stp/>
        <stp>DELTA</stp>
        <stp>.SPY250520C572</stp>
        <tr r="CD34" s="1"/>
        <tr r="CD34" s="1"/>
      </tp>
      <tp>
        <v>0.99</v>
        <stp/>
        <stp>DELTA</stp>
        <stp>.SPY250523C571</stp>
        <tr r="CF35" s="1"/>
        <tr r="CF35" s="1"/>
      </tp>
      <tp>
        <v>0</v>
        <stp/>
        <stp>DELTA</stp>
        <stp>.SPY250520P575</stp>
        <tr r="CE31" s="1"/>
        <tr r="CE31" s="1"/>
      </tp>
      <tp>
        <v>-0.06</v>
        <stp/>
        <stp>DELTA</stp>
        <stp>.SPY250523P576</stp>
        <tr r="CG30" s="1"/>
        <tr r="CG30" s="1"/>
      </tp>
      <tp>
        <v>1</v>
        <stp/>
        <stp>DELTA</stp>
        <stp>.SPY250520C575</stp>
        <tr r="CD31" s="1"/>
        <tr r="CD31" s="1"/>
      </tp>
      <tp>
        <v>0.96</v>
        <stp/>
        <stp>DELTA</stp>
        <stp>.SPY250523C576</stp>
        <tr r="CF30" s="1"/>
        <tr r="CF30" s="1"/>
      </tp>
      <tp>
        <v>0</v>
        <stp/>
        <stp>DELTA</stp>
        <stp>.SPY250520P574</stp>
        <tr r="CE32" s="1"/>
        <tr r="CE32" s="1"/>
      </tp>
      <tp>
        <v>-7.0000000000000007E-2</v>
        <stp/>
        <stp>DELTA</stp>
        <stp>.SPY250523P577</stp>
        <tr r="CG29" s="1"/>
        <tr r="CG29" s="1"/>
      </tp>
      <tp>
        <v>1</v>
        <stp/>
        <stp>DELTA</stp>
        <stp>.SPY250520C574</stp>
        <tr r="CD32" s="1"/>
        <tr r="CD32" s="1"/>
      </tp>
      <tp>
        <v>0.94</v>
        <stp/>
        <stp>DELTA</stp>
        <stp>.SPY250523C577</stp>
        <tr r="CF29" s="1"/>
        <tr r="CF29" s="1"/>
      </tp>
      <tp>
        <v>0</v>
        <stp/>
        <stp>DELTA</stp>
        <stp>.SPY250520P577</stp>
        <tr r="CE29" s="1"/>
        <tr r="CE29" s="1"/>
      </tp>
      <tp>
        <v>-0.05</v>
        <stp/>
        <stp>DELTA</stp>
        <stp>.SPY250523P574</stp>
        <tr r="CG32" s="1"/>
        <tr r="CG32" s="1"/>
      </tp>
      <tp>
        <v>1</v>
        <stp/>
        <stp>DELTA</stp>
        <stp>.SPY250520C577</stp>
        <tr r="CD29" s="1"/>
        <tr r="CD29" s="1"/>
      </tp>
      <tp>
        <v>0.97</v>
        <stp/>
        <stp>DELTA</stp>
        <stp>.SPY250523C574</stp>
        <tr r="CF32" s="1"/>
        <tr r="CF32" s="1"/>
      </tp>
      <tp>
        <v>0</v>
        <stp/>
        <stp>DELTA</stp>
        <stp>.SPY250520P576</stp>
        <tr r="CE30" s="1"/>
        <tr r="CE30" s="1"/>
      </tp>
      <tp>
        <v>-0.05</v>
        <stp/>
        <stp>DELTA</stp>
        <stp>.SPY250523P575</stp>
        <tr r="CG31" s="1"/>
        <tr r="CG31" s="1"/>
      </tp>
      <tp>
        <v>1</v>
        <stp/>
        <stp>DELTA</stp>
        <stp>.SPY250520C576</stp>
        <tr r="CD30" s="1"/>
        <tr r="CD30" s="1"/>
      </tp>
      <tp>
        <v>0.97</v>
        <stp/>
        <stp>DELTA</stp>
        <stp>.SPY250523C575</stp>
        <tr r="CF31" s="1"/>
        <tr r="CF31" s="1"/>
      </tp>
      <tp>
        <v>0</v>
        <stp/>
        <stp>DELTA</stp>
        <stp>.SPY250520P579</stp>
        <tr r="CE27" s="1"/>
        <tr r="CE27" s="1"/>
      </tp>
      <tp>
        <v>1</v>
        <stp/>
        <stp>DELTA</stp>
        <stp>.SPY250520C579</stp>
        <tr r="CD27" s="1"/>
        <tr r="CD27" s="1"/>
      </tp>
      <tp>
        <v>0</v>
        <stp/>
        <stp>DELTA</stp>
        <stp>.SPY250520P578</stp>
        <tr r="CE28" s="1"/>
        <tr r="CE28" s="1"/>
      </tp>
      <tp>
        <v>1</v>
        <stp/>
        <stp>DELTA</stp>
        <stp>.SPY250520C578</stp>
        <tr r="CD28" s="1"/>
        <tr r="CD28" s="1"/>
      </tp>
      <tp>
        <v>-0.08</v>
        <stp/>
        <stp>DELTA</stp>
        <stp>.SPY250523P578</stp>
        <tr r="CG28" s="1"/>
        <tr r="CG28" s="1"/>
      </tp>
      <tp>
        <v>0.93</v>
        <stp/>
        <stp>DELTA</stp>
        <stp>.SPY250523C578</stp>
        <tr r="CF28" s="1"/>
        <tr r="CF28" s="1"/>
      </tp>
      <tp>
        <v>-0.1</v>
        <stp/>
        <stp>DELTA</stp>
        <stp>.SPY250523P579</stp>
        <tr r="CG27" s="1"/>
        <tr r="CG27" s="1"/>
      </tp>
      <tp>
        <v>0.92</v>
        <stp/>
        <stp>DELTA</stp>
        <stp>.SPY250523C579</stp>
        <tr r="CF27" s="1"/>
        <tr r="CF27" s="1"/>
      </tp>
      <tp>
        <v>0</v>
        <stp/>
        <stp>DELTA</stp>
        <stp>.SPY250520P569</stp>
        <tr r="CE37" s="1"/>
        <tr r="CE37" s="1"/>
      </tp>
      <tp>
        <v>1</v>
        <stp/>
        <stp>DELTA</stp>
        <stp>.SPY250520C569</stp>
        <tr r="CD37" s="1"/>
        <tr r="CD37" s="1"/>
      </tp>
      <tp>
        <v>0</v>
        <stp/>
        <stp>DELTA</stp>
        <stp>.SPY250520P568</stp>
        <tr r="CE38" s="1"/>
        <tr r="CE38" s="1"/>
      </tp>
      <tp>
        <v>1</v>
        <stp/>
        <stp>DELTA</stp>
        <stp>.SPY250520C568</stp>
        <tr r="CD38" s="1"/>
        <tr r="CD38" s="1"/>
      </tp>
      <tp>
        <v>-0.02</v>
        <stp/>
        <stp>DELTA</stp>
        <stp>.SPY250523P568</stp>
        <tr r="CG38" s="1"/>
        <tr r="CG38" s="1"/>
      </tp>
      <tp>
        <v>1</v>
        <stp/>
        <stp>DELTA</stp>
        <stp>.SPY250523C568</stp>
        <tr r="CF38" s="1"/>
        <tr r="CF38" s="1"/>
      </tp>
      <tp>
        <v>-0.02</v>
        <stp/>
        <stp>DELTA</stp>
        <stp>.SPY250523P569</stp>
        <tr r="CG37" s="1"/>
        <tr r="CG37" s="1"/>
      </tp>
      <tp>
        <v>1</v>
        <stp/>
        <stp>DELTA</stp>
        <stp>.SPY250523C569</stp>
        <tr r="CF37" s="1"/>
        <tr r="CF37" s="1"/>
      </tp>
      <tp>
        <v>-0.45</v>
        <stp/>
        <stp>DELTA</stp>
        <stp>.SPY250620P591</stp>
        <tr r="CI15" s="1"/>
        <tr r="CI15" s="1"/>
      </tp>
      <tp>
        <v>0.55000000000000004</v>
        <stp/>
        <stp>DELTA</stp>
        <stp>.SPY250620C591</stp>
        <tr r="CH15" s="1"/>
        <tr r="CH15" s="1"/>
      </tp>
      <tp>
        <v>-0.44</v>
        <stp/>
        <stp>DELTA</stp>
        <stp>.SPY250620P590</stp>
        <tr r="CI16" s="1"/>
        <tr r="CI16" s="1"/>
      </tp>
      <tp>
        <v>0.56999999999999995</v>
        <stp/>
        <stp>DELTA</stp>
        <stp>.SPY250620C590</stp>
        <tr r="CH16" s="1"/>
        <tr r="CH16" s="1"/>
      </tp>
      <tp>
        <v>-0.48</v>
        <stp/>
        <stp>DELTA</stp>
        <stp>.SPY250620P593</stp>
        <tr r="CI13" s="1"/>
        <tr r="CI13" s="1"/>
      </tp>
      <tp>
        <v>0.53</v>
        <stp/>
        <stp>DELTA</stp>
        <stp>.SPY250620C593</stp>
        <tr r="CH13" s="1"/>
        <tr r="CH13" s="1"/>
      </tp>
      <tp>
        <v>-0.46</v>
        <stp/>
        <stp>DELTA</stp>
        <stp>.SPY250620P592</stp>
        <tr r="CI14" s="1"/>
        <tr r="CI14" s="1"/>
      </tp>
      <tp>
        <v>0.54</v>
        <stp/>
        <stp>DELTA</stp>
        <stp>.SPY250620C592</stp>
        <tr r="CH14" s="1"/>
        <tr r="CH14" s="1"/>
      </tp>
      <tp>
        <v>-0.51</v>
        <stp/>
        <stp>DELTA</stp>
        <stp>.SPY250620P595</stp>
        <tr r="CI11" s="1"/>
        <tr r="CI11" s="1"/>
      </tp>
      <tp>
        <v>0.49</v>
        <stp/>
        <stp>DELTA</stp>
        <stp>.SPY250620C595</stp>
        <tr r="CH11" s="1"/>
        <tr r="CH11" s="1"/>
      </tp>
      <tp>
        <v>-0.49</v>
        <stp/>
        <stp>DELTA</stp>
        <stp>.SPY250620P594</stp>
        <tr r="CI12" s="1"/>
        <tr r="CI12" s="1"/>
      </tp>
      <tp>
        <v>0.51</v>
        <stp/>
        <stp>DELTA</stp>
        <stp>.SPY250620C594</stp>
        <tr r="CH12" s="1"/>
        <tr r="CH12" s="1"/>
      </tp>
      <tp>
        <v>-0.54</v>
        <stp/>
        <stp>DELTA</stp>
        <stp>.SPY250620P597</stp>
        <tr r="CI9" s="1"/>
        <tr r="CI9" s="1"/>
      </tp>
      <tp>
        <v>0.46</v>
        <stp/>
        <stp>DELTA</stp>
        <stp>.SPY250620C597</stp>
        <tr r="CH9" s="1"/>
        <tr r="CH9" s="1"/>
      </tp>
      <tp>
        <v>-0.52</v>
        <stp/>
        <stp>DELTA</stp>
        <stp>.SPY250620P596</stp>
        <tr r="CI10" s="1"/>
        <tr r="CI10" s="1"/>
      </tp>
      <tp>
        <v>0.48</v>
        <stp/>
        <stp>DELTA</stp>
        <stp>.SPY250620C596</stp>
        <tr r="CH10" s="1"/>
        <tr r="CH10" s="1"/>
      </tp>
      <tp>
        <v>-0.56999999999999995</v>
        <stp/>
        <stp>DELTA</stp>
        <stp>.SPY250620P599</stp>
        <tr r="CI7" s="1"/>
        <tr r="CI7" s="1"/>
      </tp>
      <tp>
        <v>0.43</v>
        <stp/>
        <stp>DELTA</stp>
        <stp>.SPY250620C599</stp>
        <tr r="CH7" s="1"/>
        <tr r="CH7" s="1"/>
      </tp>
      <tp>
        <v>-0.56000000000000005</v>
        <stp/>
        <stp>DELTA</stp>
        <stp>.SPY250620P598</stp>
        <tr r="CI8" s="1"/>
        <tr r="CI8" s="1"/>
      </tp>
      <tp>
        <v>0.45</v>
        <stp/>
        <stp>DELTA</stp>
        <stp>.SPY250620C598</stp>
        <tr r="CH8" s="1"/>
        <tr r="CH8" s="1"/>
      </tp>
      <tp>
        <v>-0.32</v>
        <stp/>
        <stp>DELTA</stp>
        <stp>.SPY250620P581</stp>
        <tr r="CI25" s="1"/>
        <tr r="CI25" s="1"/>
      </tp>
      <tp>
        <v>0.68</v>
        <stp/>
        <stp>DELTA</stp>
        <stp>.SPY250620C581</stp>
        <tr r="CH25" s="1"/>
        <tr r="CH25" s="1"/>
      </tp>
      <tp>
        <v>-0.31</v>
        <stp/>
        <stp>DELTA</stp>
        <stp>.SPY250620P580</stp>
        <tr r="CI26" s="1"/>
        <tr r="CI26" s="1"/>
      </tp>
      <tp>
        <v>0.69</v>
        <stp/>
        <stp>DELTA</stp>
        <stp>.SPY250620C580</stp>
        <tr r="CH26" s="1"/>
        <tr r="CH26" s="1"/>
      </tp>
      <tp>
        <v>-0.35</v>
        <stp/>
        <stp>DELTA</stp>
        <stp>.SPY250620P583</stp>
        <tr r="CI23" s="1"/>
        <tr r="CI23" s="1"/>
      </tp>
      <tp>
        <v>0.66</v>
        <stp/>
        <stp>DELTA</stp>
        <stp>.SPY250620C583</stp>
        <tr r="CH23" s="1"/>
        <tr r="CH23" s="1"/>
      </tp>
      <tp>
        <v>-0.34</v>
        <stp/>
        <stp>DELTA</stp>
        <stp>.SPY250620P582</stp>
        <tr r="CI24" s="1"/>
        <tr r="CI24" s="1"/>
      </tp>
      <tp>
        <v>0.67</v>
        <stp/>
        <stp>DELTA</stp>
        <stp>.SPY250620C582</stp>
        <tr r="CH24" s="1"/>
        <tr r="CH24" s="1"/>
      </tp>
      <tp>
        <v>-0.37</v>
        <stp/>
        <stp>DELTA</stp>
        <stp>.SPY250620P585</stp>
        <tr r="CI21" s="1"/>
        <tr r="CI21" s="1"/>
      </tp>
      <tp>
        <v>0.64</v>
        <stp/>
        <stp>DELTA</stp>
        <stp>.SPY250620C585</stp>
        <tr r="CH21" s="1"/>
        <tr r="CH21" s="1"/>
      </tp>
      <tp>
        <v>-0.36</v>
        <stp/>
        <stp>DELTA</stp>
        <stp>.SPY250620P584</stp>
        <tr r="CI22" s="1"/>
        <tr r="CI22" s="1"/>
      </tp>
      <tp>
        <v>0.65</v>
        <stp/>
        <stp>DELTA</stp>
        <stp>.SPY250620C584</stp>
        <tr r="CH22" s="1"/>
        <tr r="CH22" s="1"/>
      </tp>
      <tp>
        <v>-0.4</v>
        <stp/>
        <stp>DELTA</stp>
        <stp>.SPY250620P587</stp>
        <tr r="CI19" s="1"/>
        <tr r="CI19" s="1"/>
      </tp>
      <tp>
        <v>0.61</v>
        <stp/>
        <stp>DELTA</stp>
        <stp>.SPY250620C587</stp>
        <tr r="CH19" s="1"/>
        <tr r="CH19" s="1"/>
      </tp>
      <tp>
        <v>-0.38</v>
        <stp/>
        <stp>DELTA</stp>
        <stp>.SPY250620P586</stp>
        <tr r="CI20" s="1"/>
        <tr r="CI20" s="1"/>
      </tp>
      <tp>
        <v>0.62</v>
        <stp/>
        <stp>DELTA</stp>
        <stp>.SPY250620C586</stp>
        <tr r="CH20" s="1"/>
        <tr r="CH20" s="1"/>
      </tp>
      <tp>
        <v>-0.42</v>
        <stp/>
        <stp>DELTA</stp>
        <stp>.SPY250620P589</stp>
        <tr r="CI17" s="1"/>
        <tr r="CI17" s="1"/>
      </tp>
      <tp>
        <v>0.57999999999999996</v>
        <stp/>
        <stp>DELTA</stp>
        <stp>.SPY250620C589</stp>
        <tr r="CH17" s="1"/>
        <tr r="CH17" s="1"/>
      </tp>
      <tp>
        <v>-0.41</v>
        <stp/>
        <stp>DELTA</stp>
        <stp>.SPY250620P588</stp>
        <tr r="CI18" s="1"/>
        <tr r="CI18" s="1"/>
      </tp>
      <tp>
        <v>0.6</v>
        <stp/>
        <stp>DELTA</stp>
        <stp>.SPY250620C588</stp>
        <tr r="CH18" s="1"/>
        <tr r="CH18" s="1"/>
      </tp>
      <tp>
        <v>-0.92</v>
        <stp/>
        <stp>DELTA</stp>
        <stp>.SPY250520P601</stp>
        <tr r="CE5" s="1"/>
        <tr r="CE5" s="1"/>
      </tp>
      <tp>
        <v>-0.85</v>
        <stp/>
        <stp>DELTA</stp>
        <stp>.SPY250523P602</stp>
        <tr r="CG4" s="1"/>
        <tr r="CG4" s="1"/>
      </tp>
      <tp>
        <v>0</v>
        <stp/>
        <stp>DELTA</stp>
        <stp>.SPY250520C601</stp>
        <tr r="CD5" s="1"/>
        <tr r="CD5" s="1"/>
      </tp>
      <tp>
        <v>0.12</v>
        <stp/>
        <stp>DELTA</stp>
        <stp>.SPY250523C602</stp>
        <tr r="CF4" s="1"/>
        <tr r="CF4" s="1"/>
      </tp>
      <tp>
        <v>-0.92</v>
        <stp/>
        <stp>DELTA</stp>
        <stp>.SPY250520P600</stp>
        <tr r="CE6" s="1"/>
        <tr r="CE6" s="1"/>
      </tp>
      <tp>
        <v>0.01</v>
        <stp/>
        <stp>DELTA</stp>
        <stp>.SPY250520C600</stp>
        <tr r="CD6" s="1"/>
        <tr r="CD6" s="1"/>
      </tp>
      <tp>
        <v>-0.8</v>
        <stp/>
        <stp>DELTA</stp>
        <stp>.SPY250523P600</stp>
        <tr r="CG6" s="1"/>
        <tr r="CG6" s="1"/>
      </tp>
      <tp>
        <v>0.18</v>
        <stp/>
        <stp>DELTA</stp>
        <stp>.SPY250523C600</stp>
        <tr r="CF6" s="1"/>
        <tr r="CF6" s="1"/>
      </tp>
      <tp>
        <v>-0.93</v>
        <stp/>
        <stp>DELTA</stp>
        <stp>.SPY250520P602</stp>
        <tr r="CE4" s="1"/>
        <tr r="CE4" s="1"/>
      </tp>
      <tp>
        <v>-0.83</v>
        <stp/>
        <stp>DELTA</stp>
        <stp>.SPY250523P601</stp>
        <tr r="CG5" s="1"/>
        <tr r="CG5" s="1"/>
      </tp>
      <tp>
        <v>0</v>
        <stp/>
        <stp>DELTA</stp>
        <stp>.SPY250520C602</stp>
        <tr r="CD4" s="1"/>
        <tr r="CD4" s="1"/>
      </tp>
      <tp>
        <v>0.15</v>
        <stp/>
        <stp>DELTA</stp>
        <stp>.SPY250523C601</stp>
        <tr r="CF5" s="1"/>
        <tr r="CF5" s="1"/>
      </tp>
      <tp>
        <v>-0.23</v>
        <stp/>
        <stp>DELTA</stp>
        <stp>.SPY250620P571</stp>
        <tr r="CI35" s="1"/>
        <tr r="CI35" s="1"/>
      </tp>
      <tp>
        <v>0.77</v>
        <stp/>
        <stp>DELTA</stp>
        <stp>.SPY250620C571</stp>
        <tr r="CH35" s="1"/>
        <tr r="CH35" s="1"/>
      </tp>
      <tp>
        <v>-0.22</v>
        <stp/>
        <stp>DELTA</stp>
        <stp>.SPY250620P570</stp>
        <tr r="CI36" s="1"/>
        <tr r="CI36" s="1"/>
      </tp>
      <tp>
        <v>0.78</v>
        <stp/>
        <stp>DELTA</stp>
        <stp>.SPY250620C570</stp>
        <tr r="CH36" s="1"/>
        <tr r="CH36" s="1"/>
      </tp>
      <tp>
        <v>-0.25</v>
        <stp/>
        <stp>DELTA</stp>
        <stp>.SPY250620P573</stp>
        <tr r="CI33" s="1"/>
        <tr r="CI33" s="1"/>
      </tp>
      <tp>
        <v>0.76</v>
        <stp/>
        <stp>DELTA</stp>
        <stp>.SPY250620C573</stp>
        <tr r="CH33" s="1"/>
        <tr r="CH33" s="1"/>
      </tp>
      <tp>
        <v>-0.24</v>
        <stp/>
        <stp>DELTA</stp>
        <stp>.SPY250620P572</stp>
        <tr r="CI34" s="1"/>
        <tr r="CI34" s="1"/>
      </tp>
      <tp>
        <v>0.77</v>
        <stp/>
        <stp>DELTA</stp>
        <stp>.SPY250620C572</stp>
        <tr r="CH34" s="1"/>
        <tr r="CH34" s="1"/>
      </tp>
      <tp>
        <v>-0.27</v>
        <stp/>
        <stp>DELTA</stp>
        <stp>.SPY250620P575</stp>
        <tr r="CI31" s="1"/>
        <tr r="CI31" s="1"/>
      </tp>
      <tp>
        <v>0.74</v>
        <stp/>
        <stp>DELTA</stp>
        <stp>.SPY250620C575</stp>
        <tr r="CH31" s="1"/>
        <tr r="CH31" s="1"/>
      </tp>
      <tp>
        <v>-0.26</v>
        <stp/>
        <stp>DELTA</stp>
        <stp>.SPY250620P574</stp>
        <tr r="CI32" s="1"/>
        <tr r="CI32" s="1"/>
      </tp>
      <tp>
        <v>0.75</v>
        <stp/>
        <stp>DELTA</stp>
        <stp>.SPY250620C574</stp>
        <tr r="CH32" s="1"/>
        <tr r="CH32" s="1"/>
      </tp>
      <tp>
        <v>-0.28000000000000003</v>
        <stp/>
        <stp>DELTA</stp>
        <stp>.SPY250620P577</stp>
        <tr r="CI29" s="1"/>
        <tr r="CI29" s="1"/>
      </tp>
      <tp>
        <v>0.72</v>
        <stp/>
        <stp>DELTA</stp>
        <stp>.SPY250620C577</stp>
        <tr r="CH29" s="1"/>
        <tr r="CH29" s="1"/>
      </tp>
      <tp>
        <v>-0.27</v>
        <stp/>
        <stp>DELTA</stp>
        <stp>.SPY250620P576</stp>
        <tr r="CI30" s="1"/>
        <tr r="CI30" s="1"/>
      </tp>
      <tp>
        <v>0.73</v>
        <stp/>
        <stp>DELTA</stp>
        <stp>.SPY250620C576</stp>
        <tr r="CH30" s="1"/>
        <tr r="CH30" s="1"/>
      </tp>
      <tp>
        <v>-0.3</v>
        <stp/>
        <stp>DELTA</stp>
        <stp>.SPY250620P579</stp>
        <tr r="CI27" s="1"/>
        <tr r="CI27" s="1"/>
      </tp>
      <tp>
        <v>0.7</v>
        <stp/>
        <stp>DELTA</stp>
        <stp>.SPY250620C579</stp>
        <tr r="CH27" s="1"/>
        <tr r="CH27" s="1"/>
      </tp>
      <tp>
        <v>-0.28999999999999998</v>
        <stp/>
        <stp>DELTA</stp>
        <stp>.SPY250620P578</stp>
        <tr r="CI28" s="1"/>
        <tr r="CI28" s="1"/>
      </tp>
      <tp>
        <v>0.71</v>
        <stp/>
        <stp>DELTA</stp>
        <stp>.SPY250620C578</stp>
        <tr r="CH28" s="1"/>
        <tr r="CH28" s="1"/>
      </tp>
      <tp>
        <v>-0.22</v>
        <stp/>
        <stp>DELTA</stp>
        <stp>.SPY250620P569</stp>
        <tr r="CI37" s="1"/>
        <tr r="CI37" s="1"/>
      </tp>
      <tp>
        <v>0.79</v>
        <stp/>
        <stp>DELTA</stp>
        <stp>.SPY250620C569</stp>
        <tr r="CH37" s="1"/>
        <tr r="CH37" s="1"/>
      </tp>
      <tp>
        <v>-0.21</v>
        <stp/>
        <stp>DELTA</stp>
        <stp>.SPY250620P568</stp>
        <tr r="CI38" s="1"/>
        <tr r="CI38" s="1"/>
      </tp>
      <tp>
        <v>0.79</v>
        <stp/>
        <stp>DELTA</stp>
        <stp>.SPY250620C568</stp>
        <tr r="CH38" s="1"/>
        <tr r="CH38" s="1"/>
      </tp>
      <tp t="s">
        <v>N/A</v>
        <stp/>
        <stp>VOLUME</stp>
        <stp>.SPXWC6040</stp>
        <tr r="C89" s="2"/>
        <tr r="B89" s="2"/>
        <tr r="F89" s="2"/>
        <tr r="J89" s="2"/>
      </tp>
      <tp t="s">
        <v>N/A</v>
        <stp/>
        <stp>VOLUME</stp>
        <stp>.SPXWP6040</stp>
        <tr r="C89" s="2"/>
        <tr r="B89" s="2"/>
        <tr r="F89" s="2"/>
        <tr r="J89" s="2"/>
      </tp>
      <tp t="s">
        <v>N/A</v>
        <stp/>
        <stp>VOLUME</stp>
        <stp>.SPXWC6050</stp>
        <tr r="J88" s="2"/>
        <tr r="C88" s="2"/>
        <tr r="F88" s="2"/>
        <tr r="B88" s="2"/>
      </tp>
      <tp t="s">
        <v>N/A</v>
        <stp/>
        <stp>VOLUME</stp>
        <stp>.SPXWP6050</stp>
        <tr r="J88" s="2"/>
        <tr r="C88" s="2"/>
        <tr r="F88" s="2"/>
        <tr r="B88" s="2"/>
      </tp>
      <tp t="s">
        <v>N/A</v>
        <stp/>
        <stp>VOLUME</stp>
        <stp>.SPXWC6060</stp>
        <tr r="F87" s="2"/>
        <tr r="C87" s="2"/>
        <tr r="B87" s="2"/>
        <tr r="J87" s="2"/>
      </tp>
      <tp t="s">
        <v>N/A</v>
        <stp/>
        <stp>VOLUME</stp>
        <stp>.SPXWP6060</stp>
        <tr r="F87" s="2"/>
        <tr r="C87" s="2"/>
        <tr r="B87" s="2"/>
        <tr r="J87" s="2"/>
      </tp>
      <tp t="s">
        <v>N/A</v>
        <stp/>
        <stp>VOLUME</stp>
        <stp>.SPXWC6070</stp>
        <tr r="J86" s="2"/>
        <tr r="F86" s="2"/>
        <tr r="C86" s="2"/>
        <tr r="B86" s="2"/>
      </tp>
      <tp t="s">
        <v>N/A</v>
        <stp/>
        <stp>VOLUME</stp>
        <stp>.SPXWP6070</stp>
        <tr r="J86" s="2"/>
        <tr r="F86" s="2"/>
        <tr r="C86" s="2"/>
        <tr r="B86" s="2"/>
      </tp>
      <tp t="s">
        <v>N/A</v>
        <stp/>
        <stp>VOLUME</stp>
        <stp>.SPXWC6000</stp>
        <tr r="C93" s="2"/>
        <tr r="B93" s="2"/>
        <tr r="J93" s="2"/>
        <tr r="F93" s="2"/>
      </tp>
      <tp t="s">
        <v>N/A</v>
        <stp/>
        <stp>VOLUME</stp>
        <stp>.SPXWP6000</stp>
        <tr r="C93" s="2"/>
        <tr r="B93" s="2"/>
        <tr r="J93" s="2"/>
        <tr r="F93" s="2"/>
      </tp>
      <tp t="s">
        <v>N/A</v>
        <stp/>
        <stp>VOLUME</stp>
        <stp>.SPXWC6010</stp>
        <tr r="J92" s="2"/>
        <tr r="C92" s="2"/>
        <tr r="B92" s="2"/>
        <tr r="F92" s="2"/>
      </tp>
      <tp t="s">
        <v>N/A</v>
        <stp/>
        <stp>VOLUME</stp>
        <stp>.SPXWP6010</stp>
        <tr r="J92" s="2"/>
        <tr r="C92" s="2"/>
        <tr r="B92" s="2"/>
        <tr r="F92" s="2"/>
      </tp>
      <tp t="s">
        <v>N/A</v>
        <stp/>
        <stp>VOLUME</stp>
        <stp>.SPXWC6020</stp>
        <tr r="B91" s="2"/>
        <tr r="J91" s="2"/>
        <tr r="F91" s="2"/>
        <tr r="C91" s="2"/>
      </tp>
      <tp t="s">
        <v>N/A</v>
        <stp/>
        <stp>VOLUME</stp>
        <stp>.SPXWP6020</stp>
        <tr r="B91" s="2"/>
        <tr r="J91" s="2"/>
        <tr r="F91" s="2"/>
        <tr r="C91" s="2"/>
      </tp>
      <tp t="s">
        <v>N/A</v>
        <stp/>
        <stp>VOLUME</stp>
        <stp>.SPXWC6030</stp>
        <tr r="F90" s="2"/>
        <tr r="C90" s="2"/>
        <tr r="J90" s="2"/>
        <tr r="B90" s="2"/>
      </tp>
      <tp t="s">
        <v>N/A</v>
        <stp/>
        <stp>VOLUME</stp>
        <stp>.SPXWP6030</stp>
        <tr r="F90" s="2"/>
        <tr r="C90" s="2"/>
        <tr r="J90" s="2"/>
        <tr r="B90" s="2"/>
      </tp>
      <tp>
        <v>519.63</v>
        <stp/>
        <stp>MARK</stp>
        <stp>QQQ</stp>
        <tr r="A44" s="1"/>
        <tr r="G136" s="1"/>
      </tp>
      <tp>
        <v>0.01</v>
        <stp/>
        <stp>LAST</stp>
        <stp>.QQQ250520P508</stp>
        <tr r="DB69" s="1"/>
        <tr r="DB69" s="1"/>
      </tp>
      <tp>
        <v>11.07</v>
        <stp/>
        <stp>LAST</stp>
        <stp>.QQQ250520C508</stp>
        <tr r="DA69" s="1"/>
        <tr r="DA69" s="1"/>
      </tp>
      <tp>
        <v>0.01</v>
        <stp/>
        <stp>LAST</stp>
        <stp>.QQQ250520P509</stp>
        <tr r="DB68" s="1"/>
        <tr r="DB68" s="1"/>
      </tp>
      <tp>
        <v>10.66</v>
        <stp/>
        <stp>LAST</stp>
        <stp>.QQQ250520C509</stp>
        <tr r="DA68" s="1"/>
        <tr r="DA68" s="1"/>
      </tp>
      <tp>
        <v>0.01</v>
        <stp/>
        <stp>LAST</stp>
        <stp>.QQQ250520P506</stp>
        <tr r="DB71" s="1"/>
        <tr r="DB71" s="1"/>
      </tp>
      <tp>
        <v>13.2</v>
        <stp/>
        <stp>LAST</stp>
        <stp>.QQQ250520C506</stp>
        <tr r="DA71" s="1"/>
        <tr r="DA71" s="1"/>
      </tp>
      <tp>
        <v>0.01</v>
        <stp/>
        <stp>LAST</stp>
        <stp>.QQQ250520P507</stp>
        <tr r="DB70" s="1"/>
        <tr r="DB70" s="1"/>
      </tp>
      <tp>
        <v>12.08</v>
        <stp/>
        <stp>LAST</stp>
        <stp>.QQQ250520C507</stp>
        <tr r="DA70" s="1"/>
        <tr r="DA70" s="1"/>
      </tp>
      <tp>
        <v>0.01</v>
        <stp/>
        <stp>LAST</stp>
        <stp>.QQQ250520P504</stp>
        <tr r="DB73" s="1"/>
        <tr r="DB73" s="1"/>
      </tp>
      <tp>
        <v>16.07</v>
        <stp/>
        <stp>LAST</stp>
        <stp>.QQQ250520C504</stp>
        <tr r="DA73" s="1"/>
        <tr r="DA73" s="1"/>
      </tp>
      <tp>
        <v>0.01</v>
        <stp/>
        <stp>LAST</stp>
        <stp>.QQQ250520P505</stp>
        <tr r="DB72" s="1"/>
        <tr r="DB72" s="1"/>
      </tp>
      <tp>
        <v>14.77</v>
        <stp/>
        <stp>LAST</stp>
        <stp>.QQQ250520C505</stp>
        <tr r="DA72" s="1"/>
        <tr r="DA72" s="1"/>
      </tp>
      <tp>
        <v>0.01</v>
        <stp/>
        <stp>LAST</stp>
        <stp>.QQQ250520P502</stp>
        <tr r="DB75" s="1"/>
        <tr r="DB75" s="1"/>
      </tp>
      <tp>
        <v>19.87</v>
        <stp/>
        <stp>LAST</stp>
        <stp>.QQQ250520C502</stp>
        <tr r="DA75" s="1"/>
        <tr r="DA75" s="1"/>
      </tp>
      <tp>
        <v>0.01</v>
        <stp/>
        <stp>LAST</stp>
        <stp>.QQQ250520P503</stp>
        <tr r="DB74" s="1"/>
        <tr r="DB74" s="1"/>
      </tp>
      <tp>
        <v>16.68</v>
        <stp/>
        <stp>LAST</stp>
        <stp>.QQQ250520C503</stp>
        <tr r="DA74" s="1"/>
        <tr r="DA74" s="1"/>
      </tp>
      <tp>
        <v>0.01</v>
        <stp/>
        <stp>LAST</stp>
        <stp>.QQQ250520P500</stp>
        <tr r="DB77" s="1"/>
        <tr r="DB77" s="1"/>
      </tp>
      <tp>
        <v>19.39</v>
        <stp/>
        <stp>LAST</stp>
        <stp>.QQQ250520C500</stp>
        <tr r="DA77" s="1"/>
        <tr r="DA77" s="1"/>
      </tp>
      <tp>
        <v>0.01</v>
        <stp/>
        <stp>LAST</stp>
        <stp>.QQQ250520P501</stp>
        <tr r="DB76" s="1"/>
        <tr r="DB76" s="1"/>
      </tp>
      <tp>
        <v>16.11</v>
        <stp/>
        <stp>LAST</stp>
        <stp>.QQQ250520C501</stp>
        <tr r="DA76" s="1"/>
        <tr r="DA76" s="1"/>
      </tp>
      <tp>
        <v>0.02</v>
        <stp/>
        <stp>LAST</stp>
        <stp>.QQQ250520P518</stp>
        <tr r="DB59" s="1"/>
        <tr r="DB59" s="1"/>
      </tp>
      <tp>
        <v>1.18</v>
        <stp/>
        <stp>LAST</stp>
        <stp>.QQQ250520C518</stp>
        <tr r="DA59" s="1"/>
        <tr r="DA59" s="1"/>
      </tp>
      <tp>
        <v>0.19</v>
        <stp/>
        <stp>LAST</stp>
        <stp>.QQQ250520P519</stp>
        <tr r="DB58" s="1"/>
        <tr r="DB58" s="1"/>
      </tp>
      <tp>
        <v>0.31</v>
        <stp/>
        <stp>LAST</stp>
        <stp>.QQQ250520C519</stp>
        <tr r="DA58" s="1"/>
        <tr r="DA58" s="1"/>
      </tp>
      <tp>
        <v>0.01</v>
        <stp/>
        <stp>LAST</stp>
        <stp>.QQQ250520P516</stp>
        <tr r="DB61" s="1"/>
        <tr r="DB61" s="1"/>
      </tp>
      <tp>
        <v>3.45</v>
        <stp/>
        <stp>LAST</stp>
        <stp>.QQQ250520C516</stp>
        <tr r="DA61" s="1"/>
        <tr r="DA61" s="1"/>
      </tp>
      <tp>
        <v>0.01</v>
        <stp/>
        <stp>LAST</stp>
        <stp>.QQQ250520P517</stp>
        <tr r="DB60" s="1"/>
        <tr r="DB60" s="1"/>
      </tp>
      <tp>
        <v>2.4500000000000002</v>
        <stp/>
        <stp>LAST</stp>
        <stp>.QQQ250520C517</stp>
        <tr r="DA60" s="1"/>
        <tr r="DA60" s="1"/>
      </tp>
      <tp>
        <v>0.01</v>
        <stp/>
        <stp>LAST</stp>
        <stp>.QQQ250520P514</stp>
        <tr r="DB63" s="1"/>
        <tr r="DB63" s="1"/>
      </tp>
      <tp>
        <v>6.03</v>
        <stp/>
        <stp>LAST</stp>
        <stp>.QQQ250520C514</stp>
        <tr r="DA63" s="1"/>
        <tr r="DA63" s="1"/>
      </tp>
      <tp>
        <v>0.01</v>
        <stp/>
        <stp>LAST</stp>
        <stp>.QQQ250520P515</stp>
        <tr r="DB62" s="1"/>
        <tr r="DB62" s="1"/>
      </tp>
      <tp>
        <v>4.34</v>
        <stp/>
        <stp>LAST</stp>
        <stp>.QQQ250520C515</stp>
        <tr r="DA62" s="1"/>
        <tr r="DA62" s="1"/>
      </tp>
      <tp>
        <v>0.01</v>
        <stp/>
        <stp>LAST</stp>
        <stp>.QQQ250520P512</stp>
        <tr r="DB65" s="1"/>
        <tr r="DB65" s="1"/>
      </tp>
      <tp>
        <v>7.88</v>
        <stp/>
        <stp>LAST</stp>
        <stp>.QQQ250520C512</stp>
        <tr r="DA65" s="1"/>
        <tr r="DA65" s="1"/>
      </tp>
      <tp>
        <v>0.01</v>
        <stp/>
        <stp>LAST</stp>
        <stp>.QQQ250520P513</stp>
        <tr r="DB64" s="1"/>
        <tr r="DB64" s="1"/>
      </tp>
      <tp>
        <v>6.69</v>
        <stp/>
        <stp>LAST</stp>
        <stp>.QQQ250520C513</stp>
        <tr r="DA64" s="1"/>
        <tr r="DA64" s="1"/>
      </tp>
      <tp>
        <v>0.01</v>
        <stp/>
        <stp>LAST</stp>
        <stp>.QQQ250520P510</stp>
        <tr r="DB67" s="1"/>
        <tr r="DB67" s="1"/>
      </tp>
      <tp>
        <v>9.23</v>
        <stp/>
        <stp>LAST</stp>
        <stp>.QQQ250520C510</stp>
        <tr r="DA67" s="1"/>
        <tr r="DA67" s="1"/>
      </tp>
      <tp>
        <v>0.01</v>
        <stp/>
        <stp>LAST</stp>
        <stp>.QQQ250520P511</stp>
        <tr r="DB66" s="1"/>
        <tr r="DB66" s="1"/>
      </tp>
      <tp>
        <v>8.7899999999999991</v>
        <stp/>
        <stp>LAST</stp>
        <stp>.QQQ250520C511</stp>
        <tr r="DA66" s="1"/>
        <tr r="DA66" s="1"/>
      </tp>
      <tp>
        <v>8.85</v>
        <stp/>
        <stp>LAST</stp>
        <stp>.QQQ250520P528</stp>
        <tr r="DB49" s="1"/>
        <tr r="DB49" s="1"/>
      </tp>
      <tp>
        <v>0.01</v>
        <stp/>
        <stp>LAST</stp>
        <stp>.QQQ250520C528</stp>
        <tr r="DA49" s="1"/>
        <tr r="DA49" s="1"/>
      </tp>
      <tp>
        <v>9.77</v>
        <stp/>
        <stp>LAST</stp>
        <stp>.QQQ250520P529</stp>
        <tr r="DB48" s="1"/>
        <tr r="DB48" s="1"/>
      </tp>
      <tp>
        <v>0.01</v>
        <stp/>
        <stp>LAST</stp>
        <stp>.QQQ250520C529</stp>
        <tr r="DA48" s="1"/>
        <tr r="DA48" s="1"/>
      </tp>
      <tp>
        <v>6.59</v>
        <stp/>
        <stp>LAST</stp>
        <stp>.QQQ250520P526</stp>
        <tr r="DB51" s="1"/>
        <tr r="DB51" s="1"/>
      </tp>
      <tp>
        <v>0.01</v>
        <stp/>
        <stp>LAST</stp>
        <stp>.QQQ250520C526</stp>
        <tr r="DA51" s="1"/>
        <tr r="DA51" s="1"/>
      </tp>
      <tp>
        <v>6.73</v>
        <stp/>
        <stp>LAST</stp>
        <stp>.QQQ250520P527</stp>
        <tr r="DB50" s="1"/>
        <tr r="DB50" s="1"/>
      </tp>
      <tp>
        <v>0.01</v>
        <stp/>
        <stp>LAST</stp>
        <stp>.QQQ250520C527</stp>
        <tr r="DA50" s="1"/>
        <tr r="DA50" s="1"/>
      </tp>
      <tp>
        <v>4.6100000000000003</v>
        <stp/>
        <stp>LAST</stp>
        <stp>.QQQ250520P524</stp>
        <tr r="DB53" s="1"/>
        <tr r="DB53" s="1"/>
      </tp>
      <tp>
        <v>0.01</v>
        <stp/>
        <stp>LAST</stp>
        <stp>.QQQ250520C524</stp>
        <tr r="DA53" s="1"/>
        <tr r="DA53" s="1"/>
      </tp>
      <tp>
        <v>5.55</v>
        <stp/>
        <stp>LAST</stp>
        <stp>.QQQ250520P525</stp>
        <tr r="DB52" s="1"/>
        <tr r="DB52" s="1"/>
      </tp>
      <tp>
        <v>0.01</v>
        <stp/>
        <stp>LAST</stp>
        <stp>.QQQ250520C525</stp>
        <tr r="DA52" s="1"/>
        <tr r="DA52" s="1"/>
      </tp>
      <tp>
        <v>2.89</v>
        <stp/>
        <stp>LAST</stp>
        <stp>.QQQ250520P522</stp>
        <tr r="DB55" s="1"/>
        <tr r="DB55" s="1"/>
      </tp>
      <tp>
        <v>0.01</v>
        <stp/>
        <stp>LAST</stp>
        <stp>.QQQ250520C522</stp>
        <tr r="DA55" s="1"/>
        <tr r="DA55" s="1"/>
      </tp>
      <tp>
        <v>3.3</v>
        <stp/>
        <stp>LAST</stp>
        <stp>.QQQ250520P523</stp>
        <tr r="DB54" s="1"/>
        <tr r="DB54" s="1"/>
      </tp>
      <tp>
        <v>0.01</v>
        <stp/>
        <stp>LAST</stp>
        <stp>.QQQ250520C523</stp>
        <tr r="DA54" s="1"/>
        <tr r="DA54" s="1"/>
      </tp>
      <tp>
        <v>0.9</v>
        <stp/>
        <stp>LAST</stp>
        <stp>.QQQ250520P520</stp>
        <tr r="DB57" s="1"/>
        <tr r="DB57" s="1"/>
      </tp>
      <tp>
        <v>0.03</v>
        <stp/>
        <stp>LAST</stp>
        <stp>.QQQ250520C520</stp>
        <tr r="DA57" s="1"/>
        <tr r="DA57" s="1"/>
      </tp>
      <tp>
        <v>1.8</v>
        <stp/>
        <stp>LAST</stp>
        <stp>.QQQ250520P521</stp>
        <tr r="DB56" s="1"/>
        <tr r="DB56" s="1"/>
      </tp>
      <tp>
        <v>0.01</v>
        <stp/>
        <stp>LAST</stp>
        <stp>.QQQ250520C521</stp>
        <tr r="DA56" s="1"/>
        <tr r="DA56" s="1"/>
      </tp>
      <tp>
        <v>11.11</v>
        <stp/>
        <stp>LAST</stp>
        <stp>.QQQ250520P532</stp>
        <tr r="DB45" s="1"/>
        <tr r="DB45" s="1"/>
      </tp>
      <tp>
        <v>0.01</v>
        <stp/>
        <stp>LAST</stp>
        <stp>.QQQ250520C532</stp>
        <tr r="DA45" s="1"/>
        <tr r="DA45" s="1"/>
      </tp>
      <tp>
        <v>10.8</v>
        <stp/>
        <stp>LAST</stp>
        <stp>.QQQ250520P530</stp>
        <tr r="DB47" s="1"/>
        <tr r="DB47" s="1"/>
      </tp>
      <tp>
        <v>0.01</v>
        <stp/>
        <stp>LAST</stp>
        <stp>.QQQ250520C530</stp>
        <tr r="DA47" s="1"/>
        <tr r="DA47" s="1"/>
      </tp>
      <tp>
        <v>12.06</v>
        <stp/>
        <stp>LAST</stp>
        <stp>.QQQ250520P531</stp>
        <tr r="DB46" s="1"/>
        <tr r="DB46" s="1"/>
      </tp>
      <tp>
        <v>0.01</v>
        <stp/>
        <stp>LAST</stp>
        <stp>.QQQ250520C531</stp>
        <tr r="DA46" s="1"/>
        <tr r="DA46" s="1"/>
      </tp>
      <tp>
        <v>0.01</v>
        <stp/>
        <stp>LAST</stp>
        <stp>.QQQ250520P498</stp>
        <tr r="DB79" s="1"/>
        <tr r="DB79" s="1"/>
      </tp>
      <tp>
        <v>20.53</v>
        <stp/>
        <stp>LAST</stp>
        <stp>.QQQ250520C498</stp>
        <tr r="DA79" s="1"/>
        <tr r="DA79" s="1"/>
      </tp>
      <tp>
        <v>0.01</v>
        <stp/>
        <stp>LAST</stp>
        <stp>.QQQ250520P499</stp>
        <tr r="DB78" s="1"/>
        <tr r="DB78" s="1"/>
      </tp>
      <tp>
        <v>20.92</v>
        <stp/>
        <stp>LAST</stp>
        <stp>.QQQ250520C499</stp>
        <tr r="DA78" s="1"/>
        <tr r="DA78" s="1"/>
      </tp>
      <tp>
        <v>-0.04</v>
        <stp/>
        <stp>DELTA</stp>
        <stp>.QQQ250523P498</stp>
        <tr r="CG79" s="1"/>
        <tr r="CG79" s="1"/>
      </tp>
      <tp>
        <v>0.95</v>
        <stp/>
        <stp>DELTA</stp>
        <stp>.QQQ250523C498</stp>
        <tr r="CF79" s="1"/>
        <tr r="CF79" s="1"/>
      </tp>
      <tp>
        <v>-0.05</v>
        <stp/>
        <stp>DELTA</stp>
        <stp>.QQQ250523P499</stp>
        <tr r="CG78" s="1"/>
        <tr r="CG78" s="1"/>
      </tp>
      <tp>
        <v>0.95</v>
        <stp/>
        <stp>DELTA</stp>
        <stp>.QQQ250523C499</stp>
        <tr r="CF78" s="1"/>
        <tr r="CF78" s="1"/>
      </tp>
      <tp>
        <v>0</v>
        <stp/>
        <stp>DELTA</stp>
        <stp>.QQQ250520P499</stp>
        <tr r="CE78" s="1"/>
        <tr r="CE78" s="1"/>
      </tp>
      <tp>
        <v>1</v>
        <stp/>
        <stp>DELTA</stp>
        <stp>.QQQ250520C499</stp>
        <tr r="CD78" s="1"/>
        <tr r="CD78" s="1"/>
      </tp>
      <tp>
        <v>0</v>
        <stp/>
        <stp>DELTA</stp>
        <stp>.QQQ250520P498</stp>
        <tr r="CE79" s="1"/>
        <tr r="CE79" s="1"/>
      </tp>
      <tp>
        <v>1</v>
        <stp/>
        <stp>DELTA</stp>
        <stp>.QQQ250520C498</stp>
        <tr r="CD79" s="1"/>
        <tr r="CD79" s="1"/>
      </tp>
      <tp>
        <v>-0.84</v>
        <stp/>
        <stp>DELTA</stp>
        <stp>.QQQ250523P530</stp>
        <tr r="CG47" s="1"/>
        <tr r="CG47" s="1"/>
      </tp>
      <tp>
        <v>0.13</v>
        <stp/>
        <stp>DELTA</stp>
        <stp>.QQQ250523C530</stp>
        <tr r="CF47" s="1"/>
        <tr r="CF47" s="1"/>
      </tp>
      <tp>
        <v>-0.94</v>
        <stp/>
        <stp>DELTA</stp>
        <stp>.QQQ250520P532</stp>
        <tr r="CE45" s="1"/>
        <tr r="CE45" s="1"/>
      </tp>
      <tp>
        <v>-0.86</v>
        <stp/>
        <stp>DELTA</stp>
        <stp>.QQQ250523P531</stp>
        <tr r="CG46" s="1"/>
        <tr r="CG46" s="1"/>
      </tp>
      <tp>
        <v>0</v>
        <stp/>
        <stp>DELTA</stp>
        <stp>.QQQ250520C532</stp>
        <tr r="CD45" s="1"/>
        <tr r="CD45" s="1"/>
      </tp>
      <tp>
        <v>0.11</v>
        <stp/>
        <stp>DELTA</stp>
        <stp>.QQQ250523C531</stp>
        <tr r="CF46" s="1"/>
        <tr r="CF46" s="1"/>
      </tp>
      <tp>
        <v>-0.93</v>
        <stp/>
        <stp>DELTA</stp>
        <stp>.QQQ250520P531</stp>
        <tr r="CE46" s="1"/>
        <tr r="CE46" s="1"/>
      </tp>
      <tp>
        <v>-0.87</v>
        <stp/>
        <stp>DELTA</stp>
        <stp>.QQQ250523P532</stp>
        <tr r="CG45" s="1"/>
        <tr r="CG45" s="1"/>
      </tp>
      <tp>
        <v>0</v>
        <stp/>
        <stp>DELTA</stp>
        <stp>.QQQ250520C531</stp>
        <tr r="CD46" s="1"/>
        <tr r="CD46" s="1"/>
      </tp>
      <tp>
        <v>0.09</v>
        <stp/>
        <stp>DELTA</stp>
        <stp>.QQQ250523C532</stp>
        <tr r="CF45" s="1"/>
        <tr r="CF45" s="1"/>
      </tp>
      <tp>
        <v>-0.93</v>
        <stp/>
        <stp>DELTA</stp>
        <stp>.QQQ250520P530</stp>
        <tr r="CE47" s="1"/>
        <tr r="CE47" s="1"/>
      </tp>
      <tp>
        <v>0</v>
        <stp/>
        <stp>DELTA</stp>
        <stp>.QQQ250520C530</stp>
        <tr r="CD47" s="1"/>
        <tr r="CD47" s="1"/>
      </tp>
      <tp>
        <v>-0.94</v>
        <stp/>
        <stp>DELTA</stp>
        <stp>.QQQ250520P523</stp>
        <tr r="CE54" s="1"/>
        <tr r="CE54" s="1"/>
      </tp>
      <tp>
        <v>-0.5</v>
        <stp/>
        <stp>DELTA</stp>
        <stp>.QQQ250523P520</stp>
        <tr r="CG57" s="1"/>
        <tr r="CG57" s="1"/>
      </tp>
      <tp>
        <v>0.01</v>
        <stp/>
        <stp>DELTA</stp>
        <stp>.QQQ250520C523</stp>
        <tr r="CD54" s="1"/>
        <tr r="CD54" s="1"/>
      </tp>
      <tp>
        <v>0.49</v>
        <stp/>
        <stp>DELTA</stp>
        <stp>.QQQ250523C520</stp>
        <tr r="CF57" s="1"/>
        <tr r="CF57" s="1"/>
      </tp>
      <tp>
        <v>-0.87</v>
        <stp/>
        <stp>DELTA</stp>
        <stp>.QQQ250520P522</stp>
        <tr r="CE55" s="1"/>
        <tr r="CE55" s="1"/>
      </tp>
      <tp>
        <v>-0.54</v>
        <stp/>
        <stp>DELTA</stp>
        <stp>.QQQ250523P521</stp>
        <tr r="CG56" s="1"/>
        <tr r="CG56" s="1"/>
      </tp>
      <tp>
        <v>0.01</v>
        <stp/>
        <stp>DELTA</stp>
        <stp>.QQQ250520C522</stp>
        <tr r="CD55" s="1"/>
        <tr r="CD55" s="1"/>
      </tp>
      <tp>
        <v>0.45</v>
        <stp/>
        <stp>DELTA</stp>
        <stp>.QQQ250523C521</stp>
        <tr r="CF56" s="1"/>
        <tr r="CF56" s="1"/>
      </tp>
      <tp>
        <v>-0.64</v>
        <stp/>
        <stp>DELTA</stp>
        <stp>.QQQ250520P521</stp>
        <tr r="CE56" s="1"/>
        <tr r="CE56" s="1"/>
      </tp>
      <tp>
        <v>-0.6</v>
        <stp/>
        <stp>DELTA</stp>
        <stp>.QQQ250523P522</stp>
        <tr r="CG55" s="1"/>
        <tr r="CG55" s="1"/>
      </tp>
      <tp>
        <v>0.02</v>
        <stp/>
        <stp>DELTA</stp>
        <stp>.QQQ250520C521</stp>
        <tr r="CD56" s="1"/>
        <tr r="CD56" s="1"/>
      </tp>
      <tp>
        <v>0.41</v>
        <stp/>
        <stp>DELTA</stp>
        <stp>.QQQ250523C522</stp>
        <tr r="CF55" s="1"/>
        <tr r="CF55" s="1"/>
      </tp>
      <tp>
        <v>-0.53</v>
        <stp/>
        <stp>DELTA</stp>
        <stp>.QQQ250520P520</stp>
        <tr r="CE57" s="1"/>
        <tr r="CE57" s="1"/>
      </tp>
      <tp>
        <v>-0.61</v>
        <stp/>
        <stp>DELTA</stp>
        <stp>.QQQ250523P523</stp>
        <tr r="CG54" s="1"/>
        <tr r="CG54" s="1"/>
      </tp>
      <tp>
        <v>0.17</v>
        <stp/>
        <stp>DELTA</stp>
        <stp>.QQQ250520C520</stp>
        <tr r="CD57" s="1"/>
        <tr r="CD57" s="1"/>
      </tp>
      <tp>
        <v>0.37</v>
        <stp/>
        <stp>DELTA</stp>
        <stp>.QQQ250523C523</stp>
        <tr r="CF54" s="1"/>
        <tr r="CF54" s="1"/>
      </tp>
      <tp>
        <v>-0.92</v>
        <stp/>
        <stp>DELTA</stp>
        <stp>.QQQ250520P527</stp>
        <tr r="CE50" s="1"/>
        <tr r="CE50" s="1"/>
      </tp>
      <tp>
        <v>-0.66</v>
        <stp/>
        <stp>DELTA</stp>
        <stp>.QQQ250523P524</stp>
        <tr r="CG53" s="1"/>
        <tr r="CG53" s="1"/>
      </tp>
      <tp>
        <v>0.01</v>
        <stp/>
        <stp>DELTA</stp>
        <stp>.QQQ250520C527</stp>
        <tr r="CD50" s="1"/>
        <tr r="CD50" s="1"/>
      </tp>
      <tp>
        <v>0.33</v>
        <stp/>
        <stp>DELTA</stp>
        <stp>.QQQ250523C524</stp>
        <tr r="CF53" s="1"/>
        <tr r="CF53" s="1"/>
      </tp>
      <tp>
        <v>-0.91</v>
        <stp/>
        <stp>DELTA</stp>
        <stp>.QQQ250520P526</stp>
        <tr r="CE51" s="1"/>
        <tr r="CE51" s="1"/>
      </tp>
      <tp>
        <v>-0.73</v>
        <stp/>
        <stp>DELTA</stp>
        <stp>.QQQ250523P525</stp>
        <tr r="CG52" s="1"/>
        <tr r="CG52" s="1"/>
      </tp>
      <tp>
        <v>0.01</v>
        <stp/>
        <stp>DELTA</stp>
        <stp>.QQQ250520C526</stp>
        <tr r="CD51" s="1"/>
        <tr r="CD51" s="1"/>
      </tp>
      <tp>
        <v>0.28999999999999998</v>
        <stp/>
        <stp>DELTA</stp>
        <stp>.QQQ250523C525</stp>
        <tr r="CF52" s="1"/>
        <tr r="CF52" s="1"/>
      </tp>
      <tp>
        <v>-0.89</v>
        <stp/>
        <stp>DELTA</stp>
        <stp>.QQQ250520P525</stp>
        <tr r="CE52" s="1"/>
        <tr r="CE52" s="1"/>
      </tp>
      <tp>
        <v>-0.73</v>
        <stp/>
        <stp>DELTA</stp>
        <stp>.QQQ250523P526</stp>
        <tr r="CG51" s="1"/>
        <tr r="CG51" s="1"/>
      </tp>
      <tp>
        <v>0.01</v>
        <stp/>
        <stp>DELTA</stp>
        <stp>.QQQ250520C525</stp>
        <tr r="CD52" s="1"/>
        <tr r="CD52" s="1"/>
      </tp>
      <tp>
        <v>0.25</v>
        <stp/>
        <stp>DELTA</stp>
        <stp>.QQQ250523C526</stp>
        <tr r="CF51" s="1"/>
        <tr r="CF51" s="1"/>
      </tp>
      <tp>
        <v>-0.86</v>
        <stp/>
        <stp>DELTA</stp>
        <stp>.QQQ250520P524</stp>
        <tr r="CE53" s="1"/>
        <tr r="CE53" s="1"/>
      </tp>
      <tp>
        <v>-0.82</v>
        <stp/>
        <stp>DELTA</stp>
        <stp>.QQQ250523P527</stp>
        <tr r="CG50" s="1"/>
        <tr r="CG50" s="1"/>
      </tp>
      <tp>
        <v>0.01</v>
        <stp/>
        <stp>DELTA</stp>
        <stp>.QQQ250520C524</stp>
        <tr r="CD53" s="1"/>
        <tr r="CD53" s="1"/>
      </tp>
      <tp>
        <v>0.22</v>
        <stp/>
        <stp>DELTA</stp>
        <stp>.QQQ250523C527</stp>
        <tr r="CF50" s="1"/>
        <tr r="CF50" s="1"/>
      </tp>
      <tp>
        <v>-0.79</v>
        <stp/>
        <stp>DELTA</stp>
        <stp>.QQQ250523P528</stp>
        <tr r="CG49" s="1"/>
        <tr r="CG49" s="1"/>
      </tp>
      <tp>
        <v>0.19</v>
        <stp/>
        <stp>DELTA</stp>
        <stp>.QQQ250523C528</stp>
        <tr r="CF49" s="1"/>
        <tr r="CF49" s="1"/>
      </tp>
      <tp>
        <v>-0.81</v>
        <stp/>
        <stp>DELTA</stp>
        <stp>.QQQ250523P529</stp>
        <tr r="CG48" s="1"/>
        <tr r="CG48" s="1"/>
      </tp>
      <tp>
        <v>0.16</v>
        <stp/>
        <stp>DELTA</stp>
        <stp>.QQQ250523C529</stp>
        <tr r="CF48" s="1"/>
        <tr r="CF48" s="1"/>
      </tp>
      <tp>
        <v>-0.92</v>
        <stp/>
        <stp>DELTA</stp>
        <stp>.QQQ250520P529</stp>
        <tr r="CE48" s="1"/>
        <tr r="CE48" s="1"/>
      </tp>
      <tp>
        <v>0</v>
        <stp/>
        <stp>DELTA</stp>
        <stp>.QQQ250520C529</stp>
        <tr r="CD48" s="1"/>
        <tr r="CD48" s="1"/>
      </tp>
      <tp>
        <v>-0.92</v>
        <stp/>
        <stp>DELTA</stp>
        <stp>.QQQ250520P528</stp>
        <tr r="CE49" s="1"/>
        <tr r="CE49" s="1"/>
      </tp>
      <tp>
        <v>0</v>
        <stp/>
        <stp>DELTA</stp>
        <stp>.QQQ250520C528</stp>
        <tr r="CD49" s="1"/>
        <tr r="CD49" s="1"/>
      </tp>
      <tp>
        <v>-0.01</v>
        <stp/>
        <stp>DELTA</stp>
        <stp>.QQQ250520P513</stp>
        <tr r="CE64" s="1"/>
        <tr r="CE64" s="1"/>
      </tp>
      <tp>
        <v>-0.19</v>
        <stp/>
        <stp>DELTA</stp>
        <stp>.QQQ250523P510</stp>
        <tr r="CG67" s="1"/>
        <tr r="CG67" s="1"/>
      </tp>
      <tp>
        <v>0.89</v>
        <stp/>
        <stp>DELTA</stp>
        <stp>.QQQ250520C513</stp>
        <tr r="CD64" s="1"/>
        <tr r="CD64" s="1"/>
      </tp>
      <tp>
        <v>0.83</v>
        <stp/>
        <stp>DELTA</stp>
        <stp>.QQQ250523C510</stp>
        <tr r="CF67" s="1"/>
        <tr r="CF67" s="1"/>
      </tp>
      <tp>
        <v>-0.01</v>
        <stp/>
        <stp>DELTA</stp>
        <stp>.QQQ250520P512</stp>
        <tr r="CE65" s="1"/>
        <tr r="CE65" s="1"/>
      </tp>
      <tp>
        <v>-0.21</v>
        <stp/>
        <stp>DELTA</stp>
        <stp>.QQQ250523P511</stp>
        <tr r="CG66" s="1"/>
        <tr r="CG66" s="1"/>
      </tp>
      <tp>
        <v>1</v>
        <stp/>
        <stp>DELTA</stp>
        <stp>.QQQ250520C512</stp>
        <tr r="CD65" s="1"/>
        <tr r="CD65" s="1"/>
      </tp>
      <tp>
        <v>0.79</v>
        <stp/>
        <stp>DELTA</stp>
        <stp>.QQQ250523C511</stp>
        <tr r="CF66" s="1"/>
        <tr r="CF66" s="1"/>
      </tp>
      <tp>
        <v>0</v>
        <stp/>
        <stp>DELTA</stp>
        <stp>.QQQ250520P511</stp>
        <tr r="CE66" s="1"/>
        <tr r="CE66" s="1"/>
      </tp>
      <tp>
        <v>-0.24</v>
        <stp/>
        <stp>DELTA</stp>
        <stp>.QQQ250523P512</stp>
        <tr r="CG65" s="1"/>
        <tr r="CG65" s="1"/>
      </tp>
      <tp>
        <v>1</v>
        <stp/>
        <stp>DELTA</stp>
        <stp>.QQQ250520C511</stp>
        <tr r="CD66" s="1"/>
        <tr r="CD66" s="1"/>
      </tp>
      <tp>
        <v>0.76</v>
        <stp/>
        <stp>DELTA</stp>
        <stp>.QQQ250523C512</stp>
        <tr r="CF65" s="1"/>
        <tr r="CF65" s="1"/>
      </tp>
      <tp>
        <v>0</v>
        <stp/>
        <stp>DELTA</stp>
        <stp>.QQQ250520P510</stp>
        <tr r="CE67" s="1"/>
        <tr r="CE67" s="1"/>
      </tp>
      <tp>
        <v>-0.26</v>
        <stp/>
        <stp>DELTA</stp>
        <stp>.QQQ250523P513</stp>
        <tr r="CG64" s="1"/>
        <tr r="CG64" s="1"/>
      </tp>
      <tp>
        <v>1</v>
        <stp/>
        <stp>DELTA</stp>
        <stp>.QQQ250520C510</stp>
        <tr r="CD67" s="1"/>
        <tr r="CD67" s="1"/>
      </tp>
      <tp>
        <v>0.73</v>
        <stp/>
        <stp>DELTA</stp>
        <stp>.QQQ250523C513</stp>
        <tr r="CF64" s="1"/>
        <tr r="CF64" s="1"/>
      </tp>
      <tp>
        <v>-0.03</v>
        <stp/>
        <stp>DELTA</stp>
        <stp>.QQQ250520P517</stp>
        <tr r="CE60" s="1"/>
        <tr r="CE60" s="1"/>
      </tp>
      <tp>
        <v>-0.28999999999999998</v>
        <stp/>
        <stp>DELTA</stp>
        <stp>.QQQ250523P514</stp>
        <tr r="CG63" s="1"/>
        <tr r="CG63" s="1"/>
      </tp>
      <tp>
        <v>1</v>
        <stp/>
        <stp>DELTA</stp>
        <stp>.QQQ250520C517</stp>
        <tr r="CD60" s="1"/>
        <tr r="CD60" s="1"/>
      </tp>
      <tp>
        <v>0.72</v>
        <stp/>
        <stp>DELTA</stp>
        <stp>.QQQ250523C514</stp>
        <tr r="CF63" s="1"/>
        <tr r="CF63" s="1"/>
      </tp>
      <tp>
        <v>-0.02</v>
        <stp/>
        <stp>DELTA</stp>
        <stp>.QQQ250520P516</stp>
        <tr r="CE61" s="1"/>
        <tr r="CE61" s="1"/>
      </tp>
      <tp>
        <v>-0.32</v>
        <stp/>
        <stp>DELTA</stp>
        <stp>.QQQ250523P515</stp>
        <tr r="CG62" s="1"/>
        <tr r="CG62" s="1"/>
      </tp>
      <tp>
        <v>1</v>
        <stp/>
        <stp>DELTA</stp>
        <stp>.QQQ250520C516</stp>
        <tr r="CD61" s="1"/>
        <tr r="CD61" s="1"/>
      </tp>
      <tp>
        <v>0.69</v>
        <stp/>
        <stp>DELTA</stp>
        <stp>.QQQ250523C515</stp>
        <tr r="CF62" s="1"/>
        <tr r="CF62" s="1"/>
      </tp>
      <tp>
        <v>-0.01</v>
        <stp/>
        <stp>DELTA</stp>
        <stp>.QQQ250520P515</stp>
        <tr r="CE62" s="1"/>
        <tr r="CE62" s="1"/>
      </tp>
      <tp>
        <v>-0.36</v>
        <stp/>
        <stp>DELTA</stp>
        <stp>.QQQ250523P516</stp>
        <tr r="CG61" s="1"/>
        <tr r="CG61" s="1"/>
      </tp>
      <tp>
        <v>1</v>
        <stp/>
        <stp>DELTA</stp>
        <stp>.QQQ250520C515</stp>
        <tr r="CD62" s="1"/>
        <tr r="CD62" s="1"/>
      </tp>
      <tp>
        <v>0.65</v>
        <stp/>
        <stp>DELTA</stp>
        <stp>.QQQ250523C516</stp>
        <tr r="CF61" s="1"/>
        <tr r="CF61" s="1"/>
      </tp>
      <tp>
        <v>-0.01</v>
        <stp/>
        <stp>DELTA</stp>
        <stp>.QQQ250520P514</stp>
        <tr r="CE63" s="1"/>
        <tr r="CE63" s="1"/>
      </tp>
      <tp>
        <v>-0.39</v>
        <stp/>
        <stp>DELTA</stp>
        <stp>.QQQ250523P517</stp>
        <tr r="CG60" s="1"/>
        <tr r="CG60" s="1"/>
      </tp>
      <tp>
        <v>0.95</v>
        <stp/>
        <stp>DELTA</stp>
        <stp>.QQQ250520C514</stp>
        <tr r="CD63" s="1"/>
        <tr r="CD63" s="1"/>
      </tp>
      <tp>
        <v>0.62</v>
        <stp/>
        <stp>DELTA</stp>
        <stp>.QQQ250523C517</stp>
        <tr r="CF60" s="1"/>
        <tr r="CF60" s="1"/>
      </tp>
      <tp>
        <v>-0.43</v>
        <stp/>
        <stp>DELTA</stp>
        <stp>.QQQ250523P518</stp>
        <tr r="CG59" s="1"/>
        <tr r="CG59" s="1"/>
      </tp>
      <tp>
        <v>0.57999999999999996</v>
        <stp/>
        <stp>DELTA</stp>
        <stp>.QQQ250523C518</stp>
        <tr r="CF59" s="1"/>
        <tr r="CF59" s="1"/>
      </tp>
      <tp>
        <v>-0.47</v>
        <stp/>
        <stp>DELTA</stp>
        <stp>.QQQ250523P519</stp>
        <tr r="CG58" s="1"/>
        <tr r="CG58" s="1"/>
      </tp>
      <tp>
        <v>0.54</v>
        <stp/>
        <stp>DELTA</stp>
        <stp>.QQQ250523C519</stp>
        <tr r="CF58" s="1"/>
        <tr r="CF58" s="1"/>
      </tp>
      <tp>
        <v>-0.28999999999999998</v>
        <stp/>
        <stp>DELTA</stp>
        <stp>.QQQ250520P519</stp>
        <tr r="CE58" s="1"/>
        <tr r="CE58" s="1"/>
      </tp>
      <tp>
        <v>0.67</v>
        <stp/>
        <stp>DELTA</stp>
        <stp>.QQQ250520C519</stp>
        <tr r="CD58" s="1"/>
        <tr r="CD58" s="1"/>
      </tp>
      <tp>
        <v>-0.06</v>
        <stp/>
        <stp>DELTA</stp>
        <stp>.QQQ250520P518</stp>
        <tr r="CE59" s="1"/>
        <tr r="CE59" s="1"/>
      </tp>
      <tp>
        <v>1</v>
        <stp/>
        <stp>DELTA</stp>
        <stp>.QQQ250520C518</stp>
        <tr r="CD59" s="1"/>
        <tr r="CD59" s="1"/>
      </tp>
      <tp>
        <v>0</v>
        <stp/>
        <stp>DELTA</stp>
        <stp>.QQQ250520P503</stp>
        <tr r="CE74" s="1"/>
        <tr r="CE74" s="1"/>
      </tp>
      <tp>
        <v>-0.06</v>
        <stp/>
        <stp>DELTA</stp>
        <stp>.QQQ250523P500</stp>
        <tr r="CG77" s="1"/>
        <tr r="CG77" s="1"/>
      </tp>
      <tp>
        <v>1</v>
        <stp/>
        <stp>DELTA</stp>
        <stp>.QQQ250520C503</stp>
        <tr r="CD74" s="1"/>
        <tr r="CD74" s="1"/>
      </tp>
      <tp>
        <v>0.98</v>
        <stp/>
        <stp>DELTA</stp>
        <stp>.QQQ250523C500</stp>
        <tr r="CF77" s="1"/>
        <tr r="CF77" s="1"/>
      </tp>
      <tp>
        <v>0</v>
        <stp/>
        <stp>DELTA</stp>
        <stp>.QQQ250520P502</stp>
        <tr r="CE75" s="1"/>
        <tr r="CE75" s="1"/>
      </tp>
      <tp>
        <v>-0.06</v>
        <stp/>
        <stp>DELTA</stp>
        <stp>.QQQ250523P501</stp>
        <tr r="CG76" s="1"/>
        <tr r="CG76" s="1"/>
      </tp>
      <tp>
        <v>1</v>
        <stp/>
        <stp>DELTA</stp>
        <stp>.QQQ250520C502</stp>
        <tr r="CD75" s="1"/>
        <tr r="CD75" s="1"/>
      </tp>
      <tp>
        <v>0.94</v>
        <stp/>
        <stp>DELTA</stp>
        <stp>.QQQ250523C501</stp>
        <tr r="CF76" s="1"/>
        <tr r="CF76" s="1"/>
      </tp>
      <tp>
        <v>0</v>
        <stp/>
        <stp>DELTA</stp>
        <stp>.QQQ250520P501</stp>
        <tr r="CE76" s="1"/>
        <tr r="CE76" s="1"/>
      </tp>
      <tp>
        <v>-7.0000000000000007E-2</v>
        <stp/>
        <stp>DELTA</stp>
        <stp>.QQQ250523P502</stp>
        <tr r="CG75" s="1"/>
        <tr r="CG75" s="1"/>
      </tp>
      <tp>
        <v>1</v>
        <stp/>
        <stp>DELTA</stp>
        <stp>.QQQ250520C501</stp>
        <tr r="CD76" s="1"/>
        <tr r="CD76" s="1"/>
      </tp>
      <tp>
        <v>0.94</v>
        <stp/>
        <stp>DELTA</stp>
        <stp>.QQQ250523C502</stp>
        <tr r="CF75" s="1"/>
        <tr r="CF75" s="1"/>
      </tp>
      <tp>
        <v>0</v>
        <stp/>
        <stp>DELTA</stp>
        <stp>.QQQ250520P500</stp>
        <tr r="CE77" s="1"/>
        <tr r="CE77" s="1"/>
      </tp>
      <tp>
        <v>-0.08</v>
        <stp/>
        <stp>DELTA</stp>
        <stp>.QQQ250523P503</stp>
        <tr r="CG74" s="1"/>
        <tr r="CG74" s="1"/>
      </tp>
      <tp>
        <v>1</v>
        <stp/>
        <stp>DELTA</stp>
        <stp>.QQQ250520C500</stp>
        <tr r="CD77" s="1"/>
        <tr r="CD77" s="1"/>
      </tp>
      <tp>
        <v>0.9</v>
        <stp/>
        <stp>DELTA</stp>
        <stp>.QQQ250523C503</stp>
        <tr r="CF74" s="1"/>
        <tr r="CF74" s="1"/>
      </tp>
      <tp>
        <v>0</v>
        <stp/>
        <stp>DELTA</stp>
        <stp>.QQQ250520P507</stp>
        <tr r="CE70" s="1"/>
        <tr r="CE70" s="1"/>
      </tp>
      <tp>
        <v>-0.09</v>
        <stp/>
        <stp>DELTA</stp>
        <stp>.QQQ250523P504</stp>
        <tr r="CG73" s="1"/>
        <tr r="CG73" s="1"/>
      </tp>
      <tp>
        <v>1</v>
        <stp/>
        <stp>DELTA</stp>
        <stp>.QQQ250520C507</stp>
        <tr r="CD70" s="1"/>
        <tr r="CD70" s="1"/>
      </tp>
      <tp>
        <v>0.92</v>
        <stp/>
        <stp>DELTA</stp>
        <stp>.QQQ250523C504</stp>
        <tr r="CF73" s="1"/>
        <tr r="CF73" s="1"/>
      </tp>
      <tp>
        <v>0</v>
        <stp/>
        <stp>DELTA</stp>
        <stp>.QQQ250520P506</stp>
        <tr r="CE71" s="1"/>
        <tr r="CE71" s="1"/>
      </tp>
      <tp>
        <v>-0.1</v>
        <stp/>
        <stp>DELTA</stp>
        <stp>.QQQ250523P505</stp>
        <tr r="CG72" s="1"/>
        <tr r="CG72" s="1"/>
      </tp>
      <tp>
        <v>1</v>
        <stp/>
        <stp>DELTA</stp>
        <stp>.QQQ250520C506</stp>
        <tr r="CD71" s="1"/>
        <tr r="CD71" s="1"/>
      </tp>
      <tp>
        <v>0.85</v>
        <stp/>
        <stp>DELTA</stp>
        <stp>.QQQ250523C505</stp>
        <tr r="CF72" s="1"/>
        <tr r="CF72" s="1"/>
      </tp>
      <tp>
        <v>0</v>
        <stp/>
        <stp>DELTA</stp>
        <stp>.QQQ250520P505</stp>
        <tr r="CE72" s="1"/>
        <tr r="CE72" s="1"/>
      </tp>
      <tp>
        <v>-0.12</v>
        <stp/>
        <stp>DELTA</stp>
        <stp>.QQQ250523P506</stp>
        <tr r="CG71" s="1"/>
        <tr r="CG71" s="1"/>
      </tp>
      <tp>
        <v>1</v>
        <stp/>
        <stp>DELTA</stp>
        <stp>.QQQ250520C505</stp>
        <tr r="CD72" s="1"/>
        <tr r="CD72" s="1"/>
      </tp>
      <tp>
        <v>0.88</v>
        <stp/>
        <stp>DELTA</stp>
        <stp>.QQQ250523C506</stp>
        <tr r="CF71" s="1"/>
        <tr r="CF71" s="1"/>
      </tp>
      <tp>
        <v>0</v>
        <stp/>
        <stp>DELTA</stp>
        <stp>.QQQ250520P504</stp>
        <tr r="CE73" s="1"/>
        <tr r="CE73" s="1"/>
      </tp>
      <tp>
        <v>-0.13</v>
        <stp/>
        <stp>DELTA</stp>
        <stp>.QQQ250523P507</stp>
        <tr r="CG70" s="1"/>
        <tr r="CG70" s="1"/>
      </tp>
      <tp>
        <v>1</v>
        <stp/>
        <stp>DELTA</stp>
        <stp>.QQQ250520C504</stp>
        <tr r="CD73" s="1"/>
        <tr r="CD73" s="1"/>
      </tp>
      <tp>
        <v>0.87</v>
        <stp/>
        <stp>DELTA</stp>
        <stp>.QQQ250523C507</stp>
        <tr r="CF70" s="1"/>
        <tr r="CF70" s="1"/>
      </tp>
      <tp>
        <v>-0.15</v>
        <stp/>
        <stp>DELTA</stp>
        <stp>.QQQ250523P508</stp>
        <tr r="CG69" s="1"/>
        <tr r="CG69" s="1"/>
      </tp>
      <tp>
        <v>0.8</v>
        <stp/>
        <stp>DELTA</stp>
        <stp>.QQQ250523C508</stp>
        <tr r="CF69" s="1"/>
        <tr r="CF69" s="1"/>
      </tp>
      <tp>
        <v>-0.17</v>
        <stp/>
        <stp>DELTA</stp>
        <stp>.QQQ250523P509</stp>
        <tr r="CG68" s="1"/>
        <tr r="CG68" s="1"/>
      </tp>
      <tp>
        <v>0.82</v>
        <stp/>
        <stp>DELTA</stp>
        <stp>.QQQ250523C509</stp>
        <tr r="CF68" s="1"/>
        <tr r="CF68" s="1"/>
      </tp>
      <tp>
        <v>0</v>
        <stp/>
        <stp>DELTA</stp>
        <stp>.QQQ250520P509</stp>
        <tr r="CE68" s="1"/>
        <tr r="CE68" s="1"/>
      </tp>
      <tp>
        <v>1</v>
        <stp/>
        <stp>DELTA</stp>
        <stp>.QQQ250520C509</stp>
        <tr r="CD68" s="1"/>
        <tr r="CD68" s="1"/>
      </tp>
      <tp>
        <v>0</v>
        <stp/>
        <stp>DELTA</stp>
        <stp>.QQQ250520P508</stp>
        <tr r="CE69" s="1"/>
        <tr r="CE69" s="1"/>
      </tp>
      <tp>
        <v>1</v>
        <stp/>
        <stp>DELTA</stp>
        <stp>.QQQ250520C508</stp>
        <tr r="CD69" s="1"/>
        <tr r="CD69" s="1"/>
      </tp>
      <tp t="s">
        <v>N/A</v>
        <stp/>
        <stp>VOLUME</stp>
        <stp>.SPXWC5980</stp>
        <tr r="F95" s="2"/>
        <tr r="C95" s="2"/>
        <tr r="J95" s="2"/>
        <tr r="B95" s="2"/>
      </tp>
      <tp t="s">
        <v>N/A</v>
        <stp/>
        <stp>VOLUME</stp>
        <stp>.SPXWP5980</stp>
        <tr r="F95" s="2"/>
        <tr r="C95" s="2"/>
        <tr r="J95" s="2"/>
        <tr r="B95" s="2"/>
      </tp>
      <tp t="s">
        <v>N/A</v>
        <stp/>
        <stp>VOLUME</stp>
        <stp>.SPXWC5990</stp>
        <tr r="F94" s="2"/>
        <tr r="B94" s="2"/>
        <tr r="C94" s="2"/>
        <tr r="J94" s="2"/>
      </tp>
      <tp t="s">
        <v>N/A</v>
        <stp/>
        <stp>VOLUME</stp>
        <stp>.SPXWP5990</stp>
        <tr r="F94" s="2"/>
        <tr r="B94" s="2"/>
        <tr r="C94" s="2"/>
        <tr r="J94" s="2"/>
      </tp>
      <tp t="s">
        <v>N/A</v>
        <stp/>
        <stp>VOLUME</stp>
        <stp>.SPXWC5940</stp>
        <tr r="B99" s="2"/>
        <tr r="C99" s="2"/>
        <tr r="J99" s="2"/>
        <tr r="F99" s="2"/>
      </tp>
      <tp t="s">
        <v>N/A</v>
        <stp/>
        <stp>VOLUME</stp>
        <stp>.SPXWP5940</stp>
        <tr r="B99" s="2"/>
        <tr r="C99" s="2"/>
        <tr r="J99" s="2"/>
        <tr r="F99" s="2"/>
      </tp>
      <tp t="s">
        <v>N/A</v>
        <stp/>
        <stp>VOLUME</stp>
        <stp>.SPXWC5950</stp>
        <tr r="F98" s="2"/>
        <tr r="B98" s="2"/>
        <tr r="C98" s="2"/>
        <tr r="J98" s="2"/>
      </tp>
      <tp t="s">
        <v>N/A</v>
        <stp/>
        <stp>VOLUME</stp>
        <stp>.SPXWP5950</stp>
        <tr r="F98" s="2"/>
        <tr r="B98" s="2"/>
        <tr r="C98" s="2"/>
        <tr r="J98" s="2"/>
      </tp>
      <tp t="s">
        <v>N/A</v>
        <stp/>
        <stp>VOLUME</stp>
        <stp>.SPXWC5960</stp>
        <tr r="F97" s="2"/>
        <tr r="J97" s="2"/>
        <tr r="C97" s="2"/>
        <tr r="B97" s="2"/>
      </tp>
      <tp t="s">
        <v>N/A</v>
        <stp/>
        <stp>VOLUME</stp>
        <stp>.SPXWP5960</stp>
        <tr r="F97" s="2"/>
        <tr r="J97" s="2"/>
        <tr r="C97" s="2"/>
        <tr r="B97" s="2"/>
      </tp>
      <tp t="s">
        <v>N/A</v>
        <stp/>
        <stp>VOLUME</stp>
        <stp>.SPXWC5970</stp>
        <tr r="B96" s="2"/>
        <tr r="C96" s="2"/>
        <tr r="J96" s="2"/>
        <tr r="F96" s="2"/>
      </tp>
      <tp t="s">
        <v>N/A</v>
        <stp/>
        <stp>VOLUME</stp>
        <stp>.SPXWP5970</stp>
        <tr r="B96" s="2"/>
        <tr r="C96" s="2"/>
        <tr r="J96" s="2"/>
        <tr r="F96" s="2"/>
      </tp>
      <tp t="s">
        <v>N/A</v>
        <stp/>
        <stp>VOLUME</stp>
        <stp>.SPXWC5900</stp>
        <tr r="B103" s="2"/>
        <tr r="F103" s="2"/>
        <tr r="C103" s="2"/>
        <tr r="J103" s="2"/>
      </tp>
      <tp t="s">
        <v>N/A</v>
        <stp/>
        <stp>VOLUME</stp>
        <stp>.SPXWP5900</stp>
        <tr r="B103" s="2"/>
        <tr r="F103" s="2"/>
        <tr r="C103" s="2"/>
        <tr r="J103" s="2"/>
      </tp>
      <tp t="s">
        <v>N/A</v>
        <stp/>
        <stp>VOLUME</stp>
        <stp>.SPXWC5910</stp>
        <tr r="C102" s="2"/>
        <tr r="B102" s="2"/>
        <tr r="J102" s="2"/>
        <tr r="F102" s="2"/>
      </tp>
      <tp t="s">
        <v>N/A</v>
        <stp/>
        <stp>VOLUME</stp>
        <stp>.SPXWP5910</stp>
        <tr r="C102" s="2"/>
        <tr r="B102" s="2"/>
        <tr r="J102" s="2"/>
        <tr r="F102" s="2"/>
      </tp>
      <tp t="s">
        <v>N/A</v>
        <stp/>
        <stp>VOLUME</stp>
        <stp>.SPXWC5920</stp>
        <tr r="B101" s="2"/>
        <tr r="F101" s="2"/>
        <tr r="C101" s="2"/>
        <tr r="J101" s="2"/>
      </tp>
      <tp t="s">
        <v>N/A</v>
        <stp/>
        <stp>VOLUME</stp>
        <stp>.SPXWP5920</stp>
        <tr r="B101" s="2"/>
        <tr r="F101" s="2"/>
        <tr r="C101" s="2"/>
        <tr r="J101" s="2"/>
      </tp>
      <tp t="s">
        <v>N/A</v>
        <stp/>
        <stp>VOLUME</stp>
        <stp>.SPXWC5930</stp>
        <tr r="B100" s="2"/>
        <tr r="F100" s="2"/>
        <tr r="C100" s="2"/>
        <tr r="J100" s="2"/>
      </tp>
      <tp t="s">
        <v>N/A</v>
        <stp/>
        <stp>VOLUME</stp>
        <stp>.SPXWP5930</stp>
        <tr r="B100" s="2"/>
        <tr r="F100" s="2"/>
        <tr r="C100" s="2"/>
        <tr r="J100" s="2"/>
      </tp>
      <tp>
        <v>-0.65</v>
        <stp/>
        <stp>DELTA</stp>
        <stp>.QQQ250620P532</stp>
        <tr r="CI45" s="1"/>
        <tr r="CI45" s="1"/>
      </tp>
      <tp>
        <v>0.36</v>
        <stp/>
        <stp>DELTA</stp>
        <stp>.QQQ250620C532</stp>
        <tr r="CH45" s="1"/>
        <tr r="CH45" s="1"/>
      </tp>
      <tp>
        <v>-0.63</v>
        <stp/>
        <stp>DELTA</stp>
        <stp>.QQQ250620P531</stp>
        <tr r="CI46" s="1"/>
        <tr r="CI46" s="1"/>
      </tp>
      <tp>
        <v>0.38</v>
        <stp/>
        <stp>DELTA</stp>
        <stp>.QQQ250620C531</stp>
        <tr r="CH46" s="1"/>
        <tr r="CH46" s="1"/>
      </tp>
      <tp>
        <v>-0.61</v>
        <stp/>
        <stp>DELTA</stp>
        <stp>.QQQ250620P530</stp>
        <tr r="CI47" s="1"/>
        <tr r="CI47" s="1"/>
      </tp>
      <tp>
        <v>0.39</v>
        <stp/>
        <stp>DELTA</stp>
        <stp>.QQQ250620C530</stp>
        <tr r="CH47" s="1"/>
        <tr r="CH47" s="1"/>
      </tp>
      <tp>
        <v>-0.52</v>
        <stp/>
        <stp>DELTA</stp>
        <stp>.QQQ250620P523</stp>
        <tr r="CI54" s="1"/>
        <tr r="CI54" s="1"/>
      </tp>
      <tp>
        <v>0.49</v>
        <stp/>
        <stp>DELTA</stp>
        <stp>.QQQ250620C523</stp>
        <tr r="CH54" s="1"/>
        <tr r="CH54" s="1"/>
      </tp>
      <tp>
        <v>-0.5</v>
        <stp/>
        <stp>DELTA</stp>
        <stp>.QQQ250620P522</stp>
        <tr r="CI55" s="1"/>
        <tr r="CI55" s="1"/>
      </tp>
      <tp>
        <v>0.5</v>
        <stp/>
        <stp>DELTA</stp>
        <stp>.QQQ250620C522</stp>
        <tr r="CH55" s="1"/>
        <tr r="CH55" s="1"/>
      </tp>
      <tp>
        <v>-0.49</v>
        <stp/>
        <stp>DELTA</stp>
        <stp>.QQQ250620P521</stp>
        <tr r="CI56" s="1"/>
        <tr r="CI56" s="1"/>
      </tp>
      <tp>
        <v>0.52</v>
        <stp/>
        <stp>DELTA</stp>
        <stp>.QQQ250620C521</stp>
        <tr r="CH56" s="1"/>
        <tr r="CH56" s="1"/>
      </tp>
      <tp>
        <v>-0.47</v>
        <stp/>
        <stp>DELTA</stp>
        <stp>.QQQ250620P520</stp>
        <tr r="CI57" s="1"/>
        <tr r="CI57" s="1"/>
      </tp>
      <tp>
        <v>0.53</v>
        <stp/>
        <stp>DELTA</stp>
        <stp>.QQQ250620C520</stp>
        <tr r="CH57" s="1"/>
        <tr r="CH57" s="1"/>
      </tp>
      <tp>
        <v>-0.56999999999999995</v>
        <stp/>
        <stp>DELTA</stp>
        <stp>.QQQ250620P527</stp>
        <tr r="CI50" s="1"/>
        <tr r="CI50" s="1"/>
      </tp>
      <tp>
        <v>0.43</v>
        <stp/>
        <stp>DELTA</stp>
        <stp>.QQQ250620C527</stp>
        <tr r="CH50" s="1"/>
        <tr r="CH50" s="1"/>
      </tp>
      <tp>
        <v>-0.56000000000000005</v>
        <stp/>
        <stp>DELTA</stp>
        <stp>.QQQ250620P526</stp>
        <tr r="CI51" s="1"/>
        <tr r="CI51" s="1"/>
      </tp>
      <tp>
        <v>0.45</v>
        <stp/>
        <stp>DELTA</stp>
        <stp>.QQQ250620C526</stp>
        <tr r="CH51" s="1"/>
        <tr r="CH51" s="1"/>
      </tp>
      <tp>
        <v>-0.54</v>
        <stp/>
        <stp>DELTA</stp>
        <stp>.QQQ250620P525</stp>
        <tr r="CI52" s="1"/>
        <tr r="CI52" s="1"/>
      </tp>
      <tp>
        <v>0.46</v>
        <stp/>
        <stp>DELTA</stp>
        <stp>.QQQ250620C525</stp>
        <tr r="CH52" s="1"/>
        <tr r="CH52" s="1"/>
      </tp>
      <tp>
        <v>-0.53</v>
        <stp/>
        <stp>DELTA</stp>
        <stp>.QQQ250620P524</stp>
        <tr r="CI53" s="1"/>
        <tr r="CI53" s="1"/>
      </tp>
      <tp>
        <v>0.47</v>
        <stp/>
        <stp>DELTA</stp>
        <stp>.QQQ250620C524</stp>
        <tr r="CH53" s="1"/>
        <tr r="CH53" s="1"/>
      </tp>
      <tp>
        <v>-0.6</v>
        <stp/>
        <stp>DELTA</stp>
        <stp>.QQQ250620P529</stp>
        <tr r="CI48" s="1"/>
        <tr r="CI48" s="1"/>
      </tp>
      <tp>
        <v>0.4</v>
        <stp/>
        <stp>DELTA</stp>
        <stp>.QQQ250620C529</stp>
        <tr r="CH48" s="1"/>
        <tr r="CH48" s="1"/>
      </tp>
      <tp>
        <v>-0.59</v>
        <stp/>
        <stp>DELTA</stp>
        <stp>.QQQ250620P528</stp>
        <tr r="CI49" s="1"/>
        <tr r="CI49" s="1"/>
      </tp>
      <tp>
        <v>0.42</v>
        <stp/>
        <stp>DELTA</stp>
        <stp>.QQQ250620C528</stp>
        <tr r="CH49" s="1"/>
        <tr r="CH49" s="1"/>
      </tp>
      <tp>
        <v>-0.39</v>
        <stp/>
        <stp>DELTA</stp>
        <stp>.QQQ250620P513</stp>
        <tr r="CI64" s="1"/>
        <tr r="CI64" s="1"/>
      </tp>
      <tp>
        <v>0.62</v>
        <stp/>
        <stp>DELTA</stp>
        <stp>.QQQ250620C513</stp>
        <tr r="CH64" s="1"/>
        <tr r="CH64" s="1"/>
      </tp>
      <tp>
        <v>-0.37</v>
        <stp/>
        <stp>DELTA</stp>
        <stp>.QQQ250620P512</stp>
        <tr r="CI65" s="1"/>
        <tr r="CI65" s="1"/>
      </tp>
      <tp>
        <v>0.63</v>
        <stp/>
        <stp>DELTA</stp>
        <stp>.QQQ250620C512</stp>
        <tr r="CH65" s="1"/>
        <tr r="CH65" s="1"/>
      </tp>
      <tp>
        <v>-0.36</v>
        <stp/>
        <stp>DELTA</stp>
        <stp>.QQQ250620P511</stp>
        <tr r="CI66" s="1"/>
        <tr r="CI66" s="1"/>
      </tp>
      <tp>
        <v>0.64</v>
        <stp/>
        <stp>DELTA</stp>
        <stp>.QQQ250620C511</stp>
        <tr r="CH66" s="1"/>
        <tr r="CH66" s="1"/>
      </tp>
      <tp>
        <v>-0.35</v>
        <stp/>
        <stp>DELTA</stp>
        <stp>.QQQ250620P510</stp>
        <tr r="CI67" s="1"/>
        <tr r="CI67" s="1"/>
      </tp>
      <tp>
        <v>0.66</v>
        <stp/>
        <stp>DELTA</stp>
        <stp>.QQQ250620C510</stp>
        <tr r="CH67" s="1"/>
        <tr r="CH67" s="1"/>
      </tp>
      <tp>
        <v>-0.43</v>
        <stp/>
        <stp>DELTA</stp>
        <stp>.QQQ250620P517</stp>
        <tr r="CI60" s="1"/>
        <tr r="CI60" s="1"/>
      </tp>
      <tp>
        <v>0.56999999999999995</v>
        <stp/>
        <stp>DELTA</stp>
        <stp>.QQQ250620C517</stp>
        <tr r="CH60" s="1"/>
        <tr r="CH60" s="1"/>
      </tp>
      <tp>
        <v>-0.42</v>
        <stp/>
        <stp>DELTA</stp>
        <stp>.QQQ250620P516</stp>
        <tr r="CI61" s="1"/>
        <tr r="CI61" s="1"/>
      </tp>
      <tp>
        <v>0.57999999999999996</v>
        <stp/>
        <stp>DELTA</stp>
        <stp>.QQQ250620C516</stp>
        <tr r="CH61" s="1"/>
        <tr r="CH61" s="1"/>
      </tp>
      <tp>
        <v>-0.41</v>
        <stp/>
        <stp>DELTA</stp>
        <stp>.QQQ250620P515</stp>
        <tr r="CI62" s="1"/>
        <tr r="CI62" s="1"/>
      </tp>
      <tp>
        <v>0.59</v>
        <stp/>
        <stp>DELTA</stp>
        <stp>.QQQ250620C515</stp>
        <tr r="CH62" s="1"/>
        <tr r="CH62" s="1"/>
      </tp>
      <tp>
        <v>-0.4</v>
        <stp/>
        <stp>DELTA</stp>
        <stp>.QQQ250620P514</stp>
        <tr r="CI63" s="1"/>
        <tr r="CI63" s="1"/>
      </tp>
      <tp>
        <v>0.61</v>
        <stp/>
        <stp>DELTA</stp>
        <stp>.QQQ250620C514</stp>
        <tr r="CH63" s="1"/>
        <tr r="CH63" s="1"/>
      </tp>
      <tp>
        <v>-0.46</v>
        <stp/>
        <stp>DELTA</stp>
        <stp>.QQQ250620P519</stp>
        <tr r="CI58" s="1"/>
        <tr r="CI58" s="1"/>
      </tp>
      <tp>
        <v>0.54</v>
        <stp/>
        <stp>DELTA</stp>
        <stp>.QQQ250620C519</stp>
        <tr r="CH58" s="1"/>
        <tr r="CH58" s="1"/>
      </tp>
      <tp>
        <v>-0.45</v>
        <stp/>
        <stp>DELTA</stp>
        <stp>.QQQ250620P518</stp>
        <tr r="CI59" s="1"/>
        <tr r="CI59" s="1"/>
      </tp>
      <tp>
        <v>0.56000000000000005</v>
        <stp/>
        <stp>DELTA</stp>
        <stp>.QQQ250620C518</stp>
        <tr r="CH59" s="1"/>
        <tr r="CH59" s="1"/>
      </tp>
      <tp>
        <v>-0.28000000000000003</v>
        <stp/>
        <stp>DELTA</stp>
        <stp>.QQQ250620P503</stp>
        <tr r="CI74" s="1"/>
        <tr r="CI74" s="1"/>
      </tp>
      <tp>
        <v>0.72</v>
        <stp/>
        <stp>DELTA</stp>
        <stp>.QQQ250620C503</stp>
        <tr r="CH74" s="1"/>
        <tr r="CH74" s="1"/>
      </tp>
      <tp>
        <v>-0.27</v>
        <stp/>
        <stp>DELTA</stp>
        <stp>.QQQ250620P502</stp>
        <tr r="CI75" s="1"/>
        <tr r="CI75" s="1"/>
      </tp>
      <tp>
        <v>0.73</v>
        <stp/>
        <stp>DELTA</stp>
        <stp>.QQQ250620C502</stp>
        <tr r="CH75" s="1"/>
        <tr r="CH75" s="1"/>
      </tp>
      <tp>
        <v>-0.26</v>
        <stp/>
        <stp>DELTA</stp>
        <stp>.QQQ250620P501</stp>
        <tr r="CI76" s="1"/>
        <tr r="CI76" s="1"/>
      </tp>
      <tp>
        <v>0.74</v>
        <stp/>
        <stp>DELTA</stp>
        <stp>.QQQ250620C501</stp>
        <tr r="CH76" s="1"/>
        <tr r="CH76" s="1"/>
      </tp>
      <tp>
        <v>-0.25</v>
        <stp/>
        <stp>DELTA</stp>
        <stp>.QQQ250620P500</stp>
        <tr r="CI77" s="1"/>
        <tr r="CI77" s="1"/>
      </tp>
      <tp>
        <v>0.75</v>
        <stp/>
        <stp>DELTA</stp>
        <stp>.QQQ250620C500</stp>
        <tr r="CH77" s="1"/>
        <tr r="CH77" s="1"/>
      </tp>
      <tp>
        <v>-0.32</v>
        <stp/>
        <stp>DELTA</stp>
        <stp>.QQQ250620P507</stp>
        <tr r="CI70" s="1"/>
        <tr r="CI70" s="1"/>
      </tp>
      <tp>
        <v>0.68</v>
        <stp/>
        <stp>DELTA</stp>
        <stp>.QQQ250620C507</stp>
        <tr r="CH70" s="1"/>
        <tr r="CH70" s="1"/>
      </tp>
      <tp>
        <v>-0.31</v>
        <stp/>
        <stp>DELTA</stp>
        <stp>.QQQ250620P506</stp>
        <tr r="CI71" s="1"/>
        <tr r="CI71" s="1"/>
      </tp>
      <tp>
        <v>0.69</v>
        <stp/>
        <stp>DELTA</stp>
        <stp>.QQQ250620C506</stp>
        <tr r="CH71" s="1"/>
        <tr r="CH71" s="1"/>
      </tp>
      <tp>
        <v>-0.3</v>
        <stp/>
        <stp>DELTA</stp>
        <stp>.QQQ250620P505</stp>
        <tr r="CI72" s="1"/>
        <tr r="CI72" s="1"/>
      </tp>
      <tp>
        <v>0.71</v>
        <stp/>
        <stp>DELTA</stp>
        <stp>.QQQ250620C505</stp>
        <tr r="CH72" s="1"/>
        <tr r="CH72" s="1"/>
      </tp>
      <tp>
        <v>-0.28999999999999998</v>
        <stp/>
        <stp>DELTA</stp>
        <stp>.QQQ250620P504</stp>
        <tr r="CI73" s="1"/>
        <tr r="CI73" s="1"/>
      </tp>
      <tp>
        <v>0.71</v>
        <stp/>
        <stp>DELTA</stp>
        <stp>.QQQ250620C504</stp>
        <tr r="CH73" s="1"/>
        <tr r="CH73" s="1"/>
      </tp>
      <tp>
        <v>-0.34</v>
        <stp/>
        <stp>DELTA</stp>
        <stp>.QQQ250620P509</stp>
        <tr r="CI68" s="1"/>
        <tr r="CI68" s="1"/>
      </tp>
      <tp>
        <v>0.66</v>
        <stp/>
        <stp>DELTA</stp>
        <stp>.QQQ250620C509</stp>
        <tr r="CH68" s="1"/>
        <tr r="CH68" s="1"/>
      </tp>
      <tp>
        <v>-0.33</v>
        <stp/>
        <stp>DELTA</stp>
        <stp>.QQQ250620P508</stp>
        <tr r="CI69" s="1"/>
        <tr r="CI69" s="1"/>
      </tp>
      <tp>
        <v>0.67</v>
        <stp/>
        <stp>DELTA</stp>
        <stp>.QQQ250620C508</stp>
        <tr r="CH69" s="1"/>
        <tr r="CH69" s="1"/>
      </tp>
      <tp t="s">
        <v>N/A</v>
        <stp/>
        <stp>VOLUME</stp>
        <stp>.SPXWC5880</stp>
        <tr r="J105" s="2"/>
        <tr r="B105" s="2"/>
        <tr r="F105" s="2"/>
        <tr r="C105" s="2"/>
      </tp>
      <tp t="s">
        <v>N/A</v>
        <stp/>
        <stp>VOLUME</stp>
        <stp>.SPXWP5880</stp>
        <tr r="J105" s="2"/>
        <tr r="B105" s="2"/>
        <tr r="F105" s="2"/>
        <tr r="C105" s="2"/>
      </tp>
      <tp t="s">
        <v>N/A</v>
        <stp/>
        <stp>VOLUME</stp>
        <stp>.SPXWC5890</stp>
        <tr r="F104" s="2"/>
        <tr r="J104" s="2"/>
        <tr r="B104" s="2"/>
        <tr r="C104" s="2"/>
      </tp>
      <tp t="s">
        <v>N/A</v>
        <stp/>
        <stp>VOLUME</stp>
        <stp>.SPXWP5890</stp>
        <tr r="F104" s="2"/>
        <tr r="J104" s="2"/>
        <tr r="B104" s="2"/>
        <tr r="C104" s="2"/>
      </tp>
      <tp t="s">
        <v>N/A</v>
        <stp/>
        <stp>VOLUME</stp>
        <stp>.SPXWC5840</stp>
        <tr r="J109" s="2"/>
        <tr r="C109" s="2"/>
        <tr r="B109" s="2"/>
        <tr r="F109" s="2"/>
      </tp>
      <tp t="s">
        <v>N/A</v>
        <stp/>
        <stp>VOLUME</stp>
        <stp>.SPXWP5840</stp>
        <tr r="J109" s="2"/>
        <tr r="C109" s="2"/>
        <tr r="B109" s="2"/>
        <tr r="F109" s="2"/>
      </tp>
      <tp t="s">
        <v>N/A</v>
        <stp/>
        <stp>VOLUME</stp>
        <stp>.SPXWC5850</stp>
        <tr r="B108" s="2"/>
        <tr r="F108" s="2"/>
        <tr r="C108" s="2"/>
        <tr r="J108" s="2"/>
      </tp>
      <tp t="s">
        <v>N/A</v>
        <stp/>
        <stp>VOLUME</stp>
        <stp>.SPXWP5850</stp>
        <tr r="B108" s="2"/>
        <tr r="F108" s="2"/>
        <tr r="C108" s="2"/>
        <tr r="J108" s="2"/>
      </tp>
      <tp t="s">
        <v>N/A</v>
        <stp/>
        <stp>VOLUME</stp>
        <stp>.SPXWC5860</stp>
        <tr r="C107" s="2"/>
        <tr r="B107" s="2"/>
        <tr r="J107" s="2"/>
        <tr r="F107" s="2"/>
      </tp>
      <tp t="s">
        <v>N/A</v>
        <stp/>
        <stp>VOLUME</stp>
        <stp>.SPXWP5860</stp>
        <tr r="C107" s="2"/>
        <tr r="B107" s="2"/>
        <tr r="J107" s="2"/>
        <tr r="F107" s="2"/>
      </tp>
      <tp t="s">
        <v>N/A</v>
        <stp/>
        <stp>VOLUME</stp>
        <stp>.SPXWC5870</stp>
        <tr r="B106" s="2"/>
        <tr r="F106" s="2"/>
        <tr r="J106" s="2"/>
        <tr r="C106" s="2"/>
      </tp>
      <tp t="s">
        <v>N/A</v>
        <stp/>
        <stp>VOLUME</stp>
        <stp>.SPXWP5870</stp>
        <tr r="B106" s="2"/>
        <tr r="F106" s="2"/>
        <tr r="J106" s="2"/>
        <tr r="C106" s="2"/>
      </tp>
      <tp t="s">
        <v>N/A</v>
        <stp/>
        <stp>VOLUME</stp>
        <stp>.SPXWC5800</stp>
        <tr r="C113" s="2"/>
        <tr r="J113" s="2"/>
        <tr r="B113" s="2"/>
        <tr r="F113" s="2"/>
      </tp>
      <tp t="s">
        <v>N/A</v>
        <stp/>
        <stp>VOLUME</stp>
        <stp>.SPXWP5800</stp>
        <tr r="C113" s="2"/>
        <tr r="J113" s="2"/>
        <tr r="B113" s="2"/>
        <tr r="F113" s="2"/>
      </tp>
      <tp t="s">
        <v>N/A</v>
        <stp/>
        <stp>VOLUME</stp>
        <stp>.SPXWC5810</stp>
        <tr r="F112" s="2"/>
        <tr r="J112" s="2"/>
        <tr r="C112" s="2"/>
        <tr r="B112" s="2"/>
      </tp>
      <tp t="s">
        <v>N/A</v>
        <stp/>
        <stp>VOLUME</stp>
        <stp>.SPXWP5810</stp>
        <tr r="F112" s="2"/>
        <tr r="J112" s="2"/>
        <tr r="C112" s="2"/>
        <tr r="B112" s="2"/>
      </tp>
      <tp t="s">
        <v>N/A</v>
        <stp/>
        <stp>VOLUME</stp>
        <stp>.SPXWC5820</stp>
        <tr r="J111" s="2"/>
        <tr r="C111" s="2"/>
        <tr r="F111" s="2"/>
        <tr r="B111" s="2"/>
      </tp>
      <tp t="s">
        <v>N/A</v>
        <stp/>
        <stp>VOLUME</stp>
        <stp>.SPXWP5820</stp>
        <tr r="J111" s="2"/>
        <tr r="C111" s="2"/>
        <tr r="F111" s="2"/>
        <tr r="B111" s="2"/>
      </tp>
      <tp t="s">
        <v>N/A</v>
        <stp/>
        <stp>VOLUME</stp>
        <stp>.SPXWC5830</stp>
        <tr r="B110" s="2"/>
        <tr r="F110" s="2"/>
        <tr r="J110" s="2"/>
        <tr r="C110" s="2"/>
      </tp>
      <tp t="s">
        <v>N/A</v>
        <stp/>
        <stp>VOLUME</stp>
        <stp>.SPXWP5830</stp>
        <tr r="B110" s="2"/>
        <tr r="F110" s="2"/>
        <tr r="J110" s="2"/>
        <tr r="C110" s="2"/>
      </tp>
      <tp>
        <v>-0.25</v>
        <stp/>
        <stp>DELTA</stp>
        <stp>.QQQ250620P499</stp>
        <tr r="CI78" s="1"/>
        <tr r="CI78" s="1"/>
      </tp>
      <tp>
        <v>0.75</v>
        <stp/>
        <stp>DELTA</stp>
        <stp>.QQQ250620C499</stp>
        <tr r="CH78" s="1"/>
        <tr r="CH78" s="1"/>
      </tp>
      <tp>
        <v>-0.24</v>
        <stp/>
        <stp>DELTA</stp>
        <stp>.QQQ250620P498</stp>
        <tr r="CI79" s="1"/>
        <tr r="CI79" s="1"/>
      </tp>
      <tp>
        <v>0.76</v>
        <stp/>
        <stp>DELTA</stp>
        <stp>.QQQ250620C498</stp>
        <tr r="CH79" s="1"/>
        <tr r="CH79" s="1"/>
      </tp>
      <tp>
        <v>1066.3</v>
        <stp/>
        <stp>ASK</stp>
        <stp>.NDXP250520C20375</stp>
        <tr r="DC184" s="1"/>
        <tr r="DC184" s="1"/>
      </tp>
      <tp>
        <v>1.3</v>
        <stp/>
        <stp>ASK</stp>
        <stp>.NDXP250520C21375</stp>
        <tr r="DC144" s="1"/>
        <tr r="DC144" s="1"/>
      </tp>
      <tp>
        <v>1101.4000000000001</v>
        <stp/>
        <stp>ASK</stp>
        <stp>.NDXP250520C20350</stp>
        <tr r="DC185" s="1"/>
        <tr r="DC185" s="1"/>
      </tp>
      <tp>
        <v>29.2</v>
        <stp/>
        <stp>ASK</stp>
        <stp>.NDXP250520C21350</stp>
        <tr r="DC145" s="1"/>
        <tr r="DC145" s="1"/>
      </tp>
      <tp>
        <v>1126.4000000000001</v>
        <stp/>
        <stp>ASK</stp>
        <stp>.NDXP250520C20325</stp>
        <tr r="DC186" s="1"/>
        <tr r="DC186" s="1"/>
      </tp>
      <tp>
        <v>58</v>
        <stp/>
        <stp>ASK</stp>
        <stp>.NDXP250520C21325</stp>
        <tr r="DC146" s="1"/>
        <tr r="DC146" s="1"/>
      </tp>
      <tp>
        <v>1151.4000000000001</v>
        <stp/>
        <stp>ASK</stp>
        <stp>.NDXP250520C20300</stp>
        <tr r="DC187" s="1"/>
        <tr r="DC187" s="1"/>
      </tp>
      <tp>
        <v>80.5</v>
        <stp/>
        <stp>ASK</stp>
        <stp>.NDXP250520C21300</stp>
        <tr r="DC147" s="1"/>
        <tr r="DC147" s="1"/>
      </tp>
      <tp>
        <v>19.8</v>
        <stp/>
        <stp>ASK</stp>
        <stp>.NDXP250520P20350</stp>
        <tr r="DD185" s="1"/>
        <tr r="DD185" s="1"/>
      </tp>
      <tp>
        <v>0.15</v>
        <stp/>
        <stp>ASK</stp>
        <stp>.NDXP250520P21350</stp>
        <tr r="DD145" s="1"/>
        <tr r="DD145" s="1"/>
      </tp>
      <tp>
        <v>19.8</v>
        <stp/>
        <stp>ASK</stp>
        <stp>.NDXP250520P20375</stp>
        <tr r="DD184" s="1"/>
        <tr r="DD184" s="1"/>
      </tp>
      <tp>
        <v>15.5</v>
        <stp/>
        <stp>ASK</stp>
        <stp>.NDXP250520P21375</stp>
        <tr r="DD144" s="1"/>
        <tr r="DD144" s="1"/>
      </tp>
      <tp>
        <v>0.05</v>
        <stp/>
        <stp>ASK</stp>
        <stp>.NDXP250520P20300</stp>
        <tr r="DD187" s="1"/>
        <tr r="DD187" s="1"/>
      </tp>
      <tp>
        <v>0.05</v>
        <stp/>
        <stp>ASK</stp>
        <stp>.NDXP250520P21300</stp>
        <tr r="DD147" s="1"/>
        <tr r="DD147" s="1"/>
      </tp>
      <tp>
        <v>19.8</v>
        <stp/>
        <stp>ASK</stp>
        <stp>.NDXP250520P20325</stp>
        <tr r="DD186" s="1"/>
        <tr r="DD186" s="1"/>
      </tp>
      <tp>
        <v>0.45</v>
        <stp/>
        <stp>ASK</stp>
        <stp>.NDXP250520P21325</stp>
        <tr r="DD146" s="1"/>
        <tr r="DD146" s="1"/>
      </tp>
      <tp>
        <v>0.03</v>
        <stp/>
        <stp>LAST</stp>
        <stp>.SPXW250520P5930</stp>
        <tr r="DB99" s="1"/>
        <tr r="DB99" s="1"/>
      </tp>
      <tp>
        <v>9.9</v>
        <stp/>
        <stp>LAST</stp>
        <stp>.SPXW250520C5930</stp>
        <tr r="DA99" s="1"/>
        <tr r="DA99" s="1"/>
      </tp>
      <tp>
        <v>0.03</v>
        <stp/>
        <stp>LAST</stp>
        <stp>.SPXW250520P5920</stp>
        <tr r="DB100" s="1"/>
        <tr r="DB100" s="1"/>
      </tp>
      <tp>
        <v>19.899999999999999</v>
        <stp/>
        <stp>LAST</stp>
        <stp>.SPXW250520C5920</stp>
        <tr r="DA100" s="1"/>
        <tr r="DA100" s="1"/>
      </tp>
      <tp>
        <v>0.05</v>
        <stp/>
        <stp>LAST</stp>
        <stp>.SPXW250520P5910</stp>
        <tr r="DB101" s="1"/>
        <tr r="DB101" s="1"/>
      </tp>
      <tp>
        <v>30</v>
        <stp/>
        <stp>LAST</stp>
        <stp>.SPXW250520C5910</stp>
        <tr r="DA101" s="1"/>
        <tr r="DA101" s="1"/>
      </tp>
      <tp>
        <v>0.05</v>
        <stp/>
        <stp>LAST</stp>
        <stp>.SPXW250520P5900</stp>
        <tr r="DB102" s="1"/>
        <tr r="DB102" s="1"/>
      </tp>
      <tp>
        <v>38.799999999999997</v>
        <stp/>
        <stp>LAST</stp>
        <stp>.SPXW250520C5900</stp>
        <tr r="DA102" s="1"/>
        <tr r="DA102" s="1"/>
      </tp>
      <tp>
        <v>33.4</v>
        <stp/>
        <stp>LAST</stp>
        <stp>.SPXW250520P5970</stp>
        <tr r="DB95" s="1"/>
        <tr r="DB95" s="1"/>
      </tp>
      <tp>
        <v>0.03</v>
        <stp/>
        <stp>LAST</stp>
        <stp>.SPXW250520C5970</stp>
        <tr r="DA95" s="1"/>
        <tr r="DA95" s="1"/>
      </tp>
      <tp>
        <v>20</v>
        <stp/>
        <stp>LAST</stp>
        <stp>.SPXW250520P5960</stp>
        <tr r="DB96" s="1"/>
        <tr r="DB96" s="1"/>
      </tp>
      <tp>
        <v>0.03</v>
        <stp/>
        <stp>LAST</stp>
        <stp>.SPXW250520C5960</stp>
        <tr r="DA96" s="1"/>
        <tr r="DA96" s="1"/>
      </tp>
      <tp>
        <v>10.4</v>
        <stp/>
        <stp>LAST</stp>
        <stp>.SPXW250520P5950</stp>
        <tr r="DB97" s="1"/>
        <tr r="DB97" s="1"/>
      </tp>
      <tp>
        <v>0.03</v>
        <stp/>
        <stp>LAST</stp>
        <stp>.SPXW250520C5950</stp>
        <tr r="DA97" s="1"/>
        <tr r="DA97" s="1"/>
      </tp>
      <tp>
        <v>0.35</v>
        <stp/>
        <stp>LAST</stp>
        <stp>.SPXW250520P5940</stp>
        <tr r="DB98" s="1"/>
        <tr r="DB98" s="1"/>
      </tp>
      <tp>
        <v>0.7</v>
        <stp/>
        <stp>LAST</stp>
        <stp>.SPXW250520C5940</stp>
        <tr r="DA98" s="1"/>
        <tr r="DA98" s="1"/>
      </tp>
      <tp>
        <v>60.13</v>
        <stp/>
        <stp>LAST</stp>
        <stp>.SPXW250520P5990</stp>
        <tr r="DB93" s="1"/>
        <tr r="DB93" s="1"/>
      </tp>
      <tp>
        <v>0.03</v>
        <stp/>
        <stp>LAST</stp>
        <stp>.SPXW250520C5990</stp>
        <tr r="DA93" s="1"/>
        <tr r="DA93" s="1"/>
      </tp>
      <tp>
        <v>38.700000000000003</v>
        <stp/>
        <stp>LAST</stp>
        <stp>.SPXW250520P5980</stp>
        <tr r="DB94" s="1"/>
        <tr r="DB94" s="1"/>
      </tp>
      <tp>
        <v>0.03</v>
        <stp/>
        <stp>LAST</stp>
        <stp>.SPXW250520C5980</stp>
        <tr r="DA94" s="1"/>
        <tr r="DA94" s="1"/>
      </tp>
      <tp>
        <v>462</v>
        <stp/>
        <stp>OPEN_INT</stp>
        <stp>.SPX250620C6040</stp>
        <tr r="AW88" s="1"/>
        <tr r="AW88" s="1"/>
      </tp>
      <tp>
        <v>239</v>
        <stp/>
        <stp>OPEN_INT</stp>
        <stp>.SPX250620P6040</stp>
        <tr r="AX88" s="1"/>
        <tr r="AX88" s="1"/>
      </tp>
      <tp>
        <v>18273</v>
        <stp/>
        <stp>OPEN_INT</stp>
        <stp>.SPX250620C6050</stp>
        <tr r="AW87" s="1"/>
        <tr r="AW87" s="1"/>
      </tp>
      <tp>
        <v>8964</v>
        <stp/>
        <stp>OPEN_INT</stp>
        <stp>.SPX250620P6050</stp>
        <tr r="AX87" s="1"/>
        <tr r="AX87" s="1"/>
      </tp>
      <tp>
        <v>828</v>
        <stp/>
        <stp>OPEN_INT</stp>
        <stp>.SPX250620C6060</stp>
        <tr r="AW86" s="1"/>
        <tr r="AW86" s="1"/>
      </tp>
      <tp>
        <v>200</v>
        <stp/>
        <stp>OPEN_INT</stp>
        <stp>.SPX250620P6060</stp>
        <tr r="AX86" s="1"/>
        <tr r="AX86" s="1"/>
      </tp>
      <tp>
        <v>441</v>
        <stp/>
        <stp>OPEN_INT</stp>
        <stp>.SPX250620C6070</stp>
        <tr r="AW85" s="1"/>
        <tr r="AW85" s="1"/>
      </tp>
      <tp>
        <v>153</v>
        <stp/>
        <stp>OPEN_INT</stp>
        <stp>.SPX250620P6070</stp>
        <tr r="AX85" s="1"/>
        <tr r="AX85" s="1"/>
      </tp>
      <tp>
        <v>225796</v>
        <stp/>
        <stp>OPEN_INT</stp>
        <stp>.SPX250620C6000</stp>
        <tr r="AW92" s="1"/>
        <tr r="AW92" s="1"/>
      </tp>
      <tp>
        <v>210828</v>
        <stp/>
        <stp>OPEN_INT</stp>
        <stp>.SPX250620P6000</stp>
        <tr r="AX92" s="1"/>
        <tr r="AX92" s="1"/>
      </tp>
      <tp>
        <v>753</v>
        <stp/>
        <stp>OPEN_INT</stp>
        <stp>.SPX250620C6010</stp>
        <tr r="AW91" s="1"/>
        <tr r="AW91" s="1"/>
      </tp>
      <tp>
        <v>252</v>
        <stp/>
        <stp>OPEN_INT</stp>
        <stp>.SPX250620P6010</stp>
        <tr r="AX91" s="1"/>
        <tr r="AX91" s="1"/>
      </tp>
      <tp>
        <v>1652</v>
        <stp/>
        <stp>OPEN_INT</stp>
        <stp>.SPX250620C6020</stp>
        <tr r="AW90" s="1"/>
        <tr r="AW90" s="1"/>
      </tp>
      <tp>
        <v>417</v>
        <stp/>
        <stp>OPEN_INT</stp>
        <stp>.SPX250620P6020</stp>
        <tr r="AX90" s="1"/>
        <tr r="AX90" s="1"/>
      </tp>
      <tp>
        <v>584</v>
        <stp/>
        <stp>OPEN_INT</stp>
        <stp>.SPX250620C6030</stp>
        <tr r="AW89" s="1"/>
        <tr r="AW89" s="1"/>
      </tp>
      <tp>
        <v>218</v>
        <stp/>
        <stp>OPEN_INT</stp>
        <stp>.SPX250620P6030</stp>
        <tr r="AX89" s="1"/>
        <tr r="AX89" s="1"/>
      </tp>
      <tp>
        <v>1175.5999999999999</v>
        <stp/>
        <stp>ASK</stp>
        <stp>.NDXP250520C20275</stp>
        <tr r="DC188" s="1"/>
        <tr r="DC188" s="1"/>
      </tp>
      <tp>
        <v>106</v>
        <stp/>
        <stp>ASK</stp>
        <stp>.NDXP250520C21275</stp>
        <tr r="DC148" s="1"/>
        <tr r="DC148" s="1"/>
      </tp>
      <tp>
        <v>1201.5</v>
        <stp/>
        <stp>ASK</stp>
        <stp>.NDXP250520C20250</stp>
        <tr r="DC189" s="1"/>
        <tr r="DC189" s="1"/>
      </tp>
      <tp>
        <v>132</v>
        <stp/>
        <stp>ASK</stp>
        <stp>.NDXP250520C21250</stp>
        <tr r="DC149" s="1"/>
        <tr r="DC149" s="1"/>
      </tp>
      <tp>
        <v>156</v>
        <stp/>
        <stp>ASK</stp>
        <stp>.NDXP250520C21225</stp>
        <tr r="DC150" s="1"/>
        <tr r="DC150" s="1"/>
      </tp>
      <tp>
        <v>182</v>
        <stp/>
        <stp>ASK</stp>
        <stp>.NDXP250520C21200</stp>
        <tr r="DC151" s="1"/>
        <tr r="DC151" s="1"/>
      </tp>
      <tp>
        <v>19.8</v>
        <stp/>
        <stp>ASK</stp>
        <stp>.NDXP250520P20250</stp>
        <tr r="DD189" s="1"/>
        <tr r="DD189" s="1"/>
      </tp>
      <tp>
        <v>0.25</v>
        <stp/>
        <stp>ASK</stp>
        <stp>.NDXP250520P21250</stp>
        <tr r="DD149" s="1"/>
        <tr r="DD149" s="1"/>
      </tp>
      <tp>
        <v>19.8</v>
        <stp/>
        <stp>ASK</stp>
        <stp>.NDXP250520P20275</stp>
        <tr r="DD188" s="1"/>
        <tr r="DD188" s="1"/>
      </tp>
      <tp>
        <v>0.05</v>
        <stp/>
        <stp>ASK</stp>
        <stp>.NDXP250520P21275</stp>
        <tr r="DD148" s="1"/>
        <tr r="DD148" s="1"/>
      </tp>
      <tp>
        <v>19.8</v>
        <stp/>
        <stp>ASK</stp>
        <stp>.NDXP250520P21200</stp>
        <tr r="DD151" s="1"/>
        <tr r="DD151" s="1"/>
      </tp>
      <tp>
        <v>19.8</v>
        <stp/>
        <stp>ASK</stp>
        <stp>.NDXP250520P21225</stp>
        <tr r="DD150" s="1"/>
        <tr r="DD150" s="1"/>
      </tp>
      <tp>
        <v>0.05</v>
        <stp/>
        <stp>LAST</stp>
        <stp>.SPXW250520P5830</stp>
        <tr r="DB109" s="1"/>
        <tr r="DB109" s="1"/>
      </tp>
      <tp>
        <v>110.1</v>
        <stp/>
        <stp>LAST</stp>
        <stp>.SPXW250520C5830</stp>
        <tr r="DA109" s="1"/>
        <tr r="DA109" s="1"/>
      </tp>
      <tp>
        <v>0.05</v>
        <stp/>
        <stp>LAST</stp>
        <stp>.SPXW250520P5820</stp>
        <tr r="DB110" s="1"/>
        <tr r="DB110" s="1"/>
      </tp>
      <tp>
        <v>119.7</v>
        <stp/>
        <stp>LAST</stp>
        <stp>.SPXW250520C5820</stp>
        <tr r="DA110" s="1"/>
        <tr r="DA110" s="1"/>
      </tp>
      <tp>
        <v>0.03</v>
        <stp/>
        <stp>LAST</stp>
        <stp>.SPXW250520P5810</stp>
        <tr r="DB111" s="1"/>
        <tr r="DB111" s="1"/>
      </tp>
      <tp>
        <v>104.57</v>
        <stp/>
        <stp>LAST</stp>
        <stp>.SPXW250520C5810</stp>
        <tr r="DA111" s="1"/>
        <tr r="DA111" s="1"/>
      </tp>
      <tp>
        <v>0.05</v>
        <stp/>
        <stp>LAST</stp>
        <stp>.SPXW250520P5800</stp>
        <tr r="DB112" s="1"/>
        <tr r="DB112" s="1"/>
      </tp>
      <tp>
        <v>133.80000000000001</v>
        <stp/>
        <stp>LAST</stp>
        <stp>.SPXW250520C5800</stp>
        <tr r="DA112" s="1"/>
        <tr r="DA112" s="1"/>
      </tp>
      <tp>
        <v>0.03</v>
        <stp/>
        <stp>LAST</stp>
        <stp>.SPXW250520P5870</stp>
        <tr r="DB105" s="1"/>
        <tr r="DB105" s="1"/>
      </tp>
      <tp>
        <v>65.12</v>
        <stp/>
        <stp>LAST</stp>
        <stp>.SPXW250520C5870</stp>
        <tr r="DA105" s="1"/>
        <tr r="DA105" s="1"/>
      </tp>
      <tp>
        <v>0.03</v>
        <stp/>
        <stp>LAST</stp>
        <stp>.SPXW250520P5860</stp>
        <tr r="DB106" s="1"/>
        <tr r="DB106" s="1"/>
      </tp>
      <tp>
        <v>75.92</v>
        <stp/>
        <stp>LAST</stp>
        <stp>.SPXW250520C5860</stp>
        <tr r="DA106" s="1"/>
        <tr r="DA106" s="1"/>
      </tp>
      <tp>
        <v>0.05</v>
        <stp/>
        <stp>LAST</stp>
        <stp>.SPXW250520P5850</stp>
        <tr r="DB107" s="1"/>
        <tr r="DB107" s="1"/>
      </tp>
      <tp>
        <v>80.98</v>
        <stp/>
        <stp>LAST</stp>
        <stp>.SPXW250520C5850</stp>
        <tr r="DA107" s="1"/>
        <tr r="DA107" s="1"/>
      </tp>
      <tp>
        <v>0.05</v>
        <stp/>
        <stp>LAST</stp>
        <stp>.SPXW250520P5840</stp>
        <tr r="DB108" s="1"/>
        <tr r="DB108" s="1"/>
      </tp>
      <tp>
        <v>80.650000000000006</v>
        <stp/>
        <stp>LAST</stp>
        <stp>.SPXW250520C5840</stp>
        <tr r="DA108" s="1"/>
        <tr r="DA108" s="1"/>
      </tp>
      <tp>
        <v>0.05</v>
        <stp/>
        <stp>LAST</stp>
        <stp>.SPXW250520P5890</stp>
        <tr r="DB103" s="1"/>
        <tr r="DB103" s="1"/>
      </tp>
      <tp>
        <v>49.34</v>
        <stp/>
        <stp>LAST</stp>
        <stp>.SPXW250520C5890</stp>
        <tr r="DA103" s="1"/>
        <tr r="DA103" s="1"/>
      </tp>
      <tp>
        <v>0.03</v>
        <stp/>
        <stp>LAST</stp>
        <stp>.SPXW250520P5880</stp>
        <tr r="DB104" s="1"/>
        <tr r="DB104" s="1"/>
      </tp>
      <tp>
        <v>58.7</v>
        <stp/>
        <stp>LAST</stp>
        <stp>.SPXW250520C5880</stp>
        <tr r="DA104" s="1"/>
        <tr r="DA104" s="1"/>
      </tp>
      <tp>
        <v>205.7</v>
        <stp/>
        <stp>ASK</stp>
        <stp>.NDXP250520C21175</stp>
        <tr r="DC152" s="1"/>
        <tr r="DC152" s="1"/>
      </tp>
      <tp>
        <v>233.9</v>
        <stp/>
        <stp>ASK</stp>
        <stp>.NDXP250520C21150</stp>
        <tr r="DC153" s="1"/>
        <tr r="DC153" s="1"/>
      </tp>
      <tp>
        <v>272</v>
        <stp/>
        <stp>ASK</stp>
        <stp>.NDXP250520C21125</stp>
        <tr r="DC154" s="1"/>
        <tr r="DC154" s="1"/>
      </tp>
      <tp>
        <v>290.2</v>
        <stp/>
        <stp>ASK</stp>
        <stp>.NDXP250520C21100</stp>
        <tr r="DC155" s="1"/>
        <tr r="DC155" s="1"/>
      </tp>
      <tp>
        <v>3</v>
        <stp/>
        <stp>ASK</stp>
        <stp>.NDXP250520P21150</stp>
        <tr r="DD153" s="1"/>
        <tr r="DD153" s="1"/>
      </tp>
      <tp>
        <v>15</v>
        <stp/>
        <stp>ASK</stp>
        <stp>.NDXP250520P21175</stp>
        <tr r="DD152" s="1"/>
        <tr r="DD152" s="1"/>
      </tp>
      <tp>
        <v>0.05</v>
        <stp/>
        <stp>ASK</stp>
        <stp>.NDXP250520P21100</stp>
        <tr r="DD155" s="1"/>
        <tr r="DD155" s="1"/>
      </tp>
      <tp>
        <v>19.8</v>
        <stp/>
        <stp>ASK</stp>
        <stp>.NDXP250520P21125</stp>
        <tr r="DD154" s="1"/>
        <tr r="DD154" s="1"/>
      </tp>
      <tp t="s">
        <v>N/A</v>
        <stp/>
        <stp>VOLUME</stp>
        <stp>.NDXPP20975</stp>
        <tr r="F161" s="2"/>
        <tr r="C161" s="2"/>
        <tr r="J161" s="2"/>
        <tr r="B161" s="2"/>
      </tp>
      <tp t="s">
        <v>N/A</v>
        <stp/>
        <stp>VOLUME</stp>
        <stp>.NDXPP20950</stp>
        <tr r="B162" s="2"/>
        <tr r="F162" s="2"/>
        <tr r="C162" s="2"/>
        <tr r="J162" s="2"/>
      </tp>
      <tp t="s">
        <v>N/A</v>
        <stp/>
        <stp>VOLUME</stp>
        <stp>.NDXPP20925</stp>
        <tr r="C163" s="2"/>
        <tr r="F163" s="2"/>
        <tr r="B163" s="2"/>
        <tr r="J163" s="2"/>
      </tp>
      <tp t="s">
        <v>N/A</v>
        <stp/>
        <stp>VOLUME</stp>
        <stp>.NDXPP20900</stp>
        <tr r="F164" s="2"/>
        <tr r="C164" s="2"/>
        <tr r="B164" s="2"/>
        <tr r="J164" s="2"/>
      </tp>
      <tp t="s">
        <v>N/A</v>
        <stp/>
        <stp>VOLUME</stp>
        <stp>.NDXPC20950</stp>
        <tr r="B162" s="2"/>
        <tr r="F162" s="2"/>
        <tr r="C162" s="2"/>
        <tr r="J162" s="2"/>
      </tp>
      <tp t="s">
        <v>N/A</v>
        <stp/>
        <stp>VOLUME</stp>
        <stp>.NDXPC20975</stp>
        <tr r="F161" s="2"/>
        <tr r="C161" s="2"/>
        <tr r="J161" s="2"/>
        <tr r="B161" s="2"/>
      </tp>
      <tp t="s">
        <v>N/A</v>
        <stp/>
        <stp>VOLUME</stp>
        <stp>.NDXPC20900</stp>
        <tr r="F164" s="2"/>
        <tr r="C164" s="2"/>
        <tr r="B164" s="2"/>
        <tr r="J164" s="2"/>
      </tp>
      <tp t="s">
        <v>N/A</v>
        <stp/>
        <stp>VOLUME</stp>
        <stp>.NDXPC20925</stp>
        <tr r="C163" s="2"/>
        <tr r="F163" s="2"/>
        <tr r="B163" s="2"/>
        <tr r="J163" s="2"/>
      </tp>
      <tp t="s">
        <v>15.02%</v>
        <stp/>
        <stp>IMPL_VOL</stp>
        <stp>.SPX250620P6000</stp>
        <tr r="EQ92" s="1"/>
      </tp>
      <tp t="s">
        <v>13.86%</v>
        <stp/>
        <stp>IMPL_VOL</stp>
        <stp>.SPX250620C6000</stp>
        <tr r="EP92" s="1"/>
      </tp>
      <tp t="s">
        <v>14.91%</v>
        <stp/>
        <stp>IMPL_VOL</stp>
        <stp>.SPX250620P6010</stp>
        <tr r="EQ91" s="1"/>
      </tp>
      <tp t="s">
        <v>13.76%</v>
        <stp/>
        <stp>IMPL_VOL</stp>
        <stp>.SPX250620C6010</stp>
        <tr r="EP91" s="1"/>
      </tp>
      <tp t="s">
        <v>14.83%</v>
        <stp/>
        <stp>IMPL_VOL</stp>
        <stp>.SPX250620P6020</stp>
        <tr r="EQ90" s="1"/>
      </tp>
      <tp t="s">
        <v>13.65%</v>
        <stp/>
        <stp>IMPL_VOL</stp>
        <stp>.SPX250620C6020</stp>
        <tr r="EP90" s="1"/>
      </tp>
      <tp t="s">
        <v>14.74%</v>
        <stp/>
        <stp>IMPL_VOL</stp>
        <stp>.SPX250620P6030</stp>
        <tr r="EQ89" s="1"/>
      </tp>
      <tp t="s">
        <v>13.55%</v>
        <stp/>
        <stp>IMPL_VOL</stp>
        <stp>.SPX250620C6030</stp>
        <tr r="EP89" s="1"/>
      </tp>
      <tp t="s">
        <v>14.65%</v>
        <stp/>
        <stp>IMPL_VOL</stp>
        <stp>.SPX250620P6040</stp>
        <tr r="EQ88" s="1"/>
      </tp>
      <tp t="s">
        <v>13.46%</v>
        <stp/>
        <stp>IMPL_VOL</stp>
        <stp>.SPX250620C6040</stp>
        <tr r="EP88" s="1"/>
      </tp>
      <tp t="s">
        <v>14.57%</v>
        <stp/>
        <stp>IMPL_VOL</stp>
        <stp>.SPX250620P6050</stp>
        <tr r="EQ87" s="1"/>
      </tp>
      <tp t="s">
        <v>13.36%</v>
        <stp/>
        <stp>IMPL_VOL</stp>
        <stp>.SPX250620C6050</stp>
        <tr r="EP87" s="1"/>
      </tp>
      <tp t="s">
        <v>14.50%</v>
        <stp/>
        <stp>IMPL_VOL</stp>
        <stp>.SPX250620P6060</stp>
        <tr r="EQ86" s="1"/>
      </tp>
      <tp t="s">
        <v>13.27%</v>
        <stp/>
        <stp>IMPL_VOL</stp>
        <stp>.SPX250620C6060</stp>
        <tr r="EP86" s="1"/>
      </tp>
      <tp t="s">
        <v>14.44%</v>
        <stp/>
        <stp>IMPL_VOL</stp>
        <stp>.SPX250620P6070</stp>
        <tr r="EQ85" s="1"/>
      </tp>
      <tp t="s">
        <v>13.19%</v>
        <stp/>
        <stp>IMPL_VOL</stp>
        <stp>.SPX250620C6070</stp>
        <tr r="EP85" s="1"/>
      </tp>
      <tp>
        <v>315.2</v>
        <stp/>
        <stp>ASK</stp>
        <stp>.NDXP250520C21075</stp>
        <tr r="DC156" s="1"/>
        <tr r="DC156" s="1"/>
      </tp>
      <tp>
        <v>346</v>
        <stp/>
        <stp>ASK</stp>
        <stp>.NDXP250520C21050</stp>
        <tr r="DC157" s="1"/>
        <tr r="DC157" s="1"/>
      </tp>
      <tp>
        <v>372</v>
        <stp/>
        <stp>ASK</stp>
        <stp>.NDXP250520C21025</stp>
        <tr r="DC158" s="1"/>
        <tr r="DC158" s="1"/>
      </tp>
      <tp>
        <v>393.6</v>
        <stp/>
        <stp>ASK</stp>
        <stp>.NDXP250520C21000</stp>
        <tr r="DC159" s="1"/>
        <tr r="DC159" s="1"/>
      </tp>
      <tp>
        <v>19.8</v>
        <stp/>
        <stp>ASK</stp>
        <stp>.NDXP250520P21050</stp>
        <tr r="DD157" s="1"/>
        <tr r="DD157" s="1"/>
      </tp>
      <tp>
        <v>19.8</v>
        <stp/>
        <stp>ASK</stp>
        <stp>.NDXP250520P21075</stp>
        <tr r="DD156" s="1"/>
        <tr r="DD156" s="1"/>
      </tp>
      <tp>
        <v>0.05</v>
        <stp/>
        <stp>ASK</stp>
        <stp>.NDXP250520P21000</stp>
        <tr r="DD159" s="1"/>
        <tr r="DD159" s="1"/>
      </tp>
      <tp>
        <v>19.8</v>
        <stp/>
        <stp>ASK</stp>
        <stp>.NDXP250520P21025</stp>
        <tr r="DD158" s="1"/>
        <tr r="DD158" s="1"/>
      </tp>
      <tp t="s">
        <v>N/A</v>
        <stp/>
        <stp>VOLUME</stp>
        <stp>.NDXPP20875</stp>
        <tr r="F165" s="2"/>
        <tr r="J165" s="2"/>
        <tr r="C165" s="2"/>
        <tr r="B165" s="2"/>
      </tp>
      <tp t="s">
        <v>N/A</v>
        <stp/>
        <stp>VOLUME</stp>
        <stp>.NDXPP20850</stp>
        <tr r="J166" s="2"/>
        <tr r="B166" s="2"/>
        <tr r="F166" s="2"/>
        <tr r="C166" s="2"/>
      </tp>
      <tp t="s">
        <v>N/A</v>
        <stp/>
        <stp>VOLUME</stp>
        <stp>.NDXPP20825</stp>
        <tr r="F167" s="2"/>
        <tr r="J167" s="2"/>
        <tr r="C167" s="2"/>
        <tr r="B167" s="2"/>
      </tp>
      <tp t="s">
        <v>N/A</v>
        <stp/>
        <stp>VOLUME</stp>
        <stp>.NDXPP20800</stp>
        <tr r="B168" s="2"/>
        <tr r="F168" s="2"/>
        <tr r="J168" s="2"/>
        <tr r="C168" s="2"/>
      </tp>
      <tp t="s">
        <v>N/A</v>
        <stp/>
        <stp>VOLUME</stp>
        <stp>.NDXPC20850</stp>
        <tr r="J166" s="2"/>
        <tr r="B166" s="2"/>
        <tr r="F166" s="2"/>
        <tr r="C166" s="2"/>
      </tp>
      <tp t="s">
        <v>N/A</v>
        <stp/>
        <stp>VOLUME</stp>
        <stp>.NDXPC20875</stp>
        <tr r="F165" s="2"/>
        <tr r="J165" s="2"/>
        <tr r="C165" s="2"/>
        <tr r="B165" s="2"/>
      </tp>
      <tp t="s">
        <v>N/A</v>
        <stp/>
        <stp>VOLUME</stp>
        <stp>.NDXPC20800</stp>
        <tr r="B168" s="2"/>
        <tr r="F168" s="2"/>
        <tr r="J168" s="2"/>
        <tr r="C168" s="2"/>
      </tp>
      <tp t="s">
        <v>N/A</v>
        <stp/>
        <stp>VOLUME</stp>
        <stp>.NDXPC20825</stp>
        <tr r="F167" s="2"/>
        <tr r="J167" s="2"/>
        <tr r="C167" s="2"/>
        <tr r="B167" s="2"/>
      </tp>
      <tp>
        <v>461.2</v>
        <stp/>
        <stp>BID</stp>
        <stp>.NDXP250520C20875</stp>
        <tr r="DE164" s="1"/>
        <tr r="DE164" s="1"/>
      </tp>
      <tp>
        <v>631.5</v>
        <stp/>
        <stp>ASK</stp>
        <stp>.NDXP250520C20775</stp>
        <tr r="DC168" s="1"/>
        <tr r="DC168" s="1"/>
      </tp>
      <tp>
        <v>482</v>
        <stp/>
        <stp>BID</stp>
        <stp>.NDXP250520C20850</stp>
        <tr r="DE165" s="1"/>
        <tr r="DE165" s="1"/>
      </tp>
      <tp>
        <v>656</v>
        <stp/>
        <stp>ASK</stp>
        <stp>.NDXP250520C20750</stp>
        <tr r="DC169" s="1"/>
        <tr r="DC169" s="1"/>
      </tp>
      <tp>
        <v>506.7</v>
        <stp/>
        <stp>BID</stp>
        <stp>.NDXP250520C20825</stp>
        <tr r="DE166" s="1"/>
        <tr r="DE166" s="1"/>
      </tp>
      <tp>
        <v>683.1</v>
        <stp/>
        <stp>ASK</stp>
        <stp>.NDXP250520C20725</stp>
        <tr r="DC170" s="1"/>
        <tr r="DC170" s="1"/>
      </tp>
      <tp>
        <v>532</v>
        <stp/>
        <stp>BID</stp>
        <stp>.NDXP250520C20800</stp>
        <tr r="DE167" s="1"/>
        <tr r="DE167" s="1"/>
      </tp>
      <tp>
        <v>711.6</v>
        <stp/>
        <stp>ASK</stp>
        <stp>.NDXP250520C20700</stp>
        <tr r="DC171" s="1"/>
        <tr r="DC171" s="1"/>
      </tp>
      <tp>
        <v>0</v>
        <stp/>
        <stp>BID</stp>
        <stp>.NDXP250520P20850</stp>
        <tr r="DF165" s="1"/>
        <tr r="DF165" s="1"/>
      </tp>
      <tp>
        <v>19.8</v>
        <stp/>
        <stp>ASK</stp>
        <stp>.NDXP250520P20750</stp>
        <tr r="DD169" s="1"/>
        <tr r="DD169" s="1"/>
      </tp>
      <tp>
        <v>0</v>
        <stp/>
        <stp>BID</stp>
        <stp>.NDXP250520P20875</stp>
        <tr r="DF164" s="1"/>
        <tr r="DF164" s="1"/>
      </tp>
      <tp>
        <v>19.8</v>
        <stp/>
        <stp>ASK</stp>
        <stp>.NDXP250520P20775</stp>
        <tr r="DD168" s="1"/>
        <tr r="DD168" s="1"/>
      </tp>
      <tp>
        <v>0</v>
        <stp/>
        <stp>BID</stp>
        <stp>.NDXP250520P20800</stp>
        <tr r="DF167" s="1"/>
        <tr r="DF167" s="1"/>
      </tp>
      <tp>
        <v>0.3</v>
        <stp/>
        <stp>ASK</stp>
        <stp>.NDXP250520P20700</stp>
        <tr r="DD171" s="1"/>
        <tr r="DD171" s="1"/>
      </tp>
      <tp>
        <v>0</v>
        <stp/>
        <stp>BID</stp>
        <stp>.NDXP250520P20825</stp>
        <tr r="DF166" s="1"/>
        <tr r="DF166" s="1"/>
      </tp>
      <tp>
        <v>19.8</v>
        <stp/>
        <stp>ASK</stp>
        <stp>.NDXP250520P20725</stp>
        <tr r="DD170" s="1"/>
        <tr r="DD170" s="1"/>
      </tp>
      <tp t="s">
        <v>20.61%</v>
        <stp/>
        <stp>IMPL_VOL</stp>
        <stp>.SPX250620P5620</stp>
        <tr r="EQ130" s="1"/>
      </tp>
      <tp t="s">
        <v>18.54%</v>
        <stp/>
        <stp>IMPL_VOL</stp>
        <stp>.SPX250620C5620</stp>
        <tr r="EP130" s="1"/>
      </tp>
      <tp t="s">
        <v>20.45%</v>
        <stp/>
        <stp>IMPL_VOL</stp>
        <stp>.SPX250620P5630</stp>
        <tr r="EQ129" s="1"/>
      </tp>
      <tp t="s">
        <v>18.44%</v>
        <stp/>
        <stp>IMPL_VOL</stp>
        <stp>.SPX250620C5630</stp>
        <tr r="EP129" s="1"/>
      </tp>
      <tp t="s">
        <v>20.31%</v>
        <stp/>
        <stp>IMPL_VOL</stp>
        <stp>.SPX250620P5640</stp>
        <tr r="EQ128" s="1"/>
      </tp>
      <tp t="s">
        <v>18.34%</v>
        <stp/>
        <stp>IMPL_VOL</stp>
        <stp>.SPX250620C5640</stp>
        <tr r="EP128" s="1"/>
      </tp>
      <tp t="s">
        <v>20.14%</v>
        <stp/>
        <stp>IMPL_VOL</stp>
        <stp>.SPX250620P5650</stp>
        <tr r="EQ127" s="1"/>
      </tp>
      <tp t="s">
        <v>18.25%</v>
        <stp/>
        <stp>IMPL_VOL</stp>
        <stp>.SPX250620C5650</stp>
        <tr r="EP127" s="1"/>
      </tp>
      <tp t="s">
        <v>19.99%</v>
        <stp/>
        <stp>IMPL_VOL</stp>
        <stp>.SPX250620P5660</stp>
        <tr r="EQ126" s="1"/>
      </tp>
      <tp t="s">
        <v>18.13%</v>
        <stp/>
        <stp>IMPL_VOL</stp>
        <stp>.SPX250620C5660</stp>
        <tr r="EP126" s="1"/>
      </tp>
      <tp t="s">
        <v>19.84%</v>
        <stp/>
        <stp>IMPL_VOL</stp>
        <stp>.SPX250620P5670</stp>
        <tr r="EQ125" s="1"/>
      </tp>
      <tp t="s">
        <v>18.02%</v>
        <stp/>
        <stp>IMPL_VOL</stp>
        <stp>.SPX250620C5670</stp>
        <tr r="EP125" s="1"/>
      </tp>
      <tp t="s">
        <v>19.68%</v>
        <stp/>
        <stp>IMPL_VOL</stp>
        <stp>.SPX250620P5680</stp>
        <tr r="EQ124" s="1"/>
      </tp>
      <tp t="s">
        <v>17.92%</v>
        <stp/>
        <stp>IMPL_VOL</stp>
        <stp>.SPX250620C5680</stp>
        <tr r="EP124" s="1"/>
      </tp>
      <tp t="s">
        <v>19.51%</v>
        <stp/>
        <stp>IMPL_VOL</stp>
        <stp>.SPX250620P5690</stp>
        <tr r="EQ123" s="1"/>
      </tp>
      <tp t="s">
        <v>17.80%</v>
        <stp/>
        <stp>IMPL_VOL</stp>
        <stp>.SPX250620C5690</stp>
        <tr r="EP123" s="1"/>
      </tp>
      <tp>
        <v>372</v>
        <stp/>
        <stp>BID</stp>
        <stp>.NDXP250520C20975</stp>
        <tr r="DE160" s="1"/>
        <tr r="DE160" s="1"/>
      </tp>
      <tp>
        <v>734.2</v>
        <stp/>
        <stp>ASK</stp>
        <stp>.NDXP250520C20675</stp>
        <tr r="DC172" s="1"/>
        <tr r="DC172" s="1"/>
      </tp>
      <tp>
        <v>396</v>
        <stp/>
        <stp>BID</stp>
        <stp>.NDXP250520C20950</stp>
        <tr r="DE161" s="1"/>
        <tr r="DE161" s="1"/>
      </tp>
      <tp>
        <v>759.2</v>
        <stp/>
        <stp>ASK</stp>
        <stp>.NDXP250520C20650</stp>
        <tr r="DC173" s="1"/>
        <tr r="DC173" s="1"/>
      </tp>
      <tp>
        <v>406</v>
        <stp/>
        <stp>BID</stp>
        <stp>.NDXP250520C20925</stp>
        <tr r="DE162" s="1"/>
        <tr r="DE162" s="1"/>
      </tp>
      <tp>
        <v>785.6</v>
        <stp/>
        <stp>ASK</stp>
        <stp>.NDXP250520C20625</stp>
        <tr r="DC174" s="1"/>
        <tr r="DC174" s="1"/>
      </tp>
      <tp>
        <v>432</v>
        <stp/>
        <stp>BID</stp>
        <stp>.NDXP250520C20900</stp>
        <tr r="DE163" s="1"/>
        <tr r="DE163" s="1"/>
      </tp>
      <tp>
        <v>810.6</v>
        <stp/>
        <stp>ASK</stp>
        <stp>.NDXP250520C20600</stp>
        <tr r="DC175" s="1"/>
        <tr r="DC175" s="1"/>
      </tp>
      <tp>
        <v>0</v>
        <stp/>
        <stp>BID</stp>
        <stp>.NDXP250520P20950</stp>
        <tr r="DF161" s="1"/>
        <tr r="DF161" s="1"/>
      </tp>
      <tp>
        <v>19.8</v>
        <stp/>
        <stp>ASK</stp>
        <stp>.NDXP250520P20650</stp>
        <tr r="DD173" s="1"/>
        <tr r="DD173" s="1"/>
      </tp>
      <tp>
        <v>0</v>
        <stp/>
        <stp>BID</stp>
        <stp>.NDXP250520P20975</stp>
        <tr r="DF160" s="1"/>
        <tr r="DF160" s="1"/>
      </tp>
      <tp>
        <v>19.8</v>
        <stp/>
        <stp>ASK</stp>
        <stp>.NDXP250520P20675</stp>
        <tr r="DD172" s="1"/>
        <tr r="DD172" s="1"/>
      </tp>
      <tp>
        <v>0</v>
        <stp/>
        <stp>BID</stp>
        <stp>.NDXP250520P20900</stp>
        <tr r="DF163" s="1"/>
        <tr r="DF163" s="1"/>
      </tp>
      <tp>
        <v>19.8</v>
        <stp/>
        <stp>ASK</stp>
        <stp>.NDXP250520P20600</stp>
        <tr r="DD175" s="1"/>
        <tr r="DD175" s="1"/>
      </tp>
      <tp>
        <v>0</v>
        <stp/>
        <stp>BID</stp>
        <stp>.NDXP250520P20925</stp>
        <tr r="DF162" s="1"/>
        <tr r="DF162" s="1"/>
      </tp>
      <tp>
        <v>19.8</v>
        <stp/>
        <stp>ASK</stp>
        <stp>.NDXP250520P20625</stp>
        <tr r="DD174" s="1"/>
        <tr r="DD174" s="1"/>
      </tp>
      <tp t="s">
        <v>19.36%</v>
        <stp/>
        <stp>IMPL_VOL</stp>
        <stp>.SPX250620P5700</stp>
        <tr r="EQ122" s="1"/>
      </tp>
      <tp t="s">
        <v>17.66%</v>
        <stp/>
        <stp>IMPL_VOL</stp>
        <stp>.SPX250620C5700</stp>
        <tr r="EP122" s="1"/>
      </tp>
      <tp t="s">
        <v>19.19%</v>
        <stp/>
        <stp>IMPL_VOL</stp>
        <stp>.SPX250620P5710</stp>
        <tr r="EQ121" s="1"/>
      </tp>
      <tp t="s">
        <v>17.56%</v>
        <stp/>
        <stp>IMPL_VOL</stp>
        <stp>.SPX250620C5710</stp>
        <tr r="EP121" s="1"/>
      </tp>
      <tp t="s">
        <v>19.03%</v>
        <stp/>
        <stp>IMPL_VOL</stp>
        <stp>.SPX250620P5720</stp>
        <tr r="EQ120" s="1"/>
      </tp>
      <tp t="s">
        <v>17.43%</v>
        <stp/>
        <stp>IMPL_VOL</stp>
        <stp>.SPX250620C5720</stp>
        <tr r="EP120" s="1"/>
      </tp>
      <tp t="s">
        <v>18.88%</v>
        <stp/>
        <stp>IMPL_VOL</stp>
        <stp>.SPX250620P5730</stp>
        <tr r="EQ119" s="1"/>
      </tp>
      <tp t="s">
        <v>17.31%</v>
        <stp/>
        <stp>IMPL_VOL</stp>
        <stp>.SPX250620C5730</stp>
        <tr r="EP119" s="1"/>
      </tp>
      <tp t="s">
        <v>18.72%</v>
        <stp/>
        <stp>IMPL_VOL</stp>
        <stp>.SPX250620P5740</stp>
        <tr r="EQ118" s="1"/>
      </tp>
      <tp t="s">
        <v>17.19%</v>
        <stp/>
        <stp>IMPL_VOL</stp>
        <stp>.SPX250620C5740</stp>
        <tr r="EP118" s="1"/>
      </tp>
      <tp t="s">
        <v>18.56%</v>
        <stp/>
        <stp>IMPL_VOL</stp>
        <stp>.SPX250620P5750</stp>
        <tr r="EQ117" s="1"/>
      </tp>
      <tp t="s">
        <v>17.08%</v>
        <stp/>
        <stp>IMPL_VOL</stp>
        <stp>.SPX250620C5750</stp>
        <tr r="EP117" s="1"/>
      </tp>
      <tp t="s">
        <v>18.41%</v>
        <stp/>
        <stp>IMPL_VOL</stp>
        <stp>.SPX250620P5760</stp>
        <tr r="EQ116" s="1"/>
      </tp>
      <tp t="s">
        <v>16.94%</v>
        <stp/>
        <stp>IMPL_VOL</stp>
        <stp>.SPX250620C5760</stp>
        <tr r="EP116" s="1"/>
      </tp>
      <tp t="s">
        <v>18.25%</v>
        <stp/>
        <stp>IMPL_VOL</stp>
        <stp>.SPX250620P5770</stp>
        <tr r="EQ115" s="1"/>
      </tp>
      <tp t="s">
        <v>16.83%</v>
        <stp/>
        <stp>IMPL_VOL</stp>
        <stp>.SPX250620C5770</stp>
        <tr r="EP115" s="1"/>
      </tp>
      <tp t="s">
        <v>18.10%</v>
        <stp/>
        <stp>IMPL_VOL</stp>
        <stp>.SPX250620P5780</stp>
        <tr r="EQ114" s="1"/>
      </tp>
      <tp t="s">
        <v>16.67%</v>
        <stp/>
        <stp>IMPL_VOL</stp>
        <stp>.SPX250620C5780</stp>
        <tr r="EP114" s="1"/>
      </tp>
      <tp t="s">
        <v>17.94%</v>
        <stp/>
        <stp>IMPL_VOL</stp>
        <stp>.SPX250620P5790</stp>
        <tr r="EQ113" s="1"/>
      </tp>
      <tp t="s">
        <v>16.55%</v>
        <stp/>
        <stp>IMPL_VOL</stp>
        <stp>.SPX250620C5790</stp>
        <tr r="EP113" s="1"/>
      </tp>
      <tp>
        <v>835.6</v>
        <stp/>
        <stp>ASK</stp>
        <stp>.NDXP250520C20575</stp>
        <tr r="DC176" s="1"/>
        <tr r="DC176" s="1"/>
      </tp>
      <tp>
        <v>860.1</v>
        <stp/>
        <stp>ASK</stp>
        <stp>.NDXP250520C20550</stp>
        <tr r="DC177" s="1"/>
        <tr r="DC177" s="1"/>
      </tp>
      <tp>
        <v>0.05</v>
        <stp/>
        <stp>ASK</stp>
        <stp>.NDXP250520C21550</stp>
        <tr r="DC137" s="1"/>
        <tr r="DC137" s="1"/>
      </tp>
      <tp>
        <v>882.2</v>
        <stp/>
        <stp>ASK</stp>
        <stp>.NDXP250520C20525</stp>
        <tr r="DC178" s="1"/>
        <tr r="DC178" s="1"/>
      </tp>
      <tp t="s">
        <v>N/A</v>
        <stp/>
        <stp>ASK</stp>
        <stp>.NDXP250520C21525</stp>
        <tr r="DC138" s="1"/>
      </tp>
      <tp>
        <v>905.8</v>
        <stp/>
        <stp>ASK</stp>
        <stp>.NDXP250520C20500</stp>
        <tr r="DC179" s="1"/>
        <tr r="DC179" s="1"/>
      </tp>
      <tp>
        <v>0.05</v>
        <stp/>
        <stp>ASK</stp>
        <stp>.NDXP250520C21500</stp>
        <tr r="DC139" s="1"/>
        <tr r="DC139" s="1"/>
      </tp>
      <tp>
        <v>19.8</v>
        <stp/>
        <stp>ASK</stp>
        <stp>.NDXP250520P20550</stp>
        <tr r="DD177" s="1"/>
        <tr r="DD177" s="1"/>
      </tp>
      <tp>
        <v>188</v>
        <stp/>
        <stp>ASK</stp>
        <stp>.NDXP250520P21550</stp>
        <tr r="DD137" s="1"/>
        <tr r="DD137" s="1"/>
      </tp>
      <tp>
        <v>19.8</v>
        <stp/>
        <stp>ASK</stp>
        <stp>.NDXP250520P20575</stp>
        <tr r="DD176" s="1"/>
        <tr r="DD176" s="1"/>
      </tp>
      <tp>
        <v>0.3</v>
        <stp/>
        <stp>ASK</stp>
        <stp>.NDXP250520P20500</stp>
        <tr r="DD179" s="1"/>
        <tr r="DD179" s="1"/>
      </tp>
      <tp>
        <v>136.1</v>
        <stp/>
        <stp>ASK</stp>
        <stp>.NDXP250520P21500</stp>
        <tr r="DD139" s="1"/>
        <tr r="DD139" s="1"/>
      </tp>
      <tp>
        <v>19.8</v>
        <stp/>
        <stp>ASK</stp>
        <stp>.NDXP250520P20525</stp>
        <tr r="DD178" s="1"/>
        <tr r="DD178" s="1"/>
      </tp>
      <tp t="s">
        <v>N/A</v>
        <stp/>
        <stp>ASK</stp>
        <stp>.NDXP250520P21525</stp>
        <tr r="DD138" s="1"/>
      </tp>
      <tp>
        <v>4783</v>
        <stp/>
        <stp>OPEN_INT</stp>
        <stp>.SPX250620C5640</stp>
        <tr r="AW128" s="1"/>
        <tr r="AW128" s="1"/>
      </tp>
      <tp>
        <v>4803</v>
        <stp/>
        <stp>OPEN_INT</stp>
        <stp>.SPX250620P5640</stp>
        <tr r="AX128" s="1"/>
        <tr r="AX128" s="1"/>
      </tp>
      <tp>
        <v>69967</v>
        <stp/>
        <stp>OPEN_INT</stp>
        <stp>.SPX250620C5650</stp>
        <tr r="AW127" s="1"/>
        <tr r="AW127" s="1"/>
      </tp>
      <tp>
        <v>69199</v>
        <stp/>
        <stp>OPEN_INT</stp>
        <stp>.SPX250620P5650</stp>
        <tr r="AX127" s="1"/>
        <tr r="AX127" s="1"/>
      </tp>
      <tp>
        <v>4765</v>
        <stp/>
        <stp>OPEN_INT</stp>
        <stp>.SPX250620C5660</stp>
        <tr r="AW126" s="1"/>
        <tr r="AW126" s="1"/>
      </tp>
      <tp>
        <v>4611</v>
        <stp/>
        <stp>OPEN_INT</stp>
        <stp>.SPX250620P5660</stp>
        <tr r="AX126" s="1"/>
        <tr r="AX126" s="1"/>
      </tp>
      <tp>
        <v>8836</v>
        <stp/>
        <stp>OPEN_INT</stp>
        <stp>.SPX250620C5670</stp>
        <tr r="AW125" s="1"/>
        <tr r="AW125" s="1"/>
      </tp>
      <tp>
        <v>8804</v>
        <stp/>
        <stp>OPEN_INT</stp>
        <stp>.SPX250620P5670</stp>
        <tr r="AX125" s="1"/>
        <tr r="AX125" s="1"/>
      </tp>
      <tp>
        <v>3777</v>
        <stp/>
        <stp>OPEN_INT</stp>
        <stp>.SPX250620C5620</stp>
        <tr r="AW130" s="1"/>
        <tr r="AW130" s="1"/>
      </tp>
      <tp>
        <v>4546</v>
        <stp/>
        <stp>OPEN_INT</stp>
        <stp>.SPX250620P5620</stp>
        <tr r="AX130" s="1"/>
        <tr r="AX130" s="1"/>
      </tp>
      <tp>
        <v>5479</v>
        <stp/>
        <stp>OPEN_INT</stp>
        <stp>.SPX250620C5630</stp>
        <tr r="AW129" s="1"/>
        <tr r="AW129" s="1"/>
      </tp>
      <tp>
        <v>6071</v>
        <stp/>
        <stp>OPEN_INT</stp>
        <stp>.SPX250620P5630</stp>
        <tr r="AX129" s="1"/>
        <tr r="AX129" s="1"/>
      </tp>
      <tp>
        <v>5315</v>
        <stp/>
        <stp>OPEN_INT</stp>
        <stp>.SPX250620C5680</stp>
        <tr r="AW124" s="1"/>
        <tr r="AW124" s="1"/>
      </tp>
      <tp>
        <v>5918</v>
        <stp/>
        <stp>OPEN_INT</stp>
        <stp>.SPX250620P5680</stp>
        <tr r="AX124" s="1"/>
        <tr r="AX124" s="1"/>
      </tp>
      <tp>
        <v>7300</v>
        <stp/>
        <stp>OPEN_INT</stp>
        <stp>.SPX250620C5690</stp>
        <tr r="AW123" s="1"/>
        <tr r="AW123" s="1"/>
      </tp>
      <tp>
        <v>7365</v>
        <stp/>
        <stp>OPEN_INT</stp>
        <stp>.SPX250620P5690</stp>
        <tr r="AX123" s="1"/>
        <tr r="AX123" s="1"/>
      </tp>
      <tp>
        <v>925.6</v>
        <stp/>
        <stp>ASK</stp>
        <stp>.NDXP250520C20475</stp>
        <tr r="DC180" s="1"/>
        <tr r="DC180" s="1"/>
      </tp>
      <tp>
        <v>3</v>
        <stp/>
        <stp>ASK</stp>
        <stp>.NDXP250520C21475</stp>
        <tr r="DC140" s="1"/>
        <tr r="DC140" s="1"/>
      </tp>
      <tp>
        <v>1000.6</v>
        <stp/>
        <stp>ASK</stp>
        <stp>.NDXP250520C20450</stp>
        <tr r="DC181" s="1"/>
        <tr r="DC181" s="1"/>
      </tp>
      <tp>
        <v>0.1</v>
        <stp/>
        <stp>ASK</stp>
        <stp>.NDXP250520C21450</stp>
        <tr r="DC141" s="1"/>
        <tr r="DC141" s="1"/>
      </tp>
      <tp>
        <v>1014</v>
        <stp/>
        <stp>ASK</stp>
        <stp>.NDXP250520C20425</stp>
        <tr r="DC182" s="1"/>
        <tr r="DC182" s="1"/>
      </tp>
      <tp>
        <v>0.15</v>
        <stp/>
        <stp>ASK</stp>
        <stp>.NDXP250520C21425</stp>
        <tr r="DC142" s="1"/>
        <tr r="DC142" s="1"/>
      </tp>
      <tp>
        <v>1061</v>
        <stp/>
        <stp>ASK</stp>
        <stp>.NDXP250520C20400</stp>
        <tr r="DC183" s="1"/>
        <tr r="DC183" s="1"/>
      </tp>
      <tp>
        <v>0.15</v>
        <stp/>
        <stp>ASK</stp>
        <stp>.NDXP250520C21400</stp>
        <tr r="DC143" s="1"/>
        <tr r="DC143" s="1"/>
      </tp>
      <tp>
        <v>19.8</v>
        <stp/>
        <stp>ASK</stp>
        <stp>.NDXP250520P20450</stp>
        <tr r="DD181" s="1"/>
        <tr r="DD181" s="1"/>
      </tp>
      <tp>
        <v>88.3</v>
        <stp/>
        <stp>ASK</stp>
        <stp>.NDXP250520P21450</stp>
        <tr r="DD141" s="1"/>
        <tr r="DD141" s="1"/>
      </tp>
      <tp>
        <v>19.8</v>
        <stp/>
        <stp>ASK</stp>
        <stp>.NDXP250520P20475</stp>
        <tr r="DD180" s="1"/>
        <tr r="DD180" s="1"/>
      </tp>
      <tp>
        <v>113.3</v>
        <stp/>
        <stp>ASK</stp>
        <stp>.NDXP250520P21475</stp>
        <tr r="DD140" s="1"/>
        <tr r="DD140" s="1"/>
      </tp>
      <tp>
        <v>19.8</v>
        <stp/>
        <stp>ASK</stp>
        <stp>.NDXP250520P20400</stp>
        <tr r="DD183" s="1"/>
        <tr r="DD183" s="1"/>
      </tp>
      <tp>
        <v>36.799999999999997</v>
        <stp/>
        <stp>ASK</stp>
        <stp>.NDXP250520P21400</stp>
        <tr r="DD143" s="1"/>
        <tr r="DD143" s="1"/>
      </tp>
      <tp>
        <v>19.8</v>
        <stp/>
        <stp>ASK</stp>
        <stp>.NDXP250520P20425</stp>
        <tr r="DD182" s="1"/>
        <tr r="DD182" s="1"/>
      </tp>
      <tp>
        <v>63.3</v>
        <stp/>
        <stp>ASK</stp>
        <stp>.NDXP250520P21425</stp>
        <tr r="DD142" s="1"/>
        <tr r="DD142" s="1"/>
      </tp>
      <tp>
        <v>2255</v>
        <stp/>
        <stp>OPEN_INT</stp>
        <stp>.SPX250620C5740</stp>
        <tr r="AW118" s="1"/>
        <tr r="AW118" s="1"/>
      </tp>
      <tp>
        <v>3384</v>
        <stp/>
        <stp>OPEN_INT</stp>
        <stp>.SPX250620P5740</stp>
        <tr r="AX118" s="1"/>
        <tr r="AX118" s="1"/>
      </tp>
      <tp>
        <v>26120</v>
        <stp/>
        <stp>OPEN_INT</stp>
        <stp>.SPX250620C5750</stp>
        <tr r="AW117" s="1"/>
        <tr r="AW117" s="1"/>
      </tp>
      <tp>
        <v>30201</v>
        <stp/>
        <stp>OPEN_INT</stp>
        <stp>.SPX250620P5750</stp>
        <tr r="AX117" s="1"/>
        <tr r="AX117" s="1"/>
      </tp>
      <tp>
        <v>3510</v>
        <stp/>
        <stp>OPEN_INT</stp>
        <stp>.SPX250620C5760</stp>
        <tr r="AW116" s="1"/>
        <tr r="AW116" s="1"/>
      </tp>
      <tp>
        <v>3698</v>
        <stp/>
        <stp>OPEN_INT</stp>
        <stp>.SPX250620P5760</stp>
        <tr r="AX116" s="1"/>
        <tr r="AX116" s="1"/>
      </tp>
      <tp>
        <v>2069</v>
        <stp/>
        <stp>OPEN_INT</stp>
        <stp>.SPX250620C5770</stp>
        <tr r="AW115" s="1"/>
        <tr r="AW115" s="1"/>
      </tp>
      <tp>
        <v>2255</v>
        <stp/>
        <stp>OPEN_INT</stp>
        <stp>.SPX250620P5770</stp>
        <tr r="AX115" s="1"/>
        <tr r="AX115" s="1"/>
      </tp>
      <tp>
        <v>82518</v>
        <stp/>
        <stp>OPEN_INT</stp>
        <stp>.SPX250620C5700</stp>
        <tr r="AW122" s="1"/>
        <tr r="AW122" s="1"/>
      </tp>
      <tp>
        <v>86936</v>
        <stp/>
        <stp>OPEN_INT</stp>
        <stp>.SPX250620P5700</stp>
        <tr r="AX122" s="1"/>
        <tr r="AX122" s="1"/>
      </tp>
      <tp>
        <v>9247</v>
        <stp/>
        <stp>OPEN_INT</stp>
        <stp>.SPX250620C5710</stp>
        <tr r="AW121" s="1"/>
        <tr r="AW121" s="1"/>
      </tp>
      <tp>
        <v>9474</v>
        <stp/>
        <stp>OPEN_INT</stp>
        <stp>.SPX250620P5710</stp>
        <tr r="AX121" s="1"/>
        <tr r="AX121" s="1"/>
      </tp>
      <tp>
        <v>5957</v>
        <stp/>
        <stp>OPEN_INT</stp>
        <stp>.SPX250620C5720</stp>
        <tr r="AW120" s="1"/>
        <tr r="AW120" s="1"/>
      </tp>
      <tp>
        <v>6046</v>
        <stp/>
        <stp>OPEN_INT</stp>
        <stp>.SPX250620P5720</stp>
        <tr r="AX120" s="1"/>
        <tr r="AX120" s="1"/>
      </tp>
      <tp>
        <v>4703</v>
        <stp/>
        <stp>OPEN_INT</stp>
        <stp>.SPX250620C5730</stp>
        <tr r="AW119" s="1"/>
        <tr r="AW119" s="1"/>
      </tp>
      <tp>
        <v>4613</v>
        <stp/>
        <stp>OPEN_INT</stp>
        <stp>.SPX250620P5730</stp>
        <tr r="AX119" s="1"/>
        <tr r="AX119" s="1"/>
      </tp>
      <tp>
        <v>1873</v>
        <stp/>
        <stp>OPEN_INT</stp>
        <stp>.SPX250620C5780</stp>
        <tr r="AW114" s="1"/>
        <tr r="AW114" s="1"/>
      </tp>
      <tp>
        <v>1801</v>
        <stp/>
        <stp>OPEN_INT</stp>
        <stp>.SPX250620P5780</stp>
        <tr r="AX114" s="1"/>
        <tr r="AX114" s="1"/>
      </tp>
      <tp>
        <v>911</v>
        <stp/>
        <stp>OPEN_INT</stp>
        <stp>.SPX250620C5790</stp>
        <tr r="AW113" s="1"/>
        <tr r="AW113" s="1"/>
      </tp>
      <tp>
        <v>1117</v>
        <stp/>
        <stp>OPEN_INT</stp>
        <stp>.SPX250620P5790</stp>
        <tr r="AX113" s="1"/>
        <tr r="AX113" s="1"/>
      </tp>
      <tp>
        <v>845.8</v>
        <stp/>
        <stp>BID</stp>
        <stp>.NDXP250520C20475</stp>
        <tr r="DE180" s="1"/>
        <tr r="DE180" s="1"/>
      </tp>
      <tp>
        <v>0</v>
        <stp/>
        <stp>BID</stp>
        <stp>.NDXP250520C21475</stp>
        <tr r="DE140" s="1"/>
        <tr r="DE140" s="1"/>
      </tp>
      <tp>
        <v>824</v>
        <stp/>
        <stp>BID</stp>
        <stp>.NDXP250520C20450</stp>
        <tr r="DE181" s="1"/>
        <tr r="DE181" s="1"/>
      </tp>
      <tp>
        <v>0</v>
        <stp/>
        <stp>BID</stp>
        <stp>.NDXP250520C21450</stp>
        <tr r="DE141" s="1"/>
        <tr r="DE141" s="1"/>
      </tp>
      <tp>
        <v>848</v>
        <stp/>
        <stp>BID</stp>
        <stp>.NDXP250520C20425</stp>
        <tr r="DE182" s="1"/>
        <tr r="DE182" s="1"/>
      </tp>
      <tp>
        <v>0</v>
        <stp/>
        <stp>BID</stp>
        <stp>.NDXP250520C21425</stp>
        <tr r="DE142" s="1"/>
        <tr r="DE142" s="1"/>
      </tp>
      <tp>
        <v>874</v>
        <stp/>
        <stp>BID</stp>
        <stp>.NDXP250520C20400</stp>
        <tr r="DE183" s="1"/>
        <tr r="DE183" s="1"/>
      </tp>
      <tp>
        <v>0.05</v>
        <stp/>
        <stp>BID</stp>
        <stp>.NDXP250520C21400</stp>
        <tr r="DE143" s="1"/>
        <tr r="DE143" s="1"/>
      </tp>
      <tp>
        <v>0</v>
        <stp/>
        <stp>BID</stp>
        <stp>.NDXP250520P20450</stp>
        <tr r="DF181" s="1"/>
        <tr r="DF181" s="1"/>
      </tp>
      <tp>
        <v>70</v>
        <stp/>
        <stp>BID</stp>
        <stp>.NDXP250520P21450</stp>
        <tr r="DF141" s="1"/>
        <tr r="DF141" s="1"/>
      </tp>
      <tp>
        <v>0</v>
        <stp/>
        <stp>BID</stp>
        <stp>.NDXP250520P20475</stp>
        <tr r="DF180" s="1"/>
        <tr r="DF180" s="1"/>
      </tp>
      <tp>
        <v>94.3</v>
        <stp/>
        <stp>BID</stp>
        <stp>.NDXP250520P21475</stp>
        <tr r="DF140" s="1"/>
        <tr r="DF140" s="1"/>
      </tp>
      <tp>
        <v>0</v>
        <stp/>
        <stp>BID</stp>
        <stp>.NDXP250520P20400</stp>
        <tr r="DF183" s="1"/>
        <tr r="DF183" s="1"/>
      </tp>
      <tp>
        <v>20</v>
        <stp/>
        <stp>BID</stp>
        <stp>.NDXP250520P21400</stp>
        <tr r="DF143" s="1"/>
        <tr r="DF143" s="1"/>
      </tp>
      <tp>
        <v>0</v>
        <stp/>
        <stp>BID</stp>
        <stp>.NDXP250520P20425</stp>
        <tr r="DF182" s="1"/>
        <tr r="DF182" s="1"/>
      </tp>
      <tp>
        <v>44.3</v>
        <stp/>
        <stp>BID</stp>
        <stp>.NDXP250520P21425</stp>
        <tr r="DF142" s="1"/>
        <tr r="DF142" s="1"/>
      </tp>
      <tp t="s">
        <v>N/A</v>
        <stp/>
        <stp>VOLUME</stp>
        <stp>.NDXPP20375</stp>
        <tr r="B185" s="2"/>
        <tr r="F185" s="2"/>
        <tr r="J185" s="2"/>
        <tr r="C185" s="2"/>
      </tp>
      <tp t="s">
        <v>N/A</v>
        <stp/>
        <stp>VOLUME</stp>
        <stp>.NDXPP21375</stp>
        <tr r="J145" s="2"/>
        <tr r="B145" s="2"/>
        <tr r="F145" s="2"/>
        <tr r="C145" s="2"/>
      </tp>
      <tp t="s">
        <v>N/A</v>
        <stp/>
        <stp>VOLUME</stp>
        <stp>.NDXPP20350</stp>
        <tr r="B186" s="2"/>
        <tr r="J186" s="2"/>
        <tr r="C186" s="2"/>
        <tr r="F186" s="2"/>
      </tp>
      <tp t="s">
        <v>N/A</v>
        <stp/>
        <stp>VOLUME</stp>
        <stp>.NDXPP21350</stp>
        <tr r="J146" s="2"/>
        <tr r="C146" s="2"/>
        <tr r="F146" s="2"/>
        <tr r="B146" s="2"/>
      </tp>
      <tp t="s">
        <v>N/A</v>
        <stp/>
        <stp>VOLUME</stp>
        <stp>.NDXPP20325</stp>
        <tr r="C187" s="2"/>
        <tr r="J187" s="2"/>
        <tr r="B187" s="2"/>
        <tr r="F187" s="2"/>
      </tp>
      <tp t="s">
        <v>N/A</v>
        <stp/>
        <stp>VOLUME</stp>
        <stp>.NDXPP21325</stp>
        <tr r="J147" s="2"/>
        <tr r="F147" s="2"/>
        <tr r="C147" s="2"/>
        <tr r="B147" s="2"/>
      </tp>
      <tp t="s">
        <v>N/A</v>
        <stp/>
        <stp>VOLUME</stp>
        <stp>.NDXPP20300</stp>
        <tr r="B188" s="2"/>
        <tr r="J188" s="2"/>
        <tr r="C188" s="2"/>
        <tr r="F188" s="2"/>
      </tp>
      <tp t="s">
        <v>N/A</v>
        <stp/>
        <stp>VOLUME</stp>
        <stp>.NDXPP21300</stp>
        <tr r="J148" s="2"/>
        <tr r="F148" s="2"/>
        <tr r="B148" s="2"/>
        <tr r="C148" s="2"/>
      </tp>
      <tp t="s">
        <v>N/A</v>
        <stp/>
        <stp>VOLUME</stp>
        <stp>.NDXPC20350</stp>
        <tr r="B186" s="2"/>
        <tr r="J186" s="2"/>
        <tr r="C186" s="2"/>
        <tr r="F186" s="2"/>
      </tp>
      <tp t="s">
        <v>N/A</v>
        <stp/>
        <stp>VOLUME</stp>
        <stp>.NDXPC21350</stp>
        <tr r="J146" s="2"/>
        <tr r="C146" s="2"/>
        <tr r="F146" s="2"/>
        <tr r="B146" s="2"/>
      </tp>
      <tp t="s">
        <v>N/A</v>
        <stp/>
        <stp>VOLUME</stp>
        <stp>.NDXPC20375</stp>
        <tr r="B185" s="2"/>
        <tr r="F185" s="2"/>
        <tr r="J185" s="2"/>
        <tr r="C185" s="2"/>
      </tp>
      <tp t="s">
        <v>N/A</v>
        <stp/>
        <stp>VOLUME</stp>
        <stp>.NDXPC21375</stp>
        <tr r="J145" s="2"/>
        <tr r="B145" s="2"/>
        <tr r="F145" s="2"/>
        <tr r="C145" s="2"/>
      </tp>
      <tp t="s">
        <v>N/A</v>
        <stp/>
        <stp>VOLUME</stp>
        <stp>.NDXPC20300</stp>
        <tr r="B188" s="2"/>
        <tr r="J188" s="2"/>
        <tr r="C188" s="2"/>
        <tr r="F188" s="2"/>
      </tp>
      <tp t="s">
        <v>N/A</v>
        <stp/>
        <stp>VOLUME</stp>
        <stp>.NDXPC21300</stp>
        <tr r="J148" s="2"/>
        <tr r="F148" s="2"/>
        <tr r="B148" s="2"/>
        <tr r="C148" s="2"/>
      </tp>
      <tp>
        <v>21367.374</v>
        <stp/>
        <stp>MARK</stp>
        <stp>NDX</stp>
        <tr r="E134" s="1"/>
      </tp>
      <tp t="s">
        <v>N/A</v>
        <stp/>
        <stp>VOLUME</stp>
        <stp>.NDXPC20325</stp>
        <tr r="C187" s="2"/>
        <tr r="J187" s="2"/>
        <tr r="B187" s="2"/>
        <tr r="F187" s="2"/>
      </tp>
      <tp t="s">
        <v>N/A</v>
        <stp/>
        <stp>VOLUME</stp>
        <stp>.NDXPC21325</stp>
        <tr r="J147" s="2"/>
        <tr r="F147" s="2"/>
        <tr r="C147" s="2"/>
        <tr r="B147" s="2"/>
      </tp>
      <tp>
        <v>477</v>
        <stp/>
        <stp>OPEN_INT</stp>
        <stp>.SPX250620C5840</stp>
        <tr r="AW108" s="1"/>
        <tr r="AW108" s="1"/>
      </tp>
      <tp>
        <v>2231</v>
        <stp/>
        <stp>OPEN_INT</stp>
        <stp>.SPX250620P5840</stp>
        <tr r="AX108" s="1"/>
        <tr r="AX108" s="1"/>
      </tp>
      <tp>
        <v>27010</v>
        <stp/>
        <stp>OPEN_INT</stp>
        <stp>.SPX250620C5850</stp>
        <tr r="AW107" s="1"/>
        <tr r="AW107" s="1"/>
      </tp>
      <tp>
        <v>23591</v>
        <stp/>
        <stp>OPEN_INT</stp>
        <stp>.SPX250620P5850</stp>
        <tr r="AX107" s="1"/>
        <tr r="AX107" s="1"/>
      </tp>
      <tp>
        <v>999</v>
        <stp/>
        <stp>OPEN_INT</stp>
        <stp>.SPX250620C5860</stp>
        <tr r="AW106" s="1"/>
        <tr r="AW106" s="1"/>
      </tp>
      <tp>
        <v>1111</v>
        <stp/>
        <stp>OPEN_INT</stp>
        <stp>.SPX250620P5860</stp>
        <tr r="AX106" s="1"/>
        <tr r="AX106" s="1"/>
      </tp>
      <tp>
        <v>1233</v>
        <stp/>
        <stp>OPEN_INT</stp>
        <stp>.SPX250620C5870</stp>
        <tr r="AW105" s="1"/>
        <tr r="AW105" s="1"/>
      </tp>
      <tp>
        <v>2262</v>
        <stp/>
        <stp>OPEN_INT</stp>
        <stp>.SPX250620P5870</stp>
        <tr r="AX105" s="1"/>
        <tr r="AX105" s="1"/>
      </tp>
      <tp>
        <v>45092</v>
        <stp/>
        <stp>OPEN_INT</stp>
        <stp>.SPX250620C5800</stp>
        <tr r="AW112" s="1"/>
        <tr r="AW112" s="1"/>
      </tp>
      <tp>
        <v>41780</v>
        <stp/>
        <stp>OPEN_INT</stp>
        <stp>.SPX250620P5800</stp>
        <tr r="AX112" s="1"/>
        <tr r="AX112" s="1"/>
      </tp>
      <tp>
        <v>6347</v>
        <stp/>
        <stp>OPEN_INT</stp>
        <stp>.SPX250620C5810</stp>
        <tr r="AW111" s="1"/>
        <tr r="AW111" s="1"/>
      </tp>
      <tp>
        <v>4714</v>
        <stp/>
        <stp>OPEN_INT</stp>
        <stp>.SPX250620P5810</stp>
        <tr r="AX111" s="1"/>
        <tr r="AX111" s="1"/>
      </tp>
      <tp>
        <v>4807</v>
        <stp/>
        <stp>OPEN_INT</stp>
        <stp>.SPX250620C5820</stp>
        <tr r="AW110" s="1"/>
        <tr r="AW110" s="1"/>
      </tp>
      <tp>
        <v>4694</v>
        <stp/>
        <stp>OPEN_INT</stp>
        <stp>.SPX250620P5820</stp>
        <tr r="AX110" s="1"/>
        <tr r="AX110" s="1"/>
      </tp>
      <tp>
        <v>5213</v>
        <stp/>
        <stp>OPEN_INT</stp>
        <stp>.SPX250620C5830</stp>
        <tr r="AW109" s="1"/>
        <tr r="AW109" s="1"/>
      </tp>
      <tp>
        <v>5192</v>
        <stp/>
        <stp>OPEN_INT</stp>
        <stp>.SPX250620P5830</stp>
        <tr r="AX109" s="1"/>
        <tr r="AX109" s="1"/>
      </tp>
      <tp>
        <v>3089</v>
        <stp/>
        <stp>OPEN_INT</stp>
        <stp>.SPX250620C5880</stp>
        <tr r="AW104" s="1"/>
        <tr r="AW104" s="1"/>
      </tp>
      <tp>
        <v>3414</v>
        <stp/>
        <stp>OPEN_INT</stp>
        <stp>.SPX250620P5880</stp>
        <tr r="AX104" s="1"/>
        <tr r="AX104" s="1"/>
      </tp>
      <tp>
        <v>2937</v>
        <stp/>
        <stp>OPEN_INT</stp>
        <stp>.SPX250620C5890</stp>
        <tr r="AW103" s="1"/>
        <tr r="AW103" s="1"/>
      </tp>
      <tp>
        <v>4184</v>
        <stp/>
        <stp>OPEN_INT</stp>
        <stp>.SPX250620P5890</stp>
        <tr r="AX103" s="1"/>
        <tr r="AX103" s="1"/>
      </tp>
      <tp>
        <v>758</v>
        <stp/>
        <stp>BID</stp>
        <stp>.NDXP250520C20575</stp>
        <tr r="DE176" s="1"/>
        <tr r="DE176" s="1"/>
      </tp>
      <tp>
        <v>784</v>
        <stp/>
        <stp>BID</stp>
        <stp>.NDXP250520C20550</stp>
        <tr r="DE177" s="1"/>
        <tr r="DE177" s="1"/>
      </tp>
      <tp>
        <v>0</v>
        <stp/>
        <stp>BID</stp>
        <stp>.NDXP250520C21550</stp>
        <tr r="DE137" s="1"/>
        <tr r="DE137" s="1"/>
      </tp>
      <tp>
        <v>805.6</v>
        <stp/>
        <stp>BID</stp>
        <stp>.NDXP250520C20525</stp>
        <tr r="DE178" s="1"/>
        <tr r="DE178" s="1"/>
      </tp>
      <tp t="s">
        <v>N/A</v>
        <stp/>
        <stp>BID</stp>
        <stp>.NDXP250520C21525</stp>
        <tr r="DE138" s="1"/>
      </tp>
      <tp>
        <v>830.8</v>
        <stp/>
        <stp>BID</stp>
        <stp>.NDXP250520C20500</stp>
        <tr r="DE179" s="1"/>
        <tr r="DE179" s="1"/>
      </tp>
      <tp>
        <v>0</v>
        <stp/>
        <stp>BID</stp>
        <stp>.NDXP250520C21500</stp>
        <tr r="DE139" s="1"/>
        <tr r="DE139" s="1"/>
      </tp>
      <tp>
        <v>0</v>
        <stp/>
        <stp>BID</stp>
        <stp>.NDXP250520P20550</stp>
        <tr r="DF177" s="1"/>
        <tr r="DF177" s="1"/>
      </tp>
      <tp>
        <v>169.3</v>
        <stp/>
        <stp>BID</stp>
        <stp>.NDXP250520P21550</stp>
        <tr r="DF137" s="1"/>
        <tr r="DF137" s="1"/>
      </tp>
      <tp>
        <v>0</v>
        <stp/>
        <stp>BID</stp>
        <stp>.NDXP250520P20575</stp>
        <tr r="DF176" s="1"/>
        <tr r="DF176" s="1"/>
      </tp>
      <tp>
        <v>0</v>
        <stp/>
        <stp>BID</stp>
        <stp>.NDXP250520P20500</stp>
        <tr r="DF179" s="1"/>
        <tr r="DF179" s="1"/>
      </tp>
      <tp>
        <v>120</v>
        <stp/>
        <stp>BID</stp>
        <stp>.NDXP250520P21500</stp>
        <tr r="DF139" s="1"/>
        <tr r="DF139" s="1"/>
      </tp>
      <tp>
        <v>0</v>
        <stp/>
        <stp>BID</stp>
        <stp>.NDXP250520P20525</stp>
        <tr r="DF178" s="1"/>
        <tr r="DF178" s="1"/>
      </tp>
      <tp t="s">
        <v>N/A</v>
        <stp/>
        <stp>BID</stp>
        <stp>.NDXP250520P21525</stp>
        <tr r="DF138" s="1"/>
      </tp>
      <tp t="s">
        <v>N/A</v>
        <stp/>
        <stp>VOLUME</stp>
        <stp>.NDXPP20275</stp>
        <tr r="C189" s="2"/>
        <tr r="B189" s="2"/>
        <tr r="J189" s="2"/>
        <tr r="F189" s="2"/>
      </tp>
      <tp t="s">
        <v>N/A</v>
        <stp/>
        <stp>VOLUME</stp>
        <stp>.NDXPP21275</stp>
        <tr r="F149" s="2"/>
        <tr r="B149" s="2"/>
        <tr r="J149" s="2"/>
        <tr r="C149" s="2"/>
      </tp>
      <tp t="s">
        <v>N/A</v>
        <stp/>
        <stp>VOLUME</stp>
        <stp>.NDXPP20250</stp>
        <tr r="B190" s="2"/>
        <tr r="F190" s="2"/>
        <tr r="C190" s="2"/>
        <tr r="J190" s="2"/>
      </tp>
      <tp t="s">
        <v>N/A</v>
        <stp/>
        <stp>VOLUME</stp>
        <stp>.NDXPP21250</stp>
        <tr r="J150" s="2"/>
        <tr r="F150" s="2"/>
        <tr r="C150" s="2"/>
        <tr r="B150" s="2"/>
      </tp>
      <tp t="s">
        <v>N/A</v>
        <stp/>
        <stp>VOLUME</stp>
        <stp>.NDXPP21225</stp>
        <tr r="C151" s="2"/>
        <tr r="J151" s="2"/>
        <tr r="F151" s="2"/>
        <tr r="B151" s="2"/>
      </tp>
      <tp t="s">
        <v>N/A</v>
        <stp/>
        <stp>VOLUME</stp>
        <stp>.NDXPP21200</stp>
        <tr r="F152" s="2"/>
        <tr r="B152" s="2"/>
        <tr r="C152" s="2"/>
        <tr r="J152" s="2"/>
      </tp>
      <tp>
        <v>95.8</v>
        <stp/>
        <stp>LAST</stp>
        <stp>.SPXW250520P6030</stp>
        <tr r="DB89" s="1"/>
        <tr r="DB89" s="1"/>
      </tp>
      <tp>
        <v>0.03</v>
        <stp/>
        <stp>LAST</stp>
        <stp>.SPXW250520C6030</stp>
        <tr r="DA89" s="1"/>
        <tr r="DA89" s="1"/>
      </tp>
      <tp>
        <v>94.55</v>
        <stp/>
        <stp>LAST</stp>
        <stp>.SPXW250520P6020</stp>
        <tr r="DB90" s="1"/>
        <tr r="DB90" s="1"/>
      </tp>
      <tp>
        <v>0.03</v>
        <stp/>
        <stp>LAST</stp>
        <stp>.SPXW250520C6020</stp>
        <tr r="DA90" s="1"/>
        <tr r="DA90" s="1"/>
      </tp>
      <tp>
        <v>75.849999999999994</v>
        <stp/>
        <stp>LAST</stp>
        <stp>.SPXW250520P6010</stp>
        <tr r="DB91" s="1"/>
        <tr r="DB91" s="1"/>
      </tp>
      <tp>
        <v>0.03</v>
        <stp/>
        <stp>LAST</stp>
        <stp>.SPXW250520C6010</stp>
        <tr r="DA91" s="1"/>
        <tr r="DA91" s="1"/>
      </tp>
      <tp>
        <v>61.6</v>
        <stp/>
        <stp>LAST</stp>
        <stp>.SPXW250520P6000</stp>
        <tr r="DB92" s="1"/>
        <tr r="DB92" s="1"/>
      </tp>
      <tp>
        <v>0.05</v>
        <stp/>
        <stp>LAST</stp>
        <stp>.SPXW250520C6000</stp>
        <tr r="DA92" s="1"/>
        <tr r="DA92" s="1"/>
      </tp>
      <tp>
        <v>149.49</v>
        <stp/>
        <stp>LAST</stp>
        <stp>.SPXW250520P6070</stp>
        <tr r="DB85" s="1"/>
        <tr r="DB85" s="1"/>
      </tp>
      <tp>
        <v>0.03</v>
        <stp/>
        <stp>LAST</stp>
        <stp>.SPXW250520C6070</stp>
        <tr r="DA85" s="1"/>
        <tr r="DA85" s="1"/>
      </tp>
      <tp>
        <v>115.99</v>
        <stp/>
        <stp>LAST</stp>
        <stp>.SPXW250520P6060</stp>
        <tr r="DB86" s="1"/>
        <tr r="DB86" s="1"/>
      </tp>
      <tp>
        <v>0.02</v>
        <stp/>
        <stp>LAST</stp>
        <stp>.SPXW250520C6060</stp>
        <tr r="DA86" s="1"/>
        <tr r="DA86" s="1"/>
      </tp>
      <tp>
        <v>130.55000000000001</v>
        <stp/>
        <stp>LAST</stp>
        <stp>.SPXW250520P6050</stp>
        <tr r="DB87" s="1"/>
        <tr r="DB87" s="1"/>
      </tp>
      <tp>
        <v>0.03</v>
        <stp/>
        <stp>LAST</stp>
        <stp>.SPXW250520C6050</stp>
        <tr r="DA87" s="1"/>
        <tr r="DA87" s="1"/>
      </tp>
      <tp>
        <v>117.6</v>
        <stp/>
        <stp>LAST</stp>
        <stp>.SPXW250520P6040</stp>
        <tr r="DB88" s="1"/>
        <tr r="DB88" s="1"/>
      </tp>
      <tp>
        <v>0.02</v>
        <stp/>
        <stp>LAST</stp>
        <stp>.SPXW250520C6040</stp>
        <tr r="DA88" s="1"/>
        <tr r="DA88" s="1"/>
      </tp>
      <tp t="s">
        <v>N/A</v>
        <stp/>
        <stp>VOLUME</stp>
        <stp>.NDXPC20250</stp>
        <tr r="B190" s="2"/>
        <tr r="F190" s="2"/>
        <tr r="C190" s="2"/>
        <tr r="J190" s="2"/>
      </tp>
      <tp t="s">
        <v>N/A</v>
        <stp/>
        <stp>VOLUME</stp>
        <stp>.NDXPC21250</stp>
        <tr r="J150" s="2"/>
        <tr r="F150" s="2"/>
        <tr r="C150" s="2"/>
        <tr r="B150" s="2"/>
      </tp>
      <tp t="s">
        <v>N/A</v>
        <stp/>
        <stp>VOLUME</stp>
        <stp>.NDXPC20275</stp>
        <tr r="C189" s="2"/>
        <tr r="B189" s="2"/>
        <tr r="J189" s="2"/>
        <tr r="F189" s="2"/>
      </tp>
      <tp t="s">
        <v>N/A</v>
        <stp/>
        <stp>VOLUME</stp>
        <stp>.NDXPC21275</stp>
        <tr r="F149" s="2"/>
        <tr r="B149" s="2"/>
        <tr r="J149" s="2"/>
        <tr r="C149" s="2"/>
      </tp>
      <tp t="s">
        <v>N/A</v>
        <stp/>
        <stp>VOLUME</stp>
        <stp>.NDXPC21200</stp>
        <tr r="F152" s="2"/>
        <tr r="B152" s="2"/>
        <tr r="C152" s="2"/>
        <tr r="J152" s="2"/>
      </tp>
      <tp t="s">
        <v>N/A</v>
        <stp/>
        <stp>VOLUME</stp>
        <stp>.NDXPC21225</stp>
        <tr r="C151" s="2"/>
        <tr r="J151" s="2"/>
        <tr r="F151" s="2"/>
        <tr r="B151" s="2"/>
      </tp>
      <tp>
        <v>5685</v>
        <stp/>
        <stp>OPEN_INT</stp>
        <stp>.SPX250620C5940</stp>
        <tr r="AW98" s="1"/>
        <tr r="AW98" s="1"/>
      </tp>
      <tp>
        <v>5969</v>
        <stp/>
        <stp>OPEN_INT</stp>
        <stp>.SPX250620P5940</stp>
        <tr r="AX98" s="1"/>
        <tr r="AX98" s="1"/>
      </tp>
      <tp>
        <v>17617</v>
        <stp/>
        <stp>OPEN_INT</stp>
        <stp>.SPX250620C5950</stp>
        <tr r="AW97" s="1"/>
        <tr r="AW97" s="1"/>
      </tp>
      <tp>
        <v>16096</v>
        <stp/>
        <stp>OPEN_INT</stp>
        <stp>.SPX250620P5950</stp>
        <tr r="AX97" s="1"/>
        <tr r="AX97" s="1"/>
      </tp>
      <tp>
        <v>2959</v>
        <stp/>
        <stp>OPEN_INT</stp>
        <stp>.SPX250620C5960</stp>
        <tr r="AW96" s="1"/>
        <tr r="AW96" s="1"/>
      </tp>
      <tp>
        <v>2813</v>
        <stp/>
        <stp>OPEN_INT</stp>
        <stp>.SPX250620P5960</stp>
        <tr r="AX96" s="1"/>
        <tr r="AX96" s="1"/>
      </tp>
      <tp>
        <v>4461</v>
        <stp/>
        <stp>OPEN_INT</stp>
        <stp>.SPX250620C5970</stp>
        <tr r="AW95" s="1"/>
        <tr r="AW95" s="1"/>
      </tp>
      <tp>
        <v>4098</v>
        <stp/>
        <stp>OPEN_INT</stp>
        <stp>.SPX250620P5970</stp>
        <tr r="AX95" s="1"/>
        <tr r="AX95" s="1"/>
      </tp>
      <tp>
        <v>48408</v>
        <stp/>
        <stp>OPEN_INT</stp>
        <stp>.SPX250620C5900</stp>
        <tr r="AW102" s="1"/>
        <tr r="AW102" s="1"/>
      </tp>
      <tp>
        <v>41080</v>
        <stp/>
        <stp>OPEN_INT</stp>
        <stp>.SPX250620P5900</stp>
        <tr r="AX102" s="1"/>
        <tr r="AX102" s="1"/>
      </tp>
      <tp>
        <v>8322</v>
        <stp/>
        <stp>OPEN_INT</stp>
        <stp>.SPX250620C5910</stp>
        <tr r="AW101" s="1"/>
        <tr r="AW101" s="1"/>
      </tp>
      <tp>
        <v>7956</v>
        <stp/>
        <stp>OPEN_INT</stp>
        <stp>.SPX250620P5910</stp>
        <tr r="AX101" s="1"/>
        <tr r="AX101" s="1"/>
      </tp>
      <tp>
        <v>10966</v>
        <stp/>
        <stp>OPEN_INT</stp>
        <stp>.SPX250620C5920</stp>
        <tr r="AW100" s="1"/>
        <tr r="AW100" s="1"/>
      </tp>
      <tp>
        <v>5036</v>
        <stp/>
        <stp>OPEN_INT</stp>
        <stp>.SPX250620P5920</stp>
        <tr r="AX100" s="1"/>
        <tr r="AX100" s="1"/>
      </tp>
      <tp>
        <v>3949</v>
        <stp/>
        <stp>OPEN_INT</stp>
        <stp>.SPX250620C5930</stp>
        <tr r="AW99" s="1"/>
        <tr r="AW99" s="1"/>
      </tp>
      <tp>
        <v>4037</v>
        <stp/>
        <stp>OPEN_INT</stp>
        <stp>.SPX250620P5930</stp>
        <tr r="AX99" s="1"/>
        <tr r="AX99" s="1"/>
      </tp>
      <tp>
        <v>998</v>
        <stp/>
        <stp>OPEN_INT</stp>
        <stp>.SPX250620C5980</stp>
        <tr r="AW94" s="1"/>
        <tr r="AW94" s="1"/>
      </tp>
      <tp>
        <v>921</v>
        <stp/>
        <stp>OPEN_INT</stp>
        <stp>.SPX250620P5980</stp>
        <tr r="AX94" s="1"/>
        <tr r="AX94" s="1"/>
      </tp>
      <tp>
        <v>620</v>
        <stp/>
        <stp>OPEN_INT</stp>
        <stp>.SPX250620C5990</stp>
        <tr r="AW93" s="1"/>
        <tr r="AW93" s="1"/>
      </tp>
      <tp>
        <v>295</v>
        <stp/>
        <stp>OPEN_INT</stp>
        <stp>.SPX250620P5990</stp>
        <tr r="AX93" s="1"/>
        <tr r="AX93" s="1"/>
      </tp>
      <tp>
        <v>657</v>
        <stp/>
        <stp>BID</stp>
        <stp>.NDXP250520C20675</stp>
        <tr r="DE172" s="1"/>
        <tr r="DE172" s="1"/>
      </tp>
      <tp>
        <v>415.2</v>
        <stp/>
        <stp>ASK</stp>
        <stp>.NDXP250520C20975</stp>
        <tr r="DC160" s="1"/>
        <tr r="DC160" s="1"/>
      </tp>
      <tp>
        <v>682</v>
        <stp/>
        <stp>BID</stp>
        <stp>.NDXP250520C20650</stp>
        <tr r="DE173" s="1"/>
        <tr r="DE173" s="1"/>
      </tp>
      <tp>
        <v>443.6</v>
        <stp/>
        <stp>ASK</stp>
        <stp>.NDXP250520C20950</stp>
        <tr r="DC161" s="1"/>
        <tr r="DC161" s="1"/>
      </tp>
      <tp>
        <v>706.6</v>
        <stp/>
        <stp>BID</stp>
        <stp>.NDXP250520C20625</stp>
        <tr r="DE174" s="1"/>
        <tr r="DE174" s="1"/>
      </tp>
      <tp>
        <v>480.1</v>
        <stp/>
        <stp>ASK</stp>
        <stp>.NDXP250520C20925</stp>
        <tr r="DC162" s="1"/>
        <tr r="DC162" s="1"/>
      </tp>
      <tp>
        <v>734</v>
        <stp/>
        <stp>BID</stp>
        <stp>.NDXP250520C20600</stp>
        <tr r="DE175" s="1"/>
        <tr r="DE175" s="1"/>
      </tp>
      <tp>
        <v>501.8</v>
        <stp/>
        <stp>ASK</stp>
        <stp>.NDXP250520C20900</stp>
        <tr r="DC163" s="1"/>
        <tr r="DC163" s="1"/>
      </tp>
      <tp>
        <v>0</v>
        <stp/>
        <stp>BID</stp>
        <stp>.NDXP250520P20650</stp>
        <tr r="DF173" s="1"/>
        <tr r="DF173" s="1"/>
      </tp>
      <tp>
        <v>19.8</v>
        <stp/>
        <stp>ASK</stp>
        <stp>.NDXP250520P20950</stp>
        <tr r="DD161" s="1"/>
        <tr r="DD161" s="1"/>
      </tp>
      <tp>
        <v>0</v>
        <stp/>
        <stp>BID</stp>
        <stp>.NDXP250520P20675</stp>
        <tr r="DF172" s="1"/>
        <tr r="DF172" s="1"/>
      </tp>
      <tp>
        <v>19.8</v>
        <stp/>
        <stp>ASK</stp>
        <stp>.NDXP250520P20975</stp>
        <tr r="DD160" s="1"/>
        <tr r="DD160" s="1"/>
      </tp>
      <tp>
        <v>0</v>
        <stp/>
        <stp>BID</stp>
        <stp>.NDXP250520P20600</stp>
        <tr r="DF175" s="1"/>
        <tr r="DF175" s="1"/>
      </tp>
      <tp>
        <v>7.3</v>
        <stp/>
        <stp>ASK</stp>
        <stp>.NDXP250520P20900</stp>
        <tr r="DD163" s="1"/>
        <tr r="DD163" s="1"/>
      </tp>
      <tp>
        <v>0</v>
        <stp/>
        <stp>BID</stp>
        <stp>.NDXP250520P20625</stp>
        <tr r="DF174" s="1"/>
        <tr r="DF174" s="1"/>
      </tp>
      <tp>
        <v>19.8</v>
        <stp/>
        <stp>ASK</stp>
        <stp>.NDXP250520P20925</stp>
        <tr r="DD162" s="1"/>
        <tr r="DD162" s="1"/>
      </tp>
      <tp t="s">
        <v>N/A</v>
        <stp/>
        <stp>VOLUME</stp>
        <stp>.NDXPP21175</stp>
        <tr r="B153" s="2"/>
        <tr r="C153" s="2"/>
        <tr r="F153" s="2"/>
        <tr r="J153" s="2"/>
      </tp>
      <tp t="s">
        <v>N/A</v>
        <stp/>
        <stp>VOLUME</stp>
        <stp>.NDXPP21150</stp>
        <tr r="C154" s="2"/>
        <tr r="J154" s="2"/>
        <tr r="B154" s="2"/>
        <tr r="F154" s="2"/>
      </tp>
      <tp t="s">
        <v>N/A</v>
        <stp/>
        <stp>VOLUME</stp>
        <stp>.NDXPP21125</stp>
        <tr r="F155" s="2"/>
        <tr r="J155" s="2"/>
        <tr r="C155" s="2"/>
        <tr r="B155" s="2"/>
      </tp>
      <tp t="s">
        <v>N/A</v>
        <stp/>
        <stp>VOLUME</stp>
        <stp>.NDXPP21100</stp>
        <tr r="J156" s="2"/>
        <tr r="F156" s="2"/>
        <tr r="B156" s="2"/>
        <tr r="C156" s="2"/>
      </tp>
      <tp t="s">
        <v>N/A</v>
        <stp/>
        <stp>VOLUME</stp>
        <stp>.NDXPC21150</stp>
        <tr r="C154" s="2"/>
        <tr r="J154" s="2"/>
        <tr r="B154" s="2"/>
        <tr r="F154" s="2"/>
      </tp>
      <tp t="s">
        <v>N/A</v>
        <stp/>
        <stp>VOLUME</stp>
        <stp>.NDXPC21175</stp>
        <tr r="B153" s="2"/>
        <tr r="C153" s="2"/>
        <tr r="F153" s="2"/>
        <tr r="J153" s="2"/>
      </tp>
      <tp t="s">
        <v>N/A</v>
        <stp/>
        <stp>VOLUME</stp>
        <stp>.NDXPC21100</stp>
        <tr r="J156" s="2"/>
        <tr r="F156" s="2"/>
        <tr r="B156" s="2"/>
        <tr r="C156" s="2"/>
      </tp>
      <tp t="s">
        <v>N/A</v>
        <stp/>
        <stp>VOLUME</stp>
        <stp>.NDXPC21125</stp>
        <tr r="F155" s="2"/>
        <tr r="J155" s="2"/>
        <tr r="C155" s="2"/>
        <tr r="B155" s="2"/>
      </tp>
      <tp t="s">
        <v>17.78%</v>
        <stp/>
        <stp>IMPL_VOL</stp>
        <stp>.SPX250620P5800</stp>
        <tr r="EQ112" s="1"/>
      </tp>
      <tp t="s">
        <v>16.42%</v>
        <stp/>
        <stp>IMPL_VOL</stp>
        <stp>.SPX250620C5800</stp>
        <tr r="EP112" s="1"/>
      </tp>
      <tp t="s">
        <v>17.63%</v>
        <stp/>
        <stp>IMPL_VOL</stp>
        <stp>.SPX250620P5810</stp>
        <tr r="EQ111" s="1"/>
      </tp>
      <tp t="s">
        <v>16.29%</v>
        <stp/>
        <stp>IMPL_VOL</stp>
        <stp>.SPX250620C5810</stp>
        <tr r="EP111" s="1"/>
      </tp>
      <tp t="s">
        <v>17.47%</v>
        <stp/>
        <stp>IMPL_VOL</stp>
        <stp>.SPX250620P5820</stp>
        <tr r="EQ110" s="1"/>
      </tp>
      <tp t="s">
        <v>16.15%</v>
        <stp/>
        <stp>IMPL_VOL</stp>
        <stp>.SPX250620C5820</stp>
        <tr r="EP110" s="1"/>
      </tp>
      <tp t="s">
        <v>17.32%</v>
        <stp/>
        <stp>IMPL_VOL</stp>
        <stp>.SPX250620P5830</stp>
        <tr r="EQ109" s="1"/>
      </tp>
      <tp t="s">
        <v>16.01%</v>
        <stp/>
        <stp>IMPL_VOL</stp>
        <stp>.SPX250620C5830</stp>
        <tr r="EP109" s="1"/>
      </tp>
      <tp t="s">
        <v>17.17%</v>
        <stp/>
        <stp>IMPL_VOL</stp>
        <stp>.SPX250620P5840</stp>
        <tr r="EQ108" s="1"/>
      </tp>
      <tp t="s">
        <v>15.88%</v>
        <stp/>
        <stp>IMPL_VOL</stp>
        <stp>.SPX250620C5840</stp>
        <tr r="EP108" s="1"/>
      </tp>
      <tp t="s">
        <v>17.01%</v>
        <stp/>
        <stp>IMPL_VOL</stp>
        <stp>.SPX250620P5850</stp>
        <tr r="EQ107" s="1"/>
      </tp>
      <tp t="s">
        <v>15.75%</v>
        <stp/>
        <stp>IMPL_VOL</stp>
        <stp>.SPX250620C5850</stp>
        <tr r="EP107" s="1"/>
      </tp>
      <tp t="s">
        <v>16.86%</v>
        <stp/>
        <stp>IMPL_VOL</stp>
        <stp>.SPX250620P5860</stp>
        <tr r="EQ106" s="1"/>
      </tp>
      <tp t="s">
        <v>15.61%</v>
        <stp/>
        <stp>IMPL_VOL</stp>
        <stp>.SPX250620C5860</stp>
        <tr r="EP106" s="1"/>
      </tp>
      <tp t="s">
        <v>16.69%</v>
        <stp/>
        <stp>IMPL_VOL</stp>
        <stp>.SPX250620P5870</stp>
        <tr r="EQ105" s="1"/>
      </tp>
      <tp t="s">
        <v>15.47%</v>
        <stp/>
        <stp>IMPL_VOL</stp>
        <stp>.SPX250620C5870</stp>
        <tr r="EP105" s="1"/>
      </tp>
      <tp t="s">
        <v>16.55%</v>
        <stp/>
        <stp>IMPL_VOL</stp>
        <stp>.SPX250620P5880</stp>
        <tr r="EQ104" s="1"/>
      </tp>
      <tp t="s">
        <v>15.34%</v>
        <stp/>
        <stp>IMPL_VOL</stp>
        <stp>.SPX250620C5880</stp>
        <tr r="EP104" s="1"/>
      </tp>
      <tp t="s">
        <v>16.40%</v>
        <stp/>
        <stp>IMPL_VOL</stp>
        <stp>.SPX250620P5890</stp>
        <tr r="EQ103" s="1"/>
      </tp>
      <tp t="s">
        <v>15.20%</v>
        <stp/>
        <stp>IMPL_VOL</stp>
        <stp>.SPX250620C5890</stp>
        <tr r="EP103" s="1"/>
      </tp>
      <tp>
        <v>556.6</v>
        <stp/>
        <stp>BID</stp>
        <stp>.NDXP250520C20775</stp>
        <tr r="DE168" s="1"/>
        <tr r="DE168" s="1"/>
      </tp>
      <tp>
        <v>523.5</v>
        <stp/>
        <stp>ASK</stp>
        <stp>.NDXP250520C20875</stp>
        <tr r="DC164" s="1"/>
        <tr r="DC164" s="1"/>
      </tp>
      <tp>
        <v>582</v>
        <stp/>
        <stp>BID</stp>
        <stp>.NDXP250520C20750</stp>
        <tr r="DE169" s="1"/>
        <tr r="DE169" s="1"/>
      </tp>
      <tp>
        <v>548.5</v>
        <stp/>
        <stp>ASK</stp>
        <stp>.NDXP250520C20850</stp>
        <tr r="DC165" s="1"/>
        <tr r="DC165" s="1"/>
      </tp>
      <tp>
        <v>607</v>
        <stp/>
        <stp>BID</stp>
        <stp>.NDXP250520C20725</stp>
        <tr r="DE170" s="1"/>
        <tr r="DE170" s="1"/>
      </tp>
      <tp>
        <v>585.79999999999995</v>
        <stp/>
        <stp>ASK</stp>
        <stp>.NDXP250520C20825</stp>
        <tr r="DC166" s="1"/>
        <tr r="DC166" s="1"/>
      </tp>
      <tp>
        <v>632</v>
        <stp/>
        <stp>BID</stp>
        <stp>.NDXP250520C20700</stp>
        <tr r="DE171" s="1"/>
        <tr r="DE171" s="1"/>
      </tp>
      <tp>
        <v>600.70000000000005</v>
        <stp/>
        <stp>ASK</stp>
        <stp>.NDXP250520C20800</stp>
        <tr r="DC167" s="1"/>
        <tr r="DC167" s="1"/>
      </tp>
      <tp>
        <v>0</v>
        <stp/>
        <stp>BID</stp>
        <stp>.NDXP250520P20750</stp>
        <tr r="DF169" s="1"/>
        <tr r="DF169" s="1"/>
      </tp>
      <tp>
        <v>19.8</v>
        <stp/>
        <stp>ASK</stp>
        <stp>.NDXP250520P20850</stp>
        <tr r="DD165" s="1"/>
        <tr r="DD165" s="1"/>
      </tp>
      <tp>
        <v>0</v>
        <stp/>
        <stp>BID</stp>
        <stp>.NDXP250520P20775</stp>
        <tr r="DF168" s="1"/>
        <tr r="DF168" s="1"/>
      </tp>
      <tp>
        <v>19.8</v>
        <stp/>
        <stp>ASK</stp>
        <stp>.NDXP250520P20875</stp>
        <tr r="DD164" s="1"/>
        <tr r="DD164" s="1"/>
      </tp>
      <tp>
        <v>0</v>
        <stp/>
        <stp>BID</stp>
        <stp>.NDXP250520P20700</stp>
        <tr r="DF171" s="1"/>
        <tr r="DF171" s="1"/>
      </tp>
      <tp>
        <v>1.5</v>
        <stp/>
        <stp>ASK</stp>
        <stp>.NDXP250520P20800</stp>
        <tr r="DD167" s="1"/>
        <tr r="DD167" s="1"/>
      </tp>
      <tp>
        <v>0</v>
        <stp/>
        <stp>BID</stp>
        <stp>.NDXP250520P20725</stp>
        <tr r="DF170" s="1"/>
        <tr r="DF170" s="1"/>
      </tp>
      <tp>
        <v>19.8</v>
        <stp/>
        <stp>ASK</stp>
        <stp>.NDXP250520P20825</stp>
        <tr r="DD166" s="1"/>
        <tr r="DD166" s="1"/>
      </tp>
      <tp t="s">
        <v>N/A</v>
        <stp/>
        <stp>VOLUME</stp>
        <stp>.NDXPP21075</stp>
        <tr r="B157" s="2"/>
        <tr r="C157" s="2"/>
        <tr r="J157" s="2"/>
        <tr r="F157" s="2"/>
      </tp>
      <tp t="s">
        <v>N/A</v>
        <stp/>
        <stp>VOLUME</stp>
        <stp>.NDXPP21050</stp>
        <tr r="B158" s="2"/>
        <tr r="J158" s="2"/>
        <tr r="C158" s="2"/>
        <tr r="F158" s="2"/>
      </tp>
      <tp t="s">
        <v>N/A</v>
        <stp/>
        <stp>VOLUME</stp>
        <stp>.NDXPP21025</stp>
        <tr r="F159" s="2"/>
        <tr r="C159" s="2"/>
        <tr r="J159" s="2"/>
        <tr r="B159" s="2"/>
      </tp>
      <tp t="s">
        <v>N/A</v>
        <stp/>
        <stp>VOLUME</stp>
        <stp>.NDXPP21000</stp>
        <tr r="F160" s="2"/>
        <tr r="C160" s="2"/>
        <tr r="J160" s="2"/>
        <tr r="B160" s="2"/>
      </tp>
      <tp t="s">
        <v>N/A</v>
        <stp/>
        <stp>VOLUME</stp>
        <stp>.NDXPC21050</stp>
        <tr r="B158" s="2"/>
        <tr r="J158" s="2"/>
        <tr r="C158" s="2"/>
        <tr r="F158" s="2"/>
      </tp>
      <tp t="s">
        <v>N/A</v>
        <stp/>
        <stp>VOLUME</stp>
        <stp>.NDXPC21075</stp>
        <tr r="B157" s="2"/>
        <tr r="C157" s="2"/>
        <tr r="J157" s="2"/>
        <tr r="F157" s="2"/>
      </tp>
      <tp t="s">
        <v>N/A</v>
        <stp/>
        <stp>VOLUME</stp>
        <stp>.NDXPC21000</stp>
        <tr r="F160" s="2"/>
        <tr r="C160" s="2"/>
        <tr r="J160" s="2"/>
        <tr r="B160" s="2"/>
      </tp>
      <tp t="s">
        <v>N/A</v>
        <stp/>
        <stp>VOLUME</stp>
        <stp>.NDXPC21025</stp>
        <tr r="F159" s="2"/>
        <tr r="C159" s="2"/>
        <tr r="J159" s="2"/>
        <tr r="B159" s="2"/>
      </tp>
      <tp t="s">
        <v>16.25%</v>
        <stp/>
        <stp>IMPL_VOL</stp>
        <stp>.SPX250620P5900</stp>
        <tr r="EQ102" s="1"/>
      </tp>
      <tp t="s">
        <v>15.06%</v>
        <stp/>
        <stp>IMPL_VOL</stp>
        <stp>.SPX250620C5900</stp>
        <tr r="EP102" s="1"/>
      </tp>
      <tp t="s">
        <v>16.11%</v>
        <stp/>
        <stp>IMPL_VOL</stp>
        <stp>.SPX250620P5910</stp>
        <tr r="EQ101" s="1"/>
      </tp>
      <tp t="s">
        <v>14.94%</v>
        <stp/>
        <stp>IMPL_VOL</stp>
        <stp>.SPX250620C5910</stp>
        <tr r="EP101" s="1"/>
      </tp>
      <tp t="s">
        <v>15.98%</v>
        <stp/>
        <stp>IMPL_VOL</stp>
        <stp>.SPX250620P5920</stp>
        <tr r="EQ100" s="1"/>
      </tp>
      <tp t="s">
        <v>14.82%</v>
        <stp/>
        <stp>IMPL_VOL</stp>
        <stp>.SPX250620C5920</stp>
        <tr r="EP100" s="1"/>
      </tp>
      <tp t="s">
        <v>15.84%</v>
        <stp/>
        <stp>IMPL_VOL</stp>
        <stp>.SPX250620P5930</stp>
        <tr r="EQ99" s="1"/>
      </tp>
      <tp t="s">
        <v>14.69%</v>
        <stp/>
        <stp>IMPL_VOL</stp>
        <stp>.SPX250620C5930</stp>
        <tr r="EP99" s="1"/>
      </tp>
      <tp t="s">
        <v>15.72%</v>
        <stp/>
        <stp>IMPL_VOL</stp>
        <stp>.SPX250620P5940</stp>
        <tr r="EQ98" s="1"/>
      </tp>
      <tp t="s">
        <v>14.56%</v>
        <stp/>
        <stp>IMPL_VOL</stp>
        <stp>.SPX250620C5940</stp>
        <tr r="EP98" s="1"/>
      </tp>
      <tp t="s">
        <v>15.58%</v>
        <stp/>
        <stp>IMPL_VOL</stp>
        <stp>.SPX250620P5950</stp>
        <tr r="EQ97" s="1"/>
      </tp>
      <tp t="s">
        <v>14.44%</v>
        <stp/>
        <stp>IMPL_VOL</stp>
        <stp>.SPX250620C5950</stp>
        <tr r="EP97" s="1"/>
      </tp>
      <tp t="s">
        <v>15.47%</v>
        <stp/>
        <stp>IMPL_VOL</stp>
        <stp>.SPX250620P5960</stp>
        <tr r="EQ96" s="1"/>
      </tp>
      <tp t="s">
        <v>14.32%</v>
        <stp/>
        <stp>IMPL_VOL</stp>
        <stp>.SPX250620C5960</stp>
        <tr r="EP96" s="1"/>
      </tp>
      <tp t="s">
        <v>15.35%</v>
        <stp/>
        <stp>IMPL_VOL</stp>
        <stp>.SPX250620P5970</stp>
        <tr r="EQ95" s="1"/>
      </tp>
      <tp t="s">
        <v>14.20%</v>
        <stp/>
        <stp>IMPL_VOL</stp>
        <stp>.SPX250620C5970</stp>
        <tr r="EP95" s="1"/>
      </tp>
      <tp t="s">
        <v>15.22%</v>
        <stp/>
        <stp>IMPL_VOL</stp>
        <stp>.SPX250620P5980</stp>
        <tr r="EQ94" s="1"/>
      </tp>
      <tp t="s">
        <v>14.08%</v>
        <stp/>
        <stp>IMPL_VOL</stp>
        <stp>.SPX250620C5980</stp>
        <tr r="EP94" s="1"/>
      </tp>
      <tp t="s">
        <v>15.13%</v>
        <stp/>
        <stp>IMPL_VOL</stp>
        <stp>.SPX250620P5990</stp>
        <tr r="EQ93" s="1"/>
      </tp>
      <tp t="s">
        <v>13.97%</v>
        <stp/>
        <stp>IMPL_VOL</stp>
        <stp>.SPX250620C5990</stp>
        <tr r="EP93" s="1"/>
      </tp>
      <tp>
        <v>274</v>
        <stp/>
        <stp>BID</stp>
        <stp>.NDXP250520C21075</stp>
        <tr r="DE156" s="1"/>
        <tr r="DE156" s="1"/>
      </tp>
      <tp>
        <v>301.2</v>
        <stp/>
        <stp>BID</stp>
        <stp>.NDXP250520C21050</stp>
        <tr r="DE157" s="1"/>
        <tr r="DE157" s="1"/>
      </tp>
      <tp>
        <v>323.89999999999998</v>
        <stp/>
        <stp>BID</stp>
        <stp>.NDXP250520C21025</stp>
        <tr r="DE158" s="1"/>
        <tr r="DE158" s="1"/>
      </tp>
      <tp>
        <v>346</v>
        <stp/>
        <stp>BID</stp>
        <stp>.NDXP250520C21000</stp>
        <tr r="DE159" s="1"/>
        <tr r="DE159" s="1"/>
      </tp>
      <tp>
        <v>0</v>
        <stp/>
        <stp>BID</stp>
        <stp>.NDXP250520P21050</stp>
        <tr r="DF157" s="1"/>
        <tr r="DF157" s="1"/>
      </tp>
      <tp>
        <v>0</v>
        <stp/>
        <stp>BID</stp>
        <stp>.NDXP250520P21075</stp>
        <tr r="DF156" s="1"/>
        <tr r="DF156" s="1"/>
      </tp>
      <tp>
        <v>0</v>
        <stp/>
        <stp>BID</stp>
        <stp>.NDXP250520P21000</stp>
        <tr r="DF159" s="1"/>
        <tr r="DF159" s="1"/>
      </tp>
      <tp>
        <v>0</v>
        <stp/>
        <stp>BID</stp>
        <stp>.NDXP250520P21025</stp>
        <tr r="DF158" s="1"/>
        <tr r="DF158" s="1"/>
      </tp>
      <tp t="s">
        <v>N/A</v>
        <stp/>
        <stp>VOLUME</stp>
        <stp>.NDXPP20775</stp>
        <tr r="J169" s="2"/>
        <tr r="C169" s="2"/>
        <tr r="F169" s="2"/>
        <tr r="B169" s="2"/>
      </tp>
      <tp t="s">
        <v>N/A</v>
        <stp/>
        <stp>VOLUME</stp>
        <stp>.NDXPP20750</stp>
        <tr r="C170" s="2"/>
        <tr r="B170" s="2"/>
        <tr r="J170" s="2"/>
        <tr r="F170" s="2"/>
      </tp>
      <tp t="s">
        <v>N/A</v>
        <stp/>
        <stp>VOLUME</stp>
        <stp>.NDXPP20725</stp>
        <tr r="J171" s="2"/>
        <tr r="F171" s="2"/>
        <tr r="B171" s="2"/>
        <tr r="C171" s="2"/>
      </tp>
      <tp t="s">
        <v>N/A</v>
        <stp/>
        <stp>VOLUME</stp>
        <stp>.NDXPP20700</stp>
        <tr r="F172" s="2"/>
        <tr r="C172" s="2"/>
        <tr r="B172" s="2"/>
        <tr r="J172" s="2"/>
      </tp>
      <tp t="s">
        <v>N/A</v>
        <stp/>
        <stp>VOLUME</stp>
        <stp>.NDXPC20750</stp>
        <tr r="C170" s="2"/>
        <tr r="B170" s="2"/>
        <tr r="J170" s="2"/>
        <tr r="F170" s="2"/>
      </tp>
      <tp t="s">
        <v>N/A</v>
        <stp/>
        <stp>VOLUME</stp>
        <stp>.NDXPC20775</stp>
        <tr r="J169" s="2"/>
        <tr r="C169" s="2"/>
        <tr r="F169" s="2"/>
        <tr r="B169" s="2"/>
      </tp>
      <tp t="s">
        <v>N/A</v>
        <stp/>
        <stp>VOLUME</stp>
        <stp>.NDXPC20700</stp>
        <tr r="F172" s="2"/>
        <tr r="C172" s="2"/>
        <tr r="B172" s="2"/>
        <tr r="J172" s="2"/>
      </tp>
      <tp t="s">
        <v>N/A</v>
        <stp/>
        <stp>VOLUME</stp>
        <stp>.NDXPC20725</stp>
        <tr r="J171" s="2"/>
        <tr r="F171" s="2"/>
        <tr r="B171" s="2"/>
        <tr r="C171" s="2"/>
      </tp>
      <tp>
        <v>188.9</v>
        <stp/>
        <stp>BID</stp>
        <stp>.NDXP250520C21175</stp>
        <tr r="DE152" s="1"/>
        <tr r="DE152" s="1"/>
      </tp>
      <tp>
        <v>213.9</v>
        <stp/>
        <stp>BID</stp>
        <stp>.NDXP250520C21150</stp>
        <tr r="DE153" s="1"/>
        <tr r="DE153" s="1"/>
      </tp>
      <tp>
        <v>225.1</v>
        <stp/>
        <stp>BID</stp>
        <stp>.NDXP250520C21125</stp>
        <tr r="DE154" s="1"/>
        <tr r="DE154" s="1"/>
      </tp>
      <tp>
        <v>251.2</v>
        <stp/>
        <stp>BID</stp>
        <stp>.NDXP250520C21100</stp>
        <tr r="DE155" s="1"/>
        <tr r="DE155" s="1"/>
      </tp>
      <tp>
        <v>0</v>
        <stp/>
        <stp>BID</stp>
        <stp>.NDXP250520P21150</stp>
        <tr r="DF153" s="1"/>
        <tr r="DF153" s="1"/>
      </tp>
      <tp>
        <v>0</v>
        <stp/>
        <stp>BID</stp>
        <stp>.NDXP250520P21175</stp>
        <tr r="DF152" s="1"/>
        <tr r="DF152" s="1"/>
      </tp>
      <tp>
        <v>0</v>
        <stp/>
        <stp>BID</stp>
        <stp>.NDXP250520P21100</stp>
        <tr r="DF155" s="1"/>
        <tr r="DF155" s="1"/>
      </tp>
      <tp>
        <v>0</v>
        <stp/>
        <stp>BID</stp>
        <stp>.NDXP250520P21125</stp>
        <tr r="DF154" s="1"/>
        <tr r="DF154" s="1"/>
      </tp>
      <tp t="s">
        <v>N/A</v>
        <stp/>
        <stp>VOLUME</stp>
        <stp>.NDXPP20675</stp>
        <tr r="F173" s="2"/>
        <tr r="C173" s="2"/>
        <tr r="J173" s="2"/>
        <tr r="B173" s="2"/>
      </tp>
      <tp t="s">
        <v>N/A</v>
        <stp/>
        <stp>VOLUME</stp>
        <stp>.NDXPP20650</stp>
        <tr r="C174" s="2"/>
        <tr r="B174" s="2"/>
        <tr r="F174" s="2"/>
        <tr r="J174" s="2"/>
      </tp>
      <tp t="s">
        <v>N/A</v>
        <stp/>
        <stp>VOLUME</stp>
        <stp>.NDXPP20625</stp>
        <tr r="C175" s="2"/>
        <tr r="B175" s="2"/>
        <tr r="F175" s="2"/>
        <tr r="J175" s="2"/>
      </tp>
      <tp t="s">
        <v>N/A</v>
        <stp/>
        <stp>VOLUME</stp>
        <stp>.NDXPP20600</stp>
        <tr r="B176" s="2"/>
        <tr r="F176" s="2"/>
        <tr r="J176" s="2"/>
        <tr r="C176" s="2"/>
      </tp>
      <tp t="s">
        <v>N/A</v>
        <stp/>
        <stp>VOLUME</stp>
        <stp>.NDXPC20650</stp>
        <tr r="C174" s="2"/>
        <tr r="B174" s="2"/>
        <tr r="F174" s="2"/>
        <tr r="J174" s="2"/>
      </tp>
      <tp t="s">
        <v>N/A</v>
        <stp/>
        <stp>VOLUME</stp>
        <stp>.NDXPC20675</stp>
        <tr r="F173" s="2"/>
        <tr r="C173" s="2"/>
        <tr r="J173" s="2"/>
        <tr r="B173" s="2"/>
      </tp>
      <tp t="s">
        <v>N/A</v>
        <stp/>
        <stp>VOLUME</stp>
        <stp>.NDXPC20600</stp>
        <tr r="B176" s="2"/>
        <tr r="F176" s="2"/>
        <tr r="J176" s="2"/>
        <tr r="C176" s="2"/>
      </tp>
      <tp t="s">
        <v>N/A</v>
        <stp/>
        <stp>VOLUME</stp>
        <stp>.NDXPC20625</stp>
        <tr r="C175" s="2"/>
        <tr r="B175" s="2"/>
        <tr r="F175" s="2"/>
        <tr r="J175" s="2"/>
      </tp>
      <tp>
        <v>996</v>
        <stp/>
        <stp>BID</stp>
        <stp>.NDXP250520C20275</stp>
        <tr r="DE188" s="1"/>
        <tr r="DE188" s="1"/>
      </tp>
      <tp>
        <v>89.4</v>
        <stp/>
        <stp>BID</stp>
        <stp>.NDXP250520C21275</stp>
        <tr r="DE148" s="1"/>
        <tr r="DE148" s="1"/>
      </tp>
      <tp>
        <v>1022</v>
        <stp/>
        <stp>BID</stp>
        <stp>.NDXP250520C20250</stp>
        <tr r="DE189" s="1"/>
        <tr r="DE189" s="1"/>
      </tp>
      <tp>
        <v>114.2</v>
        <stp/>
        <stp>BID</stp>
        <stp>.NDXP250520C21250</stp>
        <tr r="DE149" s="1"/>
        <tr r="DE149" s="1"/>
      </tp>
      <tp>
        <v>138.9</v>
        <stp/>
        <stp>BID</stp>
        <stp>.NDXP250520C21225</stp>
        <tr r="DE150" s="1"/>
        <tr r="DE150" s="1"/>
      </tp>
      <tp>
        <v>164.3</v>
        <stp/>
        <stp>BID</stp>
        <stp>.NDXP250520C21200</stp>
        <tr r="DE151" s="1"/>
        <tr r="DE151" s="1"/>
      </tp>
      <tp>
        <v>0</v>
        <stp/>
        <stp>BID</stp>
        <stp>.NDXP250520P20250</stp>
        <tr r="DF189" s="1"/>
        <tr r="DF189" s="1"/>
      </tp>
      <tp>
        <v>0</v>
        <stp/>
        <stp>BID</stp>
        <stp>.NDXP250520P21250</stp>
        <tr r="DF149" s="1"/>
        <tr r="DF149" s="1"/>
      </tp>
      <tp>
        <v>0</v>
        <stp/>
        <stp>BID</stp>
        <stp>.NDXP250520P20275</stp>
        <tr r="DF188" s="1"/>
        <tr r="DF188" s="1"/>
      </tp>
      <tp>
        <v>0</v>
        <stp/>
        <stp>BID</stp>
        <stp>.NDXP250520P21275</stp>
        <tr r="DF148" s="1"/>
        <tr r="DF148" s="1"/>
      </tp>
      <tp>
        <v>0</v>
        <stp/>
        <stp>BID</stp>
        <stp>.NDXP250520P21200</stp>
        <tr r="DF151" s="1"/>
        <tr r="DF151" s="1"/>
      </tp>
      <tp>
        <v>0</v>
        <stp/>
        <stp>BID</stp>
        <stp>.NDXP250520P21225</stp>
        <tr r="DF150" s="1"/>
        <tr r="DF150" s="1"/>
      </tp>
      <tp t="s">
        <v>N/A</v>
        <stp/>
        <stp>VOLUME</stp>
        <stp>.NDXPP20575</stp>
        <tr r="J177" s="2"/>
        <tr r="C177" s="2"/>
        <tr r="B177" s="2"/>
        <tr r="F177" s="2"/>
      </tp>
      <tp t="s">
        <v>N/A</v>
        <stp/>
        <stp>VOLUME</stp>
        <stp>.NDXPP20550</stp>
        <tr r="B178" s="2"/>
        <tr r="J178" s="2"/>
        <tr r="C178" s="2"/>
        <tr r="F178" s="2"/>
      </tp>
      <tp t="s">
        <v>N/A</v>
        <stp/>
        <stp>VOLUME</stp>
        <stp>.NDXPP21550</stp>
        <tr r="J138" s="2"/>
        <tr r="F138" s="2"/>
        <tr r="C138" s="2"/>
        <tr r="B138" s="2"/>
      </tp>
      <tp t="s">
        <v>N/A</v>
        <stp/>
        <stp>VOLUME</stp>
        <stp>.NDXPP20525</stp>
        <tr r="C179" s="2"/>
        <tr r="F179" s="2"/>
        <tr r="B179" s="2"/>
        <tr r="J179" s="2"/>
      </tp>
      <tp t="s">
        <v>N/A</v>
        <stp/>
        <stp>VOLUME</stp>
        <stp>.NDXPP21525</stp>
        <tr r="J139" s="2"/>
        <tr r="F139" s="2"/>
        <tr r="C139" s="2"/>
        <tr r="B139" s="2"/>
      </tp>
      <tp t="s">
        <v>N/A</v>
        <stp/>
        <stp>VOLUME</stp>
        <stp>.NDXPP20500</stp>
        <tr r="C180" s="2"/>
        <tr r="J180" s="2"/>
        <tr r="B180" s="2"/>
        <tr r="F180" s="2"/>
      </tp>
      <tp t="s">
        <v>N/A</v>
        <stp/>
        <stp>VOLUME</stp>
        <stp>.NDXPP21500</stp>
        <tr r="J140" s="2"/>
        <tr r="F140" s="2"/>
        <tr r="C140" s="2"/>
        <tr r="B140" s="2"/>
      </tp>
      <tp>
        <v>0.05</v>
        <stp/>
        <stp>LAST</stp>
        <stp>.SPXW250520P5730</stp>
        <tr r="DB119" s="1"/>
        <tr r="DB119" s="1"/>
      </tp>
      <tp>
        <v>202.5</v>
        <stp/>
        <stp>LAST</stp>
        <stp>.SPXW250520C5730</stp>
        <tr r="DA119" s="1"/>
        <tr r="DA119" s="1"/>
      </tp>
      <tp>
        <v>0.03</v>
        <stp/>
        <stp>LAST</stp>
        <stp>.SPXW250520P5720</stp>
        <tr r="DB120" s="1"/>
        <tr r="DB120" s="1"/>
      </tp>
      <tp>
        <v>201.86</v>
        <stp/>
        <stp>LAST</stp>
        <stp>.SPXW250520C5720</stp>
        <tr r="DA120" s="1"/>
        <tr r="DA120" s="1"/>
      </tp>
      <tp>
        <v>0.03</v>
        <stp/>
        <stp>LAST</stp>
        <stp>.SPXW250520P5710</stp>
        <tr r="DB121" s="1"/>
        <tr r="DB121" s="1"/>
      </tp>
      <tp>
        <v>213.2</v>
        <stp/>
        <stp>LAST</stp>
        <stp>.SPXW250520C5710</stp>
        <tr r="DA121" s="1"/>
        <tr r="DA121" s="1"/>
      </tp>
      <tp>
        <v>0.03</v>
        <stp/>
        <stp>LAST</stp>
        <stp>.SPXW250520P5700</stp>
        <tr r="DB122" s="1"/>
        <tr r="DB122" s="1"/>
      </tp>
      <tp>
        <v>233.75</v>
        <stp/>
        <stp>LAST</stp>
        <stp>.SPXW250520C5700</stp>
        <tr r="DA122" s="1"/>
        <tr r="DA122" s="1"/>
      </tp>
      <tp>
        <v>0.03</v>
        <stp/>
        <stp>LAST</stp>
        <stp>.SPXW250520P5770</stp>
        <tr r="DB115" s="1"/>
        <tr r="DB115" s="1"/>
      </tp>
      <tp>
        <v>180.87</v>
        <stp/>
        <stp>LAST</stp>
        <stp>.SPXW250520C5770</stp>
        <tr r="DA115" s="1"/>
        <tr r="DA115" s="1"/>
      </tp>
      <tp>
        <v>0.03</v>
        <stp/>
        <stp>LAST</stp>
        <stp>.SPXW250520P5760</stp>
        <tr r="DB116" s="1"/>
        <tr r="DB116" s="1"/>
      </tp>
      <tp>
        <v>168.09</v>
        <stp/>
        <stp>LAST</stp>
        <stp>.SPXW250520C5760</stp>
        <tr r="DA116" s="1"/>
        <tr r="DA116" s="1"/>
      </tp>
      <tp>
        <v>0.03</v>
        <stp/>
        <stp>LAST</stp>
        <stp>.SPXW250520P5750</stp>
        <tr r="DB117" s="1"/>
        <tr r="DB117" s="1"/>
      </tp>
      <tp>
        <v>183.75</v>
        <stp/>
        <stp>LAST</stp>
        <stp>.SPXW250520C5750</stp>
        <tr r="DA117" s="1"/>
        <tr r="DA117" s="1"/>
      </tp>
      <tp>
        <v>0.03</v>
        <stp/>
        <stp>LAST</stp>
        <stp>.SPXW250520P5740</stp>
        <tr r="DB118" s="1"/>
        <tr r="DB118" s="1"/>
      </tp>
      <tp>
        <v>176.27</v>
        <stp/>
        <stp>LAST</stp>
        <stp>.SPXW250520C5740</stp>
        <tr r="DA118" s="1"/>
        <tr r="DA118" s="1"/>
      </tp>
      <tp t="s">
        <v>N/A</v>
        <stp/>
        <stp>VOLUME</stp>
        <stp>.NDXPC20550</stp>
        <tr r="B178" s="2"/>
        <tr r="J178" s="2"/>
        <tr r="C178" s="2"/>
        <tr r="F178" s="2"/>
      </tp>
      <tp t="s">
        <v>N/A</v>
        <stp/>
        <stp>VOLUME</stp>
        <stp>.NDXPC21550</stp>
        <tr r="J138" s="2"/>
        <tr r="F138" s="2"/>
        <tr r="C138" s="2"/>
        <tr r="B138" s="2"/>
      </tp>
      <tp>
        <v>0.03</v>
        <stp/>
        <stp>LAST</stp>
        <stp>.SPXW250520P5790</stp>
        <tr r="DB113" s="1"/>
        <tr r="DB113" s="1"/>
      </tp>
      <tp>
        <v>148</v>
        <stp/>
        <stp>LAST</stp>
        <stp>.SPXW250520C5790</stp>
        <tr r="DA113" s="1"/>
        <tr r="DA113" s="1"/>
      </tp>
      <tp t="s">
        <v>N/A</v>
        <stp/>
        <stp>VOLUME</stp>
        <stp>.NDXPC20575</stp>
        <tr r="J177" s="2"/>
        <tr r="C177" s="2"/>
        <tr r="B177" s="2"/>
        <tr r="F177" s="2"/>
      </tp>
      <tp>
        <v>0.03</v>
        <stp/>
        <stp>LAST</stp>
        <stp>.SPXW250520P5780</stp>
        <tr r="DB114" s="1"/>
        <tr r="DB114" s="1"/>
      </tp>
      <tp>
        <v>153.30000000000001</v>
        <stp/>
        <stp>LAST</stp>
        <stp>.SPXW250520C5780</stp>
        <tr r="DA114" s="1"/>
        <tr r="DA114" s="1"/>
      </tp>
      <tp t="s">
        <v>N/A</v>
        <stp/>
        <stp>VOLUME</stp>
        <stp>.NDXPC20500</stp>
        <tr r="C180" s="2"/>
        <tr r="J180" s="2"/>
        <tr r="B180" s="2"/>
        <tr r="F180" s="2"/>
      </tp>
      <tp t="s">
        <v>N/A</v>
        <stp/>
        <stp>VOLUME</stp>
        <stp>.NDXPC21500</stp>
        <tr r="J140" s="2"/>
        <tr r="F140" s="2"/>
        <tr r="C140" s="2"/>
        <tr r="B140" s="2"/>
      </tp>
      <tp t="s">
        <v>N/A</v>
        <stp/>
        <stp>VOLUME</stp>
        <stp>.NDXPC20525</stp>
        <tr r="C179" s="2"/>
        <tr r="F179" s="2"/>
        <tr r="B179" s="2"/>
        <tr r="J179" s="2"/>
      </tp>
      <tp t="s">
        <v>N/A</v>
        <stp/>
        <stp>VOLUME</stp>
        <stp>.NDXPC21525</stp>
        <tr r="J139" s="2"/>
        <tr r="F139" s="2"/>
        <tr r="C139" s="2"/>
        <tr r="B139" s="2"/>
      </tp>
      <tp>
        <v>896</v>
        <stp/>
        <stp>BID</stp>
        <stp>.NDXP250520C20375</stp>
        <tr r="DE184" s="1"/>
        <tr r="DE184" s="1"/>
      </tp>
      <tp>
        <v>0.1</v>
        <stp/>
        <stp>BID</stp>
        <stp>.NDXP250520C21375</stp>
        <tr r="DE144" s="1"/>
        <tr r="DE144" s="1"/>
      </tp>
      <tp>
        <v>922</v>
        <stp/>
        <stp>BID</stp>
        <stp>.NDXP250520C20350</stp>
        <tr r="DE185" s="1"/>
        <tr r="DE185" s="1"/>
      </tp>
      <tp>
        <v>14.9</v>
        <stp/>
        <stp>BID</stp>
        <stp>.NDXP250520C21350</stp>
        <tr r="DE145" s="1"/>
        <tr r="DE145" s="1"/>
      </tp>
      <tp>
        <v>946</v>
        <stp/>
        <stp>BID</stp>
        <stp>.NDXP250520C20325</stp>
        <tr r="DE186" s="1"/>
        <tr r="DE186" s="1"/>
      </tp>
      <tp>
        <v>39.5</v>
        <stp/>
        <stp>BID</stp>
        <stp>.NDXP250520C21325</stp>
        <tr r="DE146" s="1"/>
        <tr r="DE146" s="1"/>
      </tp>
      <tp>
        <v>972</v>
        <stp/>
        <stp>BID</stp>
        <stp>.NDXP250520C20300</stp>
        <tr r="DE187" s="1"/>
        <tr r="DE187" s="1"/>
      </tp>
      <tp>
        <v>64.400000000000006</v>
        <stp/>
        <stp>BID</stp>
        <stp>.NDXP250520C21300</stp>
        <tr r="DE147" s="1"/>
        <tr r="DE147" s="1"/>
      </tp>
      <tp>
        <v>0</v>
        <stp/>
        <stp>BID</stp>
        <stp>.NDXP250520P20350</stp>
        <tr r="DF185" s="1"/>
        <tr r="DF185" s="1"/>
      </tp>
      <tp>
        <v>0.1</v>
        <stp/>
        <stp>BID</stp>
        <stp>.NDXP250520P21350</stp>
        <tr r="DF145" s="1"/>
        <tr r="DF145" s="1"/>
      </tp>
      <tp>
        <v>0</v>
        <stp/>
        <stp>BID</stp>
        <stp>.NDXP250520P20375</stp>
        <tr r="DF184" s="1"/>
        <tr r="DF184" s="1"/>
      </tp>
      <tp>
        <v>1</v>
        <stp/>
        <stp>BID</stp>
        <stp>.NDXP250520P21375</stp>
        <tr r="DF144" s="1"/>
        <tr r="DF144" s="1"/>
      </tp>
      <tp>
        <v>0</v>
        <stp/>
        <stp>BID</stp>
        <stp>.NDXP250520P20300</stp>
        <tr r="DF187" s="1"/>
        <tr r="DF187" s="1"/>
      </tp>
      <tp>
        <v>0</v>
        <stp/>
        <stp>BID</stp>
        <stp>.NDXP250520P21300</stp>
        <tr r="DF147" s="1"/>
        <tr r="DF147" s="1"/>
      </tp>
      <tp>
        <v>0</v>
        <stp/>
        <stp>BID</stp>
        <stp>.NDXP250520P20325</stp>
        <tr r="DF186" s="1"/>
        <tr r="DF186" s="1"/>
      </tp>
      <tp>
        <v>0</v>
        <stp/>
        <stp>BID</stp>
        <stp>.NDXP250520P21325</stp>
        <tr r="DF146" s="1"/>
        <tr r="DF146" s="1"/>
      </tp>
      <tp t="s">
        <v>N/A</v>
        <stp/>
        <stp>VOLUME</stp>
        <stp>.NDXPP20475</stp>
        <tr r="B181" s="2"/>
        <tr r="F181" s="2"/>
        <tr r="C181" s="2"/>
        <tr r="J181" s="2"/>
      </tp>
      <tp t="s">
        <v>N/A</v>
        <stp/>
        <stp>VOLUME</stp>
        <stp>.NDXPP21475</stp>
        <tr r="J141" s="2"/>
        <tr r="F141" s="2"/>
        <tr r="C141" s="2"/>
        <tr r="B141" s="2"/>
      </tp>
      <tp t="s">
        <v>N/A</v>
        <stp/>
        <stp>VOLUME</stp>
        <stp>.NDXPP20450</stp>
        <tr r="J182" s="2"/>
        <tr r="B182" s="2"/>
        <tr r="C182" s="2"/>
        <tr r="F182" s="2"/>
      </tp>
      <tp t="s">
        <v>N/A</v>
        <stp/>
        <stp>VOLUME</stp>
        <stp>.NDXPP21450</stp>
        <tr r="J142" s="2"/>
        <tr r="F142" s="2"/>
        <tr r="B142" s="2"/>
        <tr r="C142" s="2"/>
      </tp>
      <tp t="s">
        <v>N/A</v>
        <stp/>
        <stp>VOLUME</stp>
        <stp>.NDXPP20425</stp>
        <tr r="C183" s="2"/>
        <tr r="J183" s="2"/>
        <tr r="B183" s="2"/>
        <tr r="F183" s="2"/>
      </tp>
      <tp t="s">
        <v>N/A</v>
        <stp/>
        <stp>VOLUME</stp>
        <stp>.NDXPP21425</stp>
        <tr r="J143" s="2"/>
        <tr r="F143" s="2"/>
        <tr r="C143" s="2"/>
        <tr r="B143" s="2"/>
      </tp>
      <tp t="s">
        <v>N/A</v>
        <stp/>
        <stp>VOLUME</stp>
        <stp>.NDXPP20400</stp>
        <tr r="F184" s="2"/>
        <tr r="C184" s="2"/>
        <tr r="J184" s="2"/>
        <tr r="B184" s="2"/>
      </tp>
      <tp t="s">
        <v>N/A</v>
        <stp/>
        <stp>VOLUME</stp>
        <stp>.NDXPP21400</stp>
        <tr r="J144" s="2"/>
        <tr r="F144" s="2"/>
        <tr r="B144" s="2"/>
        <tr r="C144" s="2"/>
      </tp>
      <tp>
        <v>0.05</v>
        <stp/>
        <stp>LAST</stp>
        <stp>.SPXW250520P5630</stp>
        <tr r="DB129" s="1"/>
        <tr r="DB129" s="1"/>
      </tp>
      <tp>
        <v>298.89999999999998</v>
        <stp/>
        <stp>LAST</stp>
        <stp>.SPXW250520C5630</stp>
        <tr r="DA129" s="1"/>
        <tr r="DA129" s="1"/>
      </tp>
      <tp>
        <v>0.1</v>
        <stp/>
        <stp>LAST</stp>
        <stp>.SPXW250520P5620</stp>
        <tr r="DB130" s="1"/>
        <tr r="DB130" s="1"/>
      </tp>
      <tp>
        <v>305</v>
        <stp/>
        <stp>LAST</stp>
        <stp>.SPXW250520C5620</stp>
        <tr r="DA130" s="1"/>
        <tr r="DA130" s="1"/>
      </tp>
      <tp>
        <v>0.03</v>
        <stp/>
        <stp>LAST</stp>
        <stp>.SPXW250520P5670</stp>
        <tr r="DB125" s="1"/>
        <tr r="DB125" s="1"/>
      </tp>
      <tp>
        <v>267.41000000000003</v>
        <stp/>
        <stp>LAST</stp>
        <stp>.SPXW250520C5670</stp>
        <tr r="DA125" s="1"/>
        <tr r="DA125" s="1"/>
      </tp>
      <tp>
        <v>0.05</v>
        <stp/>
        <stp>LAST</stp>
        <stp>.SPXW250520P5660</stp>
        <tr r="DB126" s="1"/>
        <tr r="DB126" s="1"/>
      </tp>
      <tp>
        <v>273.7</v>
        <stp/>
        <stp>LAST</stp>
        <stp>.SPXW250520C5660</stp>
        <tr r="DA126" s="1"/>
        <tr r="DA126" s="1"/>
      </tp>
      <tp>
        <v>0.05</v>
        <stp/>
        <stp>LAST</stp>
        <stp>.SPXW250520P5650</stp>
        <tr r="DB127" s="1"/>
        <tr r="DB127" s="1"/>
      </tp>
      <tp>
        <v>283.58</v>
        <stp/>
        <stp>LAST</stp>
        <stp>.SPXW250520C5650</stp>
        <tr r="DA127" s="1"/>
        <tr r="DA127" s="1"/>
      </tp>
      <tp>
        <v>0.03</v>
        <stp/>
        <stp>LAST</stp>
        <stp>.SPXW250520P5640</stp>
        <tr r="DB128" s="1"/>
        <tr r="DB128" s="1"/>
      </tp>
      <tp>
        <v>293.08</v>
        <stp/>
        <stp>LAST</stp>
        <stp>.SPXW250520C5640</stp>
        <tr r="DA128" s="1"/>
        <tr r="DA128" s="1"/>
      </tp>
      <tp t="s">
        <v>N/A</v>
        <stp/>
        <stp>VOLUME</stp>
        <stp>.NDXPC20450</stp>
        <tr r="J182" s="2"/>
        <tr r="B182" s="2"/>
        <tr r="C182" s="2"/>
        <tr r="F182" s="2"/>
      </tp>
      <tp t="s">
        <v>N/A</v>
        <stp/>
        <stp>VOLUME</stp>
        <stp>.NDXPC21450</stp>
        <tr r="J142" s="2"/>
        <tr r="F142" s="2"/>
        <tr r="B142" s="2"/>
        <tr r="C142" s="2"/>
      </tp>
      <tp>
        <v>0.05</v>
        <stp/>
        <stp>LAST</stp>
        <stp>.SPXW250520P5690</stp>
        <tr r="DB123" s="1"/>
        <tr r="DB123" s="1"/>
      </tp>
      <tp>
        <v>233.12</v>
        <stp/>
        <stp>LAST</stp>
        <stp>.SPXW250520C5690</stp>
        <tr r="DA123" s="1"/>
        <tr r="DA123" s="1"/>
      </tp>
      <tp t="s">
        <v>N/A</v>
        <stp/>
        <stp>VOLUME</stp>
        <stp>.NDXPC20475</stp>
        <tr r="B181" s="2"/>
        <tr r="F181" s="2"/>
        <tr r="C181" s="2"/>
        <tr r="J181" s="2"/>
      </tp>
      <tp t="s">
        <v>N/A</v>
        <stp/>
        <stp>VOLUME</stp>
        <stp>.NDXPC21475</stp>
        <tr r="J141" s="2"/>
        <tr r="F141" s="2"/>
        <tr r="C141" s="2"/>
        <tr r="B141" s="2"/>
      </tp>
      <tp>
        <v>0.05</v>
        <stp/>
        <stp>LAST</stp>
        <stp>.SPXW250520P5680</stp>
        <tr r="DB124" s="1"/>
        <tr r="DB124" s="1"/>
      </tp>
      <tp>
        <v>285.23</v>
        <stp/>
        <stp>LAST</stp>
        <stp>.SPXW250520C5680</stp>
        <tr r="DA124" s="1"/>
        <tr r="DA124" s="1"/>
      </tp>
      <tp t="s">
        <v>N/A</v>
        <stp/>
        <stp>VOLUME</stp>
        <stp>.NDXPC20400</stp>
        <tr r="F184" s="2"/>
        <tr r="C184" s="2"/>
        <tr r="J184" s="2"/>
        <tr r="B184" s="2"/>
      </tp>
      <tp t="s">
        <v>N/A</v>
        <stp/>
        <stp>VOLUME</stp>
        <stp>.NDXPC21400</stp>
        <tr r="J144" s="2"/>
        <tr r="F144" s="2"/>
        <tr r="B144" s="2"/>
        <tr r="C144" s="2"/>
      </tp>
      <tp t="s">
        <v>N/A</v>
        <stp/>
        <stp>VOLUME</stp>
        <stp>.NDXPC20425</stp>
        <tr r="C183" s="2"/>
        <tr r="J183" s="2"/>
        <tr r="B183" s="2"/>
        <tr r="F183" s="2"/>
      </tp>
      <tp t="s">
        <v>N/A</v>
        <stp/>
        <stp>VOLUME</stp>
        <stp>.NDXPC21425</stp>
        <tr r="J143" s="2"/>
        <tr r="F143" s="2"/>
        <tr r="C143" s="2"/>
        <tr r="B143" s="2"/>
      </tp>
      <tp>
        <v>170.7</v>
        <stp/>
        <stp>ASK</stp>
        <stp>.SPXW250520C5770</stp>
        <tr r="DC115" s="1"/>
        <tr r="DC115" s="1"/>
      </tp>
      <tp>
        <v>0.05</v>
        <stp/>
        <stp>ASK</stp>
        <stp>.SPXW250520P5770</stp>
        <tr r="DD115" s="1"/>
        <tr r="DD115" s="1"/>
      </tp>
      <tp>
        <v>180.7</v>
        <stp/>
        <stp>ASK</stp>
        <stp>.SPXW250520C5760</stp>
        <tr r="DC116" s="1"/>
        <tr r="DC116" s="1"/>
      </tp>
      <tp>
        <v>0.05</v>
        <stp/>
        <stp>ASK</stp>
        <stp>.SPXW250520P5760</stp>
        <tr r="DD116" s="1"/>
        <tr r="DD116" s="1"/>
      </tp>
      <tp>
        <v>190.7</v>
        <stp/>
        <stp>ASK</stp>
        <stp>.SPXW250520C5750</stp>
        <tr r="DC117" s="1"/>
        <tr r="DC117" s="1"/>
      </tp>
      <tp>
        <v>0.05</v>
        <stp/>
        <stp>ASK</stp>
        <stp>.SPXW250520P5750</stp>
        <tr r="DD117" s="1"/>
        <tr r="DD117" s="1"/>
      </tp>
      <tp>
        <v>200.7</v>
        <stp/>
        <stp>ASK</stp>
        <stp>.SPXW250520C5740</stp>
        <tr r="DC118" s="1"/>
        <tr r="DC118" s="1"/>
      </tp>
      <tp>
        <v>0.05</v>
        <stp/>
        <stp>ASK</stp>
        <stp>.SPXW250520P5740</stp>
        <tr r="DD118" s="1"/>
        <tr r="DD118" s="1"/>
      </tp>
      <tp>
        <v>210.7</v>
        <stp/>
        <stp>ASK</stp>
        <stp>.SPXW250520C5730</stp>
        <tr r="DC119" s="1"/>
        <tr r="DC119" s="1"/>
      </tp>
      <tp>
        <v>0.05</v>
        <stp/>
        <stp>ASK</stp>
        <stp>.SPXW250520P5730</stp>
        <tr r="DD119" s="1"/>
        <tr r="DD119" s="1"/>
      </tp>
      <tp>
        <v>220.7</v>
        <stp/>
        <stp>ASK</stp>
        <stp>.SPXW250520C5720</stp>
        <tr r="DC120" s="1"/>
        <tr r="DC120" s="1"/>
      </tp>
      <tp>
        <v>0.05</v>
        <stp/>
        <stp>ASK</stp>
        <stp>.SPXW250520P5720</stp>
        <tr r="DD120" s="1"/>
        <tr r="DD120" s="1"/>
      </tp>
      <tp>
        <v>230.7</v>
        <stp/>
        <stp>ASK</stp>
        <stp>.SPXW250520C5710</stp>
        <tr r="DC121" s="1"/>
        <tr r="DC121" s="1"/>
      </tp>
      <tp>
        <v>0.05</v>
        <stp/>
        <stp>ASK</stp>
        <stp>.SPXW250520P5710</stp>
        <tr r="DD121" s="1"/>
        <tr r="DD121" s="1"/>
      </tp>
      <tp>
        <v>240.7</v>
        <stp/>
        <stp>ASK</stp>
        <stp>.SPXW250520C5700</stp>
        <tr r="DC122" s="1"/>
        <tr r="DC122" s="1"/>
      </tp>
      <tp>
        <v>0.05</v>
        <stp/>
        <stp>ASK</stp>
        <stp>.SPXW250520P5700</stp>
        <tr r="DD122" s="1"/>
        <tr r="DD122" s="1"/>
      </tp>
      <tp>
        <v>150.69999999999999</v>
        <stp/>
        <stp>ASK</stp>
        <stp>.SPXW250520C5790</stp>
        <tr r="DC113" s="1"/>
        <tr r="DC113" s="1"/>
      </tp>
      <tp>
        <v>0.05</v>
        <stp/>
        <stp>ASK</stp>
        <stp>.SPXW250520P5790</stp>
        <tr r="DD113" s="1"/>
        <tr r="DD113" s="1"/>
      </tp>
      <tp>
        <v>160.69999999999999</v>
        <stp/>
        <stp>ASK</stp>
        <stp>.SPXW250520C5780</stp>
        <tr r="DC114" s="1"/>
        <tr r="DC114" s="1"/>
      </tp>
      <tp>
        <v>0.05</v>
        <stp/>
        <stp>ASK</stp>
        <stp>.SPXW250520P5780</stp>
        <tr r="DD114" s="1"/>
        <tr r="DD114" s="1"/>
      </tp>
      <tp>
        <v>0.15</v>
        <stp/>
        <stp>LAST</stp>
        <stp>.NDXP250520P20775</stp>
        <tr r="DB168" s="1"/>
        <tr r="DB168" s="1"/>
      </tp>
      <tp>
        <v>0.05</v>
        <stp/>
        <stp>LAST</stp>
        <stp>.NDXP250520P20750</stp>
        <tr r="DB169" s="1"/>
        <tr r="DB169" s="1"/>
      </tp>
      <tp>
        <v>1.02</v>
        <stp/>
        <stp>LAST</stp>
        <stp>.NDXP250520P20725</stp>
        <tr r="DB170" s="1"/>
        <tr r="DB170" s="1"/>
      </tp>
      <tp>
        <v>0.1</v>
        <stp/>
        <stp>LAST</stp>
        <stp>.NDXP250520P20700</stp>
        <tr r="DB171" s="1"/>
        <tr r="DB171" s="1"/>
      </tp>
      <tp>
        <v>610.70000000000005</v>
        <stp/>
        <stp>LAST</stp>
        <stp>.NDXP250520C20750</stp>
        <tr r="DA169" s="1"/>
        <tr r="DA169" s="1"/>
      </tp>
      <tp>
        <v>689.28</v>
        <stp/>
        <stp>LAST</stp>
        <stp>.NDXP250520C20775</stp>
        <tr r="DA168" s="1"/>
        <tr r="DA168" s="1"/>
      </tp>
      <tp>
        <v>762.96</v>
        <stp/>
        <stp>LAST</stp>
        <stp>.NDXP250520C20700</stp>
        <tr r="DA171" s="1"/>
        <tr r="DA171" s="1"/>
      </tp>
      <tp>
        <v>634.37</v>
        <stp/>
        <stp>LAST</stp>
        <stp>.NDXP250520C20725</stp>
        <tr r="DA170" s="1"/>
        <tr r="DA170" s="1"/>
      </tp>
      <tp>
        <v>270.7</v>
        <stp/>
        <stp>ASK</stp>
        <stp>.SPXW250520C5670</stp>
        <tr r="DC125" s="1"/>
        <tr r="DC125" s="1"/>
      </tp>
      <tp>
        <v>0.05</v>
        <stp/>
        <stp>ASK</stp>
        <stp>.SPXW250520P5670</stp>
        <tr r="DD125" s="1"/>
        <tr r="DD125" s="1"/>
      </tp>
      <tp>
        <v>280.7</v>
        <stp/>
        <stp>ASK</stp>
        <stp>.SPXW250520C5660</stp>
        <tr r="DC126" s="1"/>
        <tr r="DC126" s="1"/>
      </tp>
      <tp>
        <v>0.05</v>
        <stp/>
        <stp>ASK</stp>
        <stp>.SPXW250520P5660</stp>
        <tr r="DD126" s="1"/>
        <tr r="DD126" s="1"/>
      </tp>
      <tp>
        <v>290.7</v>
        <stp/>
        <stp>ASK</stp>
        <stp>.SPXW250520C5650</stp>
        <tr r="DC127" s="1"/>
        <tr r="DC127" s="1"/>
      </tp>
      <tp>
        <v>0.05</v>
        <stp/>
        <stp>ASK</stp>
        <stp>.SPXW250520P5650</stp>
        <tr r="DD127" s="1"/>
        <tr r="DD127" s="1"/>
      </tp>
      <tp>
        <v>300.7</v>
        <stp/>
        <stp>ASK</stp>
        <stp>.SPXW250520C5640</stp>
        <tr r="DC128" s="1"/>
        <tr r="DC128" s="1"/>
      </tp>
      <tp>
        <v>0.05</v>
        <stp/>
        <stp>ASK</stp>
        <stp>.SPXW250520P5640</stp>
        <tr r="DD128" s="1"/>
        <tr r="DD128" s="1"/>
      </tp>
      <tp>
        <v>310.7</v>
        <stp/>
        <stp>ASK</stp>
        <stp>.SPXW250520C5630</stp>
        <tr r="DC129" s="1"/>
        <tr r="DC129" s="1"/>
      </tp>
      <tp>
        <v>0.05</v>
        <stp/>
        <stp>ASK</stp>
        <stp>.SPXW250520P5630</stp>
        <tr r="DD129" s="1"/>
        <tr r="DD129" s="1"/>
      </tp>
      <tp>
        <v>320.7</v>
        <stp/>
        <stp>ASK</stp>
        <stp>.SPXW250520C5620</stp>
        <tr r="DC130" s="1"/>
        <tr r="DC130" s="1"/>
      </tp>
      <tp>
        <v>0.05</v>
        <stp/>
        <stp>ASK</stp>
        <stp>.SPXW250520P5620</stp>
        <tr r="DD130" s="1"/>
        <tr r="DD130" s="1"/>
      </tp>
      <tp>
        <v>250.7</v>
        <stp/>
        <stp>ASK</stp>
        <stp>.SPXW250520C5690</stp>
        <tr r="DC123" s="1"/>
        <tr r="DC123" s="1"/>
      </tp>
      <tp>
        <v>0.05</v>
        <stp/>
        <stp>ASK</stp>
        <stp>.SPXW250520P5690</stp>
        <tr r="DD123" s="1"/>
        <tr r="DD123" s="1"/>
      </tp>
      <tp>
        <v>260.7</v>
        <stp/>
        <stp>ASK</stp>
        <stp>.SPXW250520C5680</stp>
        <tr r="DC124" s="1"/>
        <tr r="DC124" s="1"/>
      </tp>
      <tp>
        <v>0.05</v>
        <stp/>
        <stp>ASK</stp>
        <stp>.SPXW250520P5680</stp>
        <tr r="DD124" s="1"/>
        <tr r="DD124" s="1"/>
      </tp>
      <tp>
        <v>0.67</v>
        <stp/>
        <stp>LAST</stp>
        <stp>.NDXP250520P20675</stp>
        <tr r="DB172" s="1"/>
        <tr r="DB172" s="1"/>
      </tp>
      <tp>
        <v>0.25</v>
        <stp/>
        <stp>LAST</stp>
        <stp>.NDXP250520P20650</stp>
        <tr r="DB173" s="1"/>
        <tr r="DB173" s="1"/>
      </tp>
      <tp>
        <v>0.53</v>
        <stp/>
        <stp>LAST</stp>
        <stp>.NDXP250520P20625</stp>
        <tr r="DB174" s="1"/>
        <tr r="DB174" s="1"/>
      </tp>
      <tp>
        <v>0.1</v>
        <stp/>
        <stp>LAST</stp>
        <stp>.NDXP250520P20600</stp>
        <tr r="DB175" s="1"/>
        <tr r="DB175" s="1"/>
      </tp>
      <tp>
        <v>0</v>
        <stp/>
        <stp>LAST</stp>
        <stp>.NDXP250520C20650</stp>
        <tr r="DA173" s="1"/>
        <tr r="DA173" s="1"/>
      </tp>
      <tp>
        <v>420</v>
        <stp/>
        <stp>LAST</stp>
        <stp>.NDXP250520C20675</stp>
        <tr r="DA172" s="1"/>
        <tr r="DA172" s="1"/>
      </tp>
      <tp>
        <v>144.69999999999999</v>
        <stp/>
        <stp>LAST</stp>
        <stp>.NDXP250520C20600</stp>
        <tr r="DA175" s="1"/>
        <tr r="DA175" s="1"/>
      </tp>
      <tp>
        <v>0</v>
        <stp/>
        <stp>LAST</stp>
        <stp>.NDXP250520C20625</stp>
        <tr r="DA174" s="1"/>
        <tr r="DA174" s="1"/>
      </tp>
      <tp>
        <v>0.25</v>
        <stp/>
        <stp>LAST</stp>
        <stp>.NDXP250520P20575</stp>
        <tr r="DB176" s="1"/>
        <tr r="DB176" s="1"/>
      </tp>
      <tp>
        <v>0.99</v>
        <stp/>
        <stp>LAST</stp>
        <stp>.NDXP250520P20550</stp>
        <tr r="DB177" s="1"/>
        <tr r="DB177" s="1"/>
      </tp>
      <tp>
        <v>215</v>
        <stp/>
        <stp>LAST</stp>
        <stp>.NDXP250520P21550</stp>
        <tr r="DB137" s="1"/>
        <tr r="DB137" s="1"/>
      </tp>
      <tp>
        <v>0.3</v>
        <stp/>
        <stp>LAST</stp>
        <stp>.NDXP250520P20525</stp>
        <tr r="DB178" s="1"/>
        <tr r="DB178" s="1"/>
      </tp>
      <tp t="s">
        <v>N/A</v>
        <stp/>
        <stp>LAST</stp>
        <stp>.NDXP250520P21525</stp>
        <tr r="DB138" s="1"/>
      </tp>
      <tp>
        <v>0.05</v>
        <stp/>
        <stp>LAST</stp>
        <stp>.NDXP250520P20500</stp>
        <tr r="DB179" s="1"/>
        <tr r="DB179" s="1"/>
      </tp>
      <tp>
        <v>143.9</v>
        <stp/>
        <stp>LAST</stp>
        <stp>.NDXP250520P21500</stp>
        <tr r="DB139" s="1"/>
        <tr r="DB139" s="1"/>
      </tp>
      <tp>
        <v>0</v>
        <stp/>
        <stp>LAST</stp>
        <stp>.NDXP250520C20550</stp>
        <tr r="DA177" s="1"/>
        <tr r="DA177" s="1"/>
      </tp>
      <tp>
        <v>0.03</v>
        <stp/>
        <stp>LAST</stp>
        <stp>.NDXP250520C21550</stp>
        <tr r="DA137" s="1"/>
        <tr r="DA137" s="1"/>
      </tp>
      <tp>
        <v>0</v>
        <stp/>
        <stp>LAST</stp>
        <stp>.NDXP250520C20575</stp>
        <tr r="DA176" s="1"/>
        <tr r="DA176" s="1"/>
      </tp>
      <tp>
        <v>833.95</v>
        <stp/>
        <stp>LAST</stp>
        <stp>.NDXP250520C20500</stp>
        <tr r="DA179" s="1"/>
        <tr r="DA179" s="1"/>
      </tp>
      <tp>
        <v>0.25</v>
        <stp/>
        <stp>LAST</stp>
        <stp>.NDXP250520C21500</stp>
        <tr r="DA139" s="1"/>
        <tr r="DA139" s="1"/>
      </tp>
      <tp>
        <v>0</v>
        <stp/>
        <stp>LAST</stp>
        <stp>.NDXP250520C20525</stp>
        <tr r="DA178" s="1"/>
        <tr r="DA178" s="1"/>
      </tp>
      <tp t="s">
        <v>N/A</v>
        <stp/>
        <stp>LAST</stp>
        <stp>.NDXP250520C21525</stp>
        <tr r="DA138" s="1"/>
      </tp>
      <tp>
        <v>0.35</v>
        <stp/>
        <stp>LAST</stp>
        <stp>.NDXP250520P20475</stp>
        <tr r="DB180" s="1"/>
        <tr r="DB180" s="1"/>
      </tp>
      <tp>
        <v>195.1</v>
        <stp/>
        <stp>LAST</stp>
        <stp>.NDXP250520P21475</stp>
        <tr r="DB140" s="1"/>
        <tr r="DB140" s="1"/>
      </tp>
      <tp>
        <v>1.92</v>
        <stp/>
        <stp>LAST</stp>
        <stp>.NDXP250520P20450</stp>
        <tr r="DB181" s="1"/>
        <tr r="DB181" s="1"/>
      </tp>
      <tp>
        <v>150</v>
        <stp/>
        <stp>LAST</stp>
        <stp>.NDXP250520P21450</stp>
        <tr r="DB141" s="1"/>
        <tr r="DB141" s="1"/>
      </tp>
      <tp>
        <v>0.35</v>
        <stp/>
        <stp>LAST</stp>
        <stp>.NDXP250520P20425</stp>
        <tr r="DB182" s="1"/>
        <tr r="DB182" s="1"/>
      </tp>
      <tp>
        <v>106.47</v>
        <stp/>
        <stp>LAST</stp>
        <stp>.NDXP250520P21425</stp>
        <tr r="DB142" s="1"/>
        <tr r="DB142" s="1"/>
      </tp>
      <tp>
        <v>0.2</v>
        <stp/>
        <stp>LAST</stp>
        <stp>.NDXP250520P20400</stp>
        <tr r="DB183" s="1"/>
        <tr r="DB183" s="1"/>
      </tp>
      <tp>
        <v>51.05</v>
        <stp/>
        <stp>LAST</stp>
        <stp>.NDXP250520P21400</stp>
        <tr r="DB143" s="1"/>
        <tr r="DB143" s="1"/>
      </tp>
      <tp>
        <v>940.35</v>
        <stp/>
        <stp>LAST</stp>
        <stp>.NDXP250520C20450</stp>
        <tr r="DA181" s="1"/>
        <tr r="DA181" s="1"/>
      </tp>
      <tp>
        <v>0.05</v>
        <stp/>
        <stp>LAST</stp>
        <stp>.NDXP250520C21450</stp>
        <tr r="DA141" s="1"/>
        <tr r="DA141" s="1"/>
      </tp>
      <tp>
        <v>920.35</v>
        <stp/>
        <stp>LAST</stp>
        <stp>.NDXP250520C20475</stp>
        <tr r="DA180" s="1"/>
        <tr r="DA180" s="1"/>
      </tp>
      <tp>
        <v>0.05</v>
        <stp/>
        <stp>LAST</stp>
        <stp>.NDXP250520C21475</stp>
        <tr r="DA140" s="1"/>
        <tr r="DA140" s="1"/>
      </tp>
      <tp>
        <v>883.4</v>
        <stp/>
        <stp>LAST</stp>
        <stp>.NDXP250520C20400</stp>
        <tr r="DA183" s="1"/>
        <tr r="DA183" s="1"/>
      </tp>
      <tp>
        <v>0.05</v>
        <stp/>
        <stp>LAST</stp>
        <stp>.NDXP250520C21400</stp>
        <tr r="DA143" s="1"/>
        <tr r="DA143" s="1"/>
      </tp>
      <tp>
        <v>0</v>
        <stp/>
        <stp>LAST</stp>
        <stp>.NDXP250520C20425</stp>
        <tr r="DA182" s="1"/>
        <tr r="DA182" s="1"/>
      </tp>
      <tp>
        <v>0.33</v>
        <stp/>
        <stp>LAST</stp>
        <stp>.NDXP250520C21425</stp>
        <tr r="DA142" s="1"/>
        <tr r="DA142" s="1"/>
      </tp>
      <tp>
        <v>-0.31</v>
        <stp/>
        <stp>DELTA</stp>
        <stp>.NDX250620P20825</stp>
        <tr r="CI166" s="1"/>
        <tr r="CI166" s="1"/>
      </tp>
      <tp>
        <v>-0.3</v>
        <stp/>
        <stp>DELTA</stp>
        <stp>.NDX250620P20800</stp>
        <tr r="CI167" s="1"/>
        <tr r="CI167" s="1"/>
      </tp>
      <tp>
        <v>-0.32</v>
        <stp/>
        <stp>DELTA</stp>
        <stp>.NDX250620P20875</stp>
        <tr r="CI164" s="1"/>
        <tr r="CI164" s="1"/>
      </tp>
      <tp>
        <v>-0.32</v>
        <stp/>
        <stp>DELTA</stp>
        <stp>.NDX250620P20850</stp>
        <tr r="CI165" s="1"/>
        <tr r="CI165" s="1"/>
      </tp>
      <tp>
        <v>0.71</v>
        <stp/>
        <stp>DELTA</stp>
        <stp>.NDX250620C20800</stp>
        <tr r="CH167" s="1"/>
        <tr r="CH167" s="1"/>
      </tp>
      <tp>
        <v>0.7</v>
        <stp/>
        <stp>DELTA</stp>
        <stp>.NDX250620C20825</stp>
        <tr r="CH166" s="1"/>
        <tr r="CH166" s="1"/>
      </tp>
      <tp>
        <v>0.7</v>
        <stp/>
        <stp>DELTA</stp>
        <stp>.NDX250620C20850</stp>
        <tr r="CH165" s="1"/>
        <tr r="CH165" s="1"/>
      </tp>
      <tp>
        <v>0.69</v>
        <stp/>
        <stp>DELTA</stp>
        <stp>.NDX250620C20875</stp>
        <tr r="CH164" s="1"/>
        <tr r="CH164" s="1"/>
      </tp>
      <tp>
        <v>0.2</v>
        <stp/>
        <stp>LAST</stp>
        <stp>.NDXP250520P20375</stp>
        <tr r="DB184" s="1"/>
        <tr r="DB184" s="1"/>
      </tp>
      <tp>
        <v>18.41</v>
        <stp/>
        <stp>LAST</stp>
        <stp>.NDXP250520P21375</stp>
        <tr r="DB144" s="1"/>
        <tr r="DB144" s="1"/>
      </tp>
      <tp>
        <v>0.05</v>
        <stp/>
        <stp>LAST</stp>
        <stp>.NDXP250520P20350</stp>
        <tr r="DB185" s="1"/>
        <tr r="DB185" s="1"/>
      </tp>
      <tp>
        <v>0.1</v>
        <stp/>
        <stp>LAST</stp>
        <stp>.NDXP250520P21350</stp>
        <tr r="DB145" s="1"/>
        <tr r="DB145" s="1"/>
      </tp>
      <tp>
        <v>0.4</v>
        <stp/>
        <stp>LAST</stp>
        <stp>.NDXP250520P20325</stp>
        <tr r="DB186" s="1"/>
        <tr r="DB186" s="1"/>
      </tp>
      <tp>
        <v>0.1</v>
        <stp/>
        <stp>LAST</stp>
        <stp>.NDXP250520P21325</stp>
        <tr r="DB146" s="1"/>
        <tr r="DB146" s="1"/>
      </tp>
      <tp>
        <v>0.05</v>
        <stp/>
        <stp>LAST</stp>
        <stp>.NDXP250520P20300</stp>
        <tr r="DB187" s="1"/>
        <tr r="DB187" s="1"/>
      </tp>
      <tp>
        <v>0.05</v>
        <stp/>
        <stp>LAST</stp>
        <stp>.NDXP250520P21300</stp>
        <tr r="DB147" s="1"/>
        <tr r="DB147" s="1"/>
      </tp>
      <tp>
        <v>0</v>
        <stp/>
        <stp>LAST</stp>
        <stp>.NDXP250520C20350</stp>
        <tr r="DA185" s="1"/>
        <tr r="DA185" s="1"/>
      </tp>
      <tp>
        <v>20</v>
        <stp/>
        <stp>LAST</stp>
        <stp>.NDXP250520C21350</stp>
        <tr r="DA145" s="1"/>
        <tr r="DA145" s="1"/>
      </tp>
      <tp>
        <v>0</v>
        <stp/>
        <stp>LAST</stp>
        <stp>.NDXP250520C20375</stp>
        <tr r="DA184" s="1"/>
        <tr r="DA184" s="1"/>
      </tp>
      <tp>
        <v>0.7</v>
        <stp/>
        <stp>LAST</stp>
        <stp>.NDXP250520C21375</stp>
        <tr r="DA144" s="1"/>
        <tr r="DA144" s="1"/>
      </tp>
      <tp>
        <v>294</v>
        <stp/>
        <stp>LAST</stp>
        <stp>.NDXP250520C20300</stp>
        <tr r="DA187" s="1"/>
        <tr r="DA187" s="1"/>
      </tp>
      <tp>
        <v>52.02</v>
        <stp/>
        <stp>LAST</stp>
        <stp>.NDXP250520C21300</stp>
        <tr r="DA147" s="1"/>
        <tr r="DA147" s="1"/>
      </tp>
      <tp>
        <v>281</v>
        <stp/>
        <stp>LAST</stp>
        <stp>.NDXP250520C20325</stp>
        <tr r="DA186" s="1"/>
        <tr r="DA186" s="1"/>
      </tp>
      <tp>
        <v>38.1</v>
        <stp/>
        <stp>LAST</stp>
        <stp>.NDXP250520C21325</stp>
        <tr r="DA146" s="1"/>
        <tr r="DA146" s="1"/>
      </tp>
      <tp>
        <v>-0.34</v>
        <stp/>
        <stp>DELTA</stp>
        <stp>.NDX250620P20925</stp>
        <tr r="CI162" s="1"/>
        <tr r="CI162" s="1"/>
      </tp>
      <tp>
        <v>-0.33</v>
        <stp/>
        <stp>DELTA</stp>
        <stp>.NDX250620P20900</stp>
        <tr r="CI163" s="1"/>
        <tr r="CI163" s="1"/>
      </tp>
      <tp>
        <v>-0.35</v>
        <stp/>
        <stp>DELTA</stp>
        <stp>.NDX250620P20975</stp>
        <tr r="CI160" s="1"/>
        <tr r="CI160" s="1"/>
      </tp>
      <tp>
        <v>-0.34</v>
        <stp/>
        <stp>DELTA</stp>
        <stp>.NDX250620P20950</stp>
        <tr r="CI161" s="1"/>
        <tr r="CI161" s="1"/>
      </tp>
      <tp>
        <v>0.68</v>
        <stp/>
        <stp>DELTA</stp>
        <stp>.NDX250620C20900</stp>
        <tr r="CH163" s="1"/>
        <tr r="CH163" s="1"/>
      </tp>
      <tp>
        <v>0.68</v>
        <stp/>
        <stp>DELTA</stp>
        <stp>.NDX250620C20925</stp>
        <tr r="CH162" s="1"/>
        <tr r="CH162" s="1"/>
      </tp>
      <tp>
        <v>0.67</v>
        <stp/>
        <stp>DELTA</stp>
        <stp>.NDX250620C20950</stp>
        <tr r="CH161" s="1"/>
        <tr r="CH161" s="1"/>
      </tp>
      <tp>
        <v>0.66</v>
        <stp/>
        <stp>DELTA</stp>
        <stp>.NDX250620C20975</stp>
        <tr r="CH160" s="1"/>
        <tr r="CH160" s="1"/>
      </tp>
      <tp>
        <v>0</v>
        <stp/>
        <stp>LAST</stp>
        <stp>.NDXP250520P20275</stp>
        <tr r="DB188" s="1"/>
        <tr r="DB188" s="1"/>
      </tp>
      <tp>
        <v>0.48</v>
        <stp/>
        <stp>LAST</stp>
        <stp>.NDXP250520P21275</stp>
        <tr r="DB148" s="1"/>
        <tr r="DB148" s="1"/>
      </tp>
      <tp>
        <v>0.05</v>
        <stp/>
        <stp>LAST</stp>
        <stp>.NDXP250520P20250</stp>
        <tr r="DB189" s="1"/>
        <tr r="DB189" s="1"/>
      </tp>
      <tp>
        <v>0.05</v>
        <stp/>
        <stp>LAST</stp>
        <stp>.NDXP250520P21250</stp>
        <tr r="DB149" s="1"/>
        <tr r="DB149" s="1"/>
      </tp>
      <tp>
        <v>0.05</v>
        <stp/>
        <stp>LAST</stp>
        <stp>.NDXP250520P21225</stp>
        <tr r="DB150" s="1"/>
        <tr r="DB150" s="1"/>
      </tp>
      <tp>
        <v>0.1</v>
        <stp/>
        <stp>LAST</stp>
        <stp>.NDXP250520P21200</stp>
        <tr r="DB151" s="1"/>
        <tr r="DB151" s="1"/>
      </tp>
      <tp>
        <v>1100.6500000000001</v>
        <stp/>
        <stp>LAST</stp>
        <stp>.NDXP250520C20250</stp>
        <tr r="DA189" s="1"/>
        <tr r="DA189" s="1"/>
      </tp>
      <tp>
        <v>111.69</v>
        <stp/>
        <stp>LAST</stp>
        <stp>.NDXP250520C21250</stp>
        <tr r="DA149" s="1"/>
        <tr r="DA149" s="1"/>
      </tp>
      <tp>
        <v>0</v>
        <stp/>
        <stp>LAST</stp>
        <stp>.NDXP250520C20275</stp>
        <tr r="DA188" s="1"/>
        <tr r="DA188" s="1"/>
      </tp>
      <tp>
        <v>64.599999999999994</v>
        <stp/>
        <stp>LAST</stp>
        <stp>.NDXP250520C21275</stp>
        <tr r="DA148" s="1"/>
        <tr r="DA148" s="1"/>
      </tp>
      <tp>
        <v>157.72</v>
        <stp/>
        <stp>LAST</stp>
        <stp>.NDXP250520C21200</stp>
        <tr r="DA151" s="1"/>
        <tr r="DA151" s="1"/>
      </tp>
      <tp>
        <v>132.69999999999999</v>
        <stp/>
        <stp>LAST</stp>
        <stp>.NDXP250520C21225</stp>
        <tr r="DA150" s="1"/>
        <tr r="DA150" s="1"/>
      </tp>
      <tp>
        <v>0.2</v>
        <stp/>
        <stp>LAST</stp>
        <stp>.NDXP250520P21175</stp>
        <tr r="DB152" s="1"/>
        <tr r="DB152" s="1"/>
      </tp>
      <tp>
        <v>0.05</v>
        <stp/>
        <stp>LAST</stp>
        <stp>.NDXP250520P21150</stp>
        <tr r="DB153" s="1"/>
        <tr r="DB153" s="1"/>
      </tp>
      <tp>
        <v>1.3</v>
        <stp/>
        <stp>LAST</stp>
        <stp>.NDXP250520P21125</stp>
        <tr r="DB154" s="1"/>
        <tr r="DB154" s="1"/>
      </tp>
      <tp>
        <v>0.21</v>
        <stp/>
        <stp>LAST</stp>
        <stp>.NDXP250520P21100</stp>
        <tr r="DB155" s="1"/>
        <tr r="DB155" s="1"/>
      </tp>
      <tp>
        <v>91.29</v>
        <stp/>
        <stp>LAST</stp>
        <stp>.NDXP250520C21150</stp>
        <tr r="DA153" s="1"/>
        <tr r="DA153" s="1"/>
      </tp>
      <tp>
        <v>115</v>
        <stp/>
        <stp>LAST</stp>
        <stp>.NDXP250520C21175</stp>
        <tr r="DA152" s="1"/>
        <tr r="DA152" s="1"/>
      </tp>
      <tp>
        <v>234.95</v>
        <stp/>
        <stp>LAST</stp>
        <stp>.NDXP250520C21100</stp>
        <tr r="DA155" s="1"/>
        <tr r="DA155" s="1"/>
      </tp>
      <tp>
        <v>175.39</v>
        <stp/>
        <stp>LAST</stp>
        <stp>.NDXP250520C21125</stp>
        <tr r="DA154" s="1"/>
        <tr r="DA154" s="1"/>
      </tp>
      <tp>
        <v>0.05</v>
        <stp/>
        <stp>ASK</stp>
        <stp>.SPXW250520C6070</stp>
        <tr r="DC85" s="1"/>
        <tr r="DC85" s="1"/>
      </tp>
      <tp>
        <v>131.30000000000001</v>
        <stp/>
        <stp>ASK</stp>
        <stp>.SPXW250520P6070</stp>
        <tr r="DD85" s="1"/>
        <tr r="DD85" s="1"/>
      </tp>
      <tp>
        <v>0.05</v>
        <stp/>
        <stp>ASK</stp>
        <stp>.SPXW250520C6060</stp>
        <tr r="DC86" s="1"/>
        <tr r="DC86" s="1"/>
      </tp>
      <tp>
        <v>121.3</v>
        <stp/>
        <stp>ASK</stp>
        <stp>.SPXW250520P6060</stp>
        <tr r="DD86" s="1"/>
        <tr r="DD86" s="1"/>
      </tp>
      <tp>
        <v>0.05</v>
        <stp/>
        <stp>ASK</stp>
        <stp>.SPXW250520C6050</stp>
        <tr r="DC87" s="1"/>
        <tr r="DC87" s="1"/>
      </tp>
      <tp>
        <v>111.3</v>
        <stp/>
        <stp>ASK</stp>
        <stp>.SPXW250520P6050</stp>
        <tr r="DD87" s="1"/>
        <tr r="DD87" s="1"/>
      </tp>
      <tp>
        <v>0.05</v>
        <stp/>
        <stp>ASK</stp>
        <stp>.SPXW250520C6040</stp>
        <tr r="DC88" s="1"/>
        <tr r="DC88" s="1"/>
      </tp>
      <tp>
        <v>101.3</v>
        <stp/>
        <stp>ASK</stp>
        <stp>.SPXW250520P6040</stp>
        <tr r="DD88" s="1"/>
        <tr r="DD88" s="1"/>
      </tp>
      <tp>
        <v>0.05</v>
        <stp/>
        <stp>ASK</stp>
        <stp>.SPXW250520C6030</stp>
        <tr r="DC89" s="1"/>
        <tr r="DC89" s="1"/>
      </tp>
      <tp>
        <v>91.3</v>
        <stp/>
        <stp>ASK</stp>
        <stp>.SPXW250520P6030</stp>
        <tr r="DD89" s="1"/>
        <tr r="DD89" s="1"/>
      </tp>
      <tp>
        <v>0.05</v>
        <stp/>
        <stp>ASK</stp>
        <stp>.SPXW250520C6020</stp>
        <tr r="DC90" s="1"/>
        <tr r="DC90" s="1"/>
      </tp>
      <tp>
        <v>81.3</v>
        <stp/>
        <stp>ASK</stp>
        <stp>.SPXW250520P6020</stp>
        <tr r="DD90" s="1"/>
        <tr r="DD90" s="1"/>
      </tp>
      <tp>
        <v>0.05</v>
        <stp/>
        <stp>ASK</stp>
        <stp>.SPXW250520C6010</stp>
        <tr r="DC91" s="1"/>
        <tr r="DC91" s="1"/>
      </tp>
      <tp>
        <v>71.3</v>
        <stp/>
        <stp>ASK</stp>
        <stp>.SPXW250520P6010</stp>
        <tr r="DD91" s="1"/>
        <tr r="DD91" s="1"/>
      </tp>
      <tp>
        <v>0.05</v>
        <stp/>
        <stp>ASK</stp>
        <stp>.SPXW250520C6000</stp>
        <tr r="DC92" s="1"/>
        <tr r="DC92" s="1"/>
      </tp>
      <tp>
        <v>61.3</v>
        <stp/>
        <stp>ASK</stp>
        <stp>.SPXW250520P6000</stp>
        <tr r="DD92" s="1"/>
        <tr r="DD92" s="1"/>
      </tp>
      <tp>
        <v>0.42</v>
        <stp/>
        <stp>LAST</stp>
        <stp>.NDXP250520P21075</stp>
        <tr r="DB156" s="1"/>
        <tr r="DB156" s="1"/>
      </tp>
      <tp>
        <v>0.2</v>
        <stp/>
        <stp>LAST</stp>
        <stp>.NDXP250520P21050</stp>
        <tr r="DB157" s="1"/>
        <tr r="DB157" s="1"/>
      </tp>
      <tp>
        <v>1.4</v>
        <stp/>
        <stp>LAST</stp>
        <stp>.NDXP250520P21025</stp>
        <tr r="DB158" s="1"/>
        <tr r="DB158" s="1"/>
      </tp>
      <tp>
        <v>7.0000000000000007E-2</v>
        <stp/>
        <stp>LAST</stp>
        <stp>.NDXP250520P21000</stp>
        <tr r="DB159" s="1"/>
        <tr r="DB159" s="1"/>
      </tp>
      <tp>
        <v>391.56</v>
        <stp/>
        <stp>LAST</stp>
        <stp>.NDXP250520C21050</stp>
        <tr r="DA157" s="1"/>
        <tr r="DA157" s="1"/>
      </tp>
      <tp>
        <v>372.09</v>
        <stp/>
        <stp>LAST</stp>
        <stp>.NDXP250520C21075</stp>
        <tr r="DA156" s="1"/>
        <tr r="DA156" s="1"/>
      </tp>
      <tp>
        <v>344.3</v>
        <stp/>
        <stp>LAST</stp>
        <stp>.NDXP250520C21000</stp>
        <tr r="DA159" s="1"/>
        <tr r="DA159" s="1"/>
      </tp>
      <tp>
        <v>218.8</v>
        <stp/>
        <stp>LAST</stp>
        <stp>.NDXP250520C21025</stp>
        <tr r="DA158" s="1"/>
        <tr r="DA158" s="1"/>
      </tp>
      <tp>
        <v>-0.48</v>
        <stp/>
        <stp>DELTA</stp>
        <stp>.NDX250620P21425</stp>
        <tr r="CI142" s="1"/>
        <tr r="CI142" s="1"/>
      </tp>
      <tp>
        <v>-0.23</v>
        <stp/>
        <stp>DELTA</stp>
        <stp>.NDX250620P20425</stp>
        <tr r="CI182" s="1"/>
        <tr r="CI182" s="1"/>
      </tp>
      <tp>
        <v>-0.47</v>
        <stp/>
        <stp>DELTA</stp>
        <stp>.NDX250620P21400</stp>
        <tr r="CI143" s="1"/>
        <tr r="CI143" s="1"/>
      </tp>
      <tp>
        <v>-0.22</v>
        <stp/>
        <stp>DELTA</stp>
        <stp>.NDX250620P20400</stp>
        <tr r="CI183" s="1"/>
        <tr r="CI183" s="1"/>
      </tp>
      <tp>
        <v>-0.5</v>
        <stp/>
        <stp>DELTA</stp>
        <stp>.NDX250620P21475</stp>
        <tr r="CI140" s="1"/>
        <tr r="CI140" s="1"/>
      </tp>
      <tp>
        <v>-0.23</v>
        <stp/>
        <stp>DELTA</stp>
        <stp>.NDX250620P20475</stp>
        <tr r="CI180" s="1"/>
        <tr r="CI180" s="1"/>
      </tp>
      <tp>
        <v>-0.49</v>
        <stp/>
        <stp>DELTA</stp>
        <stp>.NDX250620P21450</stp>
        <tr r="CI141" s="1"/>
        <tr r="CI141" s="1"/>
      </tp>
      <tp>
        <v>-0.23</v>
        <stp/>
        <stp>DELTA</stp>
        <stp>.NDX250620P20450</stp>
        <tr r="CI181" s="1"/>
        <tr r="CI181" s="1"/>
      </tp>
      <tp>
        <v>0.53</v>
        <stp/>
        <stp>DELTA</stp>
        <stp>.NDX250620C21400</stp>
        <tr r="CH143" s="1"/>
        <tr r="CH143" s="1"/>
      </tp>
      <tp>
        <v>0.8</v>
        <stp/>
        <stp>DELTA</stp>
        <stp>.NDX250620C20400</stp>
        <tr r="CH183" s="1"/>
        <tr r="CH183" s="1"/>
      </tp>
      <tp>
        <v>0.52</v>
        <stp/>
        <stp>DELTA</stp>
        <stp>.NDX250620C21425</stp>
        <tr r="CH142" s="1"/>
        <tr r="CH142" s="1"/>
      </tp>
      <tp>
        <v>0.79</v>
        <stp/>
        <stp>DELTA</stp>
        <stp>.NDX250620C20425</stp>
        <tr r="CH182" s="1"/>
        <tr r="CH182" s="1"/>
      </tp>
      <tp>
        <v>0.51</v>
        <stp/>
        <stp>DELTA</stp>
        <stp>.NDX250620C21450</stp>
        <tr r="CH141" s="1"/>
        <tr r="CH141" s="1"/>
      </tp>
      <tp>
        <v>0.79</v>
        <stp/>
        <stp>DELTA</stp>
        <stp>.NDX250620C20450</stp>
        <tr r="CH181" s="1"/>
        <tr r="CH181" s="1"/>
      </tp>
      <tp>
        <v>0.5</v>
        <stp/>
        <stp>DELTA</stp>
        <stp>.NDX250620C21475</stp>
        <tr r="CH140" s="1"/>
        <tr r="CH140" s="1"/>
      </tp>
      <tp>
        <v>0.78</v>
        <stp/>
        <stp>DELTA</stp>
        <stp>.NDX250620C20475</stp>
        <tr r="CH180" s="1"/>
        <tr r="CH180" s="1"/>
      </tp>
      <tp>
        <v>-0.51</v>
        <stp/>
        <stp>DELTA</stp>
        <stp>.NDX250620P21525</stp>
        <tr r="CI138" s="1"/>
        <tr r="CI138" s="1"/>
      </tp>
      <tp>
        <v>-0.24</v>
        <stp/>
        <stp>DELTA</stp>
        <stp>.NDX250620P20525</stp>
        <tr r="CI178" s="1"/>
        <tr r="CI178" s="1"/>
      </tp>
      <tp>
        <v>-0.51</v>
        <stp/>
        <stp>DELTA</stp>
        <stp>.NDX250620P21500</stp>
        <tr r="CI139" s="1"/>
        <tr r="CI139" s="1"/>
      </tp>
      <tp>
        <v>-0.24</v>
        <stp/>
        <stp>DELTA</stp>
        <stp>.NDX250620P20500</stp>
        <tr r="CI179" s="1"/>
        <tr r="CI179" s="1"/>
      </tp>
      <tp>
        <v>-0.25</v>
        <stp/>
        <stp>DELTA</stp>
        <stp>.NDX250620P20575</stp>
        <tr r="CI176" s="1"/>
        <tr r="CI176" s="1"/>
      </tp>
      <tp>
        <v>-0.52</v>
        <stp/>
        <stp>DELTA</stp>
        <stp>.NDX250620P21550</stp>
        <tr r="CI137" s="1"/>
        <tr r="CI137" s="1"/>
      </tp>
      <tp>
        <v>-0.25</v>
        <stp/>
        <stp>DELTA</stp>
        <stp>.NDX250620P20550</stp>
        <tr r="CI177" s="1"/>
        <tr r="CI177" s="1"/>
      </tp>
      <tp>
        <v>0.49</v>
        <stp/>
        <stp>DELTA</stp>
        <stp>.NDX250620C21500</stp>
        <tr r="CH139" s="1"/>
        <tr r="CH139" s="1"/>
      </tp>
      <tp>
        <v>0.78</v>
        <stp/>
        <stp>DELTA</stp>
        <stp>.NDX250620C20500</stp>
        <tr r="CH179" s="1"/>
        <tr r="CH179" s="1"/>
      </tp>
      <tp>
        <v>0.48</v>
        <stp/>
        <stp>DELTA</stp>
        <stp>.NDX250620C21525</stp>
        <tr r="CH138" s="1"/>
        <tr r="CH138" s="1"/>
      </tp>
      <tp>
        <v>0.77</v>
        <stp/>
        <stp>DELTA</stp>
        <stp>.NDX250620C20525</stp>
        <tr r="CH178" s="1"/>
        <tr r="CH178" s="1"/>
      </tp>
      <tp>
        <v>0.47</v>
        <stp/>
        <stp>DELTA</stp>
        <stp>.NDX250620C21550</stp>
        <tr r="CH137" s="1"/>
        <tr r="CH137" s="1"/>
      </tp>
      <tp>
        <v>0.77</v>
        <stp/>
        <stp>DELTA</stp>
        <stp>.NDX250620C20550</stp>
        <tr r="CH177" s="1"/>
        <tr r="CH177" s="1"/>
      </tp>
      <tp>
        <v>0.76</v>
        <stp/>
        <stp>DELTA</stp>
        <stp>.NDX250620C20575</stp>
        <tr r="CH176" s="1"/>
        <tr r="CH176" s="1"/>
      </tp>
      <tp>
        <v>-0.27</v>
        <stp/>
        <stp>DELTA</stp>
        <stp>.NDX250620P20625</stp>
        <tr r="CI174" s="1"/>
        <tr r="CI174" s="1"/>
      </tp>
      <tp>
        <v>-0.26</v>
        <stp/>
        <stp>DELTA</stp>
        <stp>.NDX250620P20600</stp>
        <tr r="CI175" s="1"/>
        <tr r="CI175" s="1"/>
      </tp>
      <tp>
        <v>-0.28000000000000003</v>
        <stp/>
        <stp>DELTA</stp>
        <stp>.NDX250620P20675</stp>
        <tr r="CI172" s="1"/>
        <tr r="CI172" s="1"/>
      </tp>
      <tp>
        <v>-0.27</v>
        <stp/>
        <stp>DELTA</stp>
        <stp>.NDX250620P20650</stp>
        <tr r="CI173" s="1"/>
        <tr r="CI173" s="1"/>
      </tp>
      <tp>
        <v>0.76</v>
        <stp/>
        <stp>DELTA</stp>
        <stp>.NDX250620C20600</stp>
        <tr r="CH175" s="1"/>
        <tr r="CH175" s="1"/>
      </tp>
      <tp>
        <v>0.75</v>
        <stp/>
        <stp>DELTA</stp>
        <stp>.NDX250620C20625</stp>
        <tr r="CH174" s="1"/>
        <tr r="CH174" s="1"/>
      </tp>
      <tp>
        <v>0.74</v>
        <stp/>
        <stp>DELTA</stp>
        <stp>.NDX250620C20650</stp>
        <tr r="CH173" s="1"/>
        <tr r="CH173" s="1"/>
      </tp>
      <tp>
        <v>0.74</v>
        <stp/>
        <stp>DELTA</stp>
        <stp>.NDX250620C20675</stp>
        <tr r="CH172" s="1"/>
        <tr r="CH172" s="1"/>
      </tp>
      <tp>
        <v>-0.28999999999999998</v>
        <stp/>
        <stp>DELTA</stp>
        <stp>.NDX250620P20725</stp>
        <tr r="CI170" s="1"/>
        <tr r="CI170" s="1"/>
      </tp>
      <tp>
        <v>-0.28000000000000003</v>
        <stp/>
        <stp>DELTA</stp>
        <stp>.NDX250620P20700</stp>
        <tr r="CI171" s="1"/>
        <tr r="CI171" s="1"/>
      </tp>
      <tp>
        <v>-0.3</v>
        <stp/>
        <stp>DELTA</stp>
        <stp>.NDX250620P20775</stp>
        <tr r="CI168" s="1"/>
        <tr r="CI168" s="1"/>
      </tp>
      <tp>
        <v>-0.28999999999999998</v>
        <stp/>
        <stp>DELTA</stp>
        <stp>.NDX250620P20750</stp>
        <tr r="CI169" s="1"/>
        <tr r="CI169" s="1"/>
      </tp>
      <tp>
        <v>0.73</v>
        <stp/>
        <stp>DELTA</stp>
        <stp>.NDX250620C20700</stp>
        <tr r="CH171" s="1"/>
        <tr r="CH171" s="1"/>
      </tp>
      <tp>
        <v>0.73</v>
        <stp/>
        <stp>DELTA</stp>
        <stp>.NDX250620C20725</stp>
        <tr r="CH170" s="1"/>
        <tr r="CH170" s="1"/>
      </tp>
      <tp>
        <v>0.73</v>
        <stp/>
        <stp>DELTA</stp>
        <stp>.NDX250620C20750</stp>
        <tr r="CH169" s="1"/>
        <tr r="CH169" s="1"/>
      </tp>
      <tp>
        <v>0.71</v>
        <stp/>
        <stp>DELTA</stp>
        <stp>.NDX250620C20775</stp>
        <tr r="CH168" s="1"/>
        <tr r="CH168" s="1"/>
      </tp>
      <tp>
        <v>-0.36</v>
        <stp/>
        <stp>DELTA</stp>
        <stp>.NDX250620P21025</stp>
        <tr r="CI158" s="1"/>
        <tr r="CI158" s="1"/>
      </tp>
      <tp>
        <v>-0.36</v>
        <stp/>
        <stp>DELTA</stp>
        <stp>.NDX250620P21000</stp>
        <tr r="CI159" s="1"/>
        <tr r="CI159" s="1"/>
      </tp>
      <tp>
        <v>-0.38</v>
        <stp/>
        <stp>DELTA</stp>
        <stp>.NDX250620P21075</stp>
        <tr r="CI156" s="1"/>
        <tr r="CI156" s="1"/>
      </tp>
      <tp>
        <v>-0.37</v>
        <stp/>
        <stp>DELTA</stp>
        <stp>.NDX250620P21050</stp>
        <tr r="CI157" s="1"/>
        <tr r="CI157" s="1"/>
      </tp>
      <tp>
        <v>0.66</v>
        <stp/>
        <stp>DELTA</stp>
        <stp>.NDX250620C21000</stp>
        <tr r="CH159" s="1"/>
        <tr r="CH159" s="1"/>
      </tp>
      <tp>
        <v>0.65</v>
        <stp/>
        <stp>DELTA</stp>
        <stp>.NDX250620C21025</stp>
        <tr r="CH158" s="1"/>
        <tr r="CH158" s="1"/>
      </tp>
      <tp>
        <v>0.64</v>
        <stp/>
        <stp>DELTA</stp>
        <stp>.NDX250620C21050</stp>
        <tr r="CH157" s="1"/>
        <tr r="CH157" s="1"/>
      </tp>
      <tp>
        <v>0.63</v>
        <stp/>
        <stp>DELTA</stp>
        <stp>.NDX250620C21075</stp>
        <tr r="CH156" s="1"/>
        <tr r="CH156" s="1"/>
      </tp>
      <tp>
        <v>-0.39</v>
        <stp/>
        <stp>DELTA</stp>
        <stp>.NDX250620P21125</stp>
        <tr r="CI154" s="1"/>
        <tr r="CI154" s="1"/>
      </tp>
      <tp>
        <v>-0.38</v>
        <stp/>
        <stp>DELTA</stp>
        <stp>.NDX250620P21100</stp>
        <tr r="CI155" s="1"/>
        <tr r="CI155" s="1"/>
      </tp>
      <tp>
        <v>-0.4</v>
        <stp/>
        <stp>DELTA</stp>
        <stp>.NDX250620P21175</stp>
        <tr r="CI152" s="1"/>
        <tr r="CI152" s="1"/>
      </tp>
      <tp>
        <v>-0.4</v>
        <stp/>
        <stp>DELTA</stp>
        <stp>.NDX250620P21150</stp>
        <tr r="CI153" s="1"/>
        <tr r="CI153" s="1"/>
      </tp>
      <tp>
        <v>0.63</v>
        <stp/>
        <stp>DELTA</stp>
        <stp>.NDX250620C21100</stp>
        <tr r="CH155" s="1"/>
        <tr r="CH155" s="1"/>
      </tp>
      <tp>
        <v>0.62</v>
        <stp/>
        <stp>DELTA</stp>
        <stp>.NDX250620C21125</stp>
        <tr r="CH154" s="1"/>
        <tr r="CH154" s="1"/>
      </tp>
      <tp>
        <v>0.61</v>
        <stp/>
        <stp>DELTA</stp>
        <stp>.NDX250620C21150</stp>
        <tr r="CH153" s="1"/>
        <tr r="CH153" s="1"/>
      </tp>
      <tp>
        <v>0.6</v>
        <stp/>
        <stp>DELTA</stp>
        <stp>.NDX250620C21175</stp>
        <tr r="CH152" s="1"/>
        <tr r="CH152" s="1"/>
      </tp>
      <tp>
        <v>0.05</v>
        <stp/>
        <stp>ASK</stp>
        <stp>.SPXW250520C5970</stp>
        <tr r="DC95" s="1"/>
        <tr r="DC95" s="1"/>
      </tp>
      <tp>
        <v>31.3</v>
        <stp/>
        <stp>ASK</stp>
        <stp>.SPXW250520P5970</stp>
        <tr r="DD95" s="1"/>
        <tr r="DD95" s="1"/>
      </tp>
      <tp>
        <v>0.05</v>
        <stp/>
        <stp>ASK</stp>
        <stp>.SPXW250520C5960</stp>
        <tr r="DC96" s="1"/>
        <tr r="DC96" s="1"/>
      </tp>
      <tp>
        <v>20.5</v>
        <stp/>
        <stp>ASK</stp>
        <stp>.SPXW250520P5960</stp>
        <tr r="DD96" s="1"/>
        <tr r="DD96" s="1"/>
      </tp>
      <tp>
        <v>0.05</v>
        <stp/>
        <stp>ASK</stp>
        <stp>.SPXW250520C5950</stp>
        <tr r="DC97" s="1"/>
        <tr r="DC97" s="1"/>
      </tp>
      <tp>
        <v>10.3</v>
        <stp/>
        <stp>ASK</stp>
        <stp>.SPXW250520P5950</stp>
        <tr r="DD97" s="1"/>
        <tr r="DD97" s="1"/>
      </tp>
      <tp>
        <v>0.7</v>
        <stp/>
        <stp>ASK</stp>
        <stp>.SPXW250520C5940</stp>
        <tr r="DC98" s="1"/>
        <tr r="DC98" s="1"/>
      </tp>
      <tp>
        <v>0.75</v>
        <stp/>
        <stp>ASK</stp>
        <stp>.SPXW250520P5940</stp>
        <tr r="DD98" s="1"/>
        <tr r="DD98" s="1"/>
      </tp>
      <tp>
        <v>10.199999999999999</v>
        <stp/>
        <stp>ASK</stp>
        <stp>.SPXW250520C5930</stp>
        <tr r="DC99" s="1"/>
        <tr r="DC99" s="1"/>
      </tp>
      <tp>
        <v>0.05</v>
        <stp/>
        <stp>ASK</stp>
        <stp>.SPXW250520P5930</stp>
        <tr r="DD99" s="1"/>
        <tr r="DD99" s="1"/>
      </tp>
      <tp>
        <v>20.7</v>
        <stp/>
        <stp>ASK</stp>
        <stp>.SPXW250520C5920</stp>
        <tr r="DC100" s="1"/>
        <tr r="DC100" s="1"/>
      </tp>
      <tp>
        <v>0.05</v>
        <stp/>
        <stp>ASK</stp>
        <stp>.SPXW250520P5920</stp>
        <tr r="DD100" s="1"/>
        <tr r="DD100" s="1"/>
      </tp>
      <tp>
        <v>30.7</v>
        <stp/>
        <stp>ASK</stp>
        <stp>.SPXW250520C5910</stp>
        <tr r="DC101" s="1"/>
        <tr r="DC101" s="1"/>
      </tp>
      <tp>
        <v>0.05</v>
        <stp/>
        <stp>ASK</stp>
        <stp>.SPXW250520P5910</stp>
        <tr r="DD101" s="1"/>
        <tr r="DD101" s="1"/>
      </tp>
      <tp>
        <v>40.700000000000003</v>
        <stp/>
        <stp>ASK</stp>
        <stp>.SPXW250520C5900</stp>
        <tr r="DC102" s="1"/>
        <tr r="DC102" s="1"/>
      </tp>
      <tp>
        <v>0.05</v>
        <stp/>
        <stp>ASK</stp>
        <stp>.SPXW250520P5900</stp>
        <tr r="DD102" s="1"/>
        <tr r="DD102" s="1"/>
      </tp>
      <tp>
        <v>-0.42</v>
        <stp/>
        <stp>DELTA</stp>
        <stp>.NDX250620P21225</stp>
        <tr r="CI150" s="1"/>
        <tr r="CI150" s="1"/>
      </tp>
      <tp>
        <v>-0.41</v>
        <stp/>
        <stp>DELTA</stp>
        <stp>.NDX250620P21200</stp>
        <tr r="CI151" s="1"/>
        <tr r="CI151" s="1"/>
      </tp>
      <tp>
        <v>-0.43</v>
        <stp/>
        <stp>DELTA</stp>
        <stp>.NDX250620P21275</stp>
        <tr r="CI148" s="1"/>
        <tr r="CI148" s="1"/>
      </tp>
      <tp>
        <v>-0.2</v>
        <stp/>
        <stp>DELTA</stp>
        <stp>.NDX250620P20275</stp>
        <tr r="CI188" s="1"/>
        <tr r="CI188" s="1"/>
      </tp>
      <tp>
        <v>0.05</v>
        <stp/>
        <stp>ASK</stp>
        <stp>.SPXW250520C5990</stp>
        <tr r="DC93" s="1"/>
        <tr r="DC93" s="1"/>
      </tp>
      <tp>
        <v>51.3</v>
        <stp/>
        <stp>ASK</stp>
        <stp>.SPXW250520P5990</stp>
        <tr r="DD93" s="1"/>
        <tr r="DD93" s="1"/>
      </tp>
      <tp>
        <v>0.05</v>
        <stp/>
        <stp>ASK</stp>
        <stp>.SPXW250520C5980</stp>
        <tr r="DC94" s="1"/>
        <tr r="DC94" s="1"/>
      </tp>
      <tp>
        <v>41.3</v>
        <stp/>
        <stp>ASK</stp>
        <stp>.SPXW250520P5980</stp>
        <tr r="DD94" s="1"/>
        <tr r="DD94" s="1"/>
      </tp>
      <tp>
        <v>-0.43</v>
        <stp/>
        <stp>DELTA</stp>
        <stp>.NDX250620P21250</stp>
        <tr r="CI149" s="1"/>
        <tr r="CI149" s="1"/>
      </tp>
      <tp>
        <v>-0.2</v>
        <stp/>
        <stp>DELTA</stp>
        <stp>.NDX250620P20250</stp>
        <tr r="CI189" s="1"/>
        <tr r="CI189" s="1"/>
      </tp>
      <tp>
        <v>0.6</v>
        <stp/>
        <stp>DELTA</stp>
        <stp>.NDX250620C21200</stp>
        <tr r="CH151" s="1"/>
        <tr r="CH151" s="1"/>
      </tp>
      <tp>
        <v>0.59</v>
        <stp/>
        <stp>DELTA</stp>
        <stp>.NDX250620C21225</stp>
        <tr r="CH150" s="1"/>
        <tr r="CH150" s="1"/>
      </tp>
      <tp>
        <v>0.57999999999999996</v>
        <stp/>
        <stp>DELTA</stp>
        <stp>.NDX250620C21250</stp>
        <tr r="CH149" s="1"/>
        <tr r="CH149" s="1"/>
      </tp>
      <tp>
        <v>0.82</v>
        <stp/>
        <stp>DELTA</stp>
        <stp>.NDX250620C20250</stp>
        <tr r="CH189" s="1"/>
        <tr r="CH189" s="1"/>
      </tp>
      <tp>
        <v>0.56999999999999995</v>
        <stp/>
        <stp>DELTA</stp>
        <stp>.NDX250620C21275</stp>
        <tr r="CH148" s="1"/>
        <tr r="CH148" s="1"/>
      </tp>
      <tp>
        <v>0.82</v>
        <stp/>
        <stp>DELTA</stp>
        <stp>.NDX250620C20275</stp>
        <tr r="CH188" s="1"/>
        <tr r="CH188" s="1"/>
      </tp>
      <tp>
        <v>0.4</v>
        <stp/>
        <stp>LAST</stp>
        <stp>.NDXP250520P20975</stp>
        <tr r="DB160" s="1"/>
        <tr r="DB160" s="1"/>
      </tp>
      <tp>
        <v>0.1</v>
        <stp/>
        <stp>LAST</stp>
        <stp>.NDXP250520P20950</stp>
        <tr r="DB161" s="1"/>
        <tr r="DB161" s="1"/>
      </tp>
      <tp>
        <v>0.7</v>
        <stp/>
        <stp>LAST</stp>
        <stp>.NDXP250520P20925</stp>
        <tr r="DB162" s="1"/>
        <tr r="DB162" s="1"/>
      </tp>
      <tp>
        <v>0.1</v>
        <stp/>
        <stp>LAST</stp>
        <stp>.NDXP250520P20900</stp>
        <tr r="DB163" s="1"/>
        <tr r="DB163" s="1"/>
      </tp>
      <tp>
        <v>0</v>
        <stp/>
        <stp>LAST</stp>
        <stp>.NDXP250520C20950</stp>
        <tr r="DA161" s="1"/>
        <tr r="DA161" s="1"/>
      </tp>
      <tp>
        <v>411.35</v>
        <stp/>
        <stp>LAST</stp>
        <stp>.NDXP250520C20975</stp>
        <tr r="DA160" s="1"/>
        <tr r="DA160" s="1"/>
      </tp>
      <tp>
        <v>308.47000000000003</v>
        <stp/>
        <stp>LAST</stp>
        <stp>.NDXP250520C20900</stp>
        <tr r="DA163" s="1"/>
        <tr r="DA163" s="1"/>
      </tp>
      <tp>
        <v>0</v>
        <stp/>
        <stp>LAST</stp>
        <stp>.NDXP250520C20925</stp>
        <tr r="DA162" s="1"/>
        <tr r="DA162" s="1"/>
      </tp>
      <tp>
        <v>70.7</v>
        <stp/>
        <stp>ASK</stp>
        <stp>.SPXW250520C5870</stp>
        <tr r="DC105" s="1"/>
        <tr r="DC105" s="1"/>
      </tp>
      <tp>
        <v>0.05</v>
        <stp/>
        <stp>ASK</stp>
        <stp>.SPXW250520P5870</stp>
        <tr r="DD105" s="1"/>
        <tr r="DD105" s="1"/>
      </tp>
      <tp>
        <v>80.7</v>
        <stp/>
        <stp>ASK</stp>
        <stp>.SPXW250520C5860</stp>
        <tr r="DC106" s="1"/>
        <tr r="DC106" s="1"/>
      </tp>
      <tp>
        <v>0.05</v>
        <stp/>
        <stp>ASK</stp>
        <stp>.SPXW250520P5860</stp>
        <tr r="DD106" s="1"/>
        <tr r="DD106" s="1"/>
      </tp>
      <tp>
        <v>90.7</v>
        <stp/>
        <stp>ASK</stp>
        <stp>.SPXW250520C5850</stp>
        <tr r="DC107" s="1"/>
        <tr r="DC107" s="1"/>
      </tp>
      <tp>
        <v>0.05</v>
        <stp/>
        <stp>ASK</stp>
        <stp>.SPXW250520P5850</stp>
        <tr r="DD107" s="1"/>
        <tr r="DD107" s="1"/>
      </tp>
      <tp>
        <v>100.7</v>
        <stp/>
        <stp>ASK</stp>
        <stp>.SPXW250520C5840</stp>
        <tr r="DC108" s="1"/>
        <tr r="DC108" s="1"/>
      </tp>
      <tp>
        <v>0.05</v>
        <stp/>
        <stp>ASK</stp>
        <stp>.SPXW250520P5840</stp>
        <tr r="DD108" s="1"/>
        <tr r="DD108" s="1"/>
      </tp>
      <tp>
        <v>110.7</v>
        <stp/>
        <stp>ASK</stp>
        <stp>.SPXW250520C5830</stp>
        <tr r="DC109" s="1"/>
        <tr r="DC109" s="1"/>
      </tp>
      <tp>
        <v>0.05</v>
        <stp/>
        <stp>ASK</stp>
        <stp>.SPXW250520P5830</stp>
        <tr r="DD109" s="1"/>
        <tr r="DD109" s="1"/>
      </tp>
      <tp>
        <v>120.7</v>
        <stp/>
        <stp>ASK</stp>
        <stp>.SPXW250520C5820</stp>
        <tr r="DC110" s="1"/>
        <tr r="DC110" s="1"/>
      </tp>
      <tp>
        <v>0.05</v>
        <stp/>
        <stp>ASK</stp>
        <stp>.SPXW250520P5820</stp>
        <tr r="DD110" s="1"/>
        <tr r="DD110" s="1"/>
      </tp>
      <tp>
        <v>130.69999999999999</v>
        <stp/>
        <stp>ASK</stp>
        <stp>.SPXW250520C5810</stp>
        <tr r="DC111" s="1"/>
        <tr r="DC111" s="1"/>
      </tp>
      <tp>
        <v>0.05</v>
        <stp/>
        <stp>ASK</stp>
        <stp>.SPXW250520P5810</stp>
        <tr r="DD111" s="1"/>
        <tr r="DD111" s="1"/>
      </tp>
      <tp>
        <v>140.69999999999999</v>
        <stp/>
        <stp>ASK</stp>
        <stp>.SPXW250520C5800</stp>
        <tr r="DC112" s="1"/>
        <tr r="DC112" s="1"/>
      </tp>
      <tp>
        <v>0.05</v>
        <stp/>
        <stp>ASK</stp>
        <stp>.SPXW250520P5800</stp>
        <tr r="DD112" s="1"/>
        <tr r="DD112" s="1"/>
      </tp>
      <tp>
        <v>-0.45</v>
        <stp/>
        <stp>DELTA</stp>
        <stp>.NDX250620P21325</stp>
        <tr r="CI146" s="1"/>
        <tr r="CI146" s="1"/>
      </tp>
      <tp>
        <v>-0.21</v>
        <stp/>
        <stp>DELTA</stp>
        <stp>.NDX250620P20325</stp>
        <tr r="CI186" s="1"/>
        <tr r="CI186" s="1"/>
      </tp>
      <tp>
        <v>-0.44</v>
        <stp/>
        <stp>DELTA</stp>
        <stp>.NDX250620P21300</stp>
        <tr r="CI147" s="1"/>
        <tr r="CI147" s="1"/>
      </tp>
      <tp>
        <v>-0.2</v>
        <stp/>
        <stp>DELTA</stp>
        <stp>.NDX250620P20300</stp>
        <tr r="CI187" s="1"/>
        <tr r="CI187" s="1"/>
      </tp>
      <tp>
        <v>-0.47</v>
        <stp/>
        <stp>DELTA</stp>
        <stp>.NDX250620P21375</stp>
        <tr r="CI144" s="1"/>
        <tr r="CI144" s="1"/>
      </tp>
      <tp>
        <v>-0.22</v>
        <stp/>
        <stp>DELTA</stp>
        <stp>.NDX250620P20375</stp>
        <tr r="CI184" s="1"/>
        <tr r="CI184" s="1"/>
      </tp>
      <tp>
        <v>50.7</v>
        <stp/>
        <stp>ASK</stp>
        <stp>.SPXW250520C5890</stp>
        <tr r="DC103" s="1"/>
        <tr r="DC103" s="1"/>
      </tp>
      <tp>
        <v>0.05</v>
        <stp/>
        <stp>ASK</stp>
        <stp>.SPXW250520P5890</stp>
        <tr r="DD103" s="1"/>
        <tr r="DD103" s="1"/>
      </tp>
      <tp>
        <v>60.7</v>
        <stp/>
        <stp>ASK</stp>
        <stp>.SPXW250520C5880</stp>
        <tr r="DC104" s="1"/>
        <tr r="DC104" s="1"/>
      </tp>
      <tp>
        <v>0.05</v>
        <stp/>
        <stp>ASK</stp>
        <stp>.SPXW250520P5880</stp>
        <tr r="DD104" s="1"/>
        <tr r="DD104" s="1"/>
      </tp>
      <tp>
        <v>-0.46</v>
        <stp/>
        <stp>DELTA</stp>
        <stp>.NDX250620P21350</stp>
        <tr r="CI145" s="1"/>
        <tr r="CI145" s="1"/>
      </tp>
      <tp>
        <v>-0.21</v>
        <stp/>
        <stp>DELTA</stp>
        <stp>.NDX250620P20350</stp>
        <tr r="CI185" s="1"/>
        <tr r="CI185" s="1"/>
      </tp>
      <tp>
        <v>0.56000000000000005</v>
        <stp/>
        <stp>DELTA</stp>
        <stp>.NDX250620C21300</stp>
        <tr r="CH147" s="1"/>
        <tr r="CH147" s="1"/>
      </tp>
      <tp>
        <v>0.82</v>
        <stp/>
        <stp>DELTA</stp>
        <stp>.NDX250620C20300</stp>
        <tr r="CH187" s="1"/>
        <tr r="CH187" s="1"/>
      </tp>
      <tp>
        <v>0.55000000000000004</v>
        <stp/>
        <stp>DELTA</stp>
        <stp>.NDX250620C21325</stp>
        <tr r="CH146" s="1"/>
        <tr r="CH146" s="1"/>
      </tp>
      <tp>
        <v>0.81</v>
        <stp/>
        <stp>DELTA</stp>
        <stp>.NDX250620C20325</stp>
        <tr r="CH186" s="1"/>
        <tr r="CH186" s="1"/>
      </tp>
      <tp>
        <v>0.55000000000000004</v>
        <stp/>
        <stp>DELTA</stp>
        <stp>.NDX250620C21350</stp>
        <tr r="CH145" s="1"/>
        <tr r="CH145" s="1"/>
      </tp>
      <tp>
        <v>0.81</v>
        <stp/>
        <stp>DELTA</stp>
        <stp>.NDX250620C20350</stp>
        <tr r="CH185" s="1"/>
        <tr r="CH185" s="1"/>
      </tp>
      <tp>
        <v>0.54</v>
        <stp/>
        <stp>DELTA</stp>
        <stp>.NDX250620C21375</stp>
        <tr r="CH144" s="1"/>
        <tr r="CH144" s="1"/>
      </tp>
      <tp>
        <v>0.8</v>
        <stp/>
        <stp>DELTA</stp>
        <stp>.NDX250620C20375</stp>
        <tr r="CH184" s="1"/>
        <tr r="CH184" s="1"/>
      </tp>
      <tp>
        <v>0.35</v>
        <stp/>
        <stp>LAST</stp>
        <stp>.NDXP250520P20875</stp>
        <tr r="DB164" s="1"/>
        <tr r="DB164" s="1"/>
      </tp>
      <tp>
        <v>0.15</v>
        <stp/>
        <stp>LAST</stp>
        <stp>.NDXP250520P20850</stp>
        <tr r="DB165" s="1"/>
        <tr r="DB165" s="1"/>
      </tp>
      <tp>
        <v>0.1</v>
        <stp/>
        <stp>LAST</stp>
        <stp>.NDXP250520P20825</stp>
        <tr r="DB166" s="1"/>
        <tr r="DB166" s="1"/>
      </tp>
      <tp>
        <v>0.15</v>
        <stp/>
        <stp>LAST</stp>
        <stp>.NDXP250520P20800</stp>
        <tr r="DB167" s="1"/>
        <tr r="DB167" s="1"/>
      </tp>
      <tp>
        <v>525.42999999999995</v>
        <stp/>
        <stp>LAST</stp>
        <stp>.NDXP250520C20850</stp>
        <tr r="DA165" s="1"/>
        <tr r="DA165" s="1"/>
      </tp>
      <tp>
        <v>504.45</v>
        <stp/>
        <stp>LAST</stp>
        <stp>.NDXP250520C20875</stp>
        <tr r="DA164" s="1"/>
        <tr r="DA164" s="1"/>
      </tp>
      <tp>
        <v>479.6</v>
        <stp/>
        <stp>LAST</stp>
        <stp>.NDXP250520C20800</stp>
        <tr r="DA167" s="1"/>
        <tr r="DA167" s="1"/>
      </tp>
      <tp>
        <v>226.5</v>
        <stp/>
        <stp>LAST</stp>
        <stp>.NDXP250520C20825</stp>
        <tr r="DA166" s="1"/>
        <tr r="DA166" s="1"/>
      </tp>
      <tp t="s">
        <v>N/A</v>
        <stp/>
        <stp>VOLUME</stp>
        <stp>.SPY250725P593</stp>
        <tr r="M14" s="2"/>
      </tp>
      <tp>
        <v>15</v>
        <stp/>
        <stp>VOLUME</stp>
        <stp>.SPY250731P587</stp>
        <tr r="N20" s="2"/>
        <tr r="N20" s="2"/>
      </tp>
      <tp t="s">
        <v>N/A</v>
        <stp/>
        <stp>VOLUME</stp>
        <stp>.SPY250725C593</stp>
        <tr r="M14" s="2"/>
      </tp>
      <tp>
        <v>1</v>
        <stp/>
        <stp>VOLUME</stp>
        <stp>.SPY250731C587</stp>
        <tr r="N20" s="2"/>
        <tr r="N20" s="2"/>
      </tp>
      <tp t="s">
        <v>N/A</v>
        <stp/>
        <stp>VOLUME</stp>
        <stp>.SPY250725P592</stp>
        <tr r="M15" s="2"/>
      </tp>
      <tp>
        <v>99</v>
        <stp/>
        <stp>VOLUME</stp>
        <stp>.SPY250731P586</stp>
        <tr r="N21" s="2"/>
        <tr r="N21" s="2"/>
      </tp>
      <tp t="s">
        <v>N/A</v>
        <stp/>
        <stp>VOLUME</stp>
        <stp>.SPY250725C592</stp>
        <tr r="M15" s="2"/>
      </tp>
      <tp>
        <v>8</v>
        <stp/>
        <stp>VOLUME</stp>
        <stp>.SPY250731C586</stp>
        <tr r="N21" s="2"/>
        <tr r="N21" s="2"/>
      </tp>
      <tp t="s">
        <v>N/A</v>
        <stp/>
        <stp>VOLUME</stp>
        <stp>.SPY250725P591</stp>
        <tr r="M16" s="2"/>
      </tp>
      <tp>
        <v>117</v>
        <stp/>
        <stp>VOLUME</stp>
        <stp>.SPY250731P585</stp>
        <tr r="N22" s="2"/>
        <tr r="N22" s="2"/>
      </tp>
      <tp t="s">
        <v>N/A</v>
        <stp/>
        <stp>VOLUME</stp>
        <stp>.SPY250725C591</stp>
        <tr r="M16" s="2"/>
      </tp>
      <tp>
        <v>138</v>
        <stp/>
        <stp>VOLUME</stp>
        <stp>.SPY250731C585</stp>
        <tr r="N22" s="2"/>
        <tr r="N22" s="2"/>
      </tp>
      <tp t="s">
        <v>N/A</v>
        <stp/>
        <stp>VOLUME</stp>
        <stp>.SPY250725P590</stp>
        <tr r="M17" s="2"/>
      </tp>
      <tp>
        <v>2</v>
        <stp/>
        <stp>VOLUME</stp>
        <stp>.SPY250731P584</stp>
        <tr r="N23" s="2"/>
        <tr r="N23" s="2"/>
      </tp>
      <tp t="s">
        <v>N/A</v>
        <stp/>
        <stp>VOLUME</stp>
        <stp>.SPY250725C590</stp>
        <tr r="M17" s="2"/>
      </tp>
      <tp>
        <v>52</v>
        <stp/>
        <stp>VOLUME</stp>
        <stp>.SPY250731C584</stp>
        <tr r="N23" s="2"/>
        <tr r="N23" s="2"/>
      </tp>
      <tp t="s">
        <v>N/A</v>
        <stp/>
        <stp>VOLUME</stp>
        <stp>.SPY250725P597</stp>
        <tr r="M10" s="2"/>
      </tp>
      <tp>
        <v>6</v>
        <stp/>
        <stp>VOLUME</stp>
        <stp>.SPY250731P583</stp>
        <tr r="N24" s="2"/>
        <tr r="N24" s="2"/>
      </tp>
      <tp t="s">
        <v>N/A</v>
        <stp/>
        <stp>VOLUME</stp>
        <stp>.SPY250725C597</stp>
        <tr r="M10" s="2"/>
      </tp>
      <tp>
        <v>13</v>
        <stp/>
        <stp>VOLUME</stp>
        <stp>.SPY250731C583</stp>
        <tr r="N24" s="2"/>
        <tr r="N24" s="2"/>
      </tp>
      <tp t="s">
        <v>N/A</v>
        <stp/>
        <stp>VOLUME</stp>
        <stp>.SPY250725P596</stp>
        <tr r="M11" s="2"/>
      </tp>
      <tp>
        <v>21</v>
        <stp/>
        <stp>VOLUME</stp>
        <stp>.SPY250731P582</stp>
        <tr r="N25" s="2"/>
        <tr r="N25" s="2"/>
      </tp>
      <tp t="s">
        <v>N/A</v>
        <stp/>
        <stp>VOLUME</stp>
        <stp>.SPY250725C596</stp>
        <tr r="M11" s="2"/>
      </tp>
      <tp t="s">
        <v>N/A</v>
        <stp/>
        <stp>VOLUME</stp>
        <stp>.SPY250731C582</stp>
        <tr r="N25" s="2"/>
      </tp>
      <tp t="s">
        <v>N/A</v>
        <stp/>
        <stp>VOLUME</stp>
        <stp>.SPY250725P595</stp>
        <tr r="M12" s="2"/>
      </tp>
      <tp>
        <v>5</v>
        <stp/>
        <stp>VOLUME</stp>
        <stp>.SPY250731P581</stp>
        <tr r="N26" s="2"/>
        <tr r="N26" s="2"/>
      </tp>
      <tp t="s">
        <v>N/A</v>
        <stp/>
        <stp>VOLUME</stp>
        <stp>.SPY250725C595</stp>
        <tr r="M12" s="2"/>
      </tp>
      <tp>
        <v>12</v>
        <stp/>
        <stp>VOLUME</stp>
        <stp>.SPY250731C581</stp>
        <tr r="N26" s="2"/>
        <tr r="N26" s="2"/>
      </tp>
      <tp t="s">
        <v>N/A</v>
        <stp/>
        <stp>VOLUME</stp>
        <stp>.SPY250725P594</stp>
        <tr r="M13" s="2"/>
      </tp>
      <tp>
        <v>492</v>
        <stp/>
        <stp>VOLUME</stp>
        <stp>.SPY250731P580</stp>
        <tr r="N27" s="2"/>
        <tr r="N27" s="2"/>
      </tp>
      <tp t="s">
        <v>N/A</v>
        <stp/>
        <stp>VOLUME</stp>
        <stp>.SPY250725C594</stp>
        <tr r="M13" s="2"/>
      </tp>
      <tp>
        <v>88</v>
        <stp/>
        <stp>VOLUME</stp>
        <stp>.SPY250731C580</stp>
        <tr r="N27" s="2"/>
        <tr r="N27" s="2"/>
      </tp>
      <tp t="s">
        <v>N/A</v>
        <stp/>
        <stp>VOLUME</stp>
        <stp>.SPY250725P599</stp>
        <tr r="M8" s="2"/>
      </tp>
      <tp t="s">
        <v>N/A</v>
        <stp/>
        <stp>VOLUME</stp>
        <stp>.SPY250725C599</stp>
        <tr r="M8" s="2"/>
      </tp>
      <tp t="s">
        <v>N/A</v>
        <stp/>
        <stp>VOLUME</stp>
        <stp>.SPY250725P598</stp>
        <tr r="M9" s="2"/>
      </tp>
      <tp t="s">
        <v>N/A</v>
        <stp/>
        <stp>VOLUME</stp>
        <stp>.SPY250725C598</stp>
        <tr r="M9" s="2"/>
      </tp>
      <tp>
        <v>30</v>
        <stp/>
        <stp>VOLUME</stp>
        <stp>.SPY250731P589</stp>
        <tr r="N18" s="2"/>
        <tr r="N18" s="2"/>
      </tp>
      <tp>
        <v>11</v>
        <stp/>
        <stp>VOLUME</stp>
        <stp>.SPY250731C589</stp>
        <tr r="N18" s="2"/>
        <tr r="N18" s="2"/>
      </tp>
      <tp>
        <v>32</v>
        <stp/>
        <stp>VOLUME</stp>
        <stp>.SPY250731P588</stp>
        <tr r="N19" s="2"/>
        <tr r="N19" s="2"/>
      </tp>
      <tp>
        <v>5</v>
        <stp/>
        <stp>VOLUME</stp>
        <stp>.SPY250731C588</stp>
        <tr r="N19" s="2"/>
        <tr r="N19" s="2"/>
      </tp>
      <tp t="s">
        <v>N/A</v>
        <stp/>
        <stp>VOLUME</stp>
        <stp>.SPY250725P583</stp>
        <tr r="M24" s="2"/>
      </tp>
      <tp>
        <v>6</v>
        <stp/>
        <stp>VOLUME</stp>
        <stp>.SPY250731P597</stp>
        <tr r="N10" s="2"/>
        <tr r="N10" s="2"/>
      </tp>
      <tp t="s">
        <v>N/A</v>
        <stp/>
        <stp>VOLUME</stp>
        <stp>.SPY250725C583</stp>
        <tr r="M24" s="2"/>
      </tp>
      <tp>
        <v>3</v>
        <stp/>
        <stp>VOLUME</stp>
        <stp>.SPY250731C597</stp>
        <tr r="N10" s="2"/>
        <tr r="N10" s="2"/>
      </tp>
      <tp t="s">
        <v>N/A</v>
        <stp/>
        <stp>VOLUME</stp>
        <stp>.SPY250725P582</stp>
        <tr r="M25" s="2"/>
      </tp>
      <tp>
        <v>1</v>
        <stp/>
        <stp>VOLUME</stp>
        <stp>.SPY250731P596</stp>
        <tr r="N11" s="2"/>
        <tr r="N11" s="2"/>
      </tp>
      <tp t="s">
        <v>N/A</v>
        <stp/>
        <stp>VOLUME</stp>
        <stp>.SPY250725C582</stp>
        <tr r="M25" s="2"/>
      </tp>
      <tp>
        <v>1</v>
        <stp/>
        <stp>VOLUME</stp>
        <stp>.SPY250731C596</stp>
        <tr r="N11" s="2"/>
        <tr r="N11" s="2"/>
      </tp>
      <tp t="s">
        <v>N/A</v>
        <stp/>
        <stp>VOLUME</stp>
        <stp>.SPY250725P581</stp>
        <tr r="M26" s="2"/>
      </tp>
      <tp>
        <v>42</v>
        <stp/>
        <stp>VOLUME</stp>
        <stp>.SPY250731P595</stp>
        <tr r="N12" s="2"/>
        <tr r="N12" s="2"/>
      </tp>
      <tp t="s">
        <v>N/A</v>
        <stp/>
        <stp>VOLUME</stp>
        <stp>.SPY250725C581</stp>
        <tr r="M26" s="2"/>
      </tp>
      <tp>
        <v>101</v>
        <stp/>
        <stp>VOLUME</stp>
        <stp>.SPY250731C595</stp>
        <tr r="N12" s="2"/>
        <tr r="N12" s="2"/>
      </tp>
      <tp t="s">
        <v>N/A</v>
        <stp/>
        <stp>VOLUME</stp>
        <stp>.SPY250725P580</stp>
        <tr r="M27" s="2"/>
      </tp>
      <tp>
        <v>5</v>
        <stp/>
        <stp>VOLUME</stp>
        <stp>.SPY250731P594</stp>
        <tr r="N13" s="2"/>
        <tr r="N13" s="2"/>
      </tp>
      <tp t="s">
        <v>N/A</v>
        <stp/>
        <stp>VOLUME</stp>
        <stp>.SPY250725C580</stp>
        <tr r="M27" s="2"/>
      </tp>
      <tp>
        <v>46</v>
        <stp/>
        <stp>VOLUME</stp>
        <stp>.SPY250731C594</stp>
        <tr r="N13" s="2"/>
        <tr r="N13" s="2"/>
      </tp>
      <tp t="s">
        <v>N/A</v>
        <stp/>
        <stp>VOLUME</stp>
        <stp>.SPY250725P587</stp>
        <tr r="M20" s="2"/>
      </tp>
      <tp>
        <v>68</v>
        <stp/>
        <stp>VOLUME</stp>
        <stp>.SPY250731P593</stp>
        <tr r="N14" s="2"/>
        <tr r="N14" s="2"/>
      </tp>
      <tp t="s">
        <v>N/A</v>
        <stp/>
        <stp>VOLUME</stp>
        <stp>.SPY250725C587</stp>
        <tr r="M20" s="2"/>
      </tp>
      <tp>
        <v>135</v>
        <stp/>
        <stp>VOLUME</stp>
        <stp>.SPY250731C593</stp>
        <tr r="N14" s="2"/>
        <tr r="N14" s="2"/>
      </tp>
      <tp t="s">
        <v>N/A</v>
        <stp/>
        <stp>VOLUME</stp>
        <stp>.SPY250725P586</stp>
        <tr r="M21" s="2"/>
      </tp>
      <tp>
        <v>13</v>
        <stp/>
        <stp>VOLUME</stp>
        <stp>.SPY250731P592</stp>
        <tr r="N15" s="2"/>
        <tr r="N15" s="2"/>
      </tp>
      <tp t="s">
        <v>N/A</v>
        <stp/>
        <stp>VOLUME</stp>
        <stp>.SPY250725C586</stp>
        <tr r="M21" s="2"/>
      </tp>
      <tp>
        <v>81</v>
        <stp/>
        <stp>VOLUME</stp>
        <stp>.SPY250731C592</stp>
        <tr r="N15" s="2"/>
        <tr r="N15" s="2"/>
      </tp>
      <tp t="s">
        <v>N/A</v>
        <stp/>
        <stp>VOLUME</stp>
        <stp>.SPY250725P585</stp>
        <tr r="M22" s="2"/>
      </tp>
      <tp>
        <v>35</v>
        <stp/>
        <stp>VOLUME</stp>
        <stp>.SPY250731P591</stp>
        <tr r="N16" s="2"/>
        <tr r="N16" s="2"/>
      </tp>
      <tp t="s">
        <v>N/A</v>
        <stp/>
        <stp>VOLUME</stp>
        <stp>.SPY250725C585</stp>
        <tr r="M22" s="2"/>
      </tp>
      <tp>
        <v>30</v>
        <stp/>
        <stp>VOLUME</stp>
        <stp>.SPY250731C591</stp>
        <tr r="N16" s="2"/>
        <tr r="N16" s="2"/>
      </tp>
      <tp t="s">
        <v>N/A</v>
        <stp/>
        <stp>VOLUME</stp>
        <stp>.SPY250725P584</stp>
        <tr r="M23" s="2"/>
      </tp>
      <tp>
        <v>181</v>
        <stp/>
        <stp>VOLUME</stp>
        <stp>.SPY250731P590</stp>
        <tr r="N17" s="2"/>
        <tr r="N17" s="2"/>
      </tp>
      <tp t="s">
        <v>N/A</v>
        <stp/>
        <stp>VOLUME</stp>
        <stp>.SPY250725C584</stp>
        <tr r="M23" s="2"/>
      </tp>
      <tp>
        <v>475</v>
        <stp/>
        <stp>VOLUME</stp>
        <stp>.SPY250731C590</stp>
        <tr r="N17" s="2"/>
        <tr r="N17" s="2"/>
      </tp>
      <tp t="s">
        <v>N/A</v>
        <stp/>
        <stp>VOLUME</stp>
        <stp>.SPY250725P589</stp>
        <tr r="M18" s="2"/>
      </tp>
      <tp t="s">
        <v>N/A</v>
        <stp/>
        <stp>VOLUME</stp>
        <stp>.SPY250725C589</stp>
        <tr r="M18" s="2"/>
      </tp>
      <tp t="s">
        <v>N/A</v>
        <stp/>
        <stp>VOLUME</stp>
        <stp>.SPY250725P588</stp>
        <tr r="M19" s="2"/>
      </tp>
      <tp t="s">
        <v>N/A</v>
        <stp/>
        <stp>VOLUME</stp>
        <stp>.SPY250725C588</stp>
        <tr r="M19" s="2"/>
      </tp>
      <tp t="s">
        <v>N/A</v>
        <stp/>
        <stp>VOLUME</stp>
        <stp>.SPY250731P599</stp>
        <tr r="N8" s="2"/>
      </tp>
      <tp>
        <v>17</v>
        <stp/>
        <stp>VOLUME</stp>
        <stp>.SPY250731C599</stp>
        <tr r="N8" s="2"/>
        <tr r="N8" s="2"/>
      </tp>
      <tp t="s">
        <v>N/A</v>
        <stp/>
        <stp>VOLUME</stp>
        <stp>.SPY250731P598</stp>
        <tr r="N9" s="2"/>
      </tp>
      <tp>
        <v>1</v>
        <stp/>
        <stp>VOLUME</stp>
        <stp>.SPY250731C598</stp>
        <tr r="N9" s="2"/>
        <tr r="N9" s="2"/>
      </tp>
      <tp t="s">
        <v>N/A</v>
        <stp/>
        <stp>VOLUME</stp>
        <stp>.SPY250725P573</stp>
        <tr r="M34" s="2"/>
      </tp>
      <tp t="s">
        <v>N/A</v>
        <stp/>
        <stp>VOLUME</stp>
        <stp>.SPY250725C573</stp>
        <tr r="M34" s="2"/>
      </tp>
      <tp t="s">
        <v>N/A</v>
        <stp/>
        <stp>VOLUME</stp>
        <stp>.SPY250725P572</stp>
        <tr r="M35" s="2"/>
      </tp>
      <tp t="s">
        <v>N/A</v>
        <stp/>
        <stp>VOLUME</stp>
        <stp>.SPY250725C572</stp>
        <tr r="M35" s="2"/>
      </tp>
      <tp t="s">
        <v>N/A</v>
        <stp/>
        <stp>VOLUME</stp>
        <stp>.SPY250725P571</stp>
        <tr r="M36" s="2"/>
      </tp>
      <tp t="s">
        <v>N/A</v>
        <stp/>
        <stp>VOLUME</stp>
        <stp>.SPY250725C571</stp>
        <tr r="M36" s="2"/>
      </tp>
      <tp t="s">
        <v>N/A</v>
        <stp/>
        <stp>VOLUME</stp>
        <stp>.SPY250725P570</stp>
        <tr r="M37" s="2"/>
      </tp>
      <tp t="s">
        <v>N/A</v>
        <stp/>
        <stp>VOLUME</stp>
        <stp>.SPY250725C570</stp>
        <tr r="M37" s="2"/>
      </tp>
      <tp t="s">
        <v>N/A</v>
        <stp/>
        <stp>VOLUME</stp>
        <stp>.SPY250725P577</stp>
        <tr r="M30" s="2"/>
      </tp>
      <tp t="s">
        <v>N/A</v>
        <stp/>
        <stp>VOLUME</stp>
        <stp>.SPY250725C577</stp>
        <tr r="M30" s="2"/>
      </tp>
      <tp t="s">
        <v>N/A</v>
        <stp/>
        <stp>VOLUME</stp>
        <stp>.SPY250725P576</stp>
        <tr r="M31" s="2"/>
      </tp>
      <tp t="s">
        <v>N/A</v>
        <stp/>
        <stp>VOLUME</stp>
        <stp>.SPY250725C576</stp>
        <tr r="M31" s="2"/>
      </tp>
      <tp t="s">
        <v>N/A</v>
        <stp/>
        <stp>VOLUME</stp>
        <stp>.SPY250725P575</stp>
        <tr r="M32" s="2"/>
      </tp>
      <tp t="s">
        <v>N/A</v>
        <stp/>
        <stp>VOLUME</stp>
        <stp>.SPY250725C575</stp>
        <tr r="M32" s="2"/>
      </tp>
      <tp t="s">
        <v>N/A</v>
        <stp/>
        <stp>VOLUME</stp>
        <stp>.SPY250725P574</stp>
        <tr r="M33" s="2"/>
      </tp>
      <tp t="s">
        <v>N/A</v>
        <stp/>
        <stp>VOLUME</stp>
        <stp>.SPY250725C574</stp>
        <tr r="M33" s="2"/>
      </tp>
      <tp t="s">
        <v>N/A</v>
        <stp/>
        <stp>VOLUME</stp>
        <stp>.SPY250725P579</stp>
        <tr r="M28" s="2"/>
      </tp>
      <tp t="s">
        <v>N/A</v>
        <stp/>
        <stp>VOLUME</stp>
        <stp>.SPY250725C579</stp>
        <tr r="M28" s="2"/>
      </tp>
      <tp t="s">
        <v>N/A</v>
        <stp/>
        <stp>VOLUME</stp>
        <stp>.SPY250725P578</stp>
        <tr r="M29" s="2"/>
      </tp>
      <tp t="s">
        <v>N/A</v>
        <stp/>
        <stp>VOLUME</stp>
        <stp>.SPY250725C578</stp>
        <tr r="M29" s="2"/>
      </tp>
      <tp>
        <v>4</v>
        <stp/>
        <stp>VOLUME</stp>
        <stp>.SPY250731P569</stp>
        <tr r="N38" s="2"/>
        <tr r="N38" s="2"/>
      </tp>
      <tp t="s">
        <v>N/A</v>
        <stp/>
        <stp>VOLUME</stp>
        <stp>.SPY250731C569</stp>
        <tr r="N38" s="2"/>
      </tp>
      <tp>
        <v>1</v>
        <stp/>
        <stp>VOLUME</stp>
        <stp>.SPY250731P568</stp>
        <tr r="N39" s="2"/>
        <tr r="N39" s="2"/>
      </tp>
      <tp t="s">
        <v>N/A</v>
        <stp/>
        <stp>VOLUME</stp>
        <stp>.SPY250731C568</stp>
        <tr r="N39" s="2"/>
      </tp>
      <tp t="s">
        <v>N/A</v>
        <stp/>
        <stp>VOLUME</stp>
        <stp>.SPY250731P577</stp>
        <tr r="N30" s="2"/>
      </tp>
      <tp t="s">
        <v>N/A</v>
        <stp/>
        <stp>VOLUME</stp>
        <stp>.SPY250731C577</stp>
        <tr r="N30" s="2"/>
      </tp>
      <tp>
        <v>20</v>
        <stp/>
        <stp>VOLUME</stp>
        <stp>.SPY250731P576</stp>
        <tr r="N31" s="2"/>
        <tr r="N31" s="2"/>
      </tp>
      <tp>
        <v>3</v>
        <stp/>
        <stp>VOLUME</stp>
        <stp>.SPY250731C576</stp>
        <tr r="N31" s="2"/>
        <tr r="N31" s="2"/>
      </tp>
      <tp>
        <v>362</v>
        <stp/>
        <stp>VOLUME</stp>
        <stp>.SPY250731P575</stp>
        <tr r="N32" s="2"/>
        <tr r="N32" s="2"/>
      </tp>
      <tp>
        <v>6</v>
        <stp/>
        <stp>VOLUME</stp>
        <stp>.SPY250731C575</stp>
        <tr r="N32" s="2"/>
        <tr r="N32" s="2"/>
      </tp>
      <tp t="s">
        <v>N/A</v>
        <stp/>
        <stp>VOLUME</stp>
        <stp>.SPY250731P574</stp>
        <tr r="N33" s="2"/>
      </tp>
      <tp t="s">
        <v>N/A</v>
        <stp/>
        <stp>VOLUME</stp>
        <stp>.SPY250731C574</stp>
        <tr r="N33" s="2"/>
      </tp>
      <tp>
        <v>9</v>
        <stp/>
        <stp>VOLUME</stp>
        <stp>.SPY250731P573</stp>
        <tr r="N34" s="2"/>
        <tr r="N34" s="2"/>
      </tp>
      <tp>
        <v>1</v>
        <stp/>
        <stp>VOLUME</stp>
        <stp>.SPY250731C573</stp>
        <tr r="N34" s="2"/>
        <tr r="N34" s="2"/>
      </tp>
      <tp>
        <v>4</v>
        <stp/>
        <stp>VOLUME</stp>
        <stp>.SPY250731P572</stp>
        <tr r="N35" s="2"/>
        <tr r="N35" s="2"/>
      </tp>
      <tp>
        <v>1</v>
        <stp/>
        <stp>VOLUME</stp>
        <stp>.SPY250731C572</stp>
        <tr r="N35" s="2"/>
        <tr r="N35" s="2"/>
      </tp>
      <tp>
        <v>3</v>
        <stp/>
        <stp>VOLUME</stp>
        <stp>.SPY250731P571</stp>
        <tr r="N36" s="2"/>
        <tr r="N36" s="2"/>
      </tp>
      <tp>
        <v>2</v>
        <stp/>
        <stp>VOLUME</stp>
        <stp>.SPY250731C571</stp>
        <tr r="N36" s="2"/>
        <tr r="N36" s="2"/>
      </tp>
      <tp>
        <v>228</v>
        <stp/>
        <stp>VOLUME</stp>
        <stp>.SPY250731P570</stp>
        <tr r="N37" s="2"/>
        <tr r="N37" s="2"/>
      </tp>
      <tp>
        <v>9</v>
        <stp/>
        <stp>VOLUME</stp>
        <stp>.SPY250731C570</stp>
        <tr r="N37" s="2"/>
        <tr r="N37" s="2"/>
      </tp>
      <tp t="s">
        <v>N/A</v>
        <stp/>
        <stp>VOLUME</stp>
        <stp>.SPY250725P569</stp>
        <tr r="M38" s="2"/>
      </tp>
      <tp t="s">
        <v>N/A</v>
        <stp/>
        <stp>VOLUME</stp>
        <stp>.SPY250725C569</stp>
        <tr r="M38" s="2"/>
      </tp>
      <tp t="s">
        <v>N/A</v>
        <stp/>
        <stp>VOLUME</stp>
        <stp>.SPY250725P568</stp>
        <tr r="M39" s="2"/>
      </tp>
      <tp t="s">
        <v>N/A</v>
        <stp/>
        <stp>VOLUME</stp>
        <stp>.SPY250725C568</stp>
        <tr r="M39" s="2"/>
      </tp>
      <tp>
        <v>89</v>
        <stp/>
        <stp>VOLUME</stp>
        <stp>.SPY250731P579</stp>
        <tr r="N28" s="2"/>
        <tr r="N28" s="2"/>
      </tp>
      <tp>
        <v>2</v>
        <stp/>
        <stp>VOLUME</stp>
        <stp>.SPY250731C579</stp>
        <tr r="N28" s="2"/>
        <tr r="N28" s="2"/>
      </tp>
      <tp>
        <v>10</v>
        <stp/>
        <stp>VOLUME</stp>
        <stp>.SPY250731P578</stp>
        <tr r="N29" s="2"/>
        <tr r="N29" s="2"/>
      </tp>
      <tp>
        <v>1</v>
        <stp/>
        <stp>VOLUME</stp>
        <stp>.SPY250731C578</stp>
        <tr r="N29" s="2"/>
        <tr r="N29" s="2"/>
      </tp>
      <tp>
        <v>951</v>
        <stp/>
        <stp>VOLUME</stp>
        <stp>.SPY250606P590</stp>
        <tr r="H17" s="2"/>
        <tr r="H17" s="2"/>
      </tp>
      <tp>
        <v>772</v>
        <stp/>
        <stp>VOLUME</stp>
        <stp>.SPY250613P585</stp>
        <tr r="I22" s="2"/>
        <tr r="I22" s="2"/>
      </tp>
      <tp>
        <v>863</v>
        <stp/>
        <stp>VOLUME</stp>
        <stp>.SPY250606C590</stp>
        <tr r="H17" s="2"/>
        <tr r="H17" s="2"/>
      </tp>
      <tp>
        <v>55</v>
        <stp/>
        <stp>VOLUME</stp>
        <stp>.SPY250613C585</stp>
        <tr r="I22" s="2"/>
        <tr r="I22" s="2"/>
      </tp>
      <tp>
        <v>268</v>
        <stp/>
        <stp>VOLUME</stp>
        <stp>.SPY250606P591</stp>
        <tr r="H16" s="2"/>
        <tr r="H16" s="2"/>
      </tp>
      <tp>
        <v>39</v>
        <stp/>
        <stp>VOLUME</stp>
        <stp>.SPY250613P584</stp>
        <tr r="I23" s="2"/>
        <tr r="I23" s="2"/>
      </tp>
      <tp>
        <v>315</v>
        <stp/>
        <stp>VOLUME</stp>
        <stp>.SPY250606C591</stp>
        <tr r="H16" s="2"/>
        <tr r="H16" s="2"/>
      </tp>
      <tp>
        <v>38</v>
        <stp/>
        <stp>VOLUME</stp>
        <stp>.SPY250613C584</stp>
        <tr r="I23" s="2"/>
        <tr r="I23" s="2"/>
      </tp>
      <tp>
        <v>674</v>
        <stp/>
        <stp>VOLUME</stp>
        <stp>.SPY250606P592</stp>
        <tr r="H15" s="2"/>
        <tr r="H15" s="2"/>
      </tp>
      <tp>
        <v>205</v>
        <stp/>
        <stp>VOLUME</stp>
        <stp>.SPY250613P587</stp>
        <tr r="I20" s="2"/>
        <tr r="I20" s="2"/>
      </tp>
      <tp>
        <v>595</v>
        <stp/>
        <stp>VOLUME</stp>
        <stp>.SPY250606C592</stp>
        <tr r="H15" s="2"/>
        <tr r="H15" s="2"/>
      </tp>
      <tp>
        <v>23</v>
        <stp/>
        <stp>VOLUME</stp>
        <stp>.SPY250613C587</stp>
        <tr r="I20" s="2"/>
        <tr r="I20" s="2"/>
      </tp>
      <tp>
        <v>553</v>
        <stp/>
        <stp>VOLUME</stp>
        <stp>.SPY250606P593</stp>
        <tr r="H14" s="2"/>
        <tr r="H14" s="2"/>
      </tp>
      <tp>
        <v>61</v>
        <stp/>
        <stp>VOLUME</stp>
        <stp>.SPY250613P586</stp>
        <tr r="I21" s="2"/>
        <tr r="I21" s="2"/>
      </tp>
      <tp>
        <v>1073</v>
        <stp/>
        <stp>VOLUME</stp>
        <stp>.SPY250606C593</stp>
        <tr r="H14" s="2"/>
        <tr r="H14" s="2"/>
      </tp>
      <tp>
        <v>17</v>
        <stp/>
        <stp>VOLUME</stp>
        <stp>.SPY250613C586</stp>
        <tr r="I21" s="2"/>
        <tr r="I21" s="2"/>
      </tp>
      <tp>
        <v>261</v>
        <stp/>
        <stp>VOLUME</stp>
        <stp>.SPY250606P594</stp>
        <tr r="H13" s="2"/>
        <tr r="H13" s="2"/>
      </tp>
      <tp>
        <v>61</v>
        <stp/>
        <stp>VOLUME</stp>
        <stp>.SPY250613P581</stp>
        <tr r="I26" s="2"/>
        <tr r="I26" s="2"/>
      </tp>
      <tp>
        <v>287</v>
        <stp/>
        <stp>VOLUME</stp>
        <stp>.SPY250606C594</stp>
        <tr r="H13" s="2"/>
        <tr r="H13" s="2"/>
      </tp>
      <tp>
        <v>7</v>
        <stp/>
        <stp>VOLUME</stp>
        <stp>.SPY250613C581</stp>
        <tr r="I26" s="2"/>
        <tr r="I26" s="2"/>
      </tp>
      <tp>
        <v>344</v>
        <stp/>
        <stp>VOLUME</stp>
        <stp>.SPY250606P595</stp>
        <tr r="H12" s="2"/>
        <tr r="H12" s="2"/>
      </tp>
      <tp>
        <v>1565</v>
        <stp/>
        <stp>VOLUME</stp>
        <stp>.SPY250613P580</stp>
        <tr r="I27" s="2"/>
        <tr r="I27" s="2"/>
      </tp>
      <tp>
        <v>1421</v>
        <stp/>
        <stp>VOLUME</stp>
        <stp>.SPY250606C595</stp>
        <tr r="H12" s="2"/>
        <tr r="H12" s="2"/>
      </tp>
      <tp>
        <v>25</v>
        <stp/>
        <stp>VOLUME</stp>
        <stp>.SPY250613C580</stp>
        <tr r="I27" s="2"/>
        <tr r="I27" s="2"/>
      </tp>
      <tp>
        <v>22</v>
        <stp/>
        <stp>VOLUME</stp>
        <stp>.SPY250606P596</stp>
        <tr r="H11" s="2"/>
        <tr r="H11" s="2"/>
      </tp>
      <tp>
        <v>48</v>
        <stp/>
        <stp>VOLUME</stp>
        <stp>.SPY250613P583</stp>
        <tr r="I24" s="2"/>
        <tr r="I24" s="2"/>
      </tp>
      <tp>
        <v>1573</v>
        <stp/>
        <stp>VOLUME</stp>
        <stp>.SPY250606C596</stp>
        <tr r="H11" s="2"/>
        <tr r="H11" s="2"/>
      </tp>
      <tp>
        <v>4</v>
        <stp/>
        <stp>VOLUME</stp>
        <stp>.SPY250613C583</stp>
        <tr r="I24" s="2"/>
        <tr r="I24" s="2"/>
      </tp>
      <tp>
        <v>14</v>
        <stp/>
        <stp>VOLUME</stp>
        <stp>.SPY250606P597</stp>
        <tr r="H10" s="2"/>
        <tr r="H10" s="2"/>
      </tp>
      <tp>
        <v>170</v>
        <stp/>
        <stp>VOLUME</stp>
        <stp>.SPY250613P582</stp>
        <tr r="I25" s="2"/>
        <tr r="I25" s="2"/>
      </tp>
      <tp>
        <v>967</v>
        <stp/>
        <stp>VOLUME</stp>
        <stp>.SPY250606C597</stp>
        <tr r="H10" s="2"/>
        <tr r="H10" s="2"/>
      </tp>
      <tp>
        <v>4</v>
        <stp/>
        <stp>VOLUME</stp>
        <stp>.SPY250613C582</stp>
        <tr r="I25" s="2"/>
        <tr r="I25" s="2"/>
      </tp>
      <tp>
        <v>55</v>
        <stp/>
        <stp>VOLUME</stp>
        <stp>.SPY250606P598</stp>
        <tr r="H9" s="2"/>
        <tr r="H9" s="2"/>
      </tp>
      <tp>
        <v>60</v>
        <stp/>
        <stp>VOLUME</stp>
        <stp>.SPY250606C598</stp>
        <tr r="H9" s="2"/>
        <tr r="H9" s="2"/>
      </tp>
      <tp>
        <v>25</v>
        <stp/>
        <stp>VOLUME</stp>
        <stp>.SPY250606P599</stp>
        <tr r="H8" s="2"/>
        <tr r="H8" s="2"/>
      </tp>
      <tp>
        <v>241</v>
        <stp/>
        <stp>VOLUME</stp>
        <stp>.SPY250606C599</stp>
        <tr r="H8" s="2"/>
        <tr r="H8" s="2"/>
      </tp>
      <tp>
        <v>237</v>
        <stp/>
        <stp>VOLUME</stp>
        <stp>.SPY250613P589</stp>
        <tr r="I18" s="2"/>
        <tr r="I18" s="2"/>
      </tp>
      <tp>
        <v>83</v>
        <stp/>
        <stp>VOLUME</stp>
        <stp>.SPY250613C589</stp>
        <tr r="I18" s="2"/>
        <tr r="I18" s="2"/>
      </tp>
      <tp>
        <v>215</v>
        <stp/>
        <stp>VOLUME</stp>
        <stp>.SPY250613P588</stp>
        <tr r="I19" s="2"/>
        <tr r="I19" s="2"/>
      </tp>
      <tp>
        <v>102</v>
        <stp/>
        <stp>VOLUME</stp>
        <stp>.SPY250613C588</stp>
        <tr r="I19" s="2"/>
        <tr r="I19" s="2"/>
      </tp>
      <tp>
        <v>4127</v>
        <stp/>
        <stp>VOLUME</stp>
        <stp>.SPY250606P580</stp>
        <tr r="H27" s="2"/>
        <tr r="H27" s="2"/>
      </tp>
      <tp>
        <v>356</v>
        <stp/>
        <stp>VOLUME</stp>
        <stp>.SPY250613P595</stp>
        <tr r="I12" s="2"/>
        <tr r="I12" s="2"/>
      </tp>
      <tp>
        <v>83</v>
        <stp/>
        <stp>VOLUME</stp>
        <stp>.SPY250606C580</stp>
        <tr r="H27" s="2"/>
        <tr r="H27" s="2"/>
      </tp>
      <tp>
        <v>594</v>
        <stp/>
        <stp>VOLUME</stp>
        <stp>.SPY250613C595</stp>
        <tr r="I12" s="2"/>
        <tr r="I12" s="2"/>
      </tp>
      <tp>
        <v>164</v>
        <stp/>
        <stp>VOLUME</stp>
        <stp>.SPY250606P581</stp>
        <tr r="H26" s="2"/>
        <tr r="H26" s="2"/>
      </tp>
      <tp>
        <v>232</v>
        <stp/>
        <stp>VOLUME</stp>
        <stp>.SPY250613P594</stp>
        <tr r="I13" s="2"/>
        <tr r="I13" s="2"/>
      </tp>
      <tp>
        <v>47</v>
        <stp/>
        <stp>VOLUME</stp>
        <stp>.SPY250606C581</stp>
        <tr r="H26" s="2"/>
        <tr r="H26" s="2"/>
      </tp>
      <tp>
        <v>295</v>
        <stp/>
        <stp>VOLUME</stp>
        <stp>.SPY250613C594</stp>
        <tr r="I13" s="2"/>
        <tr r="I13" s="2"/>
      </tp>
      <tp>
        <v>181</v>
        <stp/>
        <stp>VOLUME</stp>
        <stp>.SPY250606P582</stp>
        <tr r="H25" s="2"/>
        <tr r="H25" s="2"/>
      </tp>
      <tp>
        <v>175</v>
        <stp/>
        <stp>VOLUME</stp>
        <stp>.SPY250613P597</stp>
        <tr r="I10" s="2"/>
        <tr r="I10" s="2"/>
      </tp>
      <tp>
        <v>3</v>
        <stp/>
        <stp>VOLUME</stp>
        <stp>.SPY250606C582</stp>
        <tr r="H25" s="2"/>
        <tr r="H25" s="2"/>
      </tp>
      <tp>
        <v>125</v>
        <stp/>
        <stp>VOLUME</stp>
        <stp>.SPY250613C597</stp>
        <tr r="I10" s="2"/>
        <tr r="I10" s="2"/>
      </tp>
      <tp>
        <v>256</v>
        <stp/>
        <stp>VOLUME</stp>
        <stp>.SPY250606P583</stp>
        <tr r="H24" s="2"/>
        <tr r="H24" s="2"/>
      </tp>
      <tp>
        <v>25</v>
        <stp/>
        <stp>VOLUME</stp>
        <stp>.SPY250613P596</stp>
        <tr r="I11" s="2"/>
        <tr r="I11" s="2"/>
      </tp>
      <tp>
        <v>37</v>
        <stp/>
        <stp>VOLUME</stp>
        <stp>.SPY250606C583</stp>
        <tr r="H24" s="2"/>
        <tr r="H24" s="2"/>
      </tp>
      <tp>
        <v>111</v>
        <stp/>
        <stp>VOLUME</stp>
        <stp>.SPY250613C596</stp>
        <tr r="I11" s="2"/>
        <tr r="I11" s="2"/>
      </tp>
      <tp>
        <v>337</v>
        <stp/>
        <stp>VOLUME</stp>
        <stp>.SPY250606P584</stp>
        <tr r="H23" s="2"/>
        <tr r="H23" s="2"/>
      </tp>
      <tp>
        <v>232</v>
        <stp/>
        <stp>VOLUME</stp>
        <stp>.SPY250613P591</stp>
        <tr r="I16" s="2"/>
        <tr r="I16" s="2"/>
      </tp>
      <tp>
        <v>62</v>
        <stp/>
        <stp>VOLUME</stp>
        <stp>.SPY250606C584</stp>
        <tr r="H23" s="2"/>
        <tr r="H23" s="2"/>
      </tp>
      <tp>
        <v>75</v>
        <stp/>
        <stp>VOLUME</stp>
        <stp>.SPY250613C591</stp>
        <tr r="I16" s="2"/>
        <tr r="I16" s="2"/>
      </tp>
      <tp>
        <v>8183</v>
        <stp/>
        <stp>VOLUME</stp>
        <stp>.SPY250606P585</stp>
        <tr r="H22" s="2"/>
        <tr r="H22" s="2"/>
      </tp>
      <tp>
        <v>1114</v>
        <stp/>
        <stp>VOLUME</stp>
        <stp>.SPY250613P590</stp>
        <tr r="I17" s="2"/>
        <tr r="I17" s="2"/>
      </tp>
      <tp>
        <v>72</v>
        <stp/>
        <stp>VOLUME</stp>
        <stp>.SPY250606C585</stp>
        <tr r="H22" s="2"/>
        <tr r="H22" s="2"/>
      </tp>
      <tp>
        <v>269</v>
        <stp/>
        <stp>VOLUME</stp>
        <stp>.SPY250613C590</stp>
        <tr r="I17" s="2"/>
        <tr r="I17" s="2"/>
      </tp>
      <tp>
        <v>406</v>
        <stp/>
        <stp>VOLUME</stp>
        <stp>.SPY250606P586</stp>
        <tr r="H21" s="2"/>
        <tr r="H21" s="2"/>
      </tp>
      <tp>
        <v>691</v>
        <stp/>
        <stp>VOLUME</stp>
        <stp>.SPY250613P593</stp>
        <tr r="I14" s="2"/>
        <tr r="I14" s="2"/>
      </tp>
      <tp>
        <v>87</v>
        <stp/>
        <stp>VOLUME</stp>
        <stp>.SPY250606C586</stp>
        <tr r="H21" s="2"/>
        <tr r="H21" s="2"/>
      </tp>
      <tp>
        <v>928</v>
        <stp/>
        <stp>VOLUME</stp>
        <stp>.SPY250613C593</stp>
        <tr r="I14" s="2"/>
        <tr r="I14" s="2"/>
      </tp>
      <tp>
        <v>1360</v>
        <stp/>
        <stp>VOLUME</stp>
        <stp>.SPY250606P587</stp>
        <tr r="H20" s="2"/>
        <tr r="H20" s="2"/>
      </tp>
      <tp>
        <v>885</v>
        <stp/>
        <stp>VOLUME</stp>
        <stp>.SPY250613P592</stp>
        <tr r="I15" s="2"/>
        <tr r="I15" s="2"/>
      </tp>
      <tp>
        <v>155</v>
        <stp/>
        <stp>VOLUME</stp>
        <stp>.SPY250606C587</stp>
        <tr r="H20" s="2"/>
        <tr r="H20" s="2"/>
      </tp>
      <tp>
        <v>694</v>
        <stp/>
        <stp>VOLUME</stp>
        <stp>.SPY250613C592</stp>
        <tr r="I15" s="2"/>
        <tr r="I15" s="2"/>
      </tp>
      <tp>
        <v>207</v>
        <stp/>
        <stp>VOLUME</stp>
        <stp>.SPY250606P588</stp>
        <tr r="H19" s="2"/>
        <tr r="H19" s="2"/>
      </tp>
      <tp>
        <v>288</v>
        <stp/>
        <stp>VOLUME</stp>
        <stp>.SPY250606C588</stp>
        <tr r="H19" s="2"/>
        <tr r="H19" s="2"/>
      </tp>
      <tp>
        <v>293</v>
        <stp/>
        <stp>VOLUME</stp>
        <stp>.SPY250606P589</stp>
        <tr r="H18" s="2"/>
        <tr r="H18" s="2"/>
      </tp>
      <tp>
        <v>315</v>
        <stp/>
        <stp>VOLUME</stp>
        <stp>.SPY250606C589</stp>
        <tr r="H18" s="2"/>
        <tr r="H18" s="2"/>
      </tp>
      <tp>
        <v>93</v>
        <stp/>
        <stp>VOLUME</stp>
        <stp>.SPY250613P599</stp>
        <tr r="I8" s="2"/>
        <tr r="I8" s="2"/>
      </tp>
      <tp>
        <v>437</v>
        <stp/>
        <stp>VOLUME</stp>
        <stp>.SPY250613C599</stp>
        <tr r="I8" s="2"/>
        <tr r="I8" s="2"/>
      </tp>
      <tp>
        <v>6</v>
        <stp/>
        <stp>VOLUME</stp>
        <stp>.SPY250613P598</stp>
        <tr r="I9" s="2"/>
        <tr r="I9" s="2"/>
      </tp>
      <tp>
        <v>545</v>
        <stp/>
        <stp>VOLUME</stp>
        <stp>.SPY250613C598</stp>
        <tr r="I9" s="2"/>
        <tr r="I9" s="2"/>
      </tp>
      <tp>
        <v>106</v>
        <stp/>
        <stp>VOLUME</stp>
        <stp>.SPY250620P596</stp>
        <tr r="BF10" s="1"/>
        <tr r="BF10" s="1"/>
      </tp>
      <tp>
        <v>31</v>
        <stp/>
        <stp>VOLUME</stp>
        <stp>.SPY250627P591</stp>
        <tr r="K16" s="2"/>
        <tr r="K16" s="2"/>
      </tp>
      <tp>
        <v>204</v>
        <stp/>
        <stp>VOLUME</stp>
        <stp>.SPY250630P586</stp>
        <tr r="L21" s="2"/>
        <tr r="L21" s="2"/>
      </tp>
      <tp>
        <v>638</v>
        <stp/>
        <stp>VOLUME</stp>
        <stp>.SPY250620C596</stp>
        <tr r="BE10" s="1"/>
        <tr r="BE10" s="1"/>
      </tp>
      <tp>
        <v>99</v>
        <stp/>
        <stp>VOLUME</stp>
        <stp>.SPY250627C591</stp>
        <tr r="K16" s="2"/>
        <tr r="K16" s="2"/>
      </tp>
      <tp>
        <v>1</v>
        <stp/>
        <stp>VOLUME</stp>
        <stp>.SPY250630C586</stp>
        <tr r="L21" s="2"/>
        <tr r="L21" s="2"/>
      </tp>
      <tp>
        <v>157</v>
        <stp/>
        <stp>VOLUME</stp>
        <stp>.SPY250620P597</stp>
        <tr r="BF9" s="1"/>
        <tr r="BF9" s="1"/>
      </tp>
      <tp>
        <v>1589</v>
        <stp/>
        <stp>VOLUME</stp>
        <stp>.SPY250627P590</stp>
        <tr r="K17" s="2"/>
        <tr r="K17" s="2"/>
      </tp>
      <tp>
        <v>42</v>
        <stp/>
        <stp>VOLUME</stp>
        <stp>.SPY250630P587</stp>
        <tr r="L20" s="2"/>
        <tr r="L20" s="2"/>
      </tp>
      <tp>
        <v>2836</v>
        <stp/>
        <stp>VOLUME</stp>
        <stp>.SPY250620C597</stp>
        <tr r="BE9" s="1"/>
        <tr r="BE9" s="1"/>
      </tp>
      <tp>
        <v>259</v>
        <stp/>
        <stp>VOLUME</stp>
        <stp>.SPY250627C590</stp>
        <tr r="K17" s="2"/>
        <tr r="K17" s="2"/>
      </tp>
      <tp>
        <v>18</v>
        <stp/>
        <stp>VOLUME</stp>
        <stp>.SPY250630C587</stp>
        <tr r="L20" s="2"/>
        <tr r="L20" s="2"/>
      </tp>
      <tp>
        <v>1261</v>
        <stp/>
        <stp>VOLUME</stp>
        <stp>.SPY250620P594</stp>
        <tr r="BF12" s="1"/>
        <tr r="BF12" s="1"/>
      </tp>
      <tp>
        <v>395</v>
        <stp/>
        <stp>VOLUME</stp>
        <stp>.SPY250627P593</stp>
        <tr r="K14" s="2"/>
        <tr r="K14" s="2"/>
      </tp>
      <tp>
        <v>127</v>
        <stp/>
        <stp>VOLUME</stp>
        <stp>.SPY250630P584</stp>
        <tr r="L23" s="2"/>
        <tr r="L23" s="2"/>
      </tp>
      <tp>
        <v>1189</v>
        <stp/>
        <stp>VOLUME</stp>
        <stp>.SPY250620C594</stp>
        <tr r="BE12" s="1"/>
        <tr r="BE12" s="1"/>
      </tp>
      <tp>
        <v>281</v>
        <stp/>
        <stp>VOLUME</stp>
        <stp>.SPY250627C593</stp>
        <tr r="K14" s="2"/>
        <tr r="K14" s="2"/>
      </tp>
      <tp t="s">
        <v>N/A</v>
        <stp/>
        <stp>VOLUME</stp>
        <stp>.SPY250630C584</stp>
        <tr r="L23" s="2"/>
      </tp>
      <tp>
        <v>8736</v>
        <stp/>
        <stp>VOLUME</stp>
        <stp>.SPY250620P595</stp>
        <tr r="BF11" s="1"/>
        <tr r="BF11" s="1"/>
      </tp>
      <tp>
        <v>79</v>
        <stp/>
        <stp>VOLUME</stp>
        <stp>.SPY250627P592</stp>
        <tr r="K15" s="2"/>
        <tr r="K15" s="2"/>
      </tp>
      <tp>
        <v>506</v>
        <stp/>
        <stp>VOLUME</stp>
        <stp>.SPY250630P585</stp>
        <tr r="L22" s="2"/>
        <tr r="L22" s="2"/>
      </tp>
      <tp>
        <v>7661</v>
        <stp/>
        <stp>VOLUME</stp>
        <stp>.SPY250620C595</stp>
        <tr r="BE11" s="1"/>
        <tr r="BE11" s="1"/>
      </tp>
      <tp>
        <v>145</v>
        <stp/>
        <stp>VOLUME</stp>
        <stp>.SPY250627C592</stp>
        <tr r="K15" s="2"/>
        <tr r="K15" s="2"/>
      </tp>
      <tp>
        <v>35</v>
        <stp/>
        <stp>VOLUME</stp>
        <stp>.SPY250630C585</stp>
        <tr r="L22" s="2"/>
        <tr r="L22" s="2"/>
      </tp>
      <tp>
        <v>1259</v>
        <stp/>
        <stp>VOLUME</stp>
        <stp>.SPY250620P592</stp>
        <tr r="BF14" s="1"/>
        <tr r="BF14" s="1"/>
      </tp>
      <tp>
        <v>161</v>
        <stp/>
        <stp>VOLUME</stp>
        <stp>.SPY250627P595</stp>
        <tr r="K12" s="2"/>
        <tr r="K12" s="2"/>
      </tp>
      <tp>
        <v>54</v>
        <stp/>
        <stp>VOLUME</stp>
        <stp>.SPY250630P582</stp>
        <tr r="L25" s="2"/>
        <tr r="L25" s="2"/>
      </tp>
      <tp>
        <v>1543</v>
        <stp/>
        <stp>VOLUME</stp>
        <stp>.SPY250620C592</stp>
        <tr r="BE14" s="1"/>
        <tr r="BE14" s="1"/>
      </tp>
      <tp>
        <v>1128</v>
        <stp/>
        <stp>VOLUME</stp>
        <stp>.SPY250627C595</stp>
        <tr r="K12" s="2"/>
        <tr r="K12" s="2"/>
      </tp>
      <tp>
        <v>2</v>
        <stp/>
        <stp>VOLUME</stp>
        <stp>.SPY250630C582</stp>
        <tr r="L25" s="2"/>
        <tr r="L25" s="2"/>
      </tp>
      <tp>
        <v>1464</v>
        <stp/>
        <stp>VOLUME</stp>
        <stp>.SPY250620P593</stp>
        <tr r="BF13" s="1"/>
        <tr r="BF13" s="1"/>
      </tp>
      <tp>
        <v>88</v>
        <stp/>
        <stp>VOLUME</stp>
        <stp>.SPY250627P594</stp>
        <tr r="K13" s="2"/>
        <tr r="K13" s="2"/>
      </tp>
      <tp>
        <v>22</v>
        <stp/>
        <stp>VOLUME</stp>
        <stp>.SPY250630P583</stp>
        <tr r="L24" s="2"/>
        <tr r="L24" s="2"/>
      </tp>
      <tp>
        <v>2438</v>
        <stp/>
        <stp>VOLUME</stp>
        <stp>.SPY250620C593</stp>
        <tr r="BE13" s="1"/>
        <tr r="BE13" s="1"/>
      </tp>
      <tp>
        <v>196</v>
        <stp/>
        <stp>VOLUME</stp>
        <stp>.SPY250627C594</stp>
        <tr r="K13" s="2"/>
        <tr r="K13" s="2"/>
      </tp>
      <tp>
        <v>2</v>
        <stp/>
        <stp>VOLUME</stp>
        <stp>.SPY250630C583</stp>
        <tr r="L24" s="2"/>
        <tr r="L24" s="2"/>
      </tp>
      <tp>
        <v>9220</v>
        <stp/>
        <stp>VOLUME</stp>
        <stp>.SPY250620P590</stp>
        <tr r="BF16" s="1"/>
        <tr r="BF16" s="1"/>
      </tp>
      <tp>
        <v>10</v>
        <stp/>
        <stp>VOLUME</stp>
        <stp>.SPY250627P597</stp>
        <tr r="K10" s="2"/>
        <tr r="K10" s="2"/>
      </tp>
      <tp>
        <v>786</v>
        <stp/>
        <stp>VOLUME</stp>
        <stp>.SPY250630P580</stp>
        <tr r="L27" s="2"/>
        <tr r="L27" s="2"/>
      </tp>
      <tp>
        <v>2653</v>
        <stp/>
        <stp>VOLUME</stp>
        <stp>.SPY250620C590</stp>
        <tr r="BE16" s="1"/>
        <tr r="BE16" s="1"/>
      </tp>
      <tp>
        <v>54</v>
        <stp/>
        <stp>VOLUME</stp>
        <stp>.SPY250627C597</stp>
        <tr r="K10" s="2"/>
        <tr r="K10" s="2"/>
      </tp>
      <tp>
        <v>112</v>
        <stp/>
        <stp>VOLUME</stp>
        <stp>.SPY250630C580</stp>
        <tr r="L27" s="2"/>
        <tr r="L27" s="2"/>
      </tp>
      <tp>
        <v>796</v>
        <stp/>
        <stp>VOLUME</stp>
        <stp>.SPY250620P591</stp>
        <tr r="BF15" s="1"/>
        <tr r="BF15" s="1"/>
      </tp>
      <tp>
        <v>62</v>
        <stp/>
        <stp>VOLUME</stp>
        <stp>.SPY250627P596</stp>
        <tr r="K11" s="2"/>
        <tr r="K11" s="2"/>
      </tp>
      <tp>
        <v>90</v>
        <stp/>
        <stp>VOLUME</stp>
        <stp>.SPY250630P581</stp>
        <tr r="L26" s="2"/>
        <tr r="L26" s="2"/>
      </tp>
      <tp>
        <v>321</v>
        <stp/>
        <stp>VOLUME</stp>
        <stp>.SPY250620C591</stp>
        <tr r="BE15" s="1"/>
        <tr r="BE15" s="1"/>
      </tp>
      <tp>
        <v>143</v>
        <stp/>
        <stp>VOLUME</stp>
        <stp>.SPY250627C596</stp>
        <tr r="K11" s="2"/>
        <tr r="K11" s="2"/>
      </tp>
      <tp>
        <v>3</v>
        <stp/>
        <stp>VOLUME</stp>
        <stp>.SPY250630C581</stp>
        <tr r="L26" s="2"/>
        <tr r="L26" s="2"/>
      </tp>
      <tp>
        <v>56</v>
        <stp/>
        <stp>VOLUME</stp>
        <stp>.SPY250627P599</stp>
        <tr r="K8" s="2"/>
        <tr r="K8" s="2"/>
      </tp>
      <tp>
        <v>58</v>
        <stp/>
        <stp>VOLUME</stp>
        <stp>.SPY250627C599</stp>
        <tr r="K8" s="2"/>
        <tr r="K8" s="2"/>
      </tp>
      <tp>
        <v>180</v>
        <stp/>
        <stp>VOLUME</stp>
        <stp>.SPY250627P598</stp>
        <tr r="K9" s="2"/>
        <tr r="K9" s="2"/>
      </tp>
      <tp>
        <v>133</v>
        <stp/>
        <stp>VOLUME</stp>
        <stp>.SPY250627C598</stp>
        <tr r="K9" s="2"/>
        <tr r="K9" s="2"/>
      </tp>
      <tp>
        <v>262</v>
        <stp/>
        <stp>VOLUME</stp>
        <stp>.SPY250620P598</stp>
        <tr r="BF8" s="1"/>
        <tr r="BF8" s="1"/>
      </tp>
      <tp>
        <v>30</v>
        <stp/>
        <stp>VOLUME</stp>
        <stp>.SPY250630P588</stp>
        <tr r="L19" s="2"/>
        <tr r="L19" s="2"/>
      </tp>
      <tp>
        <v>815</v>
        <stp/>
        <stp>VOLUME</stp>
        <stp>.SPY250620C598</stp>
        <tr r="BE8" s="1"/>
        <tr r="BE8" s="1"/>
      </tp>
      <tp>
        <v>49</v>
        <stp/>
        <stp>VOLUME</stp>
        <stp>.SPY250630C588</stp>
        <tr r="L19" s="2"/>
        <tr r="L19" s="2"/>
      </tp>
      <tp>
        <v>95</v>
        <stp/>
        <stp>VOLUME</stp>
        <stp>.SPY250620P599</stp>
        <tr r="BF7" s="1"/>
        <tr r="BF7" s="1"/>
      </tp>
      <tp>
        <v>162</v>
        <stp/>
        <stp>VOLUME</stp>
        <stp>.SPY250630P589</stp>
        <tr r="L18" s="2"/>
        <tr r="L18" s="2"/>
      </tp>
      <tp>
        <v>321</v>
        <stp/>
        <stp>VOLUME</stp>
        <stp>.SPY250620C599</stp>
        <tr r="BE7" s="1"/>
        <tr r="BE7" s="1"/>
      </tp>
      <tp>
        <v>28</v>
        <stp/>
        <stp>VOLUME</stp>
        <stp>.SPY250630C589</stp>
        <tr r="L18" s="2"/>
        <tr r="L18" s="2"/>
      </tp>
      <tp>
        <v>997</v>
        <stp/>
        <stp>VOLUME</stp>
        <stp>.SPY250620P586</stp>
        <tr r="BF20" s="1"/>
        <tr r="BF20" s="1"/>
      </tp>
      <tp>
        <v>12</v>
        <stp/>
        <stp>VOLUME</stp>
        <stp>.SPY250627P581</stp>
        <tr r="K26" s="2"/>
        <tr r="K26" s="2"/>
      </tp>
      <tp>
        <v>79</v>
        <stp/>
        <stp>VOLUME</stp>
        <stp>.SPY250630P596</stp>
        <tr r="L11" s="2"/>
        <tr r="L11" s="2"/>
      </tp>
      <tp>
        <v>139</v>
        <stp/>
        <stp>VOLUME</stp>
        <stp>.SPY250620C586</stp>
        <tr r="BE20" s="1"/>
        <tr r="BE20" s="1"/>
      </tp>
      <tp>
        <v>2</v>
        <stp/>
        <stp>VOLUME</stp>
        <stp>.SPY250627C581</stp>
        <tr r="K26" s="2"/>
        <tr r="K26" s="2"/>
      </tp>
      <tp>
        <v>113</v>
        <stp/>
        <stp>VOLUME</stp>
        <stp>.SPY250630C596</stp>
        <tr r="L11" s="2"/>
        <tr r="L11" s="2"/>
      </tp>
      <tp>
        <v>746</v>
        <stp/>
        <stp>VOLUME</stp>
        <stp>.SPY250620P587</stp>
        <tr r="BF19" s="1"/>
        <tr r="BF19" s="1"/>
      </tp>
      <tp>
        <v>405</v>
        <stp/>
        <stp>VOLUME</stp>
        <stp>.SPY250627P580</stp>
        <tr r="K27" s="2"/>
        <tr r="K27" s="2"/>
      </tp>
      <tp>
        <v>1</v>
        <stp/>
        <stp>VOLUME</stp>
        <stp>.SPY250630P597</stp>
        <tr r="L10" s="2"/>
        <tr r="L10" s="2"/>
      </tp>
      <tp>
        <v>72</v>
        <stp/>
        <stp>VOLUME</stp>
        <stp>.SPY250620C587</stp>
        <tr r="BE19" s="1"/>
        <tr r="BE19" s="1"/>
      </tp>
      <tp>
        <v>18</v>
        <stp/>
        <stp>VOLUME</stp>
        <stp>.SPY250627C580</stp>
        <tr r="K27" s="2"/>
        <tr r="K27" s="2"/>
      </tp>
      <tp>
        <v>146</v>
        <stp/>
        <stp>VOLUME</stp>
        <stp>.SPY250630C597</stp>
        <tr r="L10" s="2"/>
        <tr r="L10" s="2"/>
      </tp>
      <tp>
        <v>607</v>
        <stp/>
        <stp>VOLUME</stp>
        <stp>.SPY250620P584</stp>
        <tr r="BF22" s="1"/>
        <tr r="BF22" s="1"/>
      </tp>
      <tp>
        <v>6</v>
        <stp/>
        <stp>VOLUME</stp>
        <stp>.SPY250627P583</stp>
        <tr r="K24" s="2"/>
        <tr r="K24" s="2"/>
      </tp>
      <tp>
        <v>565</v>
        <stp/>
        <stp>VOLUME</stp>
        <stp>.SPY250630P594</stp>
        <tr r="L13" s="2"/>
        <tr r="L13" s="2"/>
      </tp>
      <tp>
        <v>232</v>
        <stp/>
        <stp>VOLUME</stp>
        <stp>.SPY250620C584</stp>
        <tr r="BE22" s="1"/>
        <tr r="BE22" s="1"/>
      </tp>
      <tp>
        <v>1</v>
        <stp/>
        <stp>VOLUME</stp>
        <stp>.SPY250627C583</stp>
        <tr r="K24" s="2"/>
        <tr r="K24" s="2"/>
      </tp>
      <tp>
        <v>151</v>
        <stp/>
        <stp>VOLUME</stp>
        <stp>.SPY250630C594</stp>
        <tr r="L13" s="2"/>
        <tr r="L13" s="2"/>
      </tp>
      <tp>
        <v>5434</v>
        <stp/>
        <stp>VOLUME</stp>
        <stp>.SPY250620P585</stp>
        <tr r="BF21" s="1"/>
        <tr r="BF21" s="1"/>
      </tp>
      <tp>
        <v>46</v>
        <stp/>
        <stp>VOLUME</stp>
        <stp>.SPY250627P582</stp>
        <tr r="K25" s="2"/>
        <tr r="K25" s="2"/>
      </tp>
      <tp>
        <v>845</v>
        <stp/>
        <stp>VOLUME</stp>
        <stp>.SPY250630P595</stp>
        <tr r="L12" s="2"/>
        <tr r="L12" s="2"/>
      </tp>
      <tp>
        <v>1148</v>
        <stp/>
        <stp>VOLUME</stp>
        <stp>.SPY250620C585</stp>
        <tr r="BE21" s="1"/>
        <tr r="BE21" s="1"/>
      </tp>
      <tp>
        <v>8</v>
        <stp/>
        <stp>VOLUME</stp>
        <stp>.SPY250627C582</stp>
        <tr r="K25" s="2"/>
        <tr r="K25" s="2"/>
      </tp>
      <tp>
        <v>335</v>
        <stp/>
        <stp>VOLUME</stp>
        <stp>.SPY250630C595</stp>
        <tr r="L12" s="2"/>
        <tr r="L12" s="2"/>
      </tp>
      <tp>
        <v>801</v>
        <stp/>
        <stp>VOLUME</stp>
        <stp>.SPY250620P582</stp>
        <tr r="BF24" s="1"/>
        <tr r="BF24" s="1"/>
      </tp>
      <tp>
        <v>197</v>
        <stp/>
        <stp>VOLUME</stp>
        <stp>.SPY250627P585</stp>
        <tr r="K22" s="2"/>
        <tr r="K22" s="2"/>
      </tp>
      <tp>
        <v>292</v>
        <stp/>
        <stp>VOLUME</stp>
        <stp>.SPY250630P592</stp>
        <tr r="L15" s="2"/>
        <tr r="L15" s="2"/>
      </tp>
      <tp>
        <v>11</v>
        <stp/>
        <stp>VOLUME</stp>
        <stp>.SPY250620C582</stp>
        <tr r="BE24" s="1"/>
        <tr r="BE24" s="1"/>
      </tp>
      <tp>
        <v>11</v>
        <stp/>
        <stp>VOLUME</stp>
        <stp>.SPY250627C585</stp>
        <tr r="K22" s="2"/>
        <tr r="K22" s="2"/>
      </tp>
      <tp>
        <v>145</v>
        <stp/>
        <stp>VOLUME</stp>
        <stp>.SPY250630C592</stp>
        <tr r="L15" s="2"/>
        <tr r="L15" s="2"/>
      </tp>
      <tp>
        <v>569</v>
        <stp/>
        <stp>VOLUME</stp>
        <stp>.SPY250620P583</stp>
        <tr r="BF23" s="1"/>
        <tr r="BF23" s="1"/>
      </tp>
      <tp>
        <v>8</v>
        <stp/>
        <stp>VOLUME</stp>
        <stp>.SPY250627P584</stp>
        <tr r="K23" s="2"/>
        <tr r="K23" s="2"/>
      </tp>
      <tp>
        <v>588</v>
        <stp/>
        <stp>VOLUME</stp>
        <stp>.SPY250630P593</stp>
        <tr r="L14" s="2"/>
        <tr r="L14" s="2"/>
      </tp>
      <tp>
        <v>37</v>
        <stp/>
        <stp>VOLUME</stp>
        <stp>.SPY250620C583</stp>
        <tr r="BE23" s="1"/>
        <tr r="BE23" s="1"/>
      </tp>
      <tp>
        <v>3</v>
        <stp/>
        <stp>VOLUME</stp>
        <stp>.SPY250627C584</stp>
        <tr r="K23" s="2"/>
        <tr r="K23" s="2"/>
      </tp>
      <tp>
        <v>414</v>
        <stp/>
        <stp>VOLUME</stp>
        <stp>.SPY250630C593</stp>
        <tr r="L14" s="2"/>
        <tr r="L14" s="2"/>
      </tp>
      <tp>
        <v>6292</v>
        <stp/>
        <stp>VOLUME</stp>
        <stp>.SPY250620P580</stp>
        <tr r="BF26" s="1"/>
        <tr r="BF26" s="1"/>
      </tp>
      <tp>
        <v>12</v>
        <stp/>
        <stp>VOLUME</stp>
        <stp>.SPY250627P587</stp>
        <tr r="K20" s="2"/>
        <tr r="K20" s="2"/>
      </tp>
      <tp>
        <v>1510</v>
        <stp/>
        <stp>VOLUME</stp>
        <stp>.SPY250630P590</stp>
        <tr r="L17" s="2"/>
        <tr r="L17" s="2"/>
      </tp>
      <tp>
        <v>311</v>
        <stp/>
        <stp>VOLUME</stp>
        <stp>.SPY250620C580</stp>
        <tr r="BE26" s="1"/>
        <tr r="BE26" s="1"/>
      </tp>
      <tp>
        <v>8</v>
        <stp/>
        <stp>VOLUME</stp>
        <stp>.SPY250627C587</stp>
        <tr r="K20" s="2"/>
        <tr r="K20" s="2"/>
      </tp>
      <tp>
        <v>833</v>
        <stp/>
        <stp>VOLUME</stp>
        <stp>.SPY250630C590</stp>
        <tr r="L17" s="2"/>
        <tr r="L17" s="2"/>
      </tp>
      <tp>
        <v>424</v>
        <stp/>
        <stp>VOLUME</stp>
        <stp>.SPY250620P581</stp>
        <tr r="BF25" s="1"/>
        <tr r="BF25" s="1"/>
      </tp>
      <tp>
        <v>174</v>
        <stp/>
        <stp>VOLUME</stp>
        <stp>.SPY250627P586</stp>
        <tr r="K21" s="2"/>
        <tr r="K21" s="2"/>
      </tp>
      <tp>
        <v>330</v>
        <stp/>
        <stp>VOLUME</stp>
        <stp>.SPY250630P591</stp>
        <tr r="L16" s="2"/>
        <tr r="L16" s="2"/>
      </tp>
      <tp>
        <v>8</v>
        <stp/>
        <stp>VOLUME</stp>
        <stp>.SPY250620C581</stp>
        <tr r="BE25" s="1"/>
        <tr r="BE25" s="1"/>
      </tp>
      <tp>
        <v>32</v>
        <stp/>
        <stp>VOLUME</stp>
        <stp>.SPY250627C586</stp>
        <tr r="K21" s="2"/>
        <tr r="K21" s="2"/>
      </tp>
      <tp>
        <v>138</v>
        <stp/>
        <stp>VOLUME</stp>
        <stp>.SPY250630C591</stp>
        <tr r="L16" s="2"/>
        <tr r="L16" s="2"/>
      </tp>
      <tp>
        <v>50</v>
        <stp/>
        <stp>VOLUME</stp>
        <stp>.SPY250627P589</stp>
        <tr r="K18" s="2"/>
        <tr r="K18" s="2"/>
      </tp>
      <tp>
        <v>4</v>
        <stp/>
        <stp>VOLUME</stp>
        <stp>.SPY250627C589</stp>
        <tr r="K18" s="2"/>
        <tr r="K18" s="2"/>
      </tp>
      <tp>
        <v>58</v>
        <stp/>
        <stp>VOLUME</stp>
        <stp>.SPY250627P588</stp>
        <tr r="K19" s="2"/>
        <tr r="K19" s="2"/>
      </tp>
      <tp>
        <v>3</v>
        <stp/>
        <stp>VOLUME</stp>
        <stp>.SPY250627C588</stp>
        <tr r="K19" s="2"/>
        <tr r="K19" s="2"/>
      </tp>
      <tp>
        <v>1087</v>
        <stp/>
        <stp>VOLUME</stp>
        <stp>.SPY250620P588</stp>
        <tr r="BF18" s="1"/>
        <tr r="BF18" s="1"/>
      </tp>
      <tp>
        <v>7</v>
        <stp/>
        <stp>VOLUME</stp>
        <stp>.SPY250630P598</stp>
        <tr r="L9" s="2"/>
        <tr r="L9" s="2"/>
      </tp>
      <tp>
        <v>341</v>
        <stp/>
        <stp>VOLUME</stp>
        <stp>.SPY250620C588</stp>
        <tr r="BE18" s="1"/>
        <tr r="BE18" s="1"/>
      </tp>
      <tp>
        <v>53</v>
        <stp/>
        <stp>VOLUME</stp>
        <stp>.SPY250630C598</stp>
        <tr r="L9" s="2"/>
        <tr r="L9" s="2"/>
      </tp>
      <tp>
        <v>507</v>
        <stp/>
        <stp>VOLUME</stp>
        <stp>.SPY250620P589</stp>
        <tr r="BF17" s="1"/>
        <tr r="BF17" s="1"/>
      </tp>
      <tp>
        <v>1</v>
        <stp/>
        <stp>VOLUME</stp>
        <stp>.SPY250630P599</stp>
        <tr r="L8" s="2"/>
        <tr r="L8" s="2"/>
      </tp>
      <tp>
        <v>431</v>
        <stp/>
        <stp>VOLUME</stp>
        <stp>.SPY250620C589</stp>
        <tr r="BE17" s="1"/>
        <tr r="BE17" s="1"/>
      </tp>
      <tp>
        <v>93</v>
        <stp/>
        <stp>VOLUME</stp>
        <stp>.SPY250630C599</stp>
        <tr r="L8" s="2"/>
        <tr r="L8" s="2"/>
      </tp>
      <tp>
        <v>33</v>
        <stp/>
        <stp>VOLUME</stp>
        <stp>.SPY250530P602</stp>
        <tr r="G5" s="2"/>
        <tr r="G5" s="2"/>
      </tp>
      <tp>
        <v>995</v>
        <stp/>
        <stp>VOLUME</stp>
        <stp>.SPY250530C602</stp>
        <tr r="G5" s="2"/>
        <tr r="G5" s="2"/>
      </tp>
      <tp>
        <v>443</v>
        <stp/>
        <stp>VOLUME</stp>
        <stp>.SPY250530P600</stp>
        <tr r="G7" s="2"/>
        <tr r="G7" s="2"/>
      </tp>
      <tp>
        <v>14731</v>
        <stp/>
        <stp>VOLUME</stp>
        <stp>.SPY250530C600</stp>
        <tr r="G7" s="2"/>
        <tr r="G7" s="2"/>
      </tp>
      <tp>
        <v>49</v>
        <stp/>
        <stp>VOLUME</stp>
        <stp>.SPY250530P601</stp>
        <tr r="G6" s="2"/>
        <tr r="G6" s="2"/>
      </tp>
      <tp>
        <v>815</v>
        <stp/>
        <stp>VOLUME</stp>
        <stp>.SPY250530C601</stp>
        <tr r="G6" s="2"/>
        <tr r="G6" s="2"/>
      </tp>
      <tp>
        <v>217</v>
        <stp/>
        <stp>VOLUME</stp>
        <stp>.SPY250520P602</stp>
        <tr r="BB4" s="1"/>
        <tr r="BB4" s="1"/>
      </tp>
      <tp>
        <v>124</v>
        <stp/>
        <stp>VOLUME</stp>
        <stp>.SPY250522P600</stp>
        <tr r="E7" s="2"/>
        <tr r="E7" s="2"/>
      </tp>
      <tp>
        <v>46</v>
        <stp/>
        <stp>VOLUME</stp>
        <stp>.SPY250523P601</stp>
        <tr r="BD5" s="1"/>
        <tr r="BD5" s="1"/>
      </tp>
      <tp>
        <v>10736</v>
        <stp/>
        <stp>VOLUME</stp>
        <stp>.SPY250520C602</stp>
        <tr r="BA4" s="1"/>
        <tr r="BA4" s="1"/>
      </tp>
      <tp>
        <v>18541</v>
        <stp/>
        <stp>VOLUME</stp>
        <stp>.SPY250522C600</stp>
        <tr r="E7" s="2"/>
        <tr r="E7" s="2"/>
      </tp>
      <tp>
        <v>6035</v>
        <stp/>
        <stp>VOLUME</stp>
        <stp>.SPY250523C601</stp>
        <tr r="BC5" s="1"/>
        <tr r="BC5" s="1"/>
      </tp>
      <tp>
        <v>46</v>
        <stp/>
        <stp>VOLUME</stp>
        <stp>.SPY250521P602</stp>
        <tr r="D5" s="2"/>
        <tr r="D5" s="2"/>
      </tp>
      <tp>
        <v>10</v>
        <stp/>
        <stp>VOLUME</stp>
        <stp>.SPY250522P601</stp>
        <tr r="E6" s="2"/>
        <tr r="E6" s="2"/>
      </tp>
      <tp>
        <v>1250</v>
        <stp/>
        <stp>VOLUME</stp>
        <stp>.SPY250523P600</stp>
        <tr r="BD6" s="1"/>
        <tr r="BD6" s="1"/>
      </tp>
      <tp>
        <v>8017</v>
        <stp/>
        <stp>VOLUME</stp>
        <stp>.SPY250521C602</stp>
        <tr r="D5" s="2"/>
        <tr r="D5" s="2"/>
      </tp>
      <tp>
        <v>3315</v>
        <stp/>
        <stp>VOLUME</stp>
        <stp>.SPY250522C601</stp>
        <tr r="E6" s="2"/>
        <tr r="E6" s="2"/>
      </tp>
      <tp>
        <v>36120</v>
        <stp/>
        <stp>VOLUME</stp>
        <stp>.SPY250523C600</stp>
        <tr r="BC6" s="1"/>
        <tr r="BC6" s="1"/>
      </tp>
      <tp>
        <v>3439</v>
        <stp/>
        <stp>VOLUME</stp>
        <stp>.SPY250520P600</stp>
        <tr r="BB6" s="1"/>
        <tr r="BB6" s="1"/>
      </tp>
      <tp>
        <v>100</v>
        <stp/>
        <stp>VOLUME</stp>
        <stp>.SPY250521P601</stp>
        <tr r="D6" s="2"/>
        <tr r="D6" s="2"/>
      </tp>
      <tp>
        <v>5</v>
        <stp/>
        <stp>VOLUME</stp>
        <stp>.SPY250522P602</stp>
        <tr r="E5" s="2"/>
        <tr r="E5" s="2"/>
      </tp>
      <tp>
        <v>63845</v>
        <stp/>
        <stp>VOLUME</stp>
        <stp>.SPY250520C600</stp>
        <tr r="BA6" s="1"/>
        <tr r="BA6" s="1"/>
      </tp>
      <tp>
        <v>7258</v>
        <stp/>
        <stp>VOLUME</stp>
        <stp>.SPY250521C601</stp>
        <tr r="D6" s="2"/>
        <tr r="D6" s="2"/>
      </tp>
      <tp>
        <v>2238</v>
        <stp/>
        <stp>VOLUME</stp>
        <stp>.SPY250522C602</stp>
        <tr r="E5" s="2"/>
        <tr r="E5" s="2"/>
      </tp>
      <tp>
        <v>499</v>
        <stp/>
        <stp>VOLUME</stp>
        <stp>.SPY250520P601</stp>
        <tr r="BB5" s="1"/>
        <tr r="BB5" s="1"/>
      </tp>
      <tp>
        <v>450</v>
        <stp/>
        <stp>VOLUME</stp>
        <stp>.SPY250521P600</stp>
        <tr r="D7" s="2"/>
        <tr r="D7" s="2"/>
      </tp>
      <tp>
        <v>93</v>
        <stp/>
        <stp>VOLUME</stp>
        <stp>.SPY250523P602</stp>
        <tr r="BD4" s="1"/>
        <tr r="BD4" s="1"/>
      </tp>
      <tp>
        <v>15946</v>
        <stp/>
        <stp>VOLUME</stp>
        <stp>.SPY250520C601</stp>
        <tr r="BA5" s="1"/>
        <tr r="BA5" s="1"/>
      </tp>
      <tp>
        <v>49892</v>
        <stp/>
        <stp>VOLUME</stp>
        <stp>.SPY250521C600</stp>
        <tr r="D7" s="2"/>
        <tr r="D7" s="2"/>
      </tp>
      <tp>
        <v>3046</v>
        <stp/>
        <stp>VOLUME</stp>
        <stp>.SPY250523C602</stp>
        <tr r="BC4" s="1"/>
        <tr r="BC4" s="1"/>
      </tp>
      <tp>
        <v>518</v>
        <stp/>
        <stp>VOLUME</stp>
        <stp>.SPY250620P576</stp>
        <tr r="BF30" s="1"/>
        <tr r="BF30" s="1"/>
      </tp>
      <tp>
        <v>3</v>
        <stp/>
        <stp>VOLUME</stp>
        <stp>.SPY250627P571</stp>
        <tr r="K36" s="2"/>
        <tr r="K36" s="2"/>
      </tp>
      <tp>
        <v>4</v>
        <stp/>
        <stp>VOLUME</stp>
        <stp>.SPY250620C576</stp>
        <tr r="BE30" s="1"/>
        <tr r="BE30" s="1"/>
      </tp>
      <tp>
        <v>3</v>
        <stp/>
        <stp>VOLUME</stp>
        <stp>.SPY250627C571</stp>
        <tr r="K36" s="2"/>
        <tr r="K36" s="2"/>
      </tp>
      <tp>
        <v>258</v>
        <stp/>
        <stp>VOLUME</stp>
        <stp>.SPY250620P577</stp>
        <tr r="BF29" s="1"/>
        <tr r="BF29" s="1"/>
      </tp>
      <tp>
        <v>498</v>
        <stp/>
        <stp>VOLUME</stp>
        <stp>.SPY250627P570</stp>
        <tr r="K37" s="2"/>
        <tr r="K37" s="2"/>
      </tp>
      <tp>
        <v>17</v>
        <stp/>
        <stp>VOLUME</stp>
        <stp>.SPY250620C577</stp>
        <tr r="BE29" s="1"/>
        <tr r="BE29" s="1"/>
      </tp>
      <tp>
        <v>6</v>
        <stp/>
        <stp>VOLUME</stp>
        <stp>.SPY250627C570</stp>
        <tr r="K37" s="2"/>
        <tr r="K37" s="2"/>
      </tp>
      <tp>
        <v>1367</v>
        <stp/>
        <stp>VOLUME</stp>
        <stp>.SPY250620P574</stp>
        <tr r="BF32" s="1"/>
        <tr r="BF32" s="1"/>
      </tp>
      <tp>
        <v>8</v>
        <stp/>
        <stp>VOLUME</stp>
        <stp>.SPY250627P573</stp>
        <tr r="K34" s="2"/>
        <tr r="K34" s="2"/>
      </tp>
      <tp>
        <v>3</v>
        <stp/>
        <stp>VOLUME</stp>
        <stp>.SPY250620C574</stp>
        <tr r="BE32" s="1"/>
        <tr r="BE32" s="1"/>
      </tp>
      <tp>
        <v>4</v>
        <stp/>
        <stp>VOLUME</stp>
        <stp>.SPY250627C573</stp>
        <tr r="K34" s="2"/>
        <tr r="K34" s="2"/>
      </tp>
      <tp>
        <v>5007</v>
        <stp/>
        <stp>VOLUME</stp>
        <stp>.SPY250620P575</stp>
        <tr r="BF31" s="1"/>
        <tr r="BF31" s="1"/>
      </tp>
      <tp>
        <v>91</v>
        <stp/>
        <stp>VOLUME</stp>
        <stp>.SPY250627P572</stp>
        <tr r="K35" s="2"/>
        <tr r="K35" s="2"/>
      </tp>
      <tp>
        <v>166</v>
        <stp/>
        <stp>VOLUME</stp>
        <stp>.SPY250620C575</stp>
        <tr r="BE31" s="1"/>
        <tr r="BE31" s="1"/>
      </tp>
      <tp t="s">
        <v>N/A</v>
        <stp/>
        <stp>VOLUME</stp>
        <stp>.SPY250627C572</stp>
        <tr r="K35" s="2"/>
      </tp>
      <tp>
        <v>374</v>
        <stp/>
        <stp>VOLUME</stp>
        <stp>.SPY250620P572</stp>
        <tr r="BF34" s="1"/>
        <tr r="BF34" s="1"/>
      </tp>
      <tp>
        <v>2578</v>
        <stp/>
        <stp>VOLUME</stp>
        <stp>.SPY250627P575</stp>
        <tr r="K32" s="2"/>
        <tr r="K32" s="2"/>
      </tp>
      <tp>
        <v>5</v>
        <stp/>
        <stp>VOLUME</stp>
        <stp>.SPY250620C572</stp>
        <tr r="BE34" s="1"/>
        <tr r="BE34" s="1"/>
      </tp>
      <tp>
        <v>9</v>
        <stp/>
        <stp>VOLUME</stp>
        <stp>.SPY250627C575</stp>
        <tr r="K32" s="2"/>
        <tr r="K32" s="2"/>
      </tp>
      <tp>
        <v>929</v>
        <stp/>
        <stp>VOLUME</stp>
        <stp>.SPY250620P573</stp>
        <tr r="BF33" s="1"/>
        <tr r="BF33" s="1"/>
      </tp>
      <tp>
        <v>2</v>
        <stp/>
        <stp>VOLUME</stp>
        <stp>.SPY250627P574</stp>
        <tr r="K33" s="2"/>
        <tr r="K33" s="2"/>
      </tp>
      <tp>
        <v>3</v>
        <stp/>
        <stp>VOLUME</stp>
        <stp>.SPY250620C573</stp>
        <tr r="BE33" s="1"/>
        <tr r="BE33" s="1"/>
      </tp>
      <tp>
        <v>2</v>
        <stp/>
        <stp>VOLUME</stp>
        <stp>.SPY250627C574</stp>
        <tr r="K33" s="2"/>
        <tr r="K33" s="2"/>
      </tp>
      <tp>
        <v>8951</v>
        <stp/>
        <stp>VOLUME</stp>
        <stp>.SPY250620P570</stp>
        <tr r="BF36" s="1"/>
        <tr r="BF36" s="1"/>
      </tp>
      <tp>
        <v>29</v>
        <stp/>
        <stp>VOLUME</stp>
        <stp>.SPY250627P577</stp>
        <tr r="K30" s="2"/>
        <tr r="K30" s="2"/>
      </tp>
      <tp>
        <v>165</v>
        <stp/>
        <stp>VOLUME</stp>
        <stp>.SPY250620C570</stp>
        <tr r="BE36" s="1"/>
        <tr r="BE36" s="1"/>
      </tp>
      <tp>
        <v>6</v>
        <stp/>
        <stp>VOLUME</stp>
        <stp>.SPY250627C577</stp>
        <tr r="K30" s="2"/>
        <tr r="K30" s="2"/>
      </tp>
      <tp>
        <v>116</v>
        <stp/>
        <stp>VOLUME</stp>
        <stp>.SPY250620P571</stp>
        <tr r="BF35" s="1"/>
        <tr r="BF35" s="1"/>
      </tp>
      <tp>
        <v>45</v>
        <stp/>
        <stp>VOLUME</stp>
        <stp>.SPY250627P576</stp>
        <tr r="K31" s="2"/>
        <tr r="K31" s="2"/>
      </tp>
      <tp>
        <v>16</v>
        <stp/>
        <stp>VOLUME</stp>
        <stp>.SPY250620C571</stp>
        <tr r="BE35" s="1"/>
        <tr r="BE35" s="1"/>
      </tp>
      <tp>
        <v>8</v>
        <stp/>
        <stp>VOLUME</stp>
        <stp>.SPY250627C576</stp>
        <tr r="K31" s="2"/>
        <tr r="K31" s="2"/>
      </tp>
      <tp>
        <v>68</v>
        <stp/>
        <stp>VOLUME</stp>
        <stp>.SPY250627P579</stp>
        <tr r="K28" s="2"/>
        <tr r="K28" s="2"/>
      </tp>
      <tp>
        <v>5</v>
        <stp/>
        <stp>VOLUME</stp>
        <stp>.SPY250627C579</stp>
        <tr r="K28" s="2"/>
        <tr r="K28" s="2"/>
      </tp>
      <tp>
        <v>221</v>
        <stp/>
        <stp>VOLUME</stp>
        <stp>.SPY250627P578</stp>
        <tr r="K29" s="2"/>
        <tr r="K29" s="2"/>
      </tp>
      <tp>
        <v>3</v>
        <stp/>
        <stp>VOLUME</stp>
        <stp>.SPY250627C578</stp>
        <tr r="K29" s="2"/>
        <tr r="K29" s="2"/>
      </tp>
      <tp>
        <v>584</v>
        <stp/>
        <stp>VOLUME</stp>
        <stp>.SPY250620P578</stp>
        <tr r="BF28" s="1"/>
        <tr r="BF28" s="1"/>
      </tp>
      <tp>
        <v>174</v>
        <stp/>
        <stp>VOLUME</stp>
        <stp>.SPY250630P568</stp>
        <tr r="L39" s="2"/>
        <tr r="L39" s="2"/>
      </tp>
      <tp>
        <v>3</v>
        <stp/>
        <stp>VOLUME</stp>
        <stp>.SPY250620C578</stp>
        <tr r="BE28" s="1"/>
        <tr r="BE28" s="1"/>
      </tp>
      <tp>
        <v>11</v>
        <stp/>
        <stp>VOLUME</stp>
        <stp>.SPY250630C568</stp>
        <tr r="L39" s="2"/>
        <tr r="L39" s="2"/>
      </tp>
      <tp>
        <v>251</v>
        <stp/>
        <stp>VOLUME</stp>
        <stp>.SPY250620P579</stp>
        <tr r="BF27" s="1"/>
        <tr r="BF27" s="1"/>
      </tp>
      <tp>
        <v>53</v>
        <stp/>
        <stp>VOLUME</stp>
        <stp>.SPY250630P569</stp>
        <tr r="L38" s="2"/>
        <tr r="L38" s="2"/>
      </tp>
      <tp>
        <v>4</v>
        <stp/>
        <stp>VOLUME</stp>
        <stp>.SPY250620C579</stp>
        <tr r="BE27" s="1"/>
        <tr r="BE27" s="1"/>
      </tp>
      <tp>
        <v>5</v>
        <stp/>
        <stp>VOLUME</stp>
        <stp>.SPY250630C569</stp>
        <tr r="L38" s="2"/>
        <tr r="L38" s="2"/>
      </tp>
      <tp>
        <v>246</v>
        <stp/>
        <stp>VOLUME</stp>
        <stp>.SPY250630P576</stp>
        <tr r="L31" s="2"/>
        <tr r="L31" s="2"/>
      </tp>
      <tp>
        <v>7</v>
        <stp/>
        <stp>VOLUME</stp>
        <stp>.SPY250630C576</stp>
        <tr r="L31" s="2"/>
        <tr r="L31" s="2"/>
      </tp>
      <tp>
        <v>221</v>
        <stp/>
        <stp>VOLUME</stp>
        <stp>.SPY250630P577</stp>
        <tr r="L30" s="2"/>
        <tr r="L30" s="2"/>
      </tp>
      <tp>
        <v>3</v>
        <stp/>
        <stp>VOLUME</stp>
        <stp>.SPY250630C577</stp>
        <tr r="L30" s="2"/>
        <tr r="L30" s="2"/>
      </tp>
      <tp>
        <v>48</v>
        <stp/>
        <stp>VOLUME</stp>
        <stp>.SPY250630P574</stp>
        <tr r="L33" s="2"/>
        <tr r="L33" s="2"/>
      </tp>
      <tp>
        <v>2</v>
        <stp/>
        <stp>VOLUME</stp>
        <stp>.SPY250630C574</stp>
        <tr r="L33" s="2"/>
        <tr r="L33" s="2"/>
      </tp>
      <tp>
        <v>1037</v>
        <stp/>
        <stp>VOLUME</stp>
        <stp>.SPY250630P575</stp>
        <tr r="L32" s="2"/>
        <tr r="L32" s="2"/>
      </tp>
      <tp>
        <v>594</v>
        <stp/>
        <stp>VOLUME</stp>
        <stp>.SPY250630C575</stp>
        <tr r="L32" s="2"/>
        <tr r="L32" s="2"/>
      </tp>
      <tp>
        <v>36</v>
        <stp/>
        <stp>VOLUME</stp>
        <stp>.SPY250630P572</stp>
        <tr r="L35" s="2"/>
        <tr r="L35" s="2"/>
      </tp>
      <tp t="s">
        <v>N/A</v>
        <stp/>
        <stp>VOLUME</stp>
        <stp>.SPY250630C572</stp>
        <tr r="L35" s="2"/>
      </tp>
      <tp>
        <v>30</v>
        <stp/>
        <stp>VOLUME</stp>
        <stp>.SPY250630P573</stp>
        <tr r="L34" s="2"/>
        <tr r="L34" s="2"/>
      </tp>
      <tp>
        <v>4</v>
        <stp/>
        <stp>VOLUME</stp>
        <stp>.SPY250630C573</stp>
        <tr r="L34" s="2"/>
        <tr r="L34" s="2"/>
      </tp>
      <tp>
        <v>851</v>
        <stp/>
        <stp>VOLUME</stp>
        <stp>.SPY250630P570</stp>
        <tr r="L37" s="2"/>
        <tr r="L37" s="2"/>
      </tp>
      <tp>
        <v>50</v>
        <stp/>
        <stp>VOLUME</stp>
        <stp>.SPY250630C570</stp>
        <tr r="L37" s="2"/>
        <tr r="L37" s="2"/>
      </tp>
      <tp>
        <v>32</v>
        <stp/>
        <stp>VOLUME</stp>
        <stp>.SPY250630P571</stp>
        <tr r="L36" s="2"/>
        <tr r="L36" s="2"/>
      </tp>
      <tp>
        <v>9</v>
        <stp/>
        <stp>VOLUME</stp>
        <stp>.SPY250630C571</stp>
        <tr r="L36" s="2"/>
        <tr r="L36" s="2"/>
      </tp>
      <tp>
        <v>3</v>
        <stp/>
        <stp>VOLUME</stp>
        <stp>.SPY250627P569</stp>
        <tr r="K38" s="2"/>
        <tr r="K38" s="2"/>
      </tp>
      <tp>
        <v>1</v>
        <stp/>
        <stp>VOLUME</stp>
        <stp>.SPY250627C569</stp>
        <tr r="K38" s="2"/>
        <tr r="K38" s="2"/>
      </tp>
      <tp>
        <v>15</v>
        <stp/>
        <stp>VOLUME</stp>
        <stp>.SPY250627P568</stp>
        <tr r="K39" s="2"/>
        <tr r="K39" s="2"/>
      </tp>
      <tp>
        <v>9</v>
        <stp/>
        <stp>VOLUME</stp>
        <stp>.SPY250627C568</stp>
        <tr r="K39" s="2"/>
        <tr r="K39" s="2"/>
      </tp>
      <tp>
        <v>354</v>
        <stp/>
        <stp>VOLUME</stp>
        <stp>.SPY250620P568</stp>
        <tr r="BF38" s="1"/>
        <tr r="BF38" s="1"/>
      </tp>
      <tp>
        <v>292</v>
        <stp/>
        <stp>VOLUME</stp>
        <stp>.SPY250630P578</stp>
        <tr r="L29" s="2"/>
        <tr r="L29" s="2"/>
      </tp>
      <tp>
        <v>1</v>
        <stp/>
        <stp>VOLUME</stp>
        <stp>.SPY250620C568</stp>
        <tr r="BE38" s="1"/>
        <tr r="BE38" s="1"/>
      </tp>
      <tp>
        <v>7</v>
        <stp/>
        <stp>VOLUME</stp>
        <stp>.SPY250630C578</stp>
        <tr r="L29" s="2"/>
        <tr r="L29" s="2"/>
      </tp>
      <tp>
        <v>296</v>
        <stp/>
        <stp>VOLUME</stp>
        <stp>.SPY250620P569</stp>
        <tr r="BF37" s="1"/>
        <tr r="BF37" s="1"/>
      </tp>
      <tp>
        <v>186</v>
        <stp/>
        <stp>VOLUME</stp>
        <stp>.SPY250630P579</stp>
        <tr r="L28" s="2"/>
        <tr r="L28" s="2"/>
      </tp>
      <tp>
        <v>8</v>
        <stp/>
        <stp>VOLUME</stp>
        <stp>.SPY250620C569</stp>
        <tr r="BE37" s="1"/>
        <tr r="BE37" s="1"/>
      </tp>
      <tp>
        <v>7</v>
        <stp/>
        <stp>VOLUME</stp>
        <stp>.SPY250630C579</stp>
        <tr r="L28" s="2"/>
        <tr r="L28" s="2"/>
      </tp>
      <tp>
        <v>1098</v>
        <stp/>
        <stp>VOLUME</stp>
        <stp>.SPY250606P570</stp>
        <tr r="H37" s="2"/>
        <tr r="H37" s="2"/>
      </tp>
      <tp>
        <v>33</v>
        <stp/>
        <stp>VOLUME</stp>
        <stp>.SPY250606C570</stp>
        <tr r="H37" s="2"/>
        <tr r="H37" s="2"/>
      </tp>
      <tp>
        <v>179</v>
        <stp/>
        <stp>VOLUME</stp>
        <stp>.SPY250606P571</stp>
        <tr r="H36" s="2"/>
        <tr r="H36" s="2"/>
      </tp>
      <tp>
        <v>13</v>
        <stp/>
        <stp>VOLUME</stp>
        <stp>.SPY250606C571</stp>
        <tr r="H36" s="2"/>
        <tr r="H36" s="2"/>
      </tp>
      <tp>
        <v>147</v>
        <stp/>
        <stp>VOLUME</stp>
        <stp>.SPY250606P572</stp>
        <tr r="H35" s="2"/>
        <tr r="H35" s="2"/>
      </tp>
      <tp>
        <v>3</v>
        <stp/>
        <stp>VOLUME</stp>
        <stp>.SPY250606C572</stp>
        <tr r="H35" s="2"/>
        <tr r="H35" s="2"/>
      </tp>
      <tp>
        <v>154</v>
        <stp/>
        <stp>VOLUME</stp>
        <stp>.SPY250606P573</stp>
        <tr r="H34" s="2"/>
        <tr r="H34" s="2"/>
      </tp>
      <tp>
        <v>11</v>
        <stp/>
        <stp>VOLUME</stp>
        <stp>.SPY250606C573</stp>
        <tr r="H34" s="2"/>
        <tr r="H34" s="2"/>
      </tp>
      <tp>
        <v>73</v>
        <stp/>
        <stp>VOLUME</stp>
        <stp>.SPY250606P574</stp>
        <tr r="H33" s="2"/>
        <tr r="H33" s="2"/>
      </tp>
      <tp>
        <v>8</v>
        <stp/>
        <stp>VOLUME</stp>
        <stp>.SPY250606C574</stp>
        <tr r="H33" s="2"/>
        <tr r="H33" s="2"/>
      </tp>
      <tp>
        <v>527</v>
        <stp/>
        <stp>VOLUME</stp>
        <stp>.SPY250606P575</stp>
        <tr r="H32" s="2"/>
        <tr r="H32" s="2"/>
      </tp>
      <tp>
        <v>52</v>
        <stp/>
        <stp>VOLUME</stp>
        <stp>.SPY250606C575</stp>
        <tr r="H32" s="2"/>
        <tr r="H32" s="2"/>
      </tp>
      <tp>
        <v>10</v>
        <stp/>
        <stp>VOLUME</stp>
        <stp>.SPY250606P576</stp>
        <tr r="H31" s="2"/>
        <tr r="H31" s="2"/>
      </tp>
      <tp>
        <v>27</v>
        <stp/>
        <stp>VOLUME</stp>
        <stp>.SPY250606C576</stp>
        <tr r="H31" s="2"/>
        <tr r="H31" s="2"/>
      </tp>
      <tp>
        <v>127</v>
        <stp/>
        <stp>VOLUME</stp>
        <stp>.SPY250606P577</stp>
        <tr r="H30" s="2"/>
        <tr r="H30" s="2"/>
      </tp>
      <tp>
        <v>3</v>
        <stp/>
        <stp>VOLUME</stp>
        <stp>.SPY250606C577</stp>
        <tr r="H30" s="2"/>
        <tr r="H30" s="2"/>
      </tp>
      <tp>
        <v>158</v>
        <stp/>
        <stp>VOLUME</stp>
        <stp>.SPY250606P578</stp>
        <tr r="H29" s="2"/>
        <tr r="H29" s="2"/>
      </tp>
      <tp>
        <v>6</v>
        <stp/>
        <stp>VOLUME</stp>
        <stp>.SPY250606C578</stp>
        <tr r="H29" s="2"/>
        <tr r="H29" s="2"/>
      </tp>
      <tp>
        <v>21</v>
        <stp/>
        <stp>VOLUME</stp>
        <stp>.SPY250606P579</stp>
        <tr r="H28" s="2"/>
        <tr r="H28" s="2"/>
      </tp>
      <tp>
        <v>25</v>
        <stp/>
        <stp>VOLUME</stp>
        <stp>.SPY250606C579</stp>
        <tr r="H28" s="2"/>
        <tr r="H28" s="2"/>
      </tp>
      <tp>
        <v>155</v>
        <stp/>
        <stp>VOLUME</stp>
        <stp>.SPY250613P569</stp>
        <tr r="I38" s="2"/>
        <tr r="I38" s="2"/>
      </tp>
      <tp>
        <v>7</v>
        <stp/>
        <stp>VOLUME</stp>
        <stp>.SPY250613C569</stp>
        <tr r="I38" s="2"/>
        <tr r="I38" s="2"/>
      </tp>
      <tp>
        <v>6</v>
        <stp/>
        <stp>VOLUME</stp>
        <stp>.SPY250613P568</stp>
        <tr r="I39" s="2"/>
        <tr r="I39" s="2"/>
      </tp>
      <tp>
        <v>8</v>
        <stp/>
        <stp>VOLUME</stp>
        <stp>.SPY250613C568</stp>
        <tr r="I39" s="2"/>
        <tr r="I39" s="2"/>
      </tp>
      <tp>
        <v>683</v>
        <stp/>
        <stp>VOLUME</stp>
        <stp>.SPY250613P575</stp>
        <tr r="I32" s="2"/>
        <tr r="I32" s="2"/>
      </tp>
      <tp>
        <v>38</v>
        <stp/>
        <stp>VOLUME</stp>
        <stp>.SPY250613C575</stp>
        <tr r="I32" s="2"/>
        <tr r="I32" s="2"/>
      </tp>
      <tp>
        <v>18</v>
        <stp/>
        <stp>VOLUME</stp>
        <stp>.SPY250613P574</stp>
        <tr r="I33" s="2"/>
        <tr r="I33" s="2"/>
      </tp>
      <tp>
        <v>22</v>
        <stp/>
        <stp>VOLUME</stp>
        <stp>.SPY250613C574</stp>
        <tr r="I33" s="2"/>
        <tr r="I33" s="2"/>
      </tp>
      <tp>
        <v>82</v>
        <stp/>
        <stp>VOLUME</stp>
        <stp>.SPY250613P577</stp>
        <tr r="I30" s="2"/>
        <tr r="I30" s="2"/>
      </tp>
      <tp>
        <v>2</v>
        <stp/>
        <stp>VOLUME</stp>
        <stp>.SPY250613C577</stp>
        <tr r="I30" s="2"/>
        <tr r="I30" s="2"/>
      </tp>
      <tp>
        <v>59</v>
        <stp/>
        <stp>VOLUME</stp>
        <stp>.SPY250613P576</stp>
        <tr r="I31" s="2"/>
        <tr r="I31" s="2"/>
      </tp>
      <tp>
        <v>3</v>
        <stp/>
        <stp>VOLUME</stp>
        <stp>.SPY250613C576</stp>
        <tr r="I31" s="2"/>
        <tr r="I31" s="2"/>
      </tp>
      <tp>
        <v>24</v>
        <stp/>
        <stp>VOLUME</stp>
        <stp>.SPY250613P571</stp>
        <tr r="I36" s="2"/>
        <tr r="I36" s="2"/>
      </tp>
      <tp>
        <v>7</v>
        <stp/>
        <stp>VOLUME</stp>
        <stp>.SPY250613C571</stp>
        <tr r="I36" s="2"/>
        <tr r="I36" s="2"/>
      </tp>
      <tp>
        <v>2174</v>
        <stp/>
        <stp>VOLUME</stp>
        <stp>.SPY250613P570</stp>
        <tr r="I37" s="2"/>
        <tr r="I37" s="2"/>
      </tp>
      <tp>
        <v>38</v>
        <stp/>
        <stp>VOLUME</stp>
        <stp>.SPY250613C570</stp>
        <tr r="I37" s="2"/>
        <tr r="I37" s="2"/>
      </tp>
      <tp>
        <v>10</v>
        <stp/>
        <stp>VOLUME</stp>
        <stp>.SPY250613P573</stp>
        <tr r="I34" s="2"/>
        <tr r="I34" s="2"/>
      </tp>
      <tp>
        <v>9</v>
        <stp/>
        <stp>VOLUME</stp>
        <stp>.SPY250613C573</stp>
        <tr r="I34" s="2"/>
        <tr r="I34" s="2"/>
      </tp>
      <tp>
        <v>135</v>
        <stp/>
        <stp>VOLUME</stp>
        <stp>.SPY250613P572</stp>
        <tr r="I35" s="2"/>
        <tr r="I35" s="2"/>
      </tp>
      <tp t="s">
        <v>N/A</v>
        <stp/>
        <stp>VOLUME</stp>
        <stp>.SPY250613C572</stp>
        <tr r="I35" s="2"/>
      </tp>
      <tp>
        <v>69</v>
        <stp/>
        <stp>VOLUME</stp>
        <stp>.SPY250606P568</stp>
        <tr r="H39" s="2"/>
        <tr r="H39" s="2"/>
      </tp>
      <tp>
        <v>2</v>
        <stp/>
        <stp>VOLUME</stp>
        <stp>.SPY250606C568</stp>
        <tr r="H39" s="2"/>
        <tr r="H39" s="2"/>
      </tp>
      <tp>
        <v>61</v>
        <stp/>
        <stp>VOLUME</stp>
        <stp>.SPY250606P569</stp>
        <tr r="H38" s="2"/>
        <tr r="H38" s="2"/>
      </tp>
      <tp t="s">
        <v>N/A</v>
        <stp/>
        <stp>VOLUME</stp>
        <stp>.SPY250606C569</stp>
        <tr r="H38" s="2"/>
      </tp>
      <tp>
        <v>80</v>
        <stp/>
        <stp>VOLUME</stp>
        <stp>.SPY250613P579</stp>
        <tr r="I28" s="2"/>
        <tr r="I28" s="2"/>
      </tp>
      <tp t="s">
        <v>N/A</v>
        <stp/>
        <stp>VOLUME</stp>
        <stp>.SPY250613C579</stp>
        <tr r="I28" s="2"/>
      </tp>
      <tp>
        <v>76</v>
        <stp/>
        <stp>VOLUME</stp>
        <stp>.SPY250613P578</stp>
        <tr r="I29" s="2"/>
        <tr r="I29" s="2"/>
      </tp>
      <tp>
        <v>9</v>
        <stp/>
        <stp>VOLUME</stp>
        <stp>.SPY250613C578</stp>
        <tr r="I29" s="2"/>
        <tr r="I29" s="2"/>
      </tp>
      <tp>
        <v>13415</v>
        <stp/>
        <stp>VOLUME</stp>
        <stp>.SPY250520P596</stp>
        <tr r="BB10" s="1"/>
        <tr r="BB10" s="1"/>
      </tp>
      <tp>
        <v>1156</v>
        <stp/>
        <stp>VOLUME</stp>
        <stp>.SPY250521P597</stp>
        <tr r="D10" s="2"/>
        <tr r="D10" s="2"/>
      </tp>
      <tp>
        <v>4296</v>
        <stp/>
        <stp>VOLUME</stp>
        <stp>.SPY250522P594</stp>
        <tr r="E13" s="2"/>
        <tr r="E13" s="2"/>
      </tp>
      <tp>
        <v>6917</v>
        <stp/>
        <stp>VOLUME</stp>
        <stp>.SPY250523P595</stp>
        <tr r="BD11" s="1"/>
        <tr r="BD11" s="1"/>
      </tp>
      <tp>
        <v>1007</v>
        <stp/>
        <stp>VOLUME</stp>
        <stp>.SPY250530P586</stp>
        <tr r="G21" s="2"/>
        <tr r="G21" s="2"/>
      </tp>
      <tp>
        <v>243652</v>
        <stp/>
        <stp>VOLUME</stp>
        <stp>.SPY250520C596</stp>
        <tr r="BA10" s="1"/>
        <tr r="BA10" s="1"/>
      </tp>
      <tp>
        <v>30690</v>
        <stp/>
        <stp>VOLUME</stp>
        <stp>.SPY250521C597</stp>
        <tr r="D10" s="2"/>
        <tr r="D10" s="2"/>
      </tp>
      <tp>
        <v>24184</v>
        <stp/>
        <stp>VOLUME</stp>
        <stp>.SPY250522C594</stp>
        <tr r="E13" s="2"/>
        <tr r="E13" s="2"/>
      </tp>
      <tp>
        <v>40755</v>
        <stp/>
        <stp>VOLUME</stp>
        <stp>.SPY250523C595</stp>
        <tr r="BC11" s="1"/>
        <tr r="BC11" s="1"/>
      </tp>
      <tp>
        <v>73</v>
        <stp/>
        <stp>VOLUME</stp>
        <stp>.SPY250530C586</stp>
        <tr r="G21" s="2"/>
        <tr r="G21" s="2"/>
      </tp>
      <tp>
        <v>4326</v>
        <stp/>
        <stp>VOLUME</stp>
        <stp>.SPY250520P597</stp>
        <tr r="BB9" s="1"/>
        <tr r="BB9" s="1"/>
      </tp>
      <tp>
        <v>2912</v>
        <stp/>
        <stp>VOLUME</stp>
        <stp>.SPY250521P596</stp>
        <tr r="D11" s="2"/>
        <tr r="D11" s="2"/>
      </tp>
      <tp>
        <v>1855</v>
        <stp/>
        <stp>VOLUME</stp>
        <stp>.SPY250522P595</stp>
        <tr r="E12" s="2"/>
        <tr r="E12" s="2"/>
      </tp>
      <tp>
        <v>13442</v>
        <stp/>
        <stp>VOLUME</stp>
        <stp>.SPY250523P594</stp>
        <tr r="BD12" s="1"/>
        <tr r="BD12" s="1"/>
      </tp>
      <tp>
        <v>1309</v>
        <stp/>
        <stp>VOLUME</stp>
        <stp>.SPY250530P587</stp>
        <tr r="G20" s="2"/>
        <tr r="G20" s="2"/>
      </tp>
      <tp>
        <v>108676</v>
        <stp/>
        <stp>VOLUME</stp>
        <stp>.SPY250520C597</stp>
        <tr r="BA9" s="1"/>
        <tr r="BA9" s="1"/>
      </tp>
      <tp>
        <v>43738</v>
        <stp/>
        <stp>VOLUME</stp>
        <stp>.SPY250521C596</stp>
        <tr r="D11" s="2"/>
        <tr r="D11" s="2"/>
      </tp>
      <tp>
        <v>25712</v>
        <stp/>
        <stp>VOLUME</stp>
        <stp>.SPY250522C595</stp>
        <tr r="E12" s="2"/>
        <tr r="E12" s="2"/>
      </tp>
      <tp>
        <v>18439</v>
        <stp/>
        <stp>VOLUME</stp>
        <stp>.SPY250523C594</stp>
        <tr r="BC12" s="1"/>
        <tr r="BC12" s="1"/>
      </tp>
      <tp>
        <v>213</v>
        <stp/>
        <stp>VOLUME</stp>
        <stp>.SPY250530C587</stp>
        <tr r="G20" s="2"/>
        <tr r="G20" s="2"/>
      </tp>
      <tp>
        <v>145753</v>
        <stp/>
        <stp>VOLUME</stp>
        <stp>.SPY250520P594</stp>
        <tr r="BB12" s="1"/>
        <tr r="BB12" s="1"/>
      </tp>
      <tp>
        <v>8598</v>
        <stp/>
        <stp>VOLUME</stp>
        <stp>.SPY250521P595</stp>
        <tr r="D12" s="2"/>
        <tr r="D12" s="2"/>
      </tp>
      <tp>
        <v>4130</v>
        <stp/>
        <stp>VOLUME</stp>
        <stp>.SPY250522P596</stp>
        <tr r="E11" s="2"/>
        <tr r="E11" s="2"/>
      </tp>
      <tp>
        <v>295</v>
        <stp/>
        <stp>VOLUME</stp>
        <stp>.SPY250523P597</stp>
        <tr r="BD9" s="1"/>
        <tr r="BD9" s="1"/>
      </tp>
      <tp>
        <v>428</v>
        <stp/>
        <stp>VOLUME</stp>
        <stp>.SPY250530P584</stp>
        <tr r="G23" s="2"/>
        <tr r="G23" s="2"/>
      </tp>
      <tp>
        <v>625656</v>
        <stp/>
        <stp>VOLUME</stp>
        <stp>.SPY250520C594</stp>
        <tr r="BA12" s="1"/>
        <tr r="BA12" s="1"/>
      </tp>
      <tp>
        <v>103110</v>
        <stp/>
        <stp>VOLUME</stp>
        <stp>.SPY250521C595</stp>
        <tr r="D12" s="2"/>
        <tr r="D12" s="2"/>
      </tp>
      <tp>
        <v>7980</v>
        <stp/>
        <stp>VOLUME</stp>
        <stp>.SPY250522C596</stp>
        <tr r="E11" s="2"/>
        <tr r="E11" s="2"/>
      </tp>
      <tp>
        <v>17426</v>
        <stp/>
        <stp>VOLUME</stp>
        <stp>.SPY250523C597</stp>
        <tr r="BC9" s="1"/>
        <tr r="BC9" s="1"/>
      </tp>
      <tp>
        <v>270</v>
        <stp/>
        <stp>VOLUME</stp>
        <stp>.SPY250530C584</stp>
        <tr r="G23" s="2"/>
        <tr r="G23" s="2"/>
      </tp>
      <tp>
        <v>25490</v>
        <stp/>
        <stp>VOLUME</stp>
        <stp>.SPY250520P595</stp>
        <tr r="BB11" s="1"/>
        <tr r="BB11" s="1"/>
      </tp>
      <tp>
        <v>26711</v>
        <stp/>
        <stp>VOLUME</stp>
        <stp>.SPY250521P594</stp>
        <tr r="D13" s="2"/>
        <tr r="D13" s="2"/>
      </tp>
      <tp>
        <v>108</v>
        <stp/>
        <stp>VOLUME</stp>
        <stp>.SPY250522P597</stp>
        <tr r="E10" s="2"/>
        <tr r="E10" s="2"/>
      </tp>
      <tp>
        <v>882</v>
        <stp/>
        <stp>VOLUME</stp>
        <stp>.SPY250523P596</stp>
        <tr r="BD10" s="1"/>
        <tr r="BD10" s="1"/>
      </tp>
      <tp>
        <v>7175</v>
        <stp/>
        <stp>VOLUME</stp>
        <stp>.SPY250530P585</stp>
        <tr r="G22" s="2"/>
        <tr r="G22" s="2"/>
      </tp>
      <tp>
        <v>367956</v>
        <stp/>
        <stp>VOLUME</stp>
        <stp>.SPY250520C595</stp>
        <tr r="BA11" s="1"/>
        <tr r="BA11" s="1"/>
      </tp>
      <tp>
        <v>131137</v>
        <stp/>
        <stp>VOLUME</stp>
        <stp>.SPY250521C594</stp>
        <tr r="D13" s="2"/>
        <tr r="D13" s="2"/>
      </tp>
      <tp>
        <v>4820</v>
        <stp/>
        <stp>VOLUME</stp>
        <stp>.SPY250522C597</stp>
        <tr r="E10" s="2"/>
        <tr r="E10" s="2"/>
      </tp>
      <tp>
        <v>16039</v>
        <stp/>
        <stp>VOLUME</stp>
        <stp>.SPY250523C596</stp>
        <tr r="BC10" s="1"/>
        <tr r="BC10" s="1"/>
      </tp>
      <tp>
        <v>613</v>
        <stp/>
        <stp>VOLUME</stp>
        <stp>.SPY250530C585</stp>
        <tr r="G22" s="2"/>
        <tr r="G22" s="2"/>
      </tp>
      <tp>
        <v>390907</v>
        <stp/>
        <stp>VOLUME</stp>
        <stp>.SPY250520P592</stp>
        <tr r="BB14" s="1"/>
        <tr r="BB14" s="1"/>
      </tp>
      <tp>
        <v>58255</v>
        <stp/>
        <stp>VOLUME</stp>
        <stp>.SPY250521P593</stp>
        <tr r="D14" s="2"/>
        <tr r="D14" s="2"/>
      </tp>
      <tp>
        <v>12952</v>
        <stp/>
        <stp>VOLUME</stp>
        <stp>.SPY250522P590</stp>
        <tr r="E17" s="2"/>
        <tr r="E17" s="2"/>
      </tp>
      <tp>
        <v>10517</v>
        <stp/>
        <stp>VOLUME</stp>
        <stp>.SPY250523P591</stp>
        <tr r="BD15" s="1"/>
        <tr r="BD15" s="1"/>
      </tp>
      <tp>
        <v>735</v>
        <stp/>
        <stp>VOLUME</stp>
        <stp>.SPY250530P582</stp>
        <tr r="G25" s="2"/>
        <tr r="G25" s="2"/>
      </tp>
      <tp>
        <v>288535</v>
        <stp/>
        <stp>VOLUME</stp>
        <stp>.SPY250520C592</stp>
        <tr r="BA14" s="1"/>
        <tr r="BA14" s="1"/>
      </tp>
      <tp>
        <v>128366</v>
        <stp/>
        <stp>VOLUME</stp>
        <stp>.SPY250521C593</stp>
        <tr r="D14" s="2"/>
        <tr r="D14" s="2"/>
      </tp>
      <tp>
        <v>3169</v>
        <stp/>
        <stp>VOLUME</stp>
        <stp>.SPY250522C590</stp>
        <tr r="E17" s="2"/>
        <tr r="E17" s="2"/>
      </tp>
      <tp>
        <v>7012</v>
        <stp/>
        <stp>VOLUME</stp>
        <stp>.SPY250523C591</stp>
        <tr r="BC15" s="1"/>
        <tr r="BC15" s="1"/>
      </tp>
      <tp>
        <v>46</v>
        <stp/>
        <stp>VOLUME</stp>
        <stp>.SPY250530C582</stp>
        <tr r="G25" s="2"/>
        <tr r="G25" s="2"/>
      </tp>
      <tp>
        <v>379444</v>
        <stp/>
        <stp>VOLUME</stp>
        <stp>.SPY250520P593</stp>
        <tr r="BB13" s="1"/>
        <tr r="BB13" s="1"/>
      </tp>
      <tp>
        <v>69977</v>
        <stp/>
        <stp>VOLUME</stp>
        <stp>.SPY250521P592</stp>
        <tr r="D15" s="2"/>
        <tr r="D15" s="2"/>
      </tp>
      <tp>
        <v>9179</v>
        <stp/>
        <stp>VOLUME</stp>
        <stp>.SPY250522P591</stp>
        <tr r="E16" s="2"/>
        <tr r="E16" s="2"/>
      </tp>
      <tp>
        <v>58740</v>
        <stp/>
        <stp>VOLUME</stp>
        <stp>.SPY250523P590</stp>
        <tr r="BD16" s="1"/>
        <tr r="BD16" s="1"/>
      </tp>
      <tp>
        <v>1181</v>
        <stp/>
        <stp>VOLUME</stp>
        <stp>.SPY250530P583</stp>
        <tr r="G24" s="2"/>
        <tr r="G24" s="2"/>
      </tp>
      <tp>
        <v>634379</v>
        <stp/>
        <stp>VOLUME</stp>
        <stp>.SPY250520C593</stp>
        <tr r="BA13" s="1"/>
        <tr r="BA13" s="1"/>
      </tp>
      <tp>
        <v>77839</v>
        <stp/>
        <stp>VOLUME</stp>
        <stp>.SPY250521C592</stp>
        <tr r="D15" s="2"/>
        <tr r="D15" s="2"/>
      </tp>
      <tp>
        <v>21254</v>
        <stp/>
        <stp>VOLUME</stp>
        <stp>.SPY250522C591</stp>
        <tr r="E16" s="2"/>
        <tr r="E16" s="2"/>
      </tp>
      <tp>
        <v>13914</v>
        <stp/>
        <stp>VOLUME</stp>
        <stp>.SPY250523C590</stp>
        <tr r="BC16" s="1"/>
        <tr r="BC16" s="1"/>
      </tp>
      <tp>
        <v>292</v>
        <stp/>
        <stp>VOLUME</stp>
        <stp>.SPY250530C583</stp>
        <tr r="G24" s="2"/>
        <tr r="G24" s="2"/>
      </tp>
      <tp>
        <v>368055</v>
        <stp/>
        <stp>VOLUME</stp>
        <stp>.SPY250520P590</stp>
        <tr r="BB16" s="1"/>
        <tr r="BB16" s="1"/>
      </tp>
      <tp>
        <v>67292</v>
        <stp/>
        <stp>VOLUME</stp>
        <stp>.SPY250521P591</stp>
        <tr r="D16" s="2"/>
        <tr r="D16" s="2"/>
      </tp>
      <tp>
        <v>10766</v>
        <stp/>
        <stp>VOLUME</stp>
        <stp>.SPY250522P592</stp>
        <tr r="E15" s="2"/>
        <tr r="E15" s="2"/>
      </tp>
      <tp>
        <v>15624</v>
        <stp/>
        <stp>VOLUME</stp>
        <stp>.SPY250523P593</stp>
        <tr r="BD13" s="1"/>
        <tr r="BD13" s="1"/>
      </tp>
      <tp>
        <v>16134</v>
        <stp/>
        <stp>VOLUME</stp>
        <stp>.SPY250530P580</stp>
        <tr r="G27" s="2"/>
        <tr r="G27" s="2"/>
      </tp>
      <tp>
        <v>67553</v>
        <stp/>
        <stp>VOLUME</stp>
        <stp>.SPY250520C590</stp>
        <tr r="BA16" s="1"/>
        <tr r="BA16" s="1"/>
      </tp>
      <tp>
        <v>45117</v>
        <stp/>
        <stp>VOLUME</stp>
        <stp>.SPY250521C591</stp>
        <tr r="D16" s="2"/>
        <tr r="D16" s="2"/>
      </tp>
      <tp>
        <v>8469</v>
        <stp/>
        <stp>VOLUME</stp>
        <stp>.SPY250522C592</stp>
        <tr r="E15" s="2"/>
        <tr r="E15" s="2"/>
      </tp>
      <tp>
        <v>23323</v>
        <stp/>
        <stp>VOLUME</stp>
        <stp>.SPY250523C593</stp>
        <tr r="BC13" s="1"/>
        <tr r="BC13" s="1"/>
      </tp>
      <tp>
        <v>315</v>
        <stp/>
        <stp>VOLUME</stp>
        <stp>.SPY250530C580</stp>
        <tr r="G27" s="2"/>
        <tr r="G27" s="2"/>
      </tp>
      <tp>
        <v>297774</v>
        <stp/>
        <stp>VOLUME</stp>
        <stp>.SPY250520P591</stp>
        <tr r="BB15" s="1"/>
        <tr r="BB15" s="1"/>
      </tp>
      <tp>
        <v>84255</v>
        <stp/>
        <stp>VOLUME</stp>
        <stp>.SPY250521P590</stp>
        <tr r="D17" s="2"/>
        <tr r="D17" s="2"/>
      </tp>
      <tp>
        <v>14219</v>
        <stp/>
        <stp>VOLUME</stp>
        <stp>.SPY250522P593</stp>
        <tr r="E14" s="2"/>
        <tr r="E14" s="2"/>
      </tp>
      <tp>
        <v>11853</v>
        <stp/>
        <stp>VOLUME</stp>
        <stp>.SPY250523P592</stp>
        <tr r="BD14" s="1"/>
        <tr r="BD14" s="1"/>
      </tp>
      <tp>
        <v>928</v>
        <stp/>
        <stp>VOLUME</stp>
        <stp>.SPY250530P581</stp>
        <tr r="G26" s="2"/>
        <tr r="G26" s="2"/>
      </tp>
      <tp>
        <v>162677</v>
        <stp/>
        <stp>VOLUME</stp>
        <stp>.SPY250520C591</stp>
        <tr r="BA15" s="1"/>
        <tr r="BA15" s="1"/>
      </tp>
      <tp>
        <v>22499</v>
        <stp/>
        <stp>VOLUME</stp>
        <stp>.SPY250521C590</stp>
        <tr r="D17" s="2"/>
        <tr r="D17" s="2"/>
      </tp>
      <tp>
        <v>13840</v>
        <stp/>
        <stp>VOLUME</stp>
        <stp>.SPY250522C593</stp>
        <tr r="E14" s="2"/>
        <tr r="E14" s="2"/>
      </tp>
      <tp>
        <v>13650</v>
        <stp/>
        <stp>VOLUME</stp>
        <stp>.SPY250523C592</stp>
        <tr r="BC14" s="1"/>
        <tr r="BC14" s="1"/>
      </tp>
      <tp>
        <v>33</v>
        <stp/>
        <stp>VOLUME</stp>
        <stp>.SPY250530C581</stp>
        <tr r="G26" s="2"/>
        <tr r="G26" s="2"/>
      </tp>
      <tp>
        <v>846</v>
        <stp/>
        <stp>VOLUME</stp>
        <stp>.SPY250522P598</stp>
        <tr r="E9" s="2"/>
        <tr r="E9" s="2"/>
      </tp>
      <tp>
        <v>80</v>
        <stp/>
        <stp>VOLUME</stp>
        <stp>.SPY250523P599</stp>
        <tr r="BD7" s="1"/>
        <tr r="BD7" s="1"/>
      </tp>
      <tp>
        <v>23072</v>
        <stp/>
        <stp>VOLUME</stp>
        <stp>.SPY250522C598</stp>
        <tr r="E9" s="2"/>
        <tr r="E9" s="2"/>
      </tp>
      <tp>
        <v>4578</v>
        <stp/>
        <stp>VOLUME</stp>
        <stp>.SPY250523C599</stp>
        <tr r="BC7" s="1"/>
        <tr r="BC7" s="1"/>
      </tp>
      <tp>
        <v>63</v>
        <stp/>
        <stp>VOLUME</stp>
        <stp>.SPY250522P599</stp>
        <tr r="E8" s="2"/>
        <tr r="E8" s="2"/>
      </tp>
      <tp>
        <v>185</v>
        <stp/>
        <stp>VOLUME</stp>
        <stp>.SPY250523P598</stp>
        <tr r="BD8" s="1"/>
        <tr r="BD8" s="1"/>
      </tp>
      <tp>
        <v>4798</v>
        <stp/>
        <stp>VOLUME</stp>
        <stp>.SPY250522C599</stp>
        <tr r="E8" s="2"/>
        <tr r="E8" s="2"/>
      </tp>
      <tp>
        <v>7137</v>
        <stp/>
        <stp>VOLUME</stp>
        <stp>.SPY250523C598</stp>
        <tr r="BC8" s="1"/>
        <tr r="BC8" s="1"/>
      </tp>
      <tp>
        <v>2975</v>
        <stp/>
        <stp>VOLUME</stp>
        <stp>.SPY250520P598</stp>
        <tr r="BB8" s="1"/>
        <tr r="BB8" s="1"/>
      </tp>
      <tp>
        <v>242</v>
        <stp/>
        <stp>VOLUME</stp>
        <stp>.SPY250521P599</stp>
        <tr r="D8" s="2"/>
        <tr r="D8" s="2"/>
      </tp>
      <tp>
        <v>1349</v>
        <stp/>
        <stp>VOLUME</stp>
        <stp>.SPY250530P588</stp>
        <tr r="G19" s="2"/>
        <tr r="G19" s="2"/>
      </tp>
      <tp>
        <v>54067</v>
        <stp/>
        <stp>VOLUME</stp>
        <stp>.SPY250520C598</stp>
        <tr r="BA8" s="1"/>
        <tr r="BA8" s="1"/>
      </tp>
      <tp>
        <v>13142</v>
        <stp/>
        <stp>VOLUME</stp>
        <stp>.SPY250521C599</stp>
        <tr r="D8" s="2"/>
        <tr r="D8" s="2"/>
      </tp>
      <tp>
        <v>186</v>
        <stp/>
        <stp>VOLUME</stp>
        <stp>.SPY250530C588</stp>
        <tr r="G19" s="2"/>
        <tr r="G19" s="2"/>
      </tp>
      <tp>
        <v>730</v>
        <stp/>
        <stp>VOLUME</stp>
        <stp>.SPY250520P599</stp>
        <tr r="BB7" s="1"/>
        <tr r="BB7" s="1"/>
      </tp>
      <tp>
        <v>630</v>
        <stp/>
        <stp>VOLUME</stp>
        <stp>.SPY250521P598</stp>
        <tr r="D9" s="2"/>
        <tr r="D9" s="2"/>
      </tp>
      <tp>
        <v>1460</v>
        <stp/>
        <stp>VOLUME</stp>
        <stp>.SPY250530P589</stp>
        <tr r="G18" s="2"/>
        <tr r="G18" s="2"/>
      </tp>
      <tp>
        <v>35706</v>
        <stp/>
        <stp>VOLUME</stp>
        <stp>.SPY250520C599</stp>
        <tr r="BA7" s="1"/>
        <tr r="BA7" s="1"/>
      </tp>
      <tp>
        <v>31428</v>
        <stp/>
        <stp>VOLUME</stp>
        <stp>.SPY250521C598</stp>
        <tr r="D9" s="2"/>
        <tr r="D9" s="2"/>
      </tp>
      <tp>
        <v>3985</v>
        <stp/>
        <stp>VOLUME</stp>
        <stp>.SPY250530C589</stp>
        <tr r="G18" s="2"/>
        <tr r="G18" s="2"/>
      </tp>
      <tp>
        <v>42553</v>
        <stp/>
        <stp>VOLUME</stp>
        <stp>.SPY250520P586</stp>
        <tr r="BB20" s="1"/>
        <tr r="BB20" s="1"/>
      </tp>
      <tp>
        <v>22022</v>
        <stp/>
        <stp>VOLUME</stp>
        <stp>.SPY250521P587</stp>
        <tr r="D20" s="2"/>
        <tr r="D20" s="2"/>
      </tp>
      <tp>
        <v>3147</v>
        <stp/>
        <stp>VOLUME</stp>
        <stp>.SPY250522P584</stp>
        <tr r="E23" s="2"/>
        <tr r="E23" s="2"/>
      </tp>
      <tp>
        <v>33731</v>
        <stp/>
        <stp>VOLUME</stp>
        <stp>.SPY250523P585</stp>
        <tr r="BD21" s="1"/>
        <tr r="BD21" s="1"/>
      </tp>
      <tp>
        <v>286</v>
        <stp/>
        <stp>VOLUME</stp>
        <stp>.SPY250530P596</stp>
        <tr r="G11" s="2"/>
        <tr r="G11" s="2"/>
      </tp>
      <tp>
        <v>1409</v>
        <stp/>
        <stp>VOLUME</stp>
        <stp>.SPY250520C586</stp>
        <tr r="BA20" s="1"/>
        <tr r="BA20" s="1"/>
      </tp>
      <tp>
        <v>1312</v>
        <stp/>
        <stp>VOLUME</stp>
        <stp>.SPY250521C587</stp>
        <tr r="D20" s="2"/>
        <tr r="D20" s="2"/>
      </tp>
      <tp>
        <v>736</v>
        <stp/>
        <stp>VOLUME</stp>
        <stp>.SPY250522C584</stp>
        <tr r="E23" s="2"/>
        <tr r="E23" s="2"/>
      </tp>
      <tp>
        <v>927</v>
        <stp/>
        <stp>VOLUME</stp>
        <stp>.SPY250523C585</stp>
        <tr r="BC21" s="1"/>
        <tr r="BC21" s="1"/>
      </tp>
      <tp>
        <v>1638</v>
        <stp/>
        <stp>VOLUME</stp>
        <stp>.SPY250530C596</stp>
        <tr r="G11" s="2"/>
        <tr r="G11" s="2"/>
      </tp>
      <tp>
        <v>64375</v>
        <stp/>
        <stp>VOLUME</stp>
        <stp>.SPY250520P587</stp>
        <tr r="BB19" s="1"/>
        <tr r="BB19" s="1"/>
      </tp>
      <tp>
        <v>14850</v>
        <stp/>
        <stp>VOLUME</stp>
        <stp>.SPY250521P586</stp>
        <tr r="D21" s="2"/>
        <tr r="D21" s="2"/>
      </tp>
      <tp>
        <v>9619</v>
        <stp/>
        <stp>VOLUME</stp>
        <stp>.SPY250522P585</stp>
        <tr r="E22" s="2"/>
        <tr r="E22" s="2"/>
      </tp>
      <tp>
        <v>3504</v>
        <stp/>
        <stp>VOLUME</stp>
        <stp>.SPY250523P584</stp>
        <tr r="BD22" s="1"/>
        <tr r="BD22" s="1"/>
      </tp>
      <tp>
        <v>172</v>
        <stp/>
        <stp>VOLUME</stp>
        <stp>.SPY250530P597</stp>
        <tr r="G10" s="2"/>
        <tr r="G10" s="2"/>
      </tp>
      <tp>
        <v>3830</v>
        <stp/>
        <stp>VOLUME</stp>
        <stp>.SPY250520C587</stp>
        <tr r="BA19" s="1"/>
        <tr r="BA19" s="1"/>
      </tp>
      <tp>
        <v>1247</v>
        <stp/>
        <stp>VOLUME</stp>
        <stp>.SPY250521C586</stp>
        <tr r="D21" s="2"/>
        <tr r="D21" s="2"/>
      </tp>
      <tp>
        <v>119</v>
        <stp/>
        <stp>VOLUME</stp>
        <stp>.SPY250522C585</stp>
        <tr r="E22" s="2"/>
        <tr r="E22" s="2"/>
      </tp>
      <tp>
        <v>1146</v>
        <stp/>
        <stp>VOLUME</stp>
        <stp>.SPY250523C584</stp>
        <tr r="BC22" s="1"/>
        <tr r="BC22" s="1"/>
      </tp>
      <tp>
        <v>1365</v>
        <stp/>
        <stp>VOLUME</stp>
        <stp>.SPY250530C597</stp>
        <tr r="G10" s="2"/>
        <tr r="G10" s="2"/>
      </tp>
      <tp>
        <v>12617</v>
        <stp/>
        <stp>VOLUME</stp>
        <stp>.SPY250520P584</stp>
        <tr r="BB22" s="1"/>
        <tr r="BB22" s="1"/>
      </tp>
      <tp>
        <v>39076</v>
        <stp/>
        <stp>VOLUME</stp>
        <stp>.SPY250521P585</stp>
        <tr r="D22" s="2"/>
        <tr r="D22" s="2"/>
      </tp>
      <tp>
        <v>2463</v>
        <stp/>
        <stp>VOLUME</stp>
        <stp>.SPY250522P586</stp>
        <tr r="E21" s="2"/>
        <tr r="E21" s="2"/>
      </tp>
      <tp>
        <v>5493</v>
        <stp/>
        <stp>VOLUME</stp>
        <stp>.SPY250523P587</stp>
        <tr r="BD19" s="1"/>
        <tr r="BD19" s="1"/>
      </tp>
      <tp>
        <v>1663</v>
        <stp/>
        <stp>VOLUME</stp>
        <stp>.SPY250530P594</stp>
        <tr r="G13" s="2"/>
        <tr r="G13" s="2"/>
      </tp>
      <tp>
        <v>843</v>
        <stp/>
        <stp>VOLUME</stp>
        <stp>.SPY250520C584</stp>
        <tr r="BA22" s="1"/>
        <tr r="BA22" s="1"/>
      </tp>
      <tp>
        <v>1843</v>
        <stp/>
        <stp>VOLUME</stp>
        <stp>.SPY250521C585</stp>
        <tr r="D22" s="2"/>
        <tr r="D22" s="2"/>
      </tp>
      <tp>
        <v>159</v>
        <stp/>
        <stp>VOLUME</stp>
        <stp>.SPY250522C586</stp>
        <tr r="E21" s="2"/>
        <tr r="E21" s="2"/>
      </tp>
      <tp>
        <v>487</v>
        <stp/>
        <stp>VOLUME</stp>
        <stp>.SPY250523C587</stp>
        <tr r="BC19" s="1"/>
        <tr r="BC19" s="1"/>
      </tp>
      <tp>
        <v>4616</v>
        <stp/>
        <stp>VOLUME</stp>
        <stp>.SPY250530C594</stp>
        <tr r="G13" s="2"/>
        <tr r="G13" s="2"/>
      </tp>
      <tp>
        <v>41405</v>
        <stp/>
        <stp>VOLUME</stp>
        <stp>.SPY250520P585</stp>
        <tr r="BB21" s="1"/>
        <tr r="BB21" s="1"/>
      </tp>
      <tp>
        <v>11973</v>
        <stp/>
        <stp>VOLUME</stp>
        <stp>.SPY250521P584</stp>
        <tr r="D23" s="2"/>
        <tr r="D23" s="2"/>
      </tp>
      <tp>
        <v>2767</v>
        <stp/>
        <stp>VOLUME</stp>
        <stp>.SPY250522P587</stp>
        <tr r="E20" s="2"/>
        <tr r="E20" s="2"/>
      </tp>
      <tp>
        <v>5315</v>
        <stp/>
        <stp>VOLUME</stp>
        <stp>.SPY250523P586</stp>
        <tr r="BD20" s="1"/>
        <tr r="BD20" s="1"/>
      </tp>
      <tp>
        <v>1513</v>
        <stp/>
        <stp>VOLUME</stp>
        <stp>.SPY250530P595</stp>
        <tr r="G12" s="2"/>
        <tr r="G12" s="2"/>
      </tp>
      <tp>
        <v>2375</v>
        <stp/>
        <stp>VOLUME</stp>
        <stp>.SPY250520C585</stp>
        <tr r="BA21" s="1"/>
        <tr r="BA21" s="1"/>
      </tp>
      <tp>
        <v>1396</v>
        <stp/>
        <stp>VOLUME</stp>
        <stp>.SPY250521C584</stp>
        <tr r="D23" s="2"/>
        <tr r="D23" s="2"/>
      </tp>
      <tp>
        <v>161</v>
        <stp/>
        <stp>VOLUME</stp>
        <stp>.SPY250522C587</stp>
        <tr r="E20" s="2"/>
        <tr r="E20" s="2"/>
      </tp>
      <tp>
        <v>151</v>
        <stp/>
        <stp>VOLUME</stp>
        <stp>.SPY250523C586</stp>
        <tr r="BC20" s="1"/>
        <tr r="BC20" s="1"/>
      </tp>
      <tp>
        <v>9593</v>
        <stp/>
        <stp>VOLUME</stp>
        <stp>.SPY250530C595</stp>
        <tr r="G12" s="2"/>
        <tr r="G12" s="2"/>
      </tp>
      <tp>
        <v>8646</v>
        <stp/>
        <stp>VOLUME</stp>
        <stp>.SPY250520P582</stp>
        <tr r="BB24" s="1"/>
        <tr r="BB24" s="1"/>
      </tp>
      <tp>
        <v>14664</v>
        <stp/>
        <stp>VOLUME</stp>
        <stp>.SPY250521P583</stp>
        <tr r="D24" s="2"/>
        <tr r="D24" s="2"/>
      </tp>
      <tp>
        <v>4889</v>
        <stp/>
        <stp>VOLUME</stp>
        <stp>.SPY250522P580</stp>
        <tr r="E27" s="2"/>
        <tr r="E27" s="2"/>
      </tp>
      <tp>
        <v>1926</v>
        <stp/>
        <stp>VOLUME</stp>
        <stp>.SPY250523P581</stp>
        <tr r="BD25" s="1"/>
        <tr r="BD25" s="1"/>
      </tp>
      <tp>
        <v>2859</v>
        <stp/>
        <stp>VOLUME</stp>
        <stp>.SPY250530P592</stp>
        <tr r="G15" s="2"/>
        <tr r="G15" s="2"/>
      </tp>
      <tp>
        <v>218</v>
        <stp/>
        <stp>VOLUME</stp>
        <stp>.SPY250520C582</stp>
        <tr r="BA24" s="1"/>
        <tr r="BA24" s="1"/>
      </tp>
      <tp>
        <v>187</v>
        <stp/>
        <stp>VOLUME</stp>
        <stp>.SPY250521C583</stp>
        <tr r="D24" s="2"/>
        <tr r="D24" s="2"/>
      </tp>
      <tp>
        <v>61</v>
        <stp/>
        <stp>VOLUME</stp>
        <stp>.SPY250522C580</stp>
        <tr r="E27" s="2"/>
        <tr r="E27" s="2"/>
      </tp>
      <tp>
        <v>57</v>
        <stp/>
        <stp>VOLUME</stp>
        <stp>.SPY250523C581</stp>
        <tr r="BC25" s="1"/>
        <tr r="BC25" s="1"/>
      </tp>
      <tp>
        <v>4407</v>
        <stp/>
        <stp>VOLUME</stp>
        <stp>.SPY250530C592</stp>
        <tr r="G15" s="2"/>
        <tr r="G15" s="2"/>
      </tp>
      <tp>
        <v>10124</v>
        <stp/>
        <stp>VOLUME</stp>
        <stp>.SPY250520P583</stp>
        <tr r="BB23" s="1"/>
        <tr r="BB23" s="1"/>
      </tp>
      <tp>
        <v>7977</v>
        <stp/>
        <stp>VOLUME</stp>
        <stp>.SPY250521P582</stp>
        <tr r="D25" s="2"/>
        <tr r="D25" s="2"/>
      </tp>
      <tp>
        <v>1887</v>
        <stp/>
        <stp>VOLUME</stp>
        <stp>.SPY250522P581</stp>
        <tr r="E26" s="2"/>
        <tr r="E26" s="2"/>
      </tp>
      <tp>
        <v>26414</v>
        <stp/>
        <stp>VOLUME</stp>
        <stp>.SPY250523P580</stp>
        <tr r="BD26" s="1"/>
        <tr r="BD26" s="1"/>
      </tp>
      <tp>
        <v>4220</v>
        <stp/>
        <stp>VOLUME</stp>
        <stp>.SPY250530P593</stp>
        <tr r="G14" s="2"/>
        <tr r="G14" s="2"/>
      </tp>
      <tp>
        <v>537</v>
        <stp/>
        <stp>VOLUME</stp>
        <stp>.SPY250520C583</stp>
        <tr r="BA23" s="1"/>
        <tr r="BA23" s="1"/>
      </tp>
      <tp>
        <v>120</v>
        <stp/>
        <stp>VOLUME</stp>
        <stp>.SPY250521C582</stp>
        <tr r="D25" s="2"/>
        <tr r="D25" s="2"/>
      </tp>
      <tp>
        <v>126</v>
        <stp/>
        <stp>VOLUME</stp>
        <stp>.SPY250522C581</stp>
        <tr r="E26" s="2"/>
        <tr r="E26" s="2"/>
      </tp>
      <tp>
        <v>396</v>
        <stp/>
        <stp>VOLUME</stp>
        <stp>.SPY250523C580</stp>
        <tr r="BC26" s="1"/>
        <tr r="BC26" s="1"/>
      </tp>
      <tp>
        <v>5040</v>
        <stp/>
        <stp>VOLUME</stp>
        <stp>.SPY250530C593</stp>
        <tr r="G14" s="2"/>
        <tr r="G14" s="2"/>
      </tp>
      <tp>
        <v>9863</v>
        <stp/>
        <stp>VOLUME</stp>
        <stp>.SPY250520P580</stp>
        <tr r="BB26" s="1"/>
        <tr r="BB26" s="1"/>
      </tp>
      <tp>
        <v>5405</v>
        <stp/>
        <stp>VOLUME</stp>
        <stp>.SPY250521P581</stp>
        <tr r="D26" s="2"/>
        <tr r="D26" s="2"/>
      </tp>
      <tp>
        <v>2198</v>
        <stp/>
        <stp>VOLUME</stp>
        <stp>.SPY250522P582</stp>
        <tr r="E25" s="2"/>
        <tr r="E25" s="2"/>
      </tp>
      <tp>
        <v>4740</v>
        <stp/>
        <stp>VOLUME</stp>
        <stp>.SPY250523P583</stp>
        <tr r="BD23" s="1"/>
        <tr r="BD23" s="1"/>
      </tp>
      <tp>
        <v>13090</v>
        <stp/>
        <stp>VOLUME</stp>
        <stp>.SPY250530P590</stp>
        <tr r="G17" s="2"/>
        <tr r="G17" s="2"/>
      </tp>
      <tp>
        <v>262</v>
        <stp/>
        <stp>VOLUME</stp>
        <stp>.SPY250520C580</stp>
        <tr r="BA26" s="1"/>
        <tr r="BA26" s="1"/>
      </tp>
      <tp>
        <v>182</v>
        <stp/>
        <stp>VOLUME</stp>
        <stp>.SPY250521C581</stp>
        <tr r="D26" s="2"/>
        <tr r="D26" s="2"/>
      </tp>
      <tp>
        <v>50</v>
        <stp/>
        <stp>VOLUME</stp>
        <stp>.SPY250522C582</stp>
        <tr r="E25" s="2"/>
        <tr r="E25" s="2"/>
      </tp>
      <tp>
        <v>106</v>
        <stp/>
        <stp>VOLUME</stp>
        <stp>.SPY250523C583</stp>
        <tr r="BC23" s="1"/>
        <tr r="BC23" s="1"/>
      </tp>
      <tp>
        <v>5872</v>
        <stp/>
        <stp>VOLUME</stp>
        <stp>.SPY250530C590</stp>
        <tr r="G17" s="2"/>
        <tr r="G17" s="2"/>
      </tp>
      <tp>
        <v>6394</v>
        <stp/>
        <stp>VOLUME</stp>
        <stp>.SPY250520P581</stp>
        <tr r="BB25" s="1"/>
        <tr r="BB25" s="1"/>
      </tp>
      <tp>
        <v>17049</v>
        <stp/>
        <stp>VOLUME</stp>
        <stp>.SPY250521P580</stp>
        <tr r="D27" s="2"/>
        <tr r="D27" s="2"/>
      </tp>
      <tp>
        <v>2084</v>
        <stp/>
        <stp>VOLUME</stp>
        <stp>.SPY250522P583</stp>
        <tr r="E24" s="2"/>
        <tr r="E24" s="2"/>
      </tp>
      <tp>
        <v>2649</v>
        <stp/>
        <stp>VOLUME</stp>
        <stp>.SPY250523P582</stp>
        <tr r="BD24" s="1"/>
        <tr r="BD24" s="1"/>
      </tp>
      <tp>
        <v>1132</v>
        <stp/>
        <stp>VOLUME</stp>
        <stp>.SPY250530P591</stp>
        <tr r="G16" s="2"/>
        <tr r="G16" s="2"/>
      </tp>
      <tp>
        <v>120</v>
        <stp/>
        <stp>VOLUME</stp>
        <stp>.SPY250520C581</stp>
        <tr r="BA25" s="1"/>
        <tr r="BA25" s="1"/>
      </tp>
      <tp>
        <v>625</v>
        <stp/>
        <stp>VOLUME</stp>
        <stp>.SPY250521C580</stp>
        <tr r="D27" s="2"/>
        <tr r="D27" s="2"/>
      </tp>
      <tp>
        <v>47</v>
        <stp/>
        <stp>VOLUME</stp>
        <stp>.SPY250522C583</stp>
        <tr r="E24" s="2"/>
        <tr r="E24" s="2"/>
      </tp>
      <tp>
        <v>108</v>
        <stp/>
        <stp>VOLUME</stp>
        <stp>.SPY250523C582</stp>
        <tr r="BC24" s="1"/>
        <tr r="BC24" s="1"/>
      </tp>
      <tp>
        <v>1590</v>
        <stp/>
        <stp>VOLUME</stp>
        <stp>.SPY250530C591</stp>
        <tr r="G16" s="2"/>
        <tr r="G16" s="2"/>
      </tp>
      <tp>
        <v>5818</v>
        <stp/>
        <stp>VOLUME</stp>
        <stp>.SPY250522P588</stp>
        <tr r="E19" s="2"/>
        <tr r="E19" s="2"/>
      </tp>
      <tp>
        <v>12940</v>
        <stp/>
        <stp>VOLUME</stp>
        <stp>.SPY250523P589</stp>
        <tr r="BD17" s="1"/>
        <tr r="BD17" s="1"/>
      </tp>
      <tp>
        <v>393</v>
        <stp/>
        <stp>VOLUME</stp>
        <stp>.SPY250522C588</stp>
        <tr r="E19" s="2"/>
        <tr r="E19" s="2"/>
      </tp>
      <tp>
        <v>6076</v>
        <stp/>
        <stp>VOLUME</stp>
        <stp>.SPY250523C589</stp>
        <tr r="BC17" s="1"/>
        <tr r="BC17" s="1"/>
      </tp>
      <tp>
        <v>2819</v>
        <stp/>
        <stp>VOLUME</stp>
        <stp>.SPY250522P589</stp>
        <tr r="E18" s="2"/>
        <tr r="E18" s="2"/>
      </tp>
      <tp>
        <v>8523</v>
        <stp/>
        <stp>VOLUME</stp>
        <stp>.SPY250523P588</stp>
        <tr r="BD18" s="1"/>
        <tr r="BD18" s="1"/>
      </tp>
      <tp>
        <v>1057</v>
        <stp/>
        <stp>VOLUME</stp>
        <stp>.SPY250522C589</stp>
        <tr r="E18" s="2"/>
        <tr r="E18" s="2"/>
      </tp>
      <tp>
        <v>1998</v>
        <stp/>
        <stp>VOLUME</stp>
        <stp>.SPY250523C588</stp>
        <tr r="BC18" s="1"/>
        <tr r="BC18" s="1"/>
      </tp>
      <tp>
        <v>126283</v>
        <stp/>
        <stp>VOLUME</stp>
        <stp>.SPY250520P588</stp>
        <tr r="BB18" s="1"/>
        <tr r="BB18" s="1"/>
      </tp>
      <tp>
        <v>36911</v>
        <stp/>
        <stp>VOLUME</stp>
        <stp>.SPY250521P589</stp>
        <tr r="D18" s="2"/>
        <tr r="D18" s="2"/>
      </tp>
      <tp>
        <v>94</v>
        <stp/>
        <stp>VOLUME</stp>
        <stp>.SPY250530P598</stp>
        <tr r="G9" s="2"/>
        <tr r="G9" s="2"/>
      </tp>
      <tp>
        <v>7335</v>
        <stp/>
        <stp>VOLUME</stp>
        <stp>.SPY250520C588</stp>
        <tr r="BA18" s="1"/>
        <tr r="BA18" s="1"/>
      </tp>
      <tp>
        <v>8057</v>
        <stp/>
        <stp>VOLUME</stp>
        <stp>.SPY250521C589</stp>
        <tr r="D18" s="2"/>
        <tr r="D18" s="2"/>
      </tp>
      <tp>
        <v>1623</v>
        <stp/>
        <stp>VOLUME</stp>
        <stp>.SPY250530C598</stp>
        <tr r="G9" s="2"/>
        <tr r="G9" s="2"/>
      </tp>
      <tp>
        <v>182482</v>
        <stp/>
        <stp>VOLUME</stp>
        <stp>.SPY250520P589</stp>
        <tr r="BB17" s="1"/>
        <tr r="BB17" s="1"/>
      </tp>
      <tp>
        <v>43222</v>
        <stp/>
        <stp>VOLUME</stp>
        <stp>.SPY250521P588</stp>
        <tr r="D19" s="2"/>
        <tr r="D19" s="2"/>
      </tp>
      <tp>
        <v>340</v>
        <stp/>
        <stp>VOLUME</stp>
        <stp>.SPY250530P599</stp>
        <tr r="G8" s="2"/>
        <tr r="G8" s="2"/>
      </tp>
      <tp>
        <v>12911</v>
        <stp/>
        <stp>VOLUME</stp>
        <stp>.SPY250520C589</stp>
        <tr r="BA17" s="1"/>
        <tr r="BA17" s="1"/>
      </tp>
      <tp>
        <v>2289</v>
        <stp/>
        <stp>VOLUME</stp>
        <stp>.SPY250521C588</stp>
        <tr r="D19" s="2"/>
        <tr r="D19" s="2"/>
      </tp>
      <tp>
        <v>969</v>
        <stp/>
        <stp>VOLUME</stp>
        <stp>.SPY250530C599</stp>
        <tr r="G8" s="2"/>
        <tr r="G8" s="2"/>
      </tp>
      <tp t="s">
        <v>N/A</v>
        <stp/>
        <stp>VOLUME</stp>
        <stp>.SPY250613P601</stp>
        <tr r="I6" s="2"/>
      </tp>
      <tp>
        <v>351</v>
        <stp/>
        <stp>VOLUME</stp>
        <stp>.SPY250613C601</stp>
        <tr r="I6" s="2"/>
        <tr r="I6" s="2"/>
      </tp>
      <tp>
        <v>47</v>
        <stp/>
        <stp>VOLUME</stp>
        <stp>.SPY250613P600</stp>
        <tr r="I7" s="2"/>
        <tr r="I7" s="2"/>
      </tp>
      <tp>
        <v>1693</v>
        <stp/>
        <stp>VOLUME</stp>
        <stp>.SPY250613C600</stp>
        <tr r="I7" s="2"/>
        <tr r="I7" s="2"/>
      </tp>
      <tp t="s">
        <v>N/A</v>
        <stp/>
        <stp>VOLUME</stp>
        <stp>.SPY250613P602</stp>
        <tr r="I5" s="2"/>
      </tp>
      <tp t="s">
        <v>N/A</v>
        <stp/>
        <stp>VOLUME</stp>
        <stp>.SPY250613C602</stp>
        <tr r="I5" s="2"/>
      </tp>
      <tp>
        <v>115</v>
        <stp/>
        <stp>VOLUME</stp>
        <stp>.SPY250606P600</stp>
        <tr r="H7" s="2"/>
        <tr r="H7" s="2"/>
      </tp>
      <tp>
        <v>2939</v>
        <stp/>
        <stp>VOLUME</stp>
        <stp>.SPY250606C600</stp>
        <tr r="H7" s="2"/>
        <tr r="H7" s="2"/>
      </tp>
      <tp t="s">
        <v>N/A</v>
        <stp/>
        <stp>VOLUME</stp>
        <stp>.SPY250606P601</stp>
        <tr r="H6" s="2"/>
      </tp>
      <tp>
        <v>235</v>
        <stp/>
        <stp>VOLUME</stp>
        <stp>.SPY250606C601</stp>
        <tr r="H6" s="2"/>
        <tr r="H6" s="2"/>
      </tp>
      <tp>
        <v>4</v>
        <stp/>
        <stp>VOLUME</stp>
        <stp>.SPY250606P602</stp>
        <tr r="H5" s="2"/>
        <tr r="H5" s="2"/>
      </tp>
      <tp>
        <v>128</v>
        <stp/>
        <stp>VOLUME</stp>
        <stp>.SPY250606C602</stp>
        <tr r="H5" s="2"/>
        <tr r="H5" s="2"/>
      </tp>
      <tp t="s">
        <v>N/A</v>
        <stp/>
        <stp>VOLUME</stp>
        <stp>.SPY250630P602</stp>
        <tr r="L5" s="2"/>
      </tp>
      <tp>
        <v>107</v>
        <stp/>
        <stp>VOLUME</stp>
        <stp>.SPY250630C602</stp>
        <tr r="L5" s="2"/>
        <tr r="L5" s="2"/>
      </tp>
      <tp>
        <v>260</v>
        <stp/>
        <stp>VOLUME</stp>
        <stp>.SPY250630P600</stp>
        <tr r="L7" s="2"/>
        <tr r="L7" s="2"/>
      </tp>
      <tp>
        <v>1099</v>
        <stp/>
        <stp>VOLUME</stp>
        <stp>.SPY250630C600</stp>
        <tr r="L7" s="2"/>
        <tr r="L7" s="2"/>
      </tp>
      <tp>
        <v>1</v>
        <stp/>
        <stp>VOLUME</stp>
        <stp>.SPY250630P601</stp>
        <tr r="L6" s="2"/>
        <tr r="L6" s="2"/>
      </tp>
      <tp>
        <v>87</v>
        <stp/>
        <stp>VOLUME</stp>
        <stp>.SPY250630C601</stp>
        <tr r="L6" s="2"/>
        <tr r="L6" s="2"/>
      </tp>
      <tp t="s">
        <v>N/A</v>
        <stp/>
        <stp>VOLUME</stp>
        <stp>.SPY250627P601</stp>
        <tr r="K6" s="2"/>
      </tp>
      <tp>
        <v>43</v>
        <stp/>
        <stp>VOLUME</stp>
        <stp>.SPY250627C601</stp>
        <tr r="K6" s="2"/>
        <tr r="K6" s="2"/>
      </tp>
      <tp>
        <v>1</v>
        <stp/>
        <stp>VOLUME</stp>
        <stp>.SPY250627P600</stp>
        <tr r="K7" s="2"/>
        <tr r="K7" s="2"/>
      </tp>
      <tp>
        <v>153</v>
        <stp/>
        <stp>VOLUME</stp>
        <stp>.SPY250627C600</stp>
        <tr r="K7" s="2"/>
        <tr r="K7" s="2"/>
      </tp>
      <tp t="s">
        <v>N/A</v>
        <stp/>
        <stp>VOLUME</stp>
        <stp>.SPY250627P602</stp>
        <tr r="K5" s="2"/>
      </tp>
      <tp t="s">
        <v>N/A</v>
        <stp/>
        <stp>VOLUME</stp>
        <stp>.SPY250627C602</stp>
        <tr r="K5" s="2"/>
      </tp>
      <tp>
        <v>63</v>
        <stp/>
        <stp>VOLUME</stp>
        <stp>.SPY250620P602</stp>
        <tr r="BF4" s="1"/>
        <tr r="BF4" s="1"/>
      </tp>
      <tp>
        <v>476</v>
        <stp/>
        <stp>VOLUME</stp>
        <stp>.SPY250620C602</stp>
        <tr r="BE4" s="1"/>
        <tr r="BE4" s="1"/>
      </tp>
      <tp>
        <v>1301</v>
        <stp/>
        <stp>VOLUME</stp>
        <stp>.SPY250620P600</stp>
        <tr r="BF6" s="1"/>
        <tr r="BF6" s="1"/>
      </tp>
      <tp>
        <v>6247</v>
        <stp/>
        <stp>VOLUME</stp>
        <stp>.SPY250620C600</stp>
        <tr r="BE6" s="1"/>
        <tr r="BE6" s="1"/>
      </tp>
      <tp>
        <v>158</v>
        <stp/>
        <stp>VOLUME</stp>
        <stp>.SPY250620P601</stp>
        <tr r="BF5" s="1"/>
        <tr r="BF5" s="1"/>
      </tp>
      <tp>
        <v>246</v>
        <stp/>
        <stp>VOLUME</stp>
        <stp>.SPY250620C601</stp>
        <tr r="BE5" s="1"/>
        <tr r="BE5" s="1"/>
      </tp>
      <tp>
        <v>549</v>
        <stp/>
        <stp>VOLUME</stp>
        <stp>.SPY250520P576</stp>
        <tr r="BB30" s="1"/>
        <tr r="BB30" s="1"/>
      </tp>
      <tp>
        <v>2982</v>
        <stp/>
        <stp>VOLUME</stp>
        <stp>.SPY250521P577</stp>
        <tr r="D30" s="2"/>
        <tr r="D30" s="2"/>
      </tp>
      <tp>
        <v>258</v>
        <stp/>
        <stp>VOLUME</stp>
        <stp>.SPY250522P574</stp>
        <tr r="E33" s="2"/>
        <tr r="E33" s="2"/>
      </tp>
      <tp>
        <v>6418</v>
        <stp/>
        <stp>VOLUME</stp>
        <stp>.SPY250523P575</stp>
        <tr r="BD31" s="1"/>
        <tr r="BD31" s="1"/>
      </tp>
      <tp>
        <v>57</v>
        <stp/>
        <stp>VOLUME</stp>
        <stp>.SPY250520C576</stp>
        <tr r="BA30" s="1"/>
        <tr r="BA30" s="1"/>
      </tp>
      <tp>
        <v>177</v>
        <stp/>
        <stp>VOLUME</stp>
        <stp>.SPY250521C577</stp>
        <tr r="D30" s="2"/>
        <tr r="D30" s="2"/>
      </tp>
      <tp>
        <v>11</v>
        <stp/>
        <stp>VOLUME</stp>
        <stp>.SPY250522C574</stp>
        <tr r="E33" s="2"/>
        <tr r="E33" s="2"/>
      </tp>
      <tp>
        <v>248</v>
        <stp/>
        <stp>VOLUME</stp>
        <stp>.SPY250523C575</stp>
        <tr r="BC31" s="1"/>
        <tr r="BC31" s="1"/>
      </tp>
      <tp>
        <v>1626</v>
        <stp/>
        <stp>VOLUME</stp>
        <stp>.SPY250520P577</stp>
        <tr r="BB29" s="1"/>
        <tr r="BB29" s="1"/>
      </tp>
      <tp>
        <v>2723</v>
        <stp/>
        <stp>VOLUME</stp>
        <stp>.SPY250521P576</stp>
        <tr r="D31" s="2"/>
        <tr r="D31" s="2"/>
      </tp>
      <tp>
        <v>2604</v>
        <stp/>
        <stp>VOLUME</stp>
        <stp>.SPY250522P575</stp>
        <tr r="E32" s="2"/>
        <tr r="E32" s="2"/>
      </tp>
      <tp>
        <v>1548</v>
        <stp/>
        <stp>VOLUME</stp>
        <stp>.SPY250523P574</stp>
        <tr r="BD32" s="1"/>
        <tr r="BD32" s="1"/>
      </tp>
      <tp>
        <v>32</v>
        <stp/>
        <stp>VOLUME</stp>
        <stp>.SPY250520C577</stp>
        <tr r="BA29" s="1"/>
        <tr r="BA29" s="1"/>
      </tp>
      <tp>
        <v>25</v>
        <stp/>
        <stp>VOLUME</stp>
        <stp>.SPY250521C576</stp>
        <tr r="D31" s="2"/>
        <tr r="D31" s="2"/>
      </tp>
      <tp>
        <v>69</v>
        <stp/>
        <stp>VOLUME</stp>
        <stp>.SPY250522C575</stp>
        <tr r="E32" s="2"/>
        <tr r="E32" s="2"/>
      </tp>
      <tp>
        <v>44</v>
        <stp/>
        <stp>VOLUME</stp>
        <stp>.SPY250523C574</stp>
        <tr r="BC32" s="1"/>
        <tr r="BC32" s="1"/>
      </tp>
      <tp>
        <v>711</v>
        <stp/>
        <stp>VOLUME</stp>
        <stp>.SPY250520P574</stp>
        <tr r="BB32" s="1"/>
        <tr r="BB32" s="1"/>
      </tp>
      <tp>
        <v>3880</v>
        <stp/>
        <stp>VOLUME</stp>
        <stp>.SPY250521P575</stp>
        <tr r="D32" s="2"/>
        <tr r="D32" s="2"/>
      </tp>
      <tp>
        <v>2116</v>
        <stp/>
        <stp>VOLUME</stp>
        <stp>.SPY250522P576</stp>
        <tr r="E31" s="2"/>
        <tr r="E31" s="2"/>
      </tp>
      <tp>
        <v>2302</v>
        <stp/>
        <stp>VOLUME</stp>
        <stp>.SPY250523P577</stp>
        <tr r="BD29" s="1"/>
        <tr r="BD29" s="1"/>
      </tp>
      <tp>
        <v>37</v>
        <stp/>
        <stp>VOLUME</stp>
        <stp>.SPY250520C574</stp>
        <tr r="BA32" s="1"/>
        <tr r="BA32" s="1"/>
      </tp>
      <tp>
        <v>77</v>
        <stp/>
        <stp>VOLUME</stp>
        <stp>.SPY250521C575</stp>
        <tr r="D32" s="2"/>
        <tr r="D32" s="2"/>
      </tp>
      <tp>
        <v>6</v>
        <stp/>
        <stp>VOLUME</stp>
        <stp>.SPY250522C576</stp>
        <tr r="E31" s="2"/>
        <tr r="E31" s="2"/>
      </tp>
      <tp>
        <v>41</v>
        <stp/>
        <stp>VOLUME</stp>
        <stp>.SPY250523C577</stp>
        <tr r="BC29" s="1"/>
        <tr r="BC29" s="1"/>
      </tp>
      <tp>
        <v>551</v>
        <stp/>
        <stp>VOLUME</stp>
        <stp>.SPY250520P575</stp>
        <tr r="BB31" s="1"/>
        <tr r="BB31" s="1"/>
      </tp>
      <tp>
        <v>969</v>
        <stp/>
        <stp>VOLUME</stp>
        <stp>.SPY250521P574</stp>
        <tr r="D33" s="2"/>
        <tr r="D33" s="2"/>
      </tp>
      <tp>
        <v>2347</v>
        <stp/>
        <stp>VOLUME</stp>
        <stp>.SPY250522P577</stp>
        <tr r="E30" s="2"/>
        <tr r="E30" s="2"/>
      </tp>
      <tp>
        <v>2712</v>
        <stp/>
        <stp>VOLUME</stp>
        <stp>.SPY250523P576</stp>
        <tr r="BD30" s="1"/>
        <tr r="BD30" s="1"/>
      </tp>
      <tp>
        <v>209</v>
        <stp/>
        <stp>VOLUME</stp>
        <stp>.SPY250520C575</stp>
        <tr r="BA31" s="1"/>
        <tr r="BA31" s="1"/>
      </tp>
      <tp>
        <v>38</v>
        <stp/>
        <stp>VOLUME</stp>
        <stp>.SPY250521C574</stp>
        <tr r="D33" s="2"/>
        <tr r="D33" s="2"/>
      </tp>
      <tp>
        <v>77</v>
        <stp/>
        <stp>VOLUME</stp>
        <stp>.SPY250522C577</stp>
        <tr r="E30" s="2"/>
        <tr r="E30" s="2"/>
      </tp>
      <tp>
        <v>16</v>
        <stp/>
        <stp>VOLUME</stp>
        <stp>.SPY250523C576</stp>
        <tr r="BC30" s="1"/>
        <tr r="BC30" s="1"/>
      </tp>
      <tp>
        <v>4536</v>
        <stp/>
        <stp>VOLUME</stp>
        <stp>.SPY250520P572</stp>
        <tr r="BB34" s="1"/>
        <tr r="BB34" s="1"/>
      </tp>
      <tp>
        <v>991</v>
        <stp/>
        <stp>VOLUME</stp>
        <stp>.SPY250521P573</stp>
        <tr r="D34" s="2"/>
        <tr r="D34" s="2"/>
      </tp>
      <tp>
        <v>1114</v>
        <stp/>
        <stp>VOLUME</stp>
        <stp>.SPY250522P570</stp>
        <tr r="E37" s="2"/>
        <tr r="E37" s="2"/>
      </tp>
      <tp>
        <v>682</v>
        <stp/>
        <stp>VOLUME</stp>
        <stp>.SPY250523P571</stp>
        <tr r="BD35" s="1"/>
        <tr r="BD35" s="1"/>
      </tp>
      <tp>
        <v>6</v>
        <stp/>
        <stp>VOLUME</stp>
        <stp>.SPY250520C572</stp>
        <tr r="BA34" s="1"/>
        <tr r="BA34" s="1"/>
      </tp>
      <tp>
        <v>16</v>
        <stp/>
        <stp>VOLUME</stp>
        <stp>.SPY250521C573</stp>
        <tr r="D34" s="2"/>
        <tr r="D34" s="2"/>
      </tp>
      <tp>
        <v>34</v>
        <stp/>
        <stp>VOLUME</stp>
        <stp>.SPY250522C570</stp>
        <tr r="E37" s="2"/>
        <tr r="E37" s="2"/>
      </tp>
      <tp>
        <v>62</v>
        <stp/>
        <stp>VOLUME</stp>
        <stp>.SPY250523C571</stp>
        <tr r="BC35" s="1"/>
        <tr r="BC35" s="1"/>
      </tp>
      <tp>
        <v>1285</v>
        <stp/>
        <stp>VOLUME</stp>
        <stp>.SPY250520P573</stp>
        <tr r="BB33" s="1"/>
        <tr r="BB33" s="1"/>
      </tp>
      <tp>
        <v>1334</v>
        <stp/>
        <stp>VOLUME</stp>
        <stp>.SPY250521P572</stp>
        <tr r="D35" s="2"/>
        <tr r="D35" s="2"/>
      </tp>
      <tp>
        <v>352</v>
        <stp/>
        <stp>VOLUME</stp>
        <stp>.SPY250522P571</stp>
        <tr r="E36" s="2"/>
        <tr r="E36" s="2"/>
      </tp>
      <tp>
        <v>7647</v>
        <stp/>
        <stp>VOLUME</stp>
        <stp>.SPY250523P570</stp>
        <tr r="BD36" s="1"/>
        <tr r="BD36" s="1"/>
      </tp>
      <tp>
        <v>12</v>
        <stp/>
        <stp>VOLUME</stp>
        <stp>.SPY250520C573</stp>
        <tr r="BA33" s="1"/>
        <tr r="BA33" s="1"/>
      </tp>
      <tp>
        <v>3</v>
        <stp/>
        <stp>VOLUME</stp>
        <stp>.SPY250521C572</stp>
        <tr r="D35" s="2"/>
        <tr r="D35" s="2"/>
      </tp>
      <tp>
        <v>20</v>
        <stp/>
        <stp>VOLUME</stp>
        <stp>.SPY250522C571</stp>
        <tr r="E36" s="2"/>
        <tr r="E36" s="2"/>
      </tp>
      <tp>
        <v>130</v>
        <stp/>
        <stp>VOLUME</stp>
        <stp>.SPY250523C570</stp>
        <tr r="BC36" s="1"/>
        <tr r="BC36" s="1"/>
      </tp>
      <tp>
        <v>7020</v>
        <stp/>
        <stp>VOLUME</stp>
        <stp>.SPY250520P570</stp>
        <tr r="BB36" s="1"/>
        <tr r="BB36" s="1"/>
      </tp>
      <tp>
        <v>919</v>
        <stp/>
        <stp>VOLUME</stp>
        <stp>.SPY250521P571</stp>
        <tr r="D36" s="2"/>
        <tr r="D36" s="2"/>
      </tp>
      <tp>
        <v>788</v>
        <stp/>
        <stp>VOLUME</stp>
        <stp>.SPY250522P572</stp>
        <tr r="E35" s="2"/>
        <tr r="E35" s="2"/>
      </tp>
      <tp>
        <v>1229</v>
        <stp/>
        <stp>VOLUME</stp>
        <stp>.SPY250523P573</stp>
        <tr r="BD33" s="1"/>
        <tr r="BD33" s="1"/>
      </tp>
      <tp>
        <v>34</v>
        <stp/>
        <stp>VOLUME</stp>
        <stp>.SPY250520C570</stp>
        <tr r="BA36" s="1"/>
        <tr r="BA36" s="1"/>
      </tp>
      <tp>
        <v>21</v>
        <stp/>
        <stp>VOLUME</stp>
        <stp>.SPY250521C571</stp>
        <tr r="D36" s="2"/>
        <tr r="D36" s="2"/>
      </tp>
      <tp>
        <v>4</v>
        <stp/>
        <stp>VOLUME</stp>
        <stp>.SPY250522C572</stp>
        <tr r="E35" s="2"/>
        <tr r="E35" s="2"/>
      </tp>
      <tp>
        <v>53</v>
        <stp/>
        <stp>VOLUME</stp>
        <stp>.SPY250523C573</stp>
        <tr r="BC33" s="1"/>
        <tr r="BC33" s="1"/>
      </tp>
      <tp>
        <v>272</v>
        <stp/>
        <stp>VOLUME</stp>
        <stp>.SPY250520P571</stp>
        <tr r="BB35" s="1"/>
        <tr r="BB35" s="1"/>
      </tp>
      <tp>
        <v>695</v>
        <stp/>
        <stp>VOLUME</stp>
        <stp>.SPY250521P570</stp>
        <tr r="D37" s="2"/>
        <tr r="D37" s="2"/>
      </tp>
      <tp>
        <v>940</v>
        <stp/>
        <stp>VOLUME</stp>
        <stp>.SPY250522P573</stp>
        <tr r="E34" s="2"/>
        <tr r="E34" s="2"/>
      </tp>
      <tp>
        <v>726</v>
        <stp/>
        <stp>VOLUME</stp>
        <stp>.SPY250523P572</stp>
        <tr r="BD34" s="1"/>
        <tr r="BD34" s="1"/>
      </tp>
      <tp>
        <v>23</v>
        <stp/>
        <stp>VOLUME</stp>
        <stp>.SPY250520C571</stp>
        <tr r="BA35" s="1"/>
        <tr r="BA35" s="1"/>
      </tp>
      <tp>
        <v>79</v>
        <stp/>
        <stp>VOLUME</stp>
        <stp>.SPY250521C570</stp>
        <tr r="D37" s="2"/>
        <tr r="D37" s="2"/>
      </tp>
      <tp>
        <v>1</v>
        <stp/>
        <stp>VOLUME</stp>
        <stp>.SPY250522C573</stp>
        <tr r="E34" s="2"/>
        <tr r="E34" s="2"/>
      </tp>
      <tp>
        <v>21</v>
        <stp/>
        <stp>VOLUME</stp>
        <stp>.SPY250523C572</stp>
        <tr r="BC34" s="1"/>
        <tr r="BC34" s="1"/>
      </tp>
      <tp>
        <v>1269</v>
        <stp/>
        <stp>VOLUME</stp>
        <stp>.SPY250522P578</stp>
        <tr r="E29" s="2"/>
        <tr r="E29" s="2"/>
      </tp>
      <tp>
        <v>2274</v>
        <stp/>
        <stp>VOLUME</stp>
        <stp>.SPY250523P579</stp>
        <tr r="BD27" s="1"/>
        <tr r="BD27" s="1"/>
      </tp>
      <tp>
        <v>4</v>
        <stp/>
        <stp>VOLUME</stp>
        <stp>.SPY250522C578</stp>
        <tr r="E29" s="2"/>
        <tr r="E29" s="2"/>
      </tp>
      <tp>
        <v>17</v>
        <stp/>
        <stp>VOLUME</stp>
        <stp>.SPY250523C579</stp>
        <tr r="BC27" s="1"/>
        <tr r="BC27" s="1"/>
      </tp>
      <tp>
        <v>1915</v>
        <stp/>
        <stp>VOLUME</stp>
        <stp>.SPY250522P579</stp>
        <tr r="E28" s="2"/>
        <tr r="E28" s="2"/>
      </tp>
      <tp>
        <v>2120</v>
        <stp/>
        <stp>VOLUME</stp>
        <stp>.SPY250523P578</stp>
        <tr r="BD28" s="1"/>
        <tr r="BD28" s="1"/>
      </tp>
      <tp>
        <v>7</v>
        <stp/>
        <stp>VOLUME</stp>
        <stp>.SPY250522C579</stp>
        <tr r="E28" s="2"/>
        <tr r="E28" s="2"/>
      </tp>
      <tp>
        <v>53</v>
        <stp/>
        <stp>VOLUME</stp>
        <stp>.SPY250523C578</stp>
        <tr r="BC28" s="1"/>
        <tr r="BC28" s="1"/>
      </tp>
      <tp>
        <v>4828</v>
        <stp/>
        <stp>VOLUME</stp>
        <stp>.SPY250520P578</stp>
        <tr r="BB28" s="1"/>
        <tr r="BB28" s="1"/>
      </tp>
      <tp>
        <v>3351</v>
        <stp/>
        <stp>VOLUME</stp>
        <stp>.SPY250521P579</stp>
        <tr r="D28" s="2"/>
        <tr r="D28" s="2"/>
      </tp>
      <tp>
        <v>4179</v>
        <stp/>
        <stp>VOLUME</stp>
        <stp>.SPY250530P568</stp>
        <tr r="G39" s="2"/>
        <tr r="G39" s="2"/>
      </tp>
      <tp>
        <v>40</v>
        <stp/>
        <stp>VOLUME</stp>
        <stp>.SPY250520C578</stp>
        <tr r="BA28" s="1"/>
        <tr r="BA28" s="1"/>
      </tp>
      <tp>
        <v>44</v>
        <stp/>
        <stp>VOLUME</stp>
        <stp>.SPY250521C579</stp>
        <tr r="D28" s="2"/>
        <tr r="D28" s="2"/>
      </tp>
      <tp>
        <v>5</v>
        <stp/>
        <stp>VOLUME</stp>
        <stp>.SPY250530C568</stp>
        <tr r="G39" s="2"/>
        <tr r="G39" s="2"/>
      </tp>
      <tp>
        <v>6565</v>
        <stp/>
        <stp>VOLUME</stp>
        <stp>.SPY250520P579</stp>
        <tr r="BB27" s="1"/>
        <tr r="BB27" s="1"/>
      </tp>
      <tp>
        <v>6752</v>
        <stp/>
        <stp>VOLUME</stp>
        <stp>.SPY250521P578</stp>
        <tr r="D29" s="2"/>
        <tr r="D29" s="2"/>
      </tp>
      <tp>
        <v>945</v>
        <stp/>
        <stp>VOLUME</stp>
        <stp>.SPY250530P569</stp>
        <tr r="G38" s="2"/>
        <tr r="G38" s="2"/>
      </tp>
      <tp>
        <v>89</v>
        <stp/>
        <stp>VOLUME</stp>
        <stp>.SPY250520C579</stp>
        <tr r="BA27" s="1"/>
        <tr r="BA27" s="1"/>
      </tp>
      <tp>
        <v>61</v>
        <stp/>
        <stp>VOLUME</stp>
        <stp>.SPY250521C578</stp>
        <tr r="D29" s="2"/>
        <tr r="D29" s="2"/>
      </tp>
      <tp>
        <v>4</v>
        <stp/>
        <stp>VOLUME</stp>
        <stp>.SPY250530C569</stp>
        <tr r="G38" s="2"/>
        <tr r="G38" s="2"/>
      </tp>
      <tp>
        <v>368</v>
        <stp/>
        <stp>VOLUME</stp>
        <stp>.SPY250530P576</stp>
        <tr r="G31" s="2"/>
        <tr r="G31" s="2"/>
      </tp>
      <tp>
        <v>7</v>
        <stp/>
        <stp>VOLUME</stp>
        <stp>.SPY250530C576</stp>
        <tr r="G31" s="2"/>
        <tr r="G31" s="2"/>
      </tp>
      <tp>
        <v>1144</v>
        <stp/>
        <stp>VOLUME</stp>
        <stp>.SPY250530P577</stp>
        <tr r="G30" s="2"/>
        <tr r="G30" s="2"/>
      </tp>
      <tp>
        <v>20</v>
        <stp/>
        <stp>VOLUME</stp>
        <stp>.SPY250530C577</stp>
        <tr r="G30" s="2"/>
        <tr r="G30" s="2"/>
      </tp>
      <tp>
        <v>693</v>
        <stp/>
        <stp>VOLUME</stp>
        <stp>.SPY250530P574</stp>
        <tr r="G33" s="2"/>
        <tr r="G33" s="2"/>
      </tp>
      <tp>
        <v>21</v>
        <stp/>
        <stp>VOLUME</stp>
        <stp>.SPY250530C574</stp>
        <tr r="G33" s="2"/>
        <tr r="G33" s="2"/>
      </tp>
      <tp>
        <v>9766</v>
        <stp/>
        <stp>VOLUME</stp>
        <stp>.SPY250530P575</stp>
        <tr r="G32" s="2"/>
        <tr r="G32" s="2"/>
      </tp>
      <tp>
        <v>1067</v>
        <stp/>
        <stp>VOLUME</stp>
        <stp>.SPY250530C575</stp>
        <tr r="G32" s="2"/>
        <tr r="G32" s="2"/>
      </tp>
      <tp>
        <v>1355</v>
        <stp/>
        <stp>VOLUME</stp>
        <stp>.SPY250530P572</stp>
        <tr r="G35" s="2"/>
        <tr r="G35" s="2"/>
      </tp>
      <tp>
        <v>15</v>
        <stp/>
        <stp>VOLUME</stp>
        <stp>.SPY250530C572</stp>
        <tr r="G35" s="2"/>
        <tr r="G35" s="2"/>
      </tp>
      <tp>
        <v>883</v>
        <stp/>
        <stp>VOLUME</stp>
        <stp>.SPY250530P573</stp>
        <tr r="G34" s="2"/>
        <tr r="G34" s="2"/>
      </tp>
      <tp>
        <v>10</v>
        <stp/>
        <stp>VOLUME</stp>
        <stp>.SPY250530C573</stp>
        <tr r="G34" s="2"/>
        <tr r="G34" s="2"/>
      </tp>
      <tp>
        <v>10462</v>
        <stp/>
        <stp>VOLUME</stp>
        <stp>.SPY250530P570</stp>
        <tr r="G37" s="2"/>
        <tr r="G37" s="2"/>
      </tp>
      <tp>
        <v>100</v>
        <stp/>
        <stp>VOLUME</stp>
        <stp>.SPY250530C570</stp>
        <tr r="G37" s="2"/>
        <tr r="G37" s="2"/>
      </tp>
      <tp>
        <v>1005</v>
        <stp/>
        <stp>VOLUME</stp>
        <stp>.SPY250530P571</stp>
        <tr r="G36" s="2"/>
        <tr r="G36" s="2"/>
      </tp>
      <tp>
        <v>10</v>
        <stp/>
        <stp>VOLUME</stp>
        <stp>.SPY250530C571</stp>
        <tr r="G36" s="2"/>
        <tr r="G36" s="2"/>
      </tp>
      <tp>
        <v>1418</v>
        <stp/>
        <stp>VOLUME</stp>
        <stp>.SPY250522P568</stp>
        <tr r="E39" s="2"/>
        <tr r="E39" s="2"/>
      </tp>
      <tp>
        <v>336</v>
        <stp/>
        <stp>VOLUME</stp>
        <stp>.SPY250523P569</stp>
        <tr r="BD37" s="1"/>
        <tr r="BD37" s="1"/>
      </tp>
      <tp>
        <v>3</v>
        <stp/>
        <stp>VOLUME</stp>
        <stp>.SPY250522C568</stp>
        <tr r="E39" s="2"/>
        <tr r="E39" s="2"/>
      </tp>
      <tp>
        <v>8</v>
        <stp/>
        <stp>VOLUME</stp>
        <stp>.SPY250523C569</stp>
        <tr r="BC37" s="1"/>
        <tr r="BC37" s="1"/>
      </tp>
      <tp>
        <v>1451</v>
        <stp/>
        <stp>VOLUME</stp>
        <stp>.SPY250522P569</stp>
        <tr r="E38" s="2"/>
        <tr r="E38" s="2"/>
      </tp>
      <tp>
        <v>633</v>
        <stp/>
        <stp>VOLUME</stp>
        <stp>.SPY250523P568</stp>
        <tr r="BD38" s="1"/>
        <tr r="BD38" s="1"/>
      </tp>
      <tp>
        <v>12</v>
        <stp/>
        <stp>VOLUME</stp>
        <stp>.SPY250522C569</stp>
        <tr r="E38" s="2"/>
        <tr r="E38" s="2"/>
      </tp>
      <tp>
        <v>104</v>
        <stp/>
        <stp>VOLUME</stp>
        <stp>.SPY250523C568</stp>
        <tr r="BC38" s="1"/>
        <tr r="BC38" s="1"/>
      </tp>
      <tp>
        <v>9</v>
        <stp/>
        <stp>VOLUME</stp>
        <stp>.SPY250520P568</stp>
        <tr r="BB38" s="1"/>
        <tr r="BB38" s="1"/>
      </tp>
      <tp>
        <v>275</v>
        <stp/>
        <stp>VOLUME</stp>
        <stp>.SPY250521P569</stp>
        <tr r="D38" s="2"/>
        <tr r="D38" s="2"/>
      </tp>
      <tp>
        <v>1083</v>
        <stp/>
        <stp>VOLUME</stp>
        <stp>.SPY250530P578</stp>
        <tr r="G29" s="2"/>
        <tr r="G29" s="2"/>
      </tp>
      <tp>
        <v>2</v>
        <stp/>
        <stp>VOLUME</stp>
        <stp>.SPY250520C568</stp>
        <tr r="BA38" s="1"/>
        <tr r="BA38" s="1"/>
      </tp>
      <tp>
        <v>21</v>
        <stp/>
        <stp>VOLUME</stp>
        <stp>.SPY250521C569</stp>
        <tr r="D38" s="2"/>
        <tr r="D38" s="2"/>
      </tp>
      <tp>
        <v>40</v>
        <stp/>
        <stp>VOLUME</stp>
        <stp>.SPY250530C578</stp>
        <tr r="G29" s="2"/>
        <tr r="G29" s="2"/>
      </tp>
      <tp>
        <v>189</v>
        <stp/>
        <stp>VOLUME</stp>
        <stp>.SPY250520P569</stp>
        <tr r="BB37" s="1"/>
        <tr r="BB37" s="1"/>
      </tp>
      <tp>
        <v>228</v>
        <stp/>
        <stp>VOLUME</stp>
        <stp>.SPY250521P568</stp>
        <tr r="D39" s="2"/>
        <tr r="D39" s="2"/>
      </tp>
      <tp>
        <v>505</v>
        <stp/>
        <stp>VOLUME</stp>
        <stp>.SPY250530P579</stp>
        <tr r="G28" s="2"/>
        <tr r="G28" s="2"/>
      </tp>
      <tp>
        <v>8</v>
        <stp/>
        <stp>VOLUME</stp>
        <stp>.SPY250520C569</stp>
        <tr r="BA37" s="1"/>
        <tr r="BA37" s="1"/>
      </tp>
      <tp>
        <v>1</v>
        <stp/>
        <stp>VOLUME</stp>
        <stp>.SPY250521C568</stp>
        <tr r="D39" s="2"/>
        <tr r="D39" s="2"/>
      </tp>
      <tp>
        <v>97</v>
        <stp/>
        <stp>VOLUME</stp>
        <stp>.SPY250530C579</stp>
        <tr r="G28" s="2"/>
        <tr r="G28" s="2"/>
      </tp>
      <tp>
        <v>-0.01</v>
        <stp/>
        <stp>DELTA</stp>
        <stp>.SPXW250523P5680</stp>
        <tr r="CG124" s="1"/>
        <tr r="CG124" s="1"/>
      </tp>
      <tp>
        <v>1</v>
        <stp/>
        <stp>DELTA</stp>
        <stp>.SPXW250523C5680</stp>
        <tr r="CF124" s="1"/>
        <tr r="CF124" s="1"/>
      </tp>
      <tp>
        <v>-0.02</v>
        <stp/>
        <stp>DELTA</stp>
        <stp>.SPXW250523P5690</stp>
        <tr r="CG123" s="1"/>
        <tr r="CG123" s="1"/>
      </tp>
      <tp>
        <v>1</v>
        <stp/>
        <stp>DELTA</stp>
        <stp>.SPXW250523C5690</stp>
        <tr r="CF123" s="1"/>
        <tr r="CF123" s="1"/>
      </tp>
      <tp>
        <v>0</v>
        <stp/>
        <stp>DELTA</stp>
        <stp>.SPXW250520P5690</stp>
        <tr r="CE123" s="1"/>
        <tr r="CE123" s="1"/>
      </tp>
      <tp>
        <v>1</v>
        <stp/>
        <stp>DELTA</stp>
        <stp>.SPXW250520C5690</stp>
        <tr r="CD123" s="1"/>
        <tr r="CD123" s="1"/>
      </tp>
      <tp>
        <v>0</v>
        <stp/>
        <stp>DELTA</stp>
        <stp>.SPXW250520P5680</stp>
        <tr r="CE124" s="1"/>
        <tr r="CE124" s="1"/>
      </tp>
      <tp>
        <v>1</v>
        <stp/>
        <stp>DELTA</stp>
        <stp>.SPXW250520C5680</stp>
        <tr r="CD124" s="1"/>
        <tr r="CD124" s="1"/>
      </tp>
      <tp>
        <v>0</v>
        <stp/>
        <stp>DELTA</stp>
        <stp>.SPXW250520P5630</stp>
        <tr r="CE129" s="1"/>
        <tr r="CE129" s="1"/>
      </tp>
      <tp>
        <v>1</v>
        <stp/>
        <stp>DELTA</stp>
        <stp>.SPXW250520C5630</stp>
        <tr r="CD129" s="1"/>
        <tr r="CD129" s="1"/>
      </tp>
      <tp>
        <v>0</v>
        <stp/>
        <stp>DELTA</stp>
        <stp>.SPXW250520P5620</stp>
        <tr r="CE130" s="1"/>
        <tr r="CE130" s="1"/>
      </tp>
      <tp>
        <v>1</v>
        <stp/>
        <stp>DELTA</stp>
        <stp>.SPXW250520C5620</stp>
        <tr r="CD130" s="1"/>
        <tr r="CD130" s="1"/>
      </tp>
      <tp>
        <v>-0.01</v>
        <stp/>
        <stp>DELTA</stp>
        <stp>.SPXW250523P5620</stp>
        <tr r="CG130" s="1"/>
        <tr r="CG130" s="1"/>
      </tp>
      <tp>
        <v>1</v>
        <stp/>
        <stp>DELTA</stp>
        <stp>.SPXW250523C5620</stp>
        <tr r="CF130" s="1"/>
        <tr r="CF130" s="1"/>
      </tp>
      <tp t="s">
        <v>N/A</v>
        <stp/>
        <stp>DELTA</stp>
        <stp>.SPXW250523P5630</stp>
        <tr r="CG129" s="1"/>
      </tp>
      <tp t="s">
        <v>N/A</v>
        <stp/>
        <stp>DELTA</stp>
        <stp>.SPXW250523C5630</stp>
        <tr r="CF129" s="1"/>
      </tp>
      <tp>
        <v>0</v>
        <stp/>
        <stp>DELTA</stp>
        <stp>.SPXW250520P5670</stp>
        <tr r="CE125" s="1"/>
        <tr r="CE125" s="1"/>
      </tp>
      <tp>
        <v>-0.01</v>
        <stp/>
        <stp>DELTA</stp>
        <stp>.SPXW250523P5640</stp>
        <tr r="CG128" s="1"/>
        <tr r="CG128" s="1"/>
      </tp>
      <tp>
        <v>1</v>
        <stp/>
        <stp>DELTA</stp>
        <stp>.SPXW250520C5670</stp>
        <tr r="CD125" s="1"/>
        <tr r="CD125" s="1"/>
      </tp>
      <tp>
        <v>1</v>
        <stp/>
        <stp>DELTA</stp>
        <stp>.SPXW250523C5640</stp>
        <tr r="CF128" s="1"/>
        <tr r="CF128" s="1"/>
      </tp>
      <tp>
        <v>0</v>
        <stp/>
        <stp>DELTA</stp>
        <stp>.SPXW250520P5660</stp>
        <tr r="CE126" s="1"/>
        <tr r="CE126" s="1"/>
      </tp>
      <tp>
        <v>-0.01</v>
        <stp/>
        <stp>DELTA</stp>
        <stp>.SPXW250523P5650</stp>
        <tr r="CG127" s="1"/>
        <tr r="CG127" s="1"/>
      </tp>
      <tp>
        <v>1</v>
        <stp/>
        <stp>DELTA</stp>
        <stp>.SPXW250520C5660</stp>
        <tr r="CD126" s="1"/>
        <tr r="CD126" s="1"/>
      </tp>
      <tp>
        <v>1</v>
        <stp/>
        <stp>DELTA</stp>
        <stp>.SPXW250523C5650</stp>
        <tr r="CF127" s="1"/>
        <tr r="CF127" s="1"/>
      </tp>
      <tp>
        <v>0</v>
        <stp/>
        <stp>DELTA</stp>
        <stp>.SPXW250520P5650</stp>
        <tr r="CE127" s="1"/>
        <tr r="CE127" s="1"/>
      </tp>
      <tp t="s">
        <v>N/A</v>
        <stp/>
        <stp>DELTA</stp>
        <stp>.SPXW250523P5660</stp>
        <tr r="CG126" s="1"/>
      </tp>
      <tp>
        <v>1</v>
        <stp/>
        <stp>DELTA</stp>
        <stp>.SPXW250520C5650</stp>
        <tr r="CD127" s="1"/>
        <tr r="CD127" s="1"/>
      </tp>
      <tp t="s">
        <v>N/A</v>
        <stp/>
        <stp>DELTA</stp>
        <stp>.SPXW250523C5660</stp>
        <tr r="CF126" s="1"/>
      </tp>
      <tp>
        <v>0</v>
        <stp/>
        <stp>DELTA</stp>
        <stp>.SPXW250520P5640</stp>
        <tr r="CE128" s="1"/>
        <tr r="CE128" s="1"/>
      </tp>
      <tp>
        <v>-0.01</v>
        <stp/>
        <stp>DELTA</stp>
        <stp>.SPXW250523P5670</stp>
        <tr r="CG125" s="1"/>
        <tr r="CG125" s="1"/>
      </tp>
      <tp>
        <v>1</v>
        <stp/>
        <stp>DELTA</stp>
        <stp>.SPXW250520C5640</stp>
        <tr r="CD128" s="1"/>
        <tr r="CD128" s="1"/>
      </tp>
      <tp>
        <v>1</v>
        <stp/>
        <stp>DELTA</stp>
        <stp>.SPXW250523C5670</stp>
        <tr r="CF125" s="1"/>
        <tr r="CF125" s="1"/>
      </tp>
      <tp>
        <v>2</v>
        <stp/>
        <stp>VOLUME</stp>
        <stp>.SPY250731P602</stp>
        <tr r="N5" s="2"/>
        <tr r="N5" s="2"/>
      </tp>
      <tp>
        <v>27</v>
        <stp/>
        <stp>VOLUME</stp>
        <stp>.SPY250731C602</stp>
        <tr r="N5" s="2"/>
        <tr r="N5" s="2"/>
      </tp>
      <tp t="s">
        <v>N/A</v>
        <stp/>
        <stp>VOLUME</stp>
        <stp>.SPY250731P601</stp>
        <tr r="N6" s="2"/>
      </tp>
      <tp t="s">
        <v>N/A</v>
        <stp/>
        <stp>VOLUME</stp>
        <stp>.SPY250731C601</stp>
        <tr r="N6" s="2"/>
      </tp>
      <tp>
        <v>33</v>
        <stp/>
        <stp>VOLUME</stp>
        <stp>.SPY250731P600</stp>
        <tr r="N7" s="2"/>
        <tr r="N7" s="2"/>
      </tp>
      <tp>
        <v>169</v>
        <stp/>
        <stp>VOLUME</stp>
        <stp>.SPY250731C600</stp>
        <tr r="N7" s="2"/>
        <tr r="N7" s="2"/>
      </tp>
      <tp t="s">
        <v>N/A</v>
        <stp/>
        <stp>VOLUME</stp>
        <stp>.SPY250725P602</stp>
        <tr r="M5" s="2"/>
      </tp>
      <tp t="s">
        <v>N/A</v>
        <stp/>
        <stp>VOLUME</stp>
        <stp>.SPY250725C602</stp>
        <tr r="M5" s="2"/>
      </tp>
      <tp t="s">
        <v>N/A</v>
        <stp/>
        <stp>VOLUME</stp>
        <stp>.SPY250725P601</stp>
        <tr r="M6" s="2"/>
      </tp>
      <tp t="s">
        <v>N/A</v>
        <stp/>
        <stp>VOLUME</stp>
        <stp>.SPY250725C601</stp>
        <tr r="M6" s="2"/>
      </tp>
      <tp t="s">
        <v>N/A</v>
        <stp/>
        <stp>VOLUME</stp>
        <stp>.SPY250725P600</stp>
        <tr r="M7" s="2"/>
      </tp>
      <tp t="s">
        <v>N/A</v>
        <stp/>
        <stp>VOLUME</stp>
        <stp>.SPY250725C600</stp>
        <tr r="M7" s="2"/>
      </tp>
      <tp>
        <v>-0.06</v>
        <stp/>
        <stp>DELTA</stp>
        <stp>.SPXW250523P5780</stp>
        <tr r="CG114" s="1"/>
        <tr r="CG114" s="1"/>
      </tp>
      <tp>
        <v>0.98</v>
        <stp/>
        <stp>DELTA</stp>
        <stp>.SPXW250523C5780</stp>
        <tr r="CF114" s="1"/>
        <tr r="CF114" s="1"/>
      </tp>
      <tp>
        <v>-7.0000000000000007E-2</v>
        <stp/>
        <stp>DELTA</stp>
        <stp>.SPXW250523P5790</stp>
        <tr r="CG113" s="1"/>
        <tr r="CG113" s="1"/>
      </tp>
      <tp>
        <v>0.97</v>
        <stp/>
        <stp>DELTA</stp>
        <stp>.SPXW250523C5790</stp>
        <tr r="CF113" s="1"/>
        <tr r="CF113" s="1"/>
      </tp>
      <tp>
        <v>0</v>
        <stp/>
        <stp>DELTA</stp>
        <stp>.SPXW250520P5790</stp>
        <tr r="CE113" s="1"/>
        <tr r="CE113" s="1"/>
      </tp>
      <tp>
        <v>1</v>
        <stp/>
        <stp>DELTA</stp>
        <stp>.SPXW250520C5790</stp>
        <tr r="CD113" s="1"/>
        <tr r="CD113" s="1"/>
      </tp>
      <tp>
        <v>0</v>
        <stp/>
        <stp>DELTA</stp>
        <stp>.SPXW250520P5780</stp>
        <tr r="CE114" s="1"/>
        <tr r="CE114" s="1"/>
      </tp>
      <tp>
        <v>1</v>
        <stp/>
        <stp>DELTA</stp>
        <stp>.SPXW250520C5780</stp>
        <tr r="CD114" s="1"/>
        <tr r="CD114" s="1"/>
      </tp>
      <tp>
        <v>0</v>
        <stp/>
        <stp>DELTA</stp>
        <stp>.SPXW250520P5730</stp>
        <tr r="CE119" s="1"/>
        <tr r="CE119" s="1"/>
      </tp>
      <tp>
        <v>-0.02</v>
        <stp/>
        <stp>DELTA</stp>
        <stp>.SPXW250523P5700</stp>
        <tr r="CG122" s="1"/>
        <tr r="CG122" s="1"/>
      </tp>
      <tp>
        <v>1</v>
        <stp/>
        <stp>DELTA</stp>
        <stp>.SPXW250520C5730</stp>
        <tr r="CD119" s="1"/>
        <tr r="CD119" s="1"/>
      </tp>
      <tp>
        <v>1</v>
        <stp/>
        <stp>DELTA</stp>
        <stp>.SPXW250523C5700</stp>
        <tr r="CF122" s="1"/>
        <tr r="CF122" s="1"/>
      </tp>
      <tp>
        <v>0</v>
        <stp/>
        <stp>DELTA</stp>
        <stp>.SPXW250520P5720</stp>
        <tr r="CE120" s="1"/>
        <tr r="CE120" s="1"/>
      </tp>
      <tp>
        <v>-0.02</v>
        <stp/>
        <stp>DELTA</stp>
        <stp>.SPXW250523P5710</stp>
        <tr r="CG121" s="1"/>
        <tr r="CG121" s="1"/>
      </tp>
      <tp>
        <v>1</v>
        <stp/>
        <stp>DELTA</stp>
        <stp>.SPXW250520C5720</stp>
        <tr r="CD120" s="1"/>
        <tr r="CD120" s="1"/>
      </tp>
      <tp>
        <v>1</v>
        <stp/>
        <stp>DELTA</stp>
        <stp>.SPXW250523C5710</stp>
        <tr r="CF121" s="1"/>
        <tr r="CF121" s="1"/>
      </tp>
      <tp>
        <v>0</v>
        <stp/>
        <stp>DELTA</stp>
        <stp>.SPXW250520P5710</stp>
        <tr r="CE121" s="1"/>
        <tr r="CE121" s="1"/>
      </tp>
      <tp>
        <v>-0.02</v>
        <stp/>
        <stp>DELTA</stp>
        <stp>.SPXW250523P5720</stp>
        <tr r="CG120" s="1"/>
        <tr r="CG120" s="1"/>
      </tp>
      <tp>
        <v>1</v>
        <stp/>
        <stp>DELTA</stp>
        <stp>.SPXW250520C5710</stp>
        <tr r="CD121" s="1"/>
        <tr r="CD121" s="1"/>
      </tp>
      <tp>
        <v>1</v>
        <stp/>
        <stp>DELTA</stp>
        <stp>.SPXW250523C5720</stp>
        <tr r="CF120" s="1"/>
        <tr r="CF120" s="1"/>
      </tp>
      <tp>
        <v>0</v>
        <stp/>
        <stp>DELTA</stp>
        <stp>.SPXW250520P5700</stp>
        <tr r="CE122" s="1"/>
        <tr r="CE122" s="1"/>
      </tp>
      <tp>
        <v>-0.03</v>
        <stp/>
        <stp>DELTA</stp>
        <stp>.SPXW250523P5730</stp>
        <tr r="CG119" s="1"/>
        <tr r="CG119" s="1"/>
      </tp>
      <tp>
        <v>1</v>
        <stp/>
        <stp>DELTA</stp>
        <stp>.SPXW250520C5700</stp>
        <tr r="CD122" s="1"/>
        <tr r="CD122" s="1"/>
      </tp>
      <tp>
        <v>1</v>
        <stp/>
        <stp>DELTA</stp>
        <stp>.SPXW250523C5730</stp>
        <tr r="CF119" s="1"/>
        <tr r="CF119" s="1"/>
      </tp>
      <tp>
        <v>0</v>
        <stp/>
        <stp>DELTA</stp>
        <stp>.SPXW250520P5770</stp>
        <tr r="CE115" s="1"/>
        <tr r="CE115" s="1"/>
      </tp>
      <tp>
        <v>-0.03</v>
        <stp/>
        <stp>DELTA</stp>
        <stp>.SPXW250523P5740</stp>
        <tr r="CG118" s="1"/>
        <tr r="CG118" s="1"/>
      </tp>
      <tp>
        <v>1</v>
        <stp/>
        <stp>DELTA</stp>
        <stp>.SPXW250520C5770</stp>
        <tr r="CD115" s="1"/>
        <tr r="CD115" s="1"/>
      </tp>
      <tp>
        <v>1</v>
        <stp/>
        <stp>DELTA</stp>
        <stp>.SPXW250523C5740</stp>
        <tr r="CF118" s="1"/>
        <tr r="CF118" s="1"/>
      </tp>
      <tp>
        <v>0</v>
        <stp/>
        <stp>DELTA</stp>
        <stp>.SPXW250520P5760</stp>
        <tr r="CE116" s="1"/>
        <tr r="CE116" s="1"/>
      </tp>
      <tp>
        <v>-0.04</v>
        <stp/>
        <stp>DELTA</stp>
        <stp>.SPXW250523P5750</stp>
        <tr r="CG117" s="1"/>
        <tr r="CG117" s="1"/>
      </tp>
      <tp>
        <v>1</v>
        <stp/>
        <stp>DELTA</stp>
        <stp>.SPXW250520C5760</stp>
        <tr r="CD116" s="1"/>
        <tr r="CD116" s="1"/>
      </tp>
      <tp>
        <v>1</v>
        <stp/>
        <stp>DELTA</stp>
        <stp>.SPXW250523C5750</stp>
        <tr r="CF117" s="1"/>
        <tr r="CF117" s="1"/>
      </tp>
      <tp>
        <v>0</v>
        <stp/>
        <stp>DELTA</stp>
        <stp>.SPXW250520P5750</stp>
        <tr r="CE117" s="1"/>
        <tr r="CE117" s="1"/>
      </tp>
      <tp>
        <v>-0.04</v>
        <stp/>
        <stp>DELTA</stp>
        <stp>.SPXW250523P5760</stp>
        <tr r="CG116" s="1"/>
        <tr r="CG116" s="1"/>
      </tp>
      <tp>
        <v>1</v>
        <stp/>
        <stp>DELTA</stp>
        <stp>.SPXW250520C5750</stp>
        <tr r="CD117" s="1"/>
        <tr r="CD117" s="1"/>
      </tp>
      <tp>
        <v>1</v>
        <stp/>
        <stp>DELTA</stp>
        <stp>.SPXW250523C5760</stp>
        <tr r="CF116" s="1"/>
        <tr r="CF116" s="1"/>
      </tp>
      <tp>
        <v>0</v>
        <stp/>
        <stp>DELTA</stp>
        <stp>.SPXW250520P5740</stp>
        <tr r="CE118" s="1"/>
        <tr r="CE118" s="1"/>
      </tp>
      <tp>
        <v>-0.05</v>
        <stp/>
        <stp>DELTA</stp>
        <stp>.SPXW250523P5770</stp>
        <tr r="CG115" s="1"/>
        <tr r="CG115" s="1"/>
      </tp>
      <tp>
        <v>1</v>
        <stp/>
        <stp>DELTA</stp>
        <stp>.SPXW250520C5740</stp>
        <tr r="CD118" s="1"/>
        <tr r="CD118" s="1"/>
      </tp>
      <tp>
        <v>1</v>
        <stp/>
        <stp>DELTA</stp>
        <stp>.SPXW250523C5770</stp>
        <tr r="CF115" s="1"/>
        <tr r="CF115" s="1"/>
      </tp>
      <tp>
        <v>0</v>
        <stp/>
        <stp>BID</stp>
        <stp>.SPXW250520C5980</stp>
        <tr r="DE94" s="1"/>
        <tr r="DE94" s="1"/>
      </tp>
      <tp>
        <v>39.299999999999997</v>
        <stp/>
        <stp>BID</stp>
        <stp>.SPXW250520P5980</stp>
        <tr r="DF94" s="1"/>
        <tr r="DF94" s="1"/>
      </tp>
      <tp>
        <v>0</v>
        <stp/>
        <stp>BID</stp>
        <stp>.SPXW250520C5990</stp>
        <tr r="DE93" s="1"/>
        <tr r="DE93" s="1"/>
      </tp>
      <tp>
        <v>49.3</v>
        <stp/>
        <stp>BID</stp>
        <stp>.SPXW250520P5990</stp>
        <tr r="DF93" s="1"/>
        <tr r="DF93" s="1"/>
      </tp>
      <tp>
        <v>38.700000000000003</v>
        <stp/>
        <stp>BID</stp>
        <stp>.SPXW250520C5900</stp>
        <tr r="DE102" s="1"/>
        <tr r="DE102" s="1"/>
      </tp>
      <tp>
        <v>0</v>
        <stp/>
        <stp>BID</stp>
        <stp>.SPXW250520P5900</stp>
        <tr r="DF102" s="1"/>
        <tr r="DF102" s="1"/>
      </tp>
      <tp>
        <v>28.7</v>
        <stp/>
        <stp>BID</stp>
        <stp>.SPXW250520C5910</stp>
        <tr r="DE101" s="1"/>
        <tr r="DE101" s="1"/>
      </tp>
      <tp>
        <v>0</v>
        <stp/>
        <stp>BID</stp>
        <stp>.SPXW250520P5910</stp>
        <tr r="DF101" s="1"/>
        <tr r="DF101" s="1"/>
      </tp>
      <tp>
        <v>20</v>
        <stp/>
        <stp>BID</stp>
        <stp>.SPXW250520C5920</stp>
        <tr r="DE100" s="1"/>
        <tr r="DE100" s="1"/>
      </tp>
      <tp>
        <v>0</v>
        <stp/>
        <stp>BID</stp>
        <stp>.SPXW250520P5920</stp>
        <tr r="DF100" s="1"/>
        <tr r="DF100" s="1"/>
      </tp>
      <tp>
        <v>10</v>
        <stp/>
        <stp>BID</stp>
        <stp>.SPXW250520C5930</stp>
        <tr r="DE99" s="1"/>
        <tr r="DE99" s="1"/>
      </tp>
      <tp>
        <v>0</v>
        <stp/>
        <stp>BID</stp>
        <stp>.SPXW250520P5930</stp>
        <tr r="DF99" s="1"/>
        <tr r="DF99" s="1"/>
      </tp>
      <tp>
        <v>0.65</v>
        <stp/>
        <stp>BID</stp>
        <stp>.SPXW250520C5940</stp>
        <tr r="DE98" s="1"/>
        <tr r="DE98" s="1"/>
      </tp>
      <tp>
        <v>0.3</v>
        <stp/>
        <stp>BID</stp>
        <stp>.SPXW250520P5940</stp>
        <tr r="DF98" s="1"/>
        <tr r="DF98" s="1"/>
      </tp>
      <tp>
        <v>0</v>
        <stp/>
        <stp>BID</stp>
        <stp>.SPXW250520C5950</stp>
        <tr r="DE97" s="1"/>
        <tr r="DE97" s="1"/>
      </tp>
      <tp>
        <v>9.3000000000000007</v>
        <stp/>
        <stp>BID</stp>
        <stp>.SPXW250520P5950</stp>
        <tr r="DF97" s="1"/>
        <tr r="DF97" s="1"/>
      </tp>
      <tp>
        <v>0</v>
        <stp/>
        <stp>BID</stp>
        <stp>.SPXW250520C5960</stp>
        <tr r="DE96" s="1"/>
        <tr r="DE96" s="1"/>
      </tp>
      <tp>
        <v>19.3</v>
        <stp/>
        <stp>BID</stp>
        <stp>.SPXW250520P5960</stp>
        <tr r="DF96" s="1"/>
        <tr r="DF96" s="1"/>
      </tp>
      <tp>
        <v>0</v>
        <stp/>
        <stp>BID</stp>
        <stp>.SPXW250520C5970</stp>
        <tr r="DE95" s="1"/>
        <tr r="DE95" s="1"/>
      </tp>
      <tp>
        <v>29.3</v>
        <stp/>
        <stp>BID</stp>
        <stp>.SPXW250520P5970</stp>
        <tr r="DF95" s="1"/>
        <tr r="DF95" s="1"/>
      </tp>
      <tp t="s">
        <v>N/A</v>
        <stp/>
        <stp>VOLUME</stp>
        <stp>.SPY251031P602</stp>
        <tr r="T5" s="2"/>
      </tp>
      <tp t="s">
        <v>N/A</v>
        <stp/>
        <stp>VOLUME</stp>
        <stp>.SPY251031C602</stp>
        <tr r="T5" s="2"/>
      </tp>
      <tp t="s">
        <v>N/A</v>
        <stp/>
        <stp>VOLUME</stp>
        <stp>.SPY251031P601</stp>
        <tr r="T6" s="2"/>
      </tp>
      <tp t="s">
        <v>N/A</v>
        <stp/>
        <stp>VOLUME</stp>
        <stp>.SPY251031C601</stp>
        <tr r="T6" s="2"/>
      </tp>
      <tp>
        <v>124</v>
        <stp/>
        <stp>VOLUME</stp>
        <stp>.SPY251031P600</stp>
        <tr r="T7" s="2"/>
        <tr r="T7" s="2"/>
      </tp>
      <tp>
        <v>25</v>
        <stp/>
        <stp>VOLUME</stp>
        <stp>.SPY251031C600</stp>
        <tr r="T7" s="2"/>
        <tr r="T7" s="2"/>
      </tp>
      <tp t="s">
        <v>N/A</v>
        <stp/>
        <stp>VOLUME</stp>
        <stp>.SPY251024P602</stp>
        <tr r="S5" s="2"/>
      </tp>
      <tp t="s">
        <v>N/A</v>
        <stp/>
        <stp>VOLUME</stp>
        <stp>.SPY251024C602</stp>
        <tr r="S5" s="2"/>
      </tp>
      <tp t="s">
        <v>N/A</v>
        <stp/>
        <stp>VOLUME</stp>
        <stp>.SPY251024P600</stp>
        <tr r="S7" s="2"/>
      </tp>
      <tp t="s">
        <v>N/A</v>
        <stp/>
        <stp>VOLUME</stp>
        <stp>.SPY251024C600</stp>
        <tr r="S7" s="2"/>
      </tp>
      <tp t="s">
        <v>N/A</v>
        <stp/>
        <stp>VOLUME</stp>
        <stp>.SPY251024P601</stp>
        <tr r="S6" s="2"/>
      </tp>
      <tp t="s">
        <v>N/A</v>
        <stp/>
        <stp>VOLUME</stp>
        <stp>.SPY251024C601</stp>
        <tr r="S6" s="2"/>
      </tp>
      <tp>
        <v>-0.96</v>
        <stp/>
        <stp>DELTA</stp>
        <stp>.SPXW250520P6030</stp>
        <tr r="CE89" s="1"/>
        <tr r="CE89" s="1"/>
      </tp>
      <tp>
        <v>-0.75</v>
        <stp/>
        <stp>DELTA</stp>
        <stp>.SPXW250523P6000</stp>
        <tr r="CG92" s="1"/>
        <tr r="CG92" s="1"/>
      </tp>
      <tp>
        <v>0</v>
        <stp/>
        <stp>DELTA</stp>
        <stp>.SPXW250520C6030</stp>
        <tr r="CD89" s="1"/>
        <tr r="CD89" s="1"/>
      </tp>
      <tp>
        <v>0.23</v>
        <stp/>
        <stp>DELTA</stp>
        <stp>.SPXW250523C6000</stp>
        <tr r="CF92" s="1"/>
        <tr r="CF92" s="1"/>
      </tp>
      <tp>
        <v>-0.96</v>
        <stp/>
        <stp>DELTA</stp>
        <stp>.SPXW250520P6020</stp>
        <tr r="CE90" s="1"/>
        <tr r="CE90" s="1"/>
      </tp>
      <tp>
        <v>-0.78</v>
        <stp/>
        <stp>DELTA</stp>
        <stp>.SPXW250523P6010</stp>
        <tr r="CG91" s="1"/>
        <tr r="CG91" s="1"/>
      </tp>
      <tp>
        <v>0</v>
        <stp/>
        <stp>DELTA</stp>
        <stp>.SPXW250520C6020</stp>
        <tr r="CD90" s="1"/>
        <tr r="CD90" s="1"/>
      </tp>
      <tp>
        <v>0.19</v>
        <stp/>
        <stp>DELTA</stp>
        <stp>.SPXW250523C6010</stp>
        <tr r="CF91" s="1"/>
        <tr r="CF91" s="1"/>
      </tp>
      <tp>
        <v>-0.95</v>
        <stp/>
        <stp>DELTA</stp>
        <stp>.SPXW250520P6010</stp>
        <tr r="CE91" s="1"/>
        <tr r="CE91" s="1"/>
      </tp>
      <tp>
        <v>-0.81</v>
        <stp/>
        <stp>DELTA</stp>
        <stp>.SPXW250523P6020</stp>
        <tr r="CG90" s="1"/>
        <tr r="CG90" s="1"/>
      </tp>
      <tp>
        <v>0</v>
        <stp/>
        <stp>DELTA</stp>
        <stp>.SPXW250520C6010</stp>
        <tr r="CD91" s="1"/>
        <tr r="CD91" s="1"/>
      </tp>
      <tp>
        <v>0.16</v>
        <stp/>
        <stp>DELTA</stp>
        <stp>.SPXW250523C6020</stp>
        <tr r="CF90" s="1"/>
        <tr r="CF90" s="1"/>
      </tp>
      <tp>
        <v>-0.95</v>
        <stp/>
        <stp>DELTA</stp>
        <stp>.SPXW250520P6000</stp>
        <tr r="CE92" s="1"/>
        <tr r="CE92" s="1"/>
      </tp>
      <tp>
        <v>-0.84</v>
        <stp/>
        <stp>DELTA</stp>
        <stp>.SPXW250523P6030</stp>
        <tr r="CG89" s="1"/>
        <tr r="CG89" s="1"/>
      </tp>
      <tp>
        <v>0</v>
        <stp/>
        <stp>DELTA</stp>
        <stp>.SPXW250520C6000</stp>
        <tr r="CD92" s="1"/>
        <tr r="CD92" s="1"/>
      </tp>
      <tp>
        <v>0.13</v>
        <stp/>
        <stp>DELTA</stp>
        <stp>.SPXW250523C6030</stp>
        <tr r="CF89" s="1"/>
        <tr r="CF89" s="1"/>
      </tp>
      <tp>
        <v>-0.97</v>
        <stp/>
        <stp>DELTA</stp>
        <stp>.SPXW250520P6070</stp>
        <tr r="CE85" s="1"/>
        <tr r="CE85" s="1"/>
      </tp>
      <tp>
        <v>-0.86</v>
        <stp/>
        <stp>DELTA</stp>
        <stp>.SPXW250523P6040</stp>
        <tr r="CG88" s="1"/>
        <tr r="CG88" s="1"/>
      </tp>
      <tp>
        <v>0</v>
        <stp/>
        <stp>DELTA</stp>
        <stp>.SPXW250520C6070</stp>
        <tr r="CD85" s="1"/>
        <tr r="CD85" s="1"/>
      </tp>
      <tp>
        <v>0.1</v>
        <stp/>
        <stp>DELTA</stp>
        <stp>.SPXW250523C6040</stp>
        <tr r="CF88" s="1"/>
        <tr r="CF88" s="1"/>
      </tp>
      <tp>
        <v>-0.97</v>
        <stp/>
        <stp>DELTA</stp>
        <stp>.SPXW250520P6060</stp>
        <tr r="CE86" s="1"/>
        <tr r="CE86" s="1"/>
      </tp>
      <tp>
        <v>-0.88</v>
        <stp/>
        <stp>DELTA</stp>
        <stp>.SPXW250523P6050</stp>
        <tr r="CG87" s="1"/>
        <tr r="CG87" s="1"/>
      </tp>
      <tp>
        <v>0</v>
        <stp/>
        <stp>DELTA</stp>
        <stp>.SPXW250520C6060</stp>
        <tr r="CD86" s="1"/>
        <tr r="CD86" s="1"/>
      </tp>
      <tp>
        <v>0.08</v>
        <stp/>
        <stp>DELTA</stp>
        <stp>.SPXW250523C6050</stp>
        <tr r="CF87" s="1"/>
        <tr r="CF87" s="1"/>
      </tp>
      <tp>
        <v>-0.97</v>
        <stp/>
        <stp>DELTA</stp>
        <stp>.SPXW250520P6050</stp>
        <tr r="CE87" s="1"/>
        <tr r="CE87" s="1"/>
      </tp>
      <tp>
        <v>-0.9</v>
        <stp/>
        <stp>DELTA</stp>
        <stp>.SPXW250523P6060</stp>
        <tr r="CG86" s="1"/>
        <tr r="CG86" s="1"/>
      </tp>
      <tp>
        <v>0</v>
        <stp/>
        <stp>DELTA</stp>
        <stp>.SPXW250520C6050</stp>
        <tr r="CD87" s="1"/>
        <tr r="CD87" s="1"/>
      </tp>
      <tp>
        <v>0.06</v>
        <stp/>
        <stp>DELTA</stp>
        <stp>.SPXW250523C6060</stp>
        <tr r="CF86" s="1"/>
        <tr r="CF86" s="1"/>
      </tp>
      <tp>
        <v>-0.96</v>
        <stp/>
        <stp>DELTA</stp>
        <stp>.SPXW250520P6040</stp>
        <tr r="CE88" s="1"/>
        <tr r="CE88" s="1"/>
      </tp>
      <tp>
        <v>-0.91</v>
        <stp/>
        <stp>DELTA</stp>
        <stp>.SPXW250523P6070</stp>
        <tr r="CG85" s="1"/>
        <tr r="CG85" s="1"/>
      </tp>
      <tp>
        <v>0</v>
        <stp/>
        <stp>DELTA</stp>
        <stp>.SPXW250520C6040</stp>
        <tr r="CD88" s="1"/>
        <tr r="CD88" s="1"/>
      </tp>
      <tp>
        <v>0.05</v>
        <stp/>
        <stp>DELTA</stp>
        <stp>.SPXW250523C6070</stp>
        <tr r="CF85" s="1"/>
        <tr r="CF85" s="1"/>
      </tp>
      <tp>
        <v>58.7</v>
        <stp/>
        <stp>BID</stp>
        <stp>.SPXW250520C5880</stp>
        <tr r="DE104" s="1"/>
        <tr r="DE104" s="1"/>
      </tp>
      <tp>
        <v>0</v>
        <stp/>
        <stp>BID</stp>
        <stp>.SPXW250520P5880</stp>
        <tr r="DF104" s="1"/>
        <tr r="DF104" s="1"/>
      </tp>
      <tp>
        <v>48.7</v>
        <stp/>
        <stp>BID</stp>
        <stp>.SPXW250520C5890</stp>
        <tr r="DE103" s="1"/>
        <tr r="DE103" s="1"/>
      </tp>
      <tp>
        <v>0</v>
        <stp/>
        <stp>BID</stp>
        <stp>.SPXW250520P5890</stp>
        <tr r="DF103" s="1"/>
        <tr r="DF103" s="1"/>
      </tp>
      <tp>
        <v>138.69999999999999</v>
        <stp/>
        <stp>BID</stp>
        <stp>.SPXW250520C5800</stp>
        <tr r="DE112" s="1"/>
        <tr r="DE112" s="1"/>
      </tp>
      <tp>
        <v>0</v>
        <stp/>
        <stp>BID</stp>
        <stp>.SPXW250520P5800</stp>
        <tr r="DF112" s="1"/>
        <tr r="DF112" s="1"/>
      </tp>
      <tp>
        <v>128.69999999999999</v>
        <stp/>
        <stp>BID</stp>
        <stp>.SPXW250520C5810</stp>
        <tr r="DE111" s="1"/>
        <tr r="DE111" s="1"/>
      </tp>
      <tp>
        <v>0</v>
        <stp/>
        <stp>BID</stp>
        <stp>.SPXW250520P5810</stp>
        <tr r="DF111" s="1"/>
        <tr r="DF111" s="1"/>
      </tp>
      <tp>
        <v>118.7</v>
        <stp/>
        <stp>BID</stp>
        <stp>.SPXW250520C5820</stp>
        <tr r="DE110" s="1"/>
        <tr r="DE110" s="1"/>
      </tp>
      <tp>
        <v>0</v>
        <stp/>
        <stp>BID</stp>
        <stp>.SPXW250520P5820</stp>
        <tr r="DF110" s="1"/>
        <tr r="DF110" s="1"/>
      </tp>
      <tp>
        <v>108.7</v>
        <stp/>
        <stp>BID</stp>
        <stp>.SPXW250520C5830</stp>
        <tr r="DE109" s="1"/>
        <tr r="DE109" s="1"/>
      </tp>
      <tp>
        <v>0</v>
        <stp/>
        <stp>BID</stp>
        <stp>.SPXW250520P5830</stp>
        <tr r="DF109" s="1"/>
        <tr r="DF109" s="1"/>
      </tp>
      <tp>
        <v>98.7</v>
        <stp/>
        <stp>BID</stp>
        <stp>.SPXW250520C5840</stp>
        <tr r="DE108" s="1"/>
        <tr r="DE108" s="1"/>
      </tp>
      <tp>
        <v>0</v>
        <stp/>
        <stp>BID</stp>
        <stp>.SPXW250520P5840</stp>
        <tr r="DF108" s="1"/>
        <tr r="DF108" s="1"/>
      </tp>
      <tp>
        <v>88.7</v>
        <stp/>
        <stp>BID</stp>
        <stp>.SPXW250520C5850</stp>
        <tr r="DE107" s="1"/>
        <tr r="DE107" s="1"/>
      </tp>
      <tp>
        <v>0</v>
        <stp/>
        <stp>BID</stp>
        <stp>.SPXW250520P5850</stp>
        <tr r="DF107" s="1"/>
        <tr r="DF107" s="1"/>
      </tp>
      <tp>
        <v>78.7</v>
        <stp/>
        <stp>BID</stp>
        <stp>.SPXW250520C5860</stp>
        <tr r="DE106" s="1"/>
        <tr r="DE106" s="1"/>
      </tp>
      <tp>
        <v>0</v>
        <stp/>
        <stp>BID</stp>
        <stp>.SPXW250520P5860</stp>
        <tr r="DF106" s="1"/>
        <tr r="DF106" s="1"/>
      </tp>
      <tp>
        <v>68.7</v>
        <stp/>
        <stp>BID</stp>
        <stp>.SPXW250520C5870</stp>
        <tr r="DE105" s="1"/>
        <tr r="DE105" s="1"/>
      </tp>
      <tp>
        <v>0</v>
        <stp/>
        <stp>BID</stp>
        <stp>.SPXW250520P5870</stp>
        <tr r="DF105" s="1"/>
        <tr r="DF105" s="1"/>
      </tp>
      <tp t="s">
        <v>N/A</v>
        <stp/>
        <stp>VOLUME</stp>
        <stp>.SPY251226P590</stp>
        <tr r="W17" s="2"/>
      </tp>
      <tp t="s">
        <v>N/A</v>
        <stp/>
        <stp>VOLUME</stp>
        <stp>.SPY251231P587</stp>
        <tr r="X20" s="2"/>
      </tp>
      <tp t="s">
        <v>N/A</v>
        <stp/>
        <stp>VOLUME</stp>
        <stp>.SPY251226C590</stp>
        <tr r="W17" s="2"/>
      </tp>
      <tp t="s">
        <v>N/A</v>
        <stp/>
        <stp>VOLUME</stp>
        <stp>.SPY251231C587</stp>
        <tr r="X20" s="2"/>
      </tp>
      <tp t="s">
        <v>N/A</v>
        <stp/>
        <stp>VOLUME</stp>
        <stp>.SPY251226P591</stp>
        <tr r="W16" s="2"/>
      </tp>
      <tp>
        <v>20</v>
        <stp/>
        <stp>VOLUME</stp>
        <stp>.SPY251231P586</stp>
        <tr r="X21" s="2"/>
        <tr r="X21" s="2"/>
      </tp>
      <tp t="s">
        <v>N/A</v>
        <stp/>
        <stp>VOLUME</stp>
        <stp>.SPY251226C591</stp>
        <tr r="W16" s="2"/>
      </tp>
      <tp t="s">
        <v>N/A</v>
        <stp/>
        <stp>VOLUME</stp>
        <stp>.SPY251231C586</stp>
        <tr r="X21" s="2"/>
      </tp>
      <tp t="s">
        <v>N/A</v>
        <stp/>
        <stp>VOLUME</stp>
        <stp>.SPY251226P592</stp>
        <tr r="W15" s="2"/>
      </tp>
      <tp>
        <v>9</v>
        <stp/>
        <stp>VOLUME</stp>
        <stp>.SPY251231P585</stp>
        <tr r="X22" s="2"/>
        <tr r="X22" s="2"/>
      </tp>
      <tp t="s">
        <v>N/A</v>
        <stp/>
        <stp>VOLUME</stp>
        <stp>.SPY251226C592</stp>
        <tr r="W15" s="2"/>
      </tp>
      <tp t="s">
        <v>N/A</v>
        <stp/>
        <stp>VOLUME</stp>
        <stp>.SPY251231C585</stp>
        <tr r="X22" s="2"/>
      </tp>
      <tp t="s">
        <v>N/A</v>
        <stp/>
        <stp>VOLUME</stp>
        <stp>.SPY251226P593</stp>
        <tr r="W14" s="2"/>
      </tp>
      <tp>
        <v>20</v>
        <stp/>
        <stp>VOLUME</stp>
        <stp>.SPY251231P584</stp>
        <tr r="X23" s="2"/>
        <tr r="X23" s="2"/>
      </tp>
      <tp t="s">
        <v>N/A</v>
        <stp/>
        <stp>VOLUME</stp>
        <stp>.SPY251226C593</stp>
        <tr r="W14" s="2"/>
      </tp>
      <tp>
        <v>1</v>
        <stp/>
        <stp>VOLUME</stp>
        <stp>.SPY251231C584</stp>
        <tr r="X23" s="2"/>
        <tr r="X23" s="2"/>
      </tp>
      <tp t="s">
        <v>N/A</v>
        <stp/>
        <stp>VOLUME</stp>
        <stp>.SPY251226P594</stp>
        <tr r="W13" s="2"/>
      </tp>
      <tp t="s">
        <v>N/A</v>
        <stp/>
        <stp>VOLUME</stp>
        <stp>.SPY251231P583</stp>
        <tr r="X24" s="2"/>
      </tp>
      <tp t="s">
        <v>N/A</v>
        <stp/>
        <stp>VOLUME</stp>
        <stp>.SPY251226C594</stp>
        <tr r="W13" s="2"/>
      </tp>
      <tp t="s">
        <v>N/A</v>
        <stp/>
        <stp>VOLUME</stp>
        <stp>.SPY251231C583</stp>
        <tr r="X24" s="2"/>
      </tp>
      <tp t="s">
        <v>N/A</v>
        <stp/>
        <stp>VOLUME</stp>
        <stp>.SPY251226P595</stp>
        <tr r="W12" s="2"/>
      </tp>
      <tp>
        <v>1</v>
        <stp/>
        <stp>VOLUME</stp>
        <stp>.SPY251231P582</stp>
        <tr r="X25" s="2"/>
        <tr r="X25" s="2"/>
      </tp>
      <tp t="s">
        <v>N/A</v>
        <stp/>
        <stp>VOLUME</stp>
        <stp>.SPY251226C595</stp>
        <tr r="W12" s="2"/>
      </tp>
      <tp t="s">
        <v>N/A</v>
        <stp/>
        <stp>VOLUME</stp>
        <stp>.SPY251231C582</stp>
        <tr r="X25" s="2"/>
      </tp>
      <tp t="s">
        <v>N/A</v>
        <stp/>
        <stp>VOLUME</stp>
        <stp>.SPY251226P596</stp>
        <tr r="W11" s="2"/>
      </tp>
      <tp t="s">
        <v>N/A</v>
        <stp/>
        <stp>VOLUME</stp>
        <stp>.SPY251231P581</stp>
        <tr r="X26" s="2"/>
      </tp>
      <tp t="s">
        <v>N/A</v>
        <stp/>
        <stp>VOLUME</stp>
        <stp>.SPY251226C596</stp>
        <tr r="W11" s="2"/>
      </tp>
      <tp t="s">
        <v>N/A</v>
        <stp/>
        <stp>VOLUME</stp>
        <stp>.SPY251231C581</stp>
        <tr r="X26" s="2"/>
      </tp>
      <tp t="s">
        <v>N/A</v>
        <stp/>
        <stp>VOLUME</stp>
        <stp>.SPY251226P597</stp>
        <tr r="W10" s="2"/>
      </tp>
      <tp>
        <v>182</v>
        <stp/>
        <stp>VOLUME</stp>
        <stp>.SPY251231P580</stp>
        <tr r="X27" s="2"/>
        <tr r="X27" s="2"/>
      </tp>
      <tp t="s">
        <v>N/A</v>
        <stp/>
        <stp>VOLUME</stp>
        <stp>.SPY251226C597</stp>
        <tr r="W10" s="2"/>
      </tp>
      <tp>
        <v>4</v>
        <stp/>
        <stp>VOLUME</stp>
        <stp>.SPY251231C580</stp>
        <tr r="X27" s="2"/>
        <tr r="X27" s="2"/>
      </tp>
      <tp t="s">
        <v>N/A</v>
        <stp/>
        <stp>VOLUME</stp>
        <stp>.SPY251226P598</stp>
        <tr r="W9" s="2"/>
      </tp>
      <tp t="s">
        <v>N/A</v>
        <stp/>
        <stp>VOLUME</stp>
        <stp>.SPY251226C598</stp>
        <tr r="W9" s="2"/>
      </tp>
      <tp t="s">
        <v>N/A</v>
        <stp/>
        <stp>VOLUME</stp>
        <stp>.SPY251226P599</stp>
        <tr r="W8" s="2"/>
      </tp>
      <tp t="s">
        <v>N/A</v>
        <stp/>
        <stp>VOLUME</stp>
        <stp>.SPY251226C599</stp>
        <tr r="W8" s="2"/>
      </tp>
      <tp t="s">
        <v>N/A</v>
        <stp/>
        <stp>VOLUME</stp>
        <stp>.SPY251231P589</stp>
        <tr r="X18" s="2"/>
      </tp>
      <tp t="s">
        <v>N/A</v>
        <stp/>
        <stp>VOLUME</stp>
        <stp>.SPY251231C589</stp>
        <tr r="X18" s="2"/>
      </tp>
      <tp t="s">
        <v>N/A</v>
        <stp/>
        <stp>VOLUME</stp>
        <stp>.SPY251231P588</stp>
        <tr r="X19" s="2"/>
      </tp>
      <tp>
        <v>5</v>
        <stp/>
        <stp>VOLUME</stp>
        <stp>.SPY251231C588</stp>
        <tr r="X19" s="2"/>
        <tr r="X19" s="2"/>
      </tp>
      <tp t="s">
        <v>N/A</v>
        <stp/>
        <stp>VOLUME</stp>
        <stp>.SPY251226P580</stp>
        <tr r="W27" s="2"/>
      </tp>
      <tp>
        <v>2</v>
        <stp/>
        <stp>VOLUME</stp>
        <stp>.SPY251231P597</stp>
        <tr r="X10" s="2"/>
        <tr r="X10" s="2"/>
      </tp>
      <tp t="s">
        <v>N/A</v>
        <stp/>
        <stp>VOLUME</stp>
        <stp>.SPY251226C580</stp>
        <tr r="W27" s="2"/>
      </tp>
      <tp t="s">
        <v>N/A</v>
        <stp/>
        <stp>VOLUME</stp>
        <stp>.SPY251231C597</stp>
        <tr r="X10" s="2"/>
      </tp>
      <tp t="s">
        <v>N/A</v>
        <stp/>
        <stp>VOLUME</stp>
        <stp>.SPY251226P581</stp>
        <tr r="W26" s="2"/>
      </tp>
      <tp>
        <v>1</v>
        <stp/>
        <stp>VOLUME</stp>
        <stp>.SPY251231P596</stp>
        <tr r="X11" s="2"/>
        <tr r="X11" s="2"/>
      </tp>
      <tp t="s">
        <v>N/A</v>
        <stp/>
        <stp>VOLUME</stp>
        <stp>.SPY251226C581</stp>
        <tr r="W26" s="2"/>
      </tp>
      <tp>
        <v>5</v>
        <stp/>
        <stp>VOLUME</stp>
        <stp>.SPY251231C596</stp>
        <tr r="X11" s="2"/>
        <tr r="X11" s="2"/>
      </tp>
      <tp t="s">
        <v>N/A</v>
        <stp/>
        <stp>VOLUME</stp>
        <stp>.SPY251226P582</stp>
        <tr r="W25" s="2"/>
      </tp>
      <tp>
        <v>3</v>
        <stp/>
        <stp>VOLUME</stp>
        <stp>.SPY251231P595</stp>
        <tr r="X12" s="2"/>
        <tr r="X12" s="2"/>
      </tp>
      <tp t="s">
        <v>N/A</v>
        <stp/>
        <stp>VOLUME</stp>
        <stp>.SPY251226C582</stp>
        <tr r="W25" s="2"/>
      </tp>
      <tp>
        <v>2</v>
        <stp/>
        <stp>VOLUME</stp>
        <stp>.SPY251231C595</stp>
        <tr r="X12" s="2"/>
        <tr r="X12" s="2"/>
      </tp>
      <tp t="s">
        <v>N/A</v>
        <stp/>
        <stp>VOLUME</stp>
        <stp>.SPY251226P583</stp>
        <tr r="W24" s="2"/>
      </tp>
      <tp>
        <v>7</v>
        <stp/>
        <stp>VOLUME</stp>
        <stp>.SPY251231P594</stp>
        <tr r="X13" s="2"/>
        <tr r="X13" s="2"/>
      </tp>
      <tp t="s">
        <v>N/A</v>
        <stp/>
        <stp>VOLUME</stp>
        <stp>.SPY251226C583</stp>
        <tr r="W24" s="2"/>
      </tp>
      <tp>
        <v>3</v>
        <stp/>
        <stp>VOLUME</stp>
        <stp>.SPY251231C594</stp>
        <tr r="X13" s="2"/>
        <tr r="X13" s="2"/>
      </tp>
      <tp t="s">
        <v>N/A</v>
        <stp/>
        <stp>VOLUME</stp>
        <stp>.SPY251226P584</stp>
        <tr r="W23" s="2"/>
      </tp>
      <tp>
        <v>164</v>
        <stp/>
        <stp>VOLUME</stp>
        <stp>.SPY251231P593</stp>
        <tr r="X14" s="2"/>
        <tr r="X14" s="2"/>
      </tp>
      <tp t="s">
        <v>N/A</v>
        <stp/>
        <stp>VOLUME</stp>
        <stp>.SPY251226C584</stp>
        <tr r="W23" s="2"/>
      </tp>
      <tp t="s">
        <v>N/A</v>
        <stp/>
        <stp>VOLUME</stp>
        <stp>.SPY251231C593</stp>
        <tr r="X14" s="2"/>
      </tp>
      <tp t="s">
        <v>N/A</v>
        <stp/>
        <stp>VOLUME</stp>
        <stp>.SPY251226P585</stp>
        <tr r="W22" s="2"/>
      </tp>
      <tp>
        <v>6</v>
        <stp/>
        <stp>VOLUME</stp>
        <stp>.SPY251231P592</stp>
        <tr r="X15" s="2"/>
        <tr r="X15" s="2"/>
      </tp>
      <tp t="s">
        <v>N/A</v>
        <stp/>
        <stp>VOLUME</stp>
        <stp>.SPY251226C585</stp>
        <tr r="W22" s="2"/>
      </tp>
      <tp>
        <v>3</v>
        <stp/>
        <stp>VOLUME</stp>
        <stp>.SPY251231C592</stp>
        <tr r="X15" s="2"/>
        <tr r="X15" s="2"/>
      </tp>
      <tp t="s">
        <v>N/A</v>
        <stp/>
        <stp>VOLUME</stp>
        <stp>.SPY251226P586</stp>
        <tr r="W21" s="2"/>
      </tp>
      <tp>
        <v>1</v>
        <stp/>
        <stp>VOLUME</stp>
        <stp>.SPY251231P591</stp>
        <tr r="X16" s="2"/>
        <tr r="X16" s="2"/>
      </tp>
      <tp t="s">
        <v>N/A</v>
        <stp/>
        <stp>VOLUME</stp>
        <stp>.SPY251226C586</stp>
        <tr r="W21" s="2"/>
      </tp>
      <tp>
        <v>2</v>
        <stp/>
        <stp>VOLUME</stp>
        <stp>.SPY251231C591</stp>
        <tr r="X16" s="2"/>
        <tr r="X16" s="2"/>
      </tp>
      <tp t="s">
        <v>N/A</v>
        <stp/>
        <stp>VOLUME</stp>
        <stp>.SPY251226P587</stp>
        <tr r="W20" s="2"/>
      </tp>
      <tp>
        <v>100</v>
        <stp/>
        <stp>VOLUME</stp>
        <stp>.SPY251231P590</stp>
        <tr r="X17" s="2"/>
        <tr r="X17" s="2"/>
      </tp>
      <tp t="s">
        <v>N/A</v>
        <stp/>
        <stp>VOLUME</stp>
        <stp>.SPY251226C587</stp>
        <tr r="W20" s="2"/>
      </tp>
      <tp>
        <v>12</v>
        <stp/>
        <stp>VOLUME</stp>
        <stp>.SPY251231C590</stp>
        <tr r="X17" s="2"/>
        <tr r="X17" s="2"/>
      </tp>
      <tp t="s">
        <v>N/A</v>
        <stp/>
        <stp>VOLUME</stp>
        <stp>.SPY251226P588</stp>
        <tr r="W19" s="2"/>
      </tp>
      <tp t="s">
        <v>N/A</v>
        <stp/>
        <stp>VOLUME</stp>
        <stp>.SPY251226C588</stp>
        <tr r="W19" s="2"/>
      </tp>
      <tp t="s">
        <v>N/A</v>
        <stp/>
        <stp>VOLUME</stp>
        <stp>.SPY251226P589</stp>
        <tr r="W18" s="2"/>
      </tp>
      <tp t="s">
        <v>N/A</v>
        <stp/>
        <stp>VOLUME</stp>
        <stp>.SPY251226C589</stp>
        <tr r="W18" s="2"/>
      </tp>
      <tp t="s">
        <v>N/A</v>
        <stp/>
        <stp>VOLUME</stp>
        <stp>.SPY251231P599</stp>
        <tr r="X8" s="2"/>
      </tp>
      <tp t="s">
        <v>N/A</v>
        <stp/>
        <stp>VOLUME</stp>
        <stp>.SPY251231C599</stp>
        <tr r="X8" s="2"/>
      </tp>
      <tp t="s">
        <v>N/A</v>
        <stp/>
        <stp>VOLUME</stp>
        <stp>.SPY251231P598</stp>
        <tr r="X9" s="2"/>
      </tp>
      <tp t="s">
        <v>N/A</v>
        <stp/>
        <stp>VOLUME</stp>
        <stp>.SPY251231C598</stp>
        <tr r="X9" s="2"/>
      </tp>
      <tp t="s">
        <v>N/A</v>
        <stp/>
        <stp>VOLUME</stp>
        <stp>.SPY251128P602</stp>
        <tr r="U5" s="2"/>
        <tr r="V5" s="2"/>
      </tp>
      <tp t="s">
        <v>N/A</v>
        <stp/>
        <stp>VOLUME</stp>
        <stp>.SPY251128C602</stp>
        <tr r="U5" s="2"/>
        <tr r="V5" s="2"/>
      </tp>
      <tp t="s">
        <v>N/A</v>
        <stp/>
        <stp>VOLUME</stp>
        <stp>.SPY251128P600</stp>
        <tr r="V7" s="2"/>
        <tr r="U7" s="2"/>
      </tp>
      <tp t="s">
        <v>N/A</v>
        <stp/>
        <stp>VOLUME</stp>
        <stp>.SPY251128C600</stp>
        <tr r="V7" s="2"/>
        <tr r="U7" s="2"/>
      </tp>
      <tp t="s">
        <v>N/A</v>
        <stp/>
        <stp>VOLUME</stp>
        <stp>.SPY251128P601</stp>
        <tr r="V6" s="2"/>
        <tr r="U6" s="2"/>
      </tp>
      <tp t="s">
        <v>N/A</v>
        <stp/>
        <stp>VOLUME</stp>
        <stp>.SPY251128C601</stp>
        <tr r="V6" s="2"/>
        <tr r="U6" s="2"/>
      </tp>
      <tp t="s">
        <v>N/A</v>
        <stp/>
        <stp>VOLUME</stp>
        <stp>.SPY251226P570</stp>
        <tr r="W37" s="2"/>
      </tp>
      <tp t="s">
        <v>N/A</v>
        <stp/>
        <stp>VOLUME</stp>
        <stp>.SPY251226C570</stp>
        <tr r="W37" s="2"/>
      </tp>
      <tp t="s">
        <v>N/A</v>
        <stp/>
        <stp>VOLUME</stp>
        <stp>.SPY251226P571</stp>
        <tr r="W36" s="2"/>
      </tp>
      <tp t="s">
        <v>N/A</v>
        <stp/>
        <stp>VOLUME</stp>
        <stp>.SPY251226C571</stp>
        <tr r="W36" s="2"/>
      </tp>
      <tp t="s">
        <v>N/A</v>
        <stp/>
        <stp>VOLUME</stp>
        <stp>.SPY251226P572</stp>
        <tr r="W35" s="2"/>
      </tp>
      <tp t="s">
        <v>N/A</v>
        <stp/>
        <stp>VOLUME</stp>
        <stp>.SPY251226C572</stp>
        <tr r="W35" s="2"/>
      </tp>
      <tp t="s">
        <v>N/A</v>
        <stp/>
        <stp>VOLUME</stp>
        <stp>.SPY251226P573</stp>
        <tr r="W34" s="2"/>
      </tp>
      <tp t="s">
        <v>N/A</v>
        <stp/>
        <stp>VOLUME</stp>
        <stp>.SPY251226C573</stp>
        <tr r="W34" s="2"/>
      </tp>
      <tp t="s">
        <v>N/A</v>
        <stp/>
        <stp>VOLUME</stp>
        <stp>.SPY251226P574</stp>
        <tr r="W33" s="2"/>
      </tp>
      <tp t="s">
        <v>N/A</v>
        <stp/>
        <stp>VOLUME</stp>
        <stp>.SPY251226C574</stp>
        <tr r="W33" s="2"/>
      </tp>
      <tp t="s">
        <v>N/A</v>
        <stp/>
        <stp>VOLUME</stp>
        <stp>.SPY251226P575</stp>
        <tr r="W32" s="2"/>
      </tp>
      <tp t="s">
        <v>N/A</v>
        <stp/>
        <stp>VOLUME</stp>
        <stp>.SPY251226C575</stp>
        <tr r="W32" s="2"/>
      </tp>
      <tp t="s">
        <v>N/A</v>
        <stp/>
        <stp>VOLUME</stp>
        <stp>.SPY251226P576</stp>
        <tr r="W31" s="2"/>
      </tp>
      <tp t="s">
        <v>N/A</v>
        <stp/>
        <stp>VOLUME</stp>
        <stp>.SPY251226C576</stp>
        <tr r="W31" s="2"/>
      </tp>
      <tp t="s">
        <v>N/A</v>
        <stp/>
        <stp>VOLUME</stp>
        <stp>.SPY251226P577</stp>
        <tr r="W30" s="2"/>
      </tp>
      <tp t="s">
        <v>N/A</v>
        <stp/>
        <stp>VOLUME</stp>
        <stp>.SPY251226C577</stp>
        <tr r="W30" s="2"/>
      </tp>
      <tp t="s">
        <v>N/A</v>
        <stp/>
        <stp>VOLUME</stp>
        <stp>.SPY251226P578</stp>
        <tr r="W29" s="2"/>
      </tp>
      <tp t="s">
        <v>N/A</v>
        <stp/>
        <stp>VOLUME</stp>
        <stp>.SPY251226C578</stp>
        <tr r="W29" s="2"/>
      </tp>
      <tp t="s">
        <v>N/A</v>
        <stp/>
        <stp>VOLUME</stp>
        <stp>.SPY251226P579</stp>
        <tr r="W28" s="2"/>
      </tp>
      <tp t="s">
        <v>N/A</v>
        <stp/>
        <stp>VOLUME</stp>
        <stp>.SPY251226C579</stp>
        <tr r="W28" s="2"/>
      </tp>
      <tp t="s">
        <v>N/A</v>
        <stp/>
        <stp>VOLUME</stp>
        <stp>.SPY251231P569</stp>
        <tr r="X38" s="2"/>
      </tp>
      <tp t="s">
        <v>N/A</v>
        <stp/>
        <stp>VOLUME</stp>
        <stp>.SPY251231C569</stp>
        <tr r="X38" s="2"/>
      </tp>
      <tp>
        <v>1</v>
        <stp/>
        <stp>VOLUME</stp>
        <stp>.SPY251231P568</stp>
        <tr r="X39" s="2"/>
        <tr r="X39" s="2"/>
      </tp>
      <tp t="s">
        <v>N/A</v>
        <stp/>
        <stp>VOLUME</stp>
        <stp>.SPY251231C568</stp>
        <tr r="X39" s="2"/>
      </tp>
      <tp t="s">
        <v>N/A</v>
        <stp/>
        <stp>VOLUME</stp>
        <stp>.SPY251231P577</stp>
        <tr r="X30" s="2"/>
      </tp>
      <tp t="s">
        <v>N/A</v>
        <stp/>
        <stp>VOLUME</stp>
        <stp>.SPY251231C577</stp>
        <tr r="X30" s="2"/>
      </tp>
      <tp t="s">
        <v>N/A</v>
        <stp/>
        <stp>VOLUME</stp>
        <stp>.SPY251231P576</stp>
        <tr r="X31" s="2"/>
      </tp>
      <tp t="s">
        <v>N/A</v>
        <stp/>
        <stp>VOLUME</stp>
        <stp>.SPY251231C576</stp>
        <tr r="X31" s="2"/>
      </tp>
      <tp>
        <v>9</v>
        <stp/>
        <stp>VOLUME</stp>
        <stp>.SPY251231P575</stp>
        <tr r="X32" s="2"/>
        <tr r="X32" s="2"/>
      </tp>
      <tp>
        <v>1</v>
        <stp/>
        <stp>VOLUME</stp>
        <stp>.SPY251231C575</stp>
        <tr r="X32" s="2"/>
        <tr r="X32" s="2"/>
      </tp>
      <tp t="s">
        <v>N/A</v>
        <stp/>
        <stp>VOLUME</stp>
        <stp>.SPY251231P574</stp>
        <tr r="X33" s="2"/>
      </tp>
      <tp>
        <v>13</v>
        <stp/>
        <stp>VOLUME</stp>
        <stp>.SPY251231C574</stp>
        <tr r="X33" s="2"/>
        <tr r="X33" s="2"/>
      </tp>
      <tp t="s">
        <v>N/A</v>
        <stp/>
        <stp>VOLUME</stp>
        <stp>.SPY251231P573</stp>
        <tr r="X34" s="2"/>
      </tp>
      <tp t="s">
        <v>N/A</v>
        <stp/>
        <stp>VOLUME</stp>
        <stp>.SPY251231C573</stp>
        <tr r="X34" s="2"/>
      </tp>
      <tp>
        <v>6</v>
        <stp/>
        <stp>VOLUME</stp>
        <stp>.SPY251231P572</stp>
        <tr r="X35" s="2"/>
        <tr r="X35" s="2"/>
      </tp>
      <tp t="s">
        <v>N/A</v>
        <stp/>
        <stp>VOLUME</stp>
        <stp>.SPY251231C572</stp>
        <tr r="X35" s="2"/>
      </tp>
      <tp>
        <v>1</v>
        <stp/>
        <stp>VOLUME</stp>
        <stp>.SPY251231P571</stp>
        <tr r="X36" s="2"/>
        <tr r="X36" s="2"/>
      </tp>
      <tp t="s">
        <v>N/A</v>
        <stp/>
        <stp>VOLUME</stp>
        <stp>.SPY251231C571</stp>
        <tr r="X36" s="2"/>
      </tp>
      <tp>
        <v>457</v>
        <stp/>
        <stp>VOLUME</stp>
        <stp>.SPY251231P570</stp>
        <tr r="X37" s="2"/>
        <tr r="X37" s="2"/>
      </tp>
      <tp>
        <v>11</v>
        <stp/>
        <stp>VOLUME</stp>
        <stp>.SPY251231C570</stp>
        <tr r="X37" s="2"/>
        <tr r="X37" s="2"/>
      </tp>
      <tp t="s">
        <v>N/A</v>
        <stp/>
        <stp>VOLUME</stp>
        <stp>.SPY251226P568</stp>
        <tr r="W39" s="2"/>
      </tp>
      <tp t="s">
        <v>N/A</v>
        <stp/>
        <stp>VOLUME</stp>
        <stp>.SPY251226C568</stp>
        <tr r="W39" s="2"/>
      </tp>
      <tp t="s">
        <v>N/A</v>
        <stp/>
        <stp>VOLUME</stp>
        <stp>.SPY251226P569</stp>
        <tr r="W38" s="2"/>
      </tp>
      <tp t="s">
        <v>N/A</v>
        <stp/>
        <stp>VOLUME</stp>
        <stp>.SPY251226C569</stp>
        <tr r="W38" s="2"/>
      </tp>
      <tp t="s">
        <v>N/A</v>
        <stp/>
        <stp>VOLUME</stp>
        <stp>.SPY251231P579</stp>
        <tr r="X28" s="2"/>
      </tp>
      <tp t="s">
        <v>N/A</v>
        <stp/>
        <stp>VOLUME</stp>
        <stp>.SPY251231C579</stp>
        <tr r="X28" s="2"/>
      </tp>
      <tp t="s">
        <v>N/A</v>
        <stp/>
        <stp>VOLUME</stp>
        <stp>.SPY251231P578</stp>
        <tr r="X29" s="2"/>
      </tp>
      <tp t="s">
        <v>N/A</v>
        <stp/>
        <stp>VOLUME</stp>
        <stp>.SPY251231C578</stp>
        <tr r="X29" s="2"/>
      </tp>
      <tp t="s">
        <v>N/A</v>
        <stp/>
        <stp>VOLUME</stp>
        <stp>.QQQ250829P499</stp>
        <tr r="P79" s="2"/>
      </tp>
      <tp t="s">
        <v>N/A</v>
        <stp/>
        <stp>VOLUME</stp>
        <stp>.QQQ250829C499</stp>
        <tr r="P79" s="2"/>
      </tp>
      <tp t="s">
        <v>N/A</v>
        <stp/>
        <stp>VOLUME</stp>
        <stp>.QQQ250829P498</stp>
        <tr r="P80" s="2"/>
      </tp>
      <tp t="s">
        <v>N/A</v>
        <stp/>
        <stp>VOLUME</stp>
        <stp>.QQQ250829C498</stp>
        <tr r="P80" s="2"/>
      </tp>
      <tp t="s">
        <v>N/A</v>
        <stp/>
        <stp>VOLUME</stp>
        <stp>.SPY251128P598</stp>
        <tr r="V9" s="2"/>
        <tr r="U9" s="2"/>
      </tp>
      <tp t="s">
        <v>N/A</v>
        <stp/>
        <stp>VOLUME</stp>
        <stp>.SPY251128C598</stp>
        <tr r="V9" s="2"/>
        <tr r="U9" s="2"/>
      </tp>
      <tp t="s">
        <v>N/A</v>
        <stp/>
        <stp>VOLUME</stp>
        <stp>.SPY251128P599</stp>
        <tr r="V8" s="2"/>
        <tr r="U8" s="2"/>
      </tp>
      <tp t="s">
        <v>N/A</v>
        <stp/>
        <stp>VOLUME</stp>
        <stp>.SPY251128C599</stp>
        <tr r="V8" s="2"/>
        <tr r="U8" s="2"/>
      </tp>
      <tp t="s">
        <v>N/A</v>
        <stp/>
        <stp>VOLUME</stp>
        <stp>.SPY251128P596</stp>
        <tr r="U11" s="2"/>
        <tr r="V11" s="2"/>
      </tp>
      <tp t="s">
        <v>N/A</v>
        <stp/>
        <stp>VOLUME</stp>
        <stp>.SPY251128C596</stp>
        <tr r="U11" s="2"/>
        <tr r="V11" s="2"/>
      </tp>
      <tp t="s">
        <v>N/A</v>
        <stp/>
        <stp>VOLUME</stp>
        <stp>.SPY251128P597</stp>
        <tr r="V10" s="2"/>
        <tr r="U10" s="2"/>
      </tp>
      <tp t="s">
        <v>N/A</v>
        <stp/>
        <stp>VOLUME</stp>
        <stp>.SPY251128C597</stp>
        <tr r="V10" s="2"/>
        <tr r="U10" s="2"/>
      </tp>
      <tp t="s">
        <v>N/A</v>
        <stp/>
        <stp>VOLUME</stp>
        <stp>.SPY251128P594</stp>
        <tr r="V13" s="2"/>
        <tr r="U13" s="2"/>
      </tp>
      <tp t="s">
        <v>N/A</v>
        <stp/>
        <stp>VOLUME</stp>
        <stp>.SPY251128C594</stp>
        <tr r="V13" s="2"/>
        <tr r="U13" s="2"/>
      </tp>
      <tp t="s">
        <v>N/A</v>
        <stp/>
        <stp>VOLUME</stp>
        <stp>.SPY251128P595</stp>
        <tr r="V12" s="2"/>
        <tr r="U12" s="2"/>
      </tp>
      <tp t="s">
        <v>N/A</v>
        <stp/>
        <stp>VOLUME</stp>
        <stp>.SPY251128C595</stp>
        <tr r="V12" s="2"/>
        <tr r="U12" s="2"/>
      </tp>
      <tp t="s">
        <v>N/A</v>
        <stp/>
        <stp>VOLUME</stp>
        <stp>.SPY251128P592</stp>
        <tr r="U15" s="2"/>
        <tr r="V15" s="2"/>
      </tp>
      <tp t="s">
        <v>N/A</v>
        <stp/>
        <stp>VOLUME</stp>
        <stp>.SPY251128C592</stp>
        <tr r="U15" s="2"/>
        <tr r="V15" s="2"/>
      </tp>
      <tp t="s">
        <v>N/A</v>
        <stp/>
        <stp>VOLUME</stp>
        <stp>.SPY251128P593</stp>
        <tr r="V14" s="2"/>
        <tr r="U14" s="2"/>
      </tp>
      <tp t="s">
        <v>N/A</v>
        <stp/>
        <stp>VOLUME</stp>
        <stp>.SPY251128C593</stp>
        <tr r="V14" s="2"/>
        <tr r="U14" s="2"/>
      </tp>
      <tp t="s">
        <v>N/A</v>
        <stp/>
        <stp>VOLUME</stp>
        <stp>.QQQ250822P498</stp>
        <tr r="O80" s="2"/>
      </tp>
      <tp t="s">
        <v>N/A</v>
        <stp/>
        <stp>VOLUME</stp>
        <stp>.SPY251128P590</stp>
        <tr r="V17" s="2"/>
        <tr r="U17" s="2"/>
      </tp>
      <tp t="s">
        <v>N/A</v>
        <stp/>
        <stp>VOLUME</stp>
        <stp>.QQQ250822C498</stp>
        <tr r="O80" s="2"/>
      </tp>
      <tp t="s">
        <v>N/A</v>
        <stp/>
        <stp>VOLUME</stp>
        <stp>.SPY251128C590</stp>
        <tr r="V17" s="2"/>
        <tr r="U17" s="2"/>
      </tp>
      <tp t="s">
        <v>N/A</v>
        <stp/>
        <stp>VOLUME</stp>
        <stp>.QQQ250822P499</stp>
        <tr r="O79" s="2"/>
      </tp>
      <tp t="s">
        <v>N/A</v>
        <stp/>
        <stp>VOLUME</stp>
        <stp>.SPY251128P591</stp>
        <tr r="V16" s="2"/>
        <tr r="U16" s="2"/>
      </tp>
      <tp t="s">
        <v>N/A</v>
        <stp/>
        <stp>VOLUME</stp>
        <stp>.QQQ250822C499</stp>
        <tr r="O79" s="2"/>
      </tp>
      <tp t="s">
        <v>N/A</v>
        <stp/>
        <stp>VOLUME</stp>
        <stp>.SPY251128C591</stp>
        <tr r="V16" s="2"/>
        <tr r="U16" s="2"/>
      </tp>
      <tp t="s">
        <v>N/A</v>
        <stp/>
        <stp>VOLUME</stp>
        <stp>.SPY251128P588</stp>
        <tr r="V19" s="2"/>
        <tr r="U19" s="2"/>
      </tp>
      <tp t="s">
        <v>N/A</v>
        <stp/>
        <stp>VOLUME</stp>
        <stp>.SPY251128C588</stp>
        <tr r="V19" s="2"/>
        <tr r="U19" s="2"/>
      </tp>
      <tp t="s">
        <v>N/A</v>
        <stp/>
        <stp>VOLUME</stp>
        <stp>.SPY251128P589</stp>
        <tr r="V18" s="2"/>
        <tr r="U18" s="2"/>
      </tp>
      <tp t="s">
        <v>N/A</v>
        <stp/>
        <stp>VOLUME</stp>
        <stp>.SPY251128C589</stp>
        <tr r="V18" s="2"/>
        <tr r="U18" s="2"/>
      </tp>
      <tp t="s">
        <v>N/A</v>
        <stp/>
        <stp>VOLUME</stp>
        <stp>.SPY251128P586</stp>
        <tr r="U21" s="2"/>
        <tr r="V21" s="2"/>
      </tp>
      <tp t="s">
        <v>N/A</v>
        <stp/>
        <stp>VOLUME</stp>
        <stp>.SPY251128C586</stp>
        <tr r="U21" s="2"/>
        <tr r="V21" s="2"/>
      </tp>
      <tp t="s">
        <v>N/A</v>
        <stp/>
        <stp>VOLUME</stp>
        <stp>.SPY251128P587</stp>
        <tr r="U20" s="2"/>
        <tr r="V20" s="2"/>
      </tp>
      <tp t="s">
        <v>N/A</v>
        <stp/>
        <stp>VOLUME</stp>
        <stp>.SPY251128C587</stp>
        <tr r="U20" s="2"/>
        <tr r="V20" s="2"/>
      </tp>
      <tp t="s">
        <v>N/A</v>
        <stp/>
        <stp>VOLUME</stp>
        <stp>.SPY251128P584</stp>
        <tr r="U23" s="2"/>
        <tr r="V23" s="2"/>
      </tp>
      <tp t="s">
        <v>N/A</v>
        <stp/>
        <stp>VOLUME</stp>
        <stp>.SPY251128C584</stp>
        <tr r="U23" s="2"/>
        <tr r="V23" s="2"/>
      </tp>
      <tp t="s">
        <v>N/A</v>
        <stp/>
        <stp>VOLUME</stp>
        <stp>.SPY251128P585</stp>
        <tr r="U22" s="2"/>
        <tr r="V22" s="2"/>
      </tp>
      <tp t="s">
        <v>N/A</v>
        <stp/>
        <stp>VOLUME</stp>
        <stp>.SPY251128C585</stp>
        <tr r="U22" s="2"/>
        <tr r="V22" s="2"/>
      </tp>
      <tp t="s">
        <v>N/A</v>
        <stp/>
        <stp>VOLUME</stp>
        <stp>.SPY251128P582</stp>
        <tr r="U25" s="2"/>
        <tr r="V25" s="2"/>
      </tp>
      <tp t="s">
        <v>N/A</v>
        <stp/>
        <stp>VOLUME</stp>
        <stp>.SPY251128C582</stp>
        <tr r="U25" s="2"/>
        <tr r="V25" s="2"/>
      </tp>
      <tp t="s">
        <v>N/A</v>
        <stp/>
        <stp>VOLUME</stp>
        <stp>.SPY251128P583</stp>
        <tr r="V24" s="2"/>
        <tr r="U24" s="2"/>
      </tp>
      <tp t="s">
        <v>N/A</v>
        <stp/>
        <stp>VOLUME</stp>
        <stp>.SPY251128C583</stp>
        <tr r="V24" s="2"/>
        <tr r="U24" s="2"/>
      </tp>
      <tp t="s">
        <v>N/A</v>
        <stp/>
        <stp>VOLUME</stp>
        <stp>.SPY251128P580</stp>
        <tr r="U27" s="2"/>
        <tr r="V27" s="2"/>
      </tp>
      <tp t="s">
        <v>N/A</v>
        <stp/>
        <stp>VOLUME</stp>
        <stp>.SPY251128C580</stp>
        <tr r="U27" s="2"/>
        <tr r="V27" s="2"/>
      </tp>
      <tp t="s">
        <v>N/A</v>
        <stp/>
        <stp>VOLUME</stp>
        <stp>.SPY251128P581</stp>
        <tr r="U26" s="2"/>
        <tr r="V26" s="2"/>
      </tp>
      <tp t="s">
        <v>N/A</v>
        <stp/>
        <stp>VOLUME</stp>
        <stp>.SPY251128C581</stp>
        <tr r="U26" s="2"/>
        <tr r="V26" s="2"/>
      </tp>
      <tp t="s">
        <v>N/A</v>
        <stp/>
        <stp>VOLUME</stp>
        <stp>.QQQ250926P532</stp>
        <tr r="Q46" s="2"/>
      </tp>
      <tp t="s">
        <v>N/A</v>
        <stp/>
        <stp>VOLUME</stp>
        <stp>.QQQ250930P524</stp>
        <tr r="R54" s="2"/>
      </tp>
      <tp t="s">
        <v>N/A</v>
        <stp/>
        <stp>VOLUME</stp>
        <stp>.QQQ250926C532</stp>
        <tr r="Q46" s="2"/>
      </tp>
      <tp>
        <v>5</v>
        <stp/>
        <stp>VOLUME</stp>
        <stp>.QQQ250930C524</stp>
        <tr r="R54" s="2"/>
        <tr r="R54" s="2"/>
      </tp>
      <tp>
        <v>1</v>
        <stp/>
        <stp>VOLUME</stp>
        <stp>.QQQ250930P525</stp>
        <tr r="R53" s="2"/>
        <tr r="R53" s="2"/>
      </tp>
      <tp>
        <v>90</v>
        <stp/>
        <stp>VOLUME</stp>
        <stp>.QQQ250930C525</stp>
        <tr r="R53" s="2"/>
        <tr r="R53" s="2"/>
      </tp>
      <tp t="s">
        <v>N/A</v>
        <stp/>
        <stp>VOLUME</stp>
        <stp>.QQQ250926P530</stp>
        <tr r="Q48" s="2"/>
      </tp>
      <tp t="s">
        <v>N/A</v>
        <stp/>
        <stp>VOLUME</stp>
        <stp>.QQQ250930P526</stp>
        <tr r="R52" s="2"/>
      </tp>
      <tp t="s">
        <v>N/A</v>
        <stp/>
        <stp>VOLUME</stp>
        <stp>.QQQ250926C530</stp>
        <tr r="Q48" s="2"/>
      </tp>
      <tp>
        <v>8</v>
        <stp/>
        <stp>VOLUME</stp>
        <stp>.QQQ250930C526</stp>
        <tr r="R52" s="2"/>
        <tr r="R52" s="2"/>
      </tp>
      <tp t="s">
        <v>N/A</v>
        <stp/>
        <stp>VOLUME</stp>
        <stp>.QQQ250926P531</stp>
        <tr r="Q47" s="2"/>
      </tp>
      <tp t="s">
        <v>N/A</v>
        <stp/>
        <stp>VOLUME</stp>
        <stp>.QQQ250930P527</stp>
        <tr r="R51" s="2"/>
      </tp>
      <tp t="s">
        <v>N/A</v>
        <stp/>
        <stp>VOLUME</stp>
        <stp>.QQQ250926C531</stp>
        <tr r="Q47" s="2"/>
      </tp>
      <tp>
        <v>2</v>
        <stp/>
        <stp>VOLUME</stp>
        <stp>.QQQ250930C527</stp>
        <tr r="R51" s="2"/>
        <tr r="R51" s="2"/>
      </tp>
      <tp>
        <v>90</v>
        <stp/>
        <stp>VOLUME</stp>
        <stp>.QQQ250930P520</stp>
        <tr r="R58" s="2"/>
        <tr r="R58" s="2"/>
      </tp>
      <tp>
        <v>64</v>
        <stp/>
        <stp>VOLUME</stp>
        <stp>.QQQ250930C520</stp>
        <tr r="R58" s="2"/>
        <tr r="R58" s="2"/>
      </tp>
      <tp>
        <v>7</v>
        <stp/>
        <stp>VOLUME</stp>
        <stp>.QQQ250930P521</stp>
        <tr r="R57" s="2"/>
        <tr r="R57" s="2"/>
      </tp>
      <tp>
        <v>21</v>
        <stp/>
        <stp>VOLUME</stp>
        <stp>.QQQ250930C521</stp>
        <tr r="R57" s="2"/>
        <tr r="R57" s="2"/>
      </tp>
      <tp>
        <v>7</v>
        <stp/>
        <stp>VOLUME</stp>
        <stp>.QQQ250930P522</stp>
        <tr r="R56" s="2"/>
        <tr r="R56" s="2"/>
      </tp>
      <tp>
        <v>10</v>
        <stp/>
        <stp>VOLUME</stp>
        <stp>.QQQ250930C522</stp>
        <tr r="R56" s="2"/>
        <tr r="R56" s="2"/>
      </tp>
      <tp>
        <v>9</v>
        <stp/>
        <stp>VOLUME</stp>
        <stp>.QQQ250930P523</stp>
        <tr r="R55" s="2"/>
        <tr r="R55" s="2"/>
      </tp>
      <tp t="s">
        <v>N/A</v>
        <stp/>
        <stp>VOLUME</stp>
        <stp>.QQQ250930C523</stp>
        <tr r="R55" s="2"/>
      </tp>
      <tp t="s">
        <v>N/A</v>
        <stp/>
        <stp>VOLUME</stp>
        <stp>.QQQ250930P528</stp>
        <tr r="R50" s="2"/>
      </tp>
      <tp t="s">
        <v>N/A</v>
        <stp/>
        <stp>VOLUME</stp>
        <stp>.QQQ250930C528</stp>
        <tr r="R50" s="2"/>
      </tp>
      <tp t="s">
        <v>N/A</v>
        <stp/>
        <stp>VOLUME</stp>
        <stp>.QQQ250930P529</stp>
        <tr r="R49" s="2"/>
      </tp>
      <tp t="s">
        <v>N/A</v>
        <stp/>
        <stp>VOLUME</stp>
        <stp>.QQQ250930C529</stp>
        <tr r="R49" s="2"/>
      </tp>
      <tp t="s">
        <v>N/A</v>
        <stp/>
        <stp>VOLUME</stp>
        <stp>.QQQ250926P522</stp>
        <tr r="Q56" s="2"/>
      </tp>
      <tp t="s">
        <v>N/A</v>
        <stp/>
        <stp>VOLUME</stp>
        <stp>.QQQ250926C522</stp>
        <tr r="Q56" s="2"/>
      </tp>
      <tp t="s">
        <v>N/A</v>
        <stp/>
        <stp>VOLUME</stp>
        <stp>.QQQ250926P523</stp>
        <tr r="Q55" s="2"/>
      </tp>
      <tp t="s">
        <v>N/A</v>
        <stp/>
        <stp>VOLUME</stp>
        <stp>.QQQ250926C523</stp>
        <tr r="Q55" s="2"/>
      </tp>
      <tp t="s">
        <v>N/A</v>
        <stp/>
        <stp>VOLUME</stp>
        <stp>.QQQ250926P520</stp>
        <tr r="Q58" s="2"/>
      </tp>
      <tp t="s">
        <v>N/A</v>
        <stp/>
        <stp>VOLUME</stp>
        <stp>.QQQ250926C520</stp>
        <tr r="Q58" s="2"/>
      </tp>
      <tp t="s">
        <v>N/A</v>
        <stp/>
        <stp>VOLUME</stp>
        <stp>.QQQ250926P521</stp>
        <tr r="Q57" s="2"/>
      </tp>
      <tp t="s">
        <v>N/A</v>
        <stp/>
        <stp>VOLUME</stp>
        <stp>.QQQ250926C521</stp>
        <tr r="Q57" s="2"/>
      </tp>
      <tp t="s">
        <v>N/A</v>
        <stp/>
        <stp>VOLUME</stp>
        <stp>.QQQ250926P526</stp>
        <tr r="Q52" s="2"/>
      </tp>
      <tp>
        <v>2</v>
        <stp/>
        <stp>VOLUME</stp>
        <stp>.QQQ250930P530</stp>
        <tr r="R48" s="2"/>
        <tr r="R48" s="2"/>
      </tp>
      <tp t="s">
        <v>N/A</v>
        <stp/>
        <stp>VOLUME</stp>
        <stp>.QQQ250926C526</stp>
        <tr r="Q52" s="2"/>
      </tp>
      <tp>
        <v>23</v>
        <stp/>
        <stp>VOLUME</stp>
        <stp>.QQQ250930C530</stp>
        <tr r="R48" s="2"/>
        <tr r="R48" s="2"/>
      </tp>
      <tp t="s">
        <v>N/A</v>
        <stp/>
        <stp>VOLUME</stp>
        <stp>.QQQ250926P527</stp>
        <tr r="Q51" s="2"/>
      </tp>
      <tp t="s">
        <v>N/A</v>
        <stp/>
        <stp>VOLUME</stp>
        <stp>.QQQ250930P531</stp>
        <tr r="R47" s="2"/>
      </tp>
      <tp t="s">
        <v>N/A</v>
        <stp/>
        <stp>VOLUME</stp>
        <stp>.QQQ250926C527</stp>
        <tr r="Q51" s="2"/>
      </tp>
      <tp>
        <v>11</v>
        <stp/>
        <stp>VOLUME</stp>
        <stp>.QQQ250930C531</stp>
        <tr r="R47" s="2"/>
        <tr r="R47" s="2"/>
      </tp>
      <tp t="s">
        <v>N/A</v>
        <stp/>
        <stp>VOLUME</stp>
        <stp>.QQQ250926P524</stp>
        <tr r="Q54" s="2"/>
      </tp>
      <tp t="s">
        <v>N/A</v>
        <stp/>
        <stp>VOLUME</stp>
        <stp>.QQQ250930P532</stp>
        <tr r="R46" s="2"/>
      </tp>
      <tp t="s">
        <v>N/A</v>
        <stp/>
        <stp>VOLUME</stp>
        <stp>.QQQ250926C524</stp>
        <tr r="Q54" s="2"/>
      </tp>
      <tp t="s">
        <v>N/A</v>
        <stp/>
        <stp>VOLUME</stp>
        <stp>.QQQ250930C532</stp>
        <tr r="R46" s="2"/>
      </tp>
      <tp t="s">
        <v>N/A</v>
        <stp/>
        <stp>VOLUME</stp>
        <stp>.QQQ250926P525</stp>
        <tr r="Q53" s="2"/>
      </tp>
      <tp t="s">
        <v>N/A</v>
        <stp/>
        <stp>VOLUME</stp>
        <stp>.QQQ250926C525</stp>
        <tr r="Q53" s="2"/>
      </tp>
      <tp t="s">
        <v>N/A</v>
        <stp/>
        <stp>VOLUME</stp>
        <stp>.QQQ250926P528</stp>
        <tr r="Q50" s="2"/>
      </tp>
      <tp t="s">
        <v>N/A</v>
        <stp/>
        <stp>VOLUME</stp>
        <stp>.QQQ250926C528</stp>
        <tr r="Q50" s="2"/>
      </tp>
      <tp t="s">
        <v>N/A</v>
        <stp/>
        <stp>VOLUME</stp>
        <stp>.QQQ250926P529</stp>
        <tr r="Q49" s="2"/>
      </tp>
      <tp t="s">
        <v>N/A</v>
        <stp/>
        <stp>VOLUME</stp>
        <stp>.QQQ250926C529</stp>
        <tr r="Q49" s="2"/>
      </tp>
      <tp t="s">
        <v>N/A</v>
        <stp/>
        <stp>VOLUME</stp>
        <stp>.QQQ250926P512</stp>
        <tr r="Q66" s="2"/>
      </tp>
      <tp>
        <v>16</v>
        <stp/>
        <stp>VOLUME</stp>
        <stp>.QQQ250930P504</stp>
        <tr r="R74" s="2"/>
        <tr r="R74" s="2"/>
      </tp>
      <tp t="s">
        <v>N/A</v>
        <stp/>
        <stp>VOLUME</stp>
        <stp>.QQQ250926C512</stp>
        <tr r="Q66" s="2"/>
      </tp>
      <tp>
        <v>4</v>
        <stp/>
        <stp>VOLUME</stp>
        <stp>.QQQ250930C504</stp>
        <tr r="R74" s="2"/>
        <tr r="R74" s="2"/>
      </tp>
      <tp t="s">
        <v>N/A</v>
        <stp/>
        <stp>VOLUME</stp>
        <stp>.QQQ250926P513</stp>
        <tr r="Q65" s="2"/>
      </tp>
      <tp t="s">
        <v>N/A</v>
        <stp/>
        <stp>VOLUME</stp>
        <stp>.QQQ250930P505</stp>
        <tr r="R73" s="2"/>
      </tp>
      <tp t="s">
        <v>N/A</v>
        <stp/>
        <stp>VOLUME</stp>
        <stp>.QQQ250926C513</stp>
        <tr r="Q65" s="2"/>
      </tp>
      <tp t="s">
        <v>N/A</v>
        <stp/>
        <stp>VOLUME</stp>
        <stp>.QQQ250930C505</stp>
        <tr r="R73" s="2"/>
      </tp>
      <tp t="s">
        <v>N/A</v>
        <stp/>
        <stp>VOLUME</stp>
        <stp>.QQQ250926P510</stp>
        <tr r="Q68" s="2"/>
      </tp>
      <tp>
        <v>4</v>
        <stp/>
        <stp>VOLUME</stp>
        <stp>.QQQ250930P506</stp>
        <tr r="R72" s="2"/>
        <tr r="R72" s="2"/>
      </tp>
      <tp t="s">
        <v>N/A</v>
        <stp/>
        <stp>VOLUME</stp>
        <stp>.QQQ250926C510</stp>
        <tr r="Q68" s="2"/>
      </tp>
      <tp>
        <v>3</v>
        <stp/>
        <stp>VOLUME</stp>
        <stp>.QQQ250930C506</stp>
        <tr r="R72" s="2"/>
        <tr r="R72" s="2"/>
      </tp>
      <tp t="s">
        <v>N/A</v>
        <stp/>
        <stp>VOLUME</stp>
        <stp>.QQQ250926P511</stp>
        <tr r="Q67" s="2"/>
      </tp>
      <tp t="s">
        <v>N/A</v>
        <stp/>
        <stp>VOLUME</stp>
        <stp>.QQQ250930P507</stp>
        <tr r="R71" s="2"/>
      </tp>
      <tp t="s">
        <v>N/A</v>
        <stp/>
        <stp>VOLUME</stp>
        <stp>.QQQ250926C511</stp>
        <tr r="Q67" s="2"/>
      </tp>
      <tp t="s">
        <v>N/A</v>
        <stp/>
        <stp>VOLUME</stp>
        <stp>.QQQ250930C507</stp>
        <tr r="R71" s="2"/>
      </tp>
      <tp t="s">
        <v>N/A</v>
        <stp/>
        <stp>VOLUME</stp>
        <stp>.QQQ250926P516</stp>
        <tr r="Q62" s="2"/>
      </tp>
      <tp>
        <v>101</v>
        <stp/>
        <stp>VOLUME</stp>
        <stp>.QQQ250930P500</stp>
        <tr r="R78" s="2"/>
        <tr r="R78" s="2"/>
      </tp>
      <tp t="s">
        <v>N/A</v>
        <stp/>
        <stp>VOLUME</stp>
        <stp>.QQQ250926C516</stp>
        <tr r="Q62" s="2"/>
      </tp>
      <tp>
        <v>15</v>
        <stp/>
        <stp>VOLUME</stp>
        <stp>.QQQ250930C500</stp>
        <tr r="R78" s="2"/>
        <tr r="R78" s="2"/>
      </tp>
      <tp t="s">
        <v>N/A</v>
        <stp/>
        <stp>VOLUME</stp>
        <stp>.QQQ250926P517</stp>
        <tr r="Q61" s="2"/>
      </tp>
      <tp>
        <v>5</v>
        <stp/>
        <stp>VOLUME</stp>
        <stp>.QQQ250930P501</stp>
        <tr r="R77" s="2"/>
        <tr r="R77" s="2"/>
      </tp>
      <tp t="s">
        <v>N/A</v>
        <stp/>
        <stp>VOLUME</stp>
        <stp>.SPY251231P602</stp>
        <tr r="X5" s="2"/>
      </tp>
      <tp t="s">
        <v>N/A</v>
        <stp/>
        <stp>VOLUME</stp>
        <stp>.QQQ250926C517</stp>
        <tr r="Q61" s="2"/>
      </tp>
      <tp>
        <v>2</v>
        <stp/>
        <stp>VOLUME</stp>
        <stp>.QQQ250930C501</stp>
        <tr r="R77" s="2"/>
        <tr r="R77" s="2"/>
      </tp>
      <tp t="s">
        <v>N/A</v>
        <stp/>
        <stp>VOLUME</stp>
        <stp>.SPY251231C602</stp>
        <tr r="X5" s="2"/>
      </tp>
      <tp t="s">
        <v>N/A</v>
        <stp/>
        <stp>VOLUME</stp>
        <stp>.QQQ250926P514</stp>
        <tr r="Q64" s="2"/>
      </tp>
      <tp>
        <v>2</v>
        <stp/>
        <stp>VOLUME</stp>
        <stp>.QQQ250930P502</stp>
        <tr r="R76" s="2"/>
        <tr r="R76" s="2"/>
      </tp>
      <tp>
        <v>7</v>
        <stp/>
        <stp>VOLUME</stp>
        <stp>.SPY251231P601</stp>
        <tr r="X6" s="2"/>
        <tr r="X6" s="2"/>
      </tp>
      <tp t="s">
        <v>N/A</v>
        <stp/>
        <stp>VOLUME</stp>
        <stp>.QQQ250926C514</stp>
        <tr r="Q64" s="2"/>
      </tp>
      <tp>
        <v>1</v>
        <stp/>
        <stp>VOLUME</stp>
        <stp>.QQQ250930C502</stp>
        <tr r="R76" s="2"/>
        <tr r="R76" s="2"/>
      </tp>
      <tp t="s">
        <v>N/A</v>
        <stp/>
        <stp>VOLUME</stp>
        <stp>.SPY251231C601</stp>
        <tr r="X6" s="2"/>
      </tp>
      <tp t="s">
        <v>N/A</v>
        <stp/>
        <stp>VOLUME</stp>
        <stp>.QQQ250926P515</stp>
        <tr r="Q63" s="2"/>
      </tp>
      <tp t="s">
        <v>N/A</v>
        <stp/>
        <stp>VOLUME</stp>
        <stp>.QQQ250930P503</stp>
        <tr r="R75" s="2"/>
      </tp>
      <tp>
        <v>63</v>
        <stp/>
        <stp>VOLUME</stp>
        <stp>.SPY251231P600</stp>
        <tr r="X7" s="2"/>
        <tr r="X7" s="2"/>
      </tp>
      <tp t="s">
        <v>N/A</v>
        <stp/>
        <stp>VOLUME</stp>
        <stp>.QQQ250926C515</stp>
        <tr r="Q63" s="2"/>
      </tp>
      <tp t="s">
        <v>N/A</v>
        <stp/>
        <stp>VOLUME</stp>
        <stp>.QQQ250930C503</stp>
        <tr r="R75" s="2"/>
      </tp>
      <tp>
        <v>138</v>
        <stp/>
        <stp>VOLUME</stp>
        <stp>.SPY251231C600</stp>
        <tr r="X7" s="2"/>
        <tr r="X7" s="2"/>
      </tp>
      <tp t="s">
        <v>N/A</v>
        <stp/>
        <stp>VOLUME</stp>
        <stp>.QQQ250926P518</stp>
        <tr r="Q60" s="2"/>
      </tp>
      <tp t="s">
        <v>N/A</v>
        <stp/>
        <stp>VOLUME</stp>
        <stp>.QQQ250926C518</stp>
        <tr r="Q60" s="2"/>
      </tp>
      <tp t="s">
        <v>N/A</v>
        <stp/>
        <stp>VOLUME</stp>
        <stp>.QQQ250926P519</stp>
        <tr r="Q59" s="2"/>
      </tp>
      <tp t="s">
        <v>N/A</v>
        <stp/>
        <stp>VOLUME</stp>
        <stp>.QQQ250926C519</stp>
        <tr r="Q59" s="2"/>
      </tp>
      <tp>
        <v>1</v>
        <stp/>
        <stp>VOLUME</stp>
        <stp>.QQQ250930P508</stp>
        <tr r="R70" s="2"/>
        <tr r="R70" s="2"/>
      </tp>
      <tp>
        <v>16</v>
        <stp/>
        <stp>VOLUME</stp>
        <stp>.QQQ250930C508</stp>
        <tr r="R70" s="2"/>
        <tr r="R70" s="2"/>
      </tp>
      <tp t="s">
        <v>N/A</v>
        <stp/>
        <stp>VOLUME</stp>
        <stp>.QQQ250930P509</stp>
        <tr r="R69" s="2"/>
      </tp>
      <tp t="s">
        <v>N/A</v>
        <stp/>
        <stp>VOLUME</stp>
        <stp>.QQQ250930C509</stp>
        <tr r="R69" s="2"/>
      </tp>
      <tp t="s">
        <v>N/A</v>
        <stp/>
        <stp>VOLUME</stp>
        <stp>.QQQ250926P502</stp>
        <tr r="Q76" s="2"/>
      </tp>
      <tp t="s">
        <v>N/A</v>
        <stp/>
        <stp>VOLUME</stp>
        <stp>.QQQ250930P514</stp>
        <tr r="R64" s="2"/>
      </tp>
      <tp t="s">
        <v>N/A</v>
        <stp/>
        <stp>VOLUME</stp>
        <stp>.SPY251226P600</stp>
        <tr r="W7" s="2"/>
      </tp>
      <tp t="s">
        <v>N/A</v>
        <stp/>
        <stp>VOLUME</stp>
        <stp>.QQQ250926C502</stp>
        <tr r="Q76" s="2"/>
      </tp>
      <tp>
        <v>2</v>
        <stp/>
        <stp>VOLUME</stp>
        <stp>.QQQ250930C514</stp>
        <tr r="R64" s="2"/>
        <tr r="R64" s="2"/>
      </tp>
      <tp t="s">
        <v>N/A</v>
        <stp/>
        <stp>VOLUME</stp>
        <stp>.SPY251226C600</stp>
        <tr r="W7" s="2"/>
      </tp>
      <tp t="s">
        <v>N/A</v>
        <stp/>
        <stp>VOLUME</stp>
        <stp>.QQQ250926P503</stp>
        <tr r="Q75" s="2"/>
      </tp>
      <tp>
        <v>34</v>
        <stp/>
        <stp>VOLUME</stp>
        <stp>.QQQ250930P515</stp>
        <tr r="R63" s="2"/>
        <tr r="R63" s="2"/>
      </tp>
      <tp t="s">
        <v>N/A</v>
        <stp/>
        <stp>VOLUME</stp>
        <stp>.SPY251226P601</stp>
        <tr r="W6" s="2"/>
      </tp>
      <tp t="s">
        <v>N/A</v>
        <stp/>
        <stp>VOLUME</stp>
        <stp>.QQQ250926C503</stp>
        <tr r="Q75" s="2"/>
      </tp>
      <tp>
        <v>5</v>
        <stp/>
        <stp>VOLUME</stp>
        <stp>.QQQ250930C515</stp>
        <tr r="R63" s="2"/>
        <tr r="R63" s="2"/>
      </tp>
      <tp t="s">
        <v>N/A</v>
        <stp/>
        <stp>VOLUME</stp>
        <stp>.SPY251226C601</stp>
        <tr r="W6" s="2"/>
      </tp>
      <tp t="s">
        <v>N/A</v>
        <stp/>
        <stp>VOLUME</stp>
        <stp>.QQQ250926P500</stp>
        <tr r="Q78" s="2"/>
      </tp>
      <tp>
        <v>21</v>
        <stp/>
        <stp>VOLUME</stp>
        <stp>.QQQ250930P516</stp>
        <tr r="R62" s="2"/>
        <tr r="R62" s="2"/>
      </tp>
      <tp t="s">
        <v>N/A</v>
        <stp/>
        <stp>VOLUME</stp>
        <stp>.SPY251226P602</stp>
        <tr r="W5" s="2"/>
      </tp>
      <tp t="s">
        <v>N/A</v>
        <stp/>
        <stp>VOLUME</stp>
        <stp>.QQQ250926C500</stp>
        <tr r="Q78" s="2"/>
      </tp>
      <tp>
        <v>6</v>
        <stp/>
        <stp>VOLUME</stp>
        <stp>.QQQ250930C516</stp>
        <tr r="R62" s="2"/>
        <tr r="R62" s="2"/>
      </tp>
      <tp t="s">
        <v>N/A</v>
        <stp/>
        <stp>VOLUME</stp>
        <stp>.SPY251226C602</stp>
        <tr r="W5" s="2"/>
      </tp>
      <tp t="s">
        <v>N/A</v>
        <stp/>
        <stp>VOLUME</stp>
        <stp>.QQQ250926P501</stp>
        <tr r="Q77" s="2"/>
      </tp>
      <tp>
        <v>13</v>
        <stp/>
        <stp>VOLUME</stp>
        <stp>.QQQ250930P517</stp>
        <tr r="R61" s="2"/>
        <tr r="R61" s="2"/>
      </tp>
      <tp t="s">
        <v>N/A</v>
        <stp/>
        <stp>VOLUME</stp>
        <stp>.QQQ250926C501</stp>
        <tr r="Q77" s="2"/>
      </tp>
      <tp>
        <v>1</v>
        <stp/>
        <stp>VOLUME</stp>
        <stp>.QQQ250930C517</stp>
        <tr r="R61" s="2"/>
        <tr r="R61" s="2"/>
      </tp>
      <tp t="s">
        <v>N/A</v>
        <stp/>
        <stp>VOLUME</stp>
        <stp>.QQQ250926P506</stp>
        <tr r="Q72" s="2"/>
      </tp>
      <tp>
        <v>46</v>
        <stp/>
        <stp>VOLUME</stp>
        <stp>.QQQ250930P510</stp>
        <tr r="R68" s="2"/>
        <tr r="R68" s="2"/>
      </tp>
      <tp t="s">
        <v>N/A</v>
        <stp/>
        <stp>VOLUME</stp>
        <stp>.QQQ250926C506</stp>
        <tr r="Q72" s="2"/>
      </tp>
      <tp>
        <v>25</v>
        <stp/>
        <stp>VOLUME</stp>
        <stp>.QQQ250930C510</stp>
        <tr r="R68" s="2"/>
        <tr r="R68" s="2"/>
      </tp>
      <tp t="s">
        <v>N/A</v>
        <stp/>
        <stp>VOLUME</stp>
        <stp>.QQQ250926P507</stp>
        <tr r="Q71" s="2"/>
      </tp>
      <tp t="s">
        <v>N/A</v>
        <stp/>
        <stp>VOLUME</stp>
        <stp>.QQQ250930P511</stp>
        <tr r="R67" s="2"/>
      </tp>
      <tp t="s">
        <v>N/A</v>
        <stp/>
        <stp>VOLUME</stp>
        <stp>.QQQ250926C507</stp>
        <tr r="Q71" s="2"/>
      </tp>
      <tp t="s">
        <v>N/A</v>
        <stp/>
        <stp>VOLUME</stp>
        <stp>.QQQ250930C511</stp>
        <tr r="R67" s="2"/>
      </tp>
      <tp t="s">
        <v>N/A</v>
        <stp/>
        <stp>VOLUME</stp>
        <stp>.QQQ250926P504</stp>
        <tr r="Q74" s="2"/>
      </tp>
      <tp t="s">
        <v>N/A</v>
        <stp/>
        <stp>VOLUME</stp>
        <stp>.QQQ250930P512</stp>
        <tr r="R66" s="2"/>
      </tp>
      <tp t="s">
        <v>N/A</v>
        <stp/>
        <stp>VOLUME</stp>
        <stp>.QQQ250926C504</stp>
        <tr r="Q74" s="2"/>
      </tp>
      <tp t="s">
        <v>N/A</v>
        <stp/>
        <stp>VOLUME</stp>
        <stp>.QQQ250930C512</stp>
        <tr r="R66" s="2"/>
      </tp>
      <tp t="s">
        <v>N/A</v>
        <stp/>
        <stp>VOLUME</stp>
        <stp>.QQQ250926P505</stp>
        <tr r="Q73" s="2"/>
      </tp>
      <tp t="s">
        <v>N/A</v>
        <stp/>
        <stp>VOLUME</stp>
        <stp>.QQQ250930P513</stp>
        <tr r="R65" s="2"/>
      </tp>
      <tp t="s">
        <v>N/A</v>
        <stp/>
        <stp>VOLUME</stp>
        <stp>.QQQ250926C505</stp>
        <tr r="Q73" s="2"/>
      </tp>
      <tp t="s">
        <v>N/A</v>
        <stp/>
        <stp>VOLUME</stp>
        <stp>.QQQ250930C513</stp>
        <tr r="R65" s="2"/>
      </tp>
      <tp t="s">
        <v>N/A</v>
        <stp/>
        <stp>VOLUME</stp>
        <stp>.QQQ250926P508</stp>
        <tr r="Q70" s="2"/>
      </tp>
      <tp t="s">
        <v>N/A</v>
        <stp/>
        <stp>VOLUME</stp>
        <stp>.QQQ250926C508</stp>
        <tr r="Q70" s="2"/>
      </tp>
      <tp t="s">
        <v>N/A</v>
        <stp/>
        <stp>VOLUME</stp>
        <stp>.QQQ250926P509</stp>
        <tr r="Q69" s="2"/>
      </tp>
      <tp t="s">
        <v>N/A</v>
        <stp/>
        <stp>VOLUME</stp>
        <stp>.QQQ250926C509</stp>
        <tr r="Q69" s="2"/>
      </tp>
      <tp>
        <v>8</v>
        <stp/>
        <stp>VOLUME</stp>
        <stp>.QQQ250930P518</stp>
        <tr r="R60" s="2"/>
        <tr r="R60" s="2"/>
      </tp>
      <tp>
        <v>21</v>
        <stp/>
        <stp>VOLUME</stp>
        <stp>.QQQ250930C518</stp>
        <tr r="R60" s="2"/>
        <tr r="R60" s="2"/>
      </tp>
      <tp>
        <v>12</v>
        <stp/>
        <stp>VOLUME</stp>
        <stp>.QQQ250930P519</stp>
        <tr r="R59" s="2"/>
        <tr r="R59" s="2"/>
      </tp>
      <tp>
        <v>20</v>
        <stp/>
        <stp>VOLUME</stp>
        <stp>.QQQ250930C519</stp>
        <tr r="R59" s="2"/>
        <tr r="R59" s="2"/>
      </tp>
      <tp t="s">
        <v>N/A</v>
        <stp/>
        <stp>VOLUME</stp>
        <stp>.SPY251128P578</stp>
        <tr r="U29" s="2"/>
        <tr r="V29" s="2"/>
      </tp>
      <tp t="s">
        <v>N/A</v>
        <stp/>
        <stp>VOLUME</stp>
        <stp>.SPY251128C578</stp>
        <tr r="U29" s="2"/>
        <tr r="V29" s="2"/>
      </tp>
      <tp t="s">
        <v>N/A</v>
        <stp/>
        <stp>VOLUME</stp>
        <stp>.SPY251128P579</stp>
        <tr r="V28" s="2"/>
        <tr r="U28" s="2"/>
      </tp>
      <tp t="s">
        <v>N/A</v>
        <stp/>
        <stp>VOLUME</stp>
        <stp>.SPY251128C579</stp>
        <tr r="V28" s="2"/>
        <tr r="U28" s="2"/>
      </tp>
      <tp t="s">
        <v>N/A</v>
        <stp/>
        <stp>VOLUME</stp>
        <stp>.SPY251128P576</stp>
        <tr r="U31" s="2"/>
        <tr r="V31" s="2"/>
      </tp>
      <tp t="s">
        <v>N/A</v>
        <stp/>
        <stp>VOLUME</stp>
        <stp>.SPY251128C576</stp>
        <tr r="U31" s="2"/>
        <tr r="V31" s="2"/>
      </tp>
      <tp t="s">
        <v>N/A</v>
        <stp/>
        <stp>VOLUME</stp>
        <stp>.SPY251128P577</stp>
        <tr r="U30" s="2"/>
        <tr r="V30" s="2"/>
      </tp>
      <tp t="s">
        <v>N/A</v>
        <stp/>
        <stp>VOLUME</stp>
        <stp>.SPY251128C577</stp>
        <tr r="U30" s="2"/>
        <tr r="V30" s="2"/>
      </tp>
      <tp t="s">
        <v>N/A</v>
        <stp/>
        <stp>VOLUME</stp>
        <stp>.SPY251128P574</stp>
        <tr r="U33" s="2"/>
        <tr r="V33" s="2"/>
      </tp>
      <tp t="s">
        <v>N/A</v>
        <stp/>
        <stp>VOLUME</stp>
        <stp>.SPY251128C574</stp>
        <tr r="U33" s="2"/>
        <tr r="V33" s="2"/>
      </tp>
      <tp t="s">
        <v>N/A</v>
        <stp/>
        <stp>VOLUME</stp>
        <stp>.SPY251128P575</stp>
        <tr r="V32" s="2"/>
        <tr r="U32" s="2"/>
      </tp>
      <tp t="s">
        <v>N/A</v>
        <stp/>
        <stp>VOLUME</stp>
        <stp>.SPY251128C575</stp>
        <tr r="V32" s="2"/>
        <tr r="U32" s="2"/>
      </tp>
      <tp t="s">
        <v>N/A</v>
        <stp/>
        <stp>VOLUME</stp>
        <stp>.SPY251128P572</stp>
        <tr r="U35" s="2"/>
        <tr r="V35" s="2"/>
      </tp>
      <tp t="s">
        <v>N/A</v>
        <stp/>
        <stp>VOLUME</stp>
        <stp>.SPY251128C572</stp>
        <tr r="U35" s="2"/>
        <tr r="V35" s="2"/>
      </tp>
      <tp t="s">
        <v>N/A</v>
        <stp/>
        <stp>VOLUME</stp>
        <stp>.SPY251128P573</stp>
        <tr r="V34" s="2"/>
        <tr r="U34" s="2"/>
      </tp>
      <tp t="s">
        <v>N/A</v>
        <stp/>
        <stp>VOLUME</stp>
        <stp>.SPY251128C573</stp>
        <tr r="V34" s="2"/>
        <tr r="U34" s="2"/>
      </tp>
      <tp t="s">
        <v>N/A</v>
        <stp/>
        <stp>VOLUME</stp>
        <stp>.SPY251128P570</stp>
        <tr r="V37" s="2"/>
        <tr r="U37" s="2"/>
      </tp>
      <tp t="s">
        <v>N/A</v>
        <stp/>
        <stp>VOLUME</stp>
        <stp>.SPY251128C570</stp>
        <tr r="V37" s="2"/>
        <tr r="U37" s="2"/>
      </tp>
      <tp t="s">
        <v>N/A</v>
        <stp/>
        <stp>VOLUME</stp>
        <stp>.SPY251128P571</stp>
        <tr r="U36" s="2"/>
        <tr r="V36" s="2"/>
      </tp>
      <tp t="s">
        <v>N/A</v>
        <stp/>
        <stp>VOLUME</stp>
        <stp>.SPY251128C571</stp>
        <tr r="U36" s="2"/>
        <tr r="V36" s="2"/>
      </tp>
      <tp t="s">
        <v>N/A</v>
        <stp/>
        <stp>VOLUME</stp>
        <stp>.SPY251128P568</stp>
        <tr r="V39" s="2"/>
        <tr r="U39" s="2"/>
      </tp>
      <tp t="s">
        <v>N/A</v>
        <stp/>
        <stp>VOLUME</stp>
        <stp>.SPY251128C568</stp>
        <tr r="V39" s="2"/>
        <tr r="U39" s="2"/>
      </tp>
      <tp t="s">
        <v>N/A</v>
        <stp/>
        <stp>VOLUME</stp>
        <stp>.SPY251128P569</stp>
        <tr r="U38" s="2"/>
        <tr r="V38" s="2"/>
      </tp>
      <tp t="s">
        <v>N/A</v>
        <stp/>
        <stp>VOLUME</stp>
        <stp>.SPY251128C569</stp>
        <tr r="U38" s="2"/>
        <tr r="V38" s="2"/>
      </tp>
      <tp t="s">
        <v>N/A</v>
        <stp/>
        <stp>VOLUME</stp>
        <stp>.SPY251024P592</stp>
        <tr r="S15" s="2"/>
      </tp>
      <tp t="s">
        <v>N/A</v>
        <stp/>
        <stp>VOLUME</stp>
        <stp>.SPY251031P587</stp>
        <tr r="T20" s="2"/>
      </tp>
      <tp t="s">
        <v>N/A</v>
        <stp/>
        <stp>VOLUME</stp>
        <stp>.SPY251024C592</stp>
        <tr r="S15" s="2"/>
      </tp>
      <tp t="s">
        <v>N/A</v>
        <stp/>
        <stp>VOLUME</stp>
        <stp>.SPY251031C587</stp>
        <tr r="T20" s="2"/>
      </tp>
      <tp t="s">
        <v>N/A</v>
        <stp/>
        <stp>VOLUME</stp>
        <stp>.SPY251024P593</stp>
        <tr r="S14" s="2"/>
      </tp>
      <tp t="s">
        <v>N/A</v>
        <stp/>
        <stp>VOLUME</stp>
        <stp>.SPY251031P586</stp>
        <tr r="T21" s="2"/>
      </tp>
      <tp t="s">
        <v>N/A</v>
        <stp/>
        <stp>VOLUME</stp>
        <stp>.SPY251024C593</stp>
        <tr r="S14" s="2"/>
      </tp>
      <tp t="s">
        <v>N/A</v>
        <stp/>
        <stp>VOLUME</stp>
        <stp>.SPY251031C586</stp>
        <tr r="T21" s="2"/>
      </tp>
      <tp t="s">
        <v>N/A</v>
        <stp/>
        <stp>VOLUME</stp>
        <stp>.SPY251024P590</stp>
        <tr r="S17" s="2"/>
      </tp>
      <tp>
        <v>61</v>
        <stp/>
        <stp>VOLUME</stp>
        <stp>.SPY251031P585</stp>
        <tr r="T22" s="2"/>
        <tr r="T22" s="2"/>
      </tp>
      <tp t="s">
        <v>N/A</v>
        <stp/>
        <stp>VOLUME</stp>
        <stp>.SPY251024C590</stp>
        <tr r="S17" s="2"/>
      </tp>
      <tp>
        <v>3</v>
        <stp/>
        <stp>VOLUME</stp>
        <stp>.SPY251031C585</stp>
        <tr r="T22" s="2"/>
        <tr r="T22" s="2"/>
      </tp>
      <tp t="s">
        <v>N/A</v>
        <stp/>
        <stp>VOLUME</stp>
        <stp>.SPY251024P591</stp>
        <tr r="S16" s="2"/>
      </tp>
      <tp t="s">
        <v>N/A</v>
        <stp/>
        <stp>VOLUME</stp>
        <stp>.SPY251031P584</stp>
        <tr r="T23" s="2"/>
      </tp>
      <tp t="s">
        <v>N/A</v>
        <stp/>
        <stp>VOLUME</stp>
        <stp>.SPY251024C591</stp>
        <tr r="S16" s="2"/>
      </tp>
      <tp t="s">
        <v>N/A</v>
        <stp/>
        <stp>VOLUME</stp>
        <stp>.SPY251031C584</stp>
        <tr r="T23" s="2"/>
      </tp>
      <tp t="s">
        <v>N/A</v>
        <stp/>
        <stp>VOLUME</stp>
        <stp>.SPY251024P596</stp>
        <tr r="S11" s="2"/>
      </tp>
      <tp t="s">
        <v>N/A</v>
        <stp/>
        <stp>VOLUME</stp>
        <stp>.SPY251031P583</stp>
        <tr r="T24" s="2"/>
      </tp>
      <tp t="s">
        <v>N/A</v>
        <stp/>
        <stp>VOLUME</stp>
        <stp>.SPY251024C596</stp>
        <tr r="S11" s="2"/>
      </tp>
      <tp t="s">
        <v>N/A</v>
        <stp/>
        <stp>VOLUME</stp>
        <stp>.SPY251031C583</stp>
        <tr r="T24" s="2"/>
      </tp>
      <tp t="s">
        <v>N/A</v>
        <stp/>
        <stp>VOLUME</stp>
        <stp>.SPY251024P597</stp>
        <tr r="S10" s="2"/>
      </tp>
      <tp t="s">
        <v>N/A</v>
        <stp/>
        <stp>VOLUME</stp>
        <stp>.SPY251031P582</stp>
        <tr r="T25" s="2"/>
      </tp>
      <tp t="s">
        <v>N/A</v>
        <stp/>
        <stp>VOLUME</stp>
        <stp>.SPY251024C597</stp>
        <tr r="S10" s="2"/>
      </tp>
      <tp t="s">
        <v>N/A</v>
        <stp/>
        <stp>VOLUME</stp>
        <stp>.SPY251031C582</stp>
        <tr r="T25" s="2"/>
      </tp>
      <tp t="s">
        <v>N/A</v>
        <stp/>
        <stp>VOLUME</stp>
        <stp>.SPY251024P594</stp>
        <tr r="S13" s="2"/>
      </tp>
      <tp t="s">
        <v>N/A</v>
        <stp/>
        <stp>VOLUME</stp>
        <stp>.SPY251031P581</stp>
        <tr r="T26" s="2"/>
      </tp>
      <tp t="s">
        <v>N/A</v>
        <stp/>
        <stp>VOLUME</stp>
        <stp>.SPY251024C594</stp>
        <tr r="S13" s="2"/>
      </tp>
      <tp t="s">
        <v>N/A</v>
        <stp/>
        <stp>VOLUME</stp>
        <stp>.SPY251031C581</stp>
        <tr r="T26" s="2"/>
      </tp>
      <tp t="s">
        <v>N/A</v>
        <stp/>
        <stp>VOLUME</stp>
        <stp>.SPY251024P595</stp>
        <tr r="S12" s="2"/>
      </tp>
      <tp>
        <v>46</v>
        <stp/>
        <stp>VOLUME</stp>
        <stp>.SPY251031P580</stp>
        <tr r="T27" s="2"/>
        <tr r="T27" s="2"/>
      </tp>
      <tp t="s">
        <v>N/A</v>
        <stp/>
        <stp>VOLUME</stp>
        <stp>.SPY251024C595</stp>
        <tr r="S12" s="2"/>
      </tp>
      <tp>
        <v>17</v>
        <stp/>
        <stp>VOLUME</stp>
        <stp>.SPY251031C580</stp>
        <tr r="T27" s="2"/>
        <tr r="T27" s="2"/>
      </tp>
      <tp t="s">
        <v>N/A</v>
        <stp/>
        <stp>VOLUME</stp>
        <stp>.QQQ250926P498</stp>
        <tr r="Q80" s="2"/>
      </tp>
      <tp t="s">
        <v>N/A</v>
        <stp/>
        <stp>VOLUME</stp>
        <stp>.SPY251024P598</stp>
        <tr r="S9" s="2"/>
      </tp>
      <tp t="s">
        <v>N/A</v>
        <stp/>
        <stp>VOLUME</stp>
        <stp>.QQQ250926C498</stp>
        <tr r="Q80" s="2"/>
      </tp>
      <tp t="s">
        <v>N/A</v>
        <stp/>
        <stp>VOLUME</stp>
        <stp>.SPY251024C598</stp>
        <tr r="S9" s="2"/>
      </tp>
      <tp t="s">
        <v>N/A</v>
        <stp/>
        <stp>VOLUME</stp>
        <stp>.QQQ250926P499</stp>
        <tr r="Q79" s="2"/>
      </tp>
      <tp t="s">
        <v>N/A</v>
        <stp/>
        <stp>VOLUME</stp>
        <stp>.SPY251024P599</stp>
        <tr r="S8" s="2"/>
      </tp>
      <tp t="s">
        <v>N/A</v>
        <stp/>
        <stp>VOLUME</stp>
        <stp>.QQQ250926C499</stp>
        <tr r="Q79" s="2"/>
      </tp>
      <tp t="s">
        <v>N/A</v>
        <stp/>
        <stp>VOLUME</stp>
        <stp>.SPY251024C599</stp>
        <tr r="S8" s="2"/>
      </tp>
      <tp t="s">
        <v>N/A</v>
        <stp/>
        <stp>VOLUME</stp>
        <stp>.SPY251031P589</stp>
        <tr r="T18" s="2"/>
      </tp>
      <tp t="s">
        <v>N/A</v>
        <stp/>
        <stp>VOLUME</stp>
        <stp>.SPY251031C589</stp>
        <tr r="T18" s="2"/>
      </tp>
      <tp t="s">
        <v>N/A</v>
        <stp/>
        <stp>VOLUME</stp>
        <stp>.SPY251031P588</stp>
        <tr r="T19" s="2"/>
      </tp>
      <tp t="s">
        <v>N/A</v>
        <stp/>
        <stp>VOLUME</stp>
        <stp>.SPY251031C588</stp>
        <tr r="T19" s="2"/>
      </tp>
      <tp t="s">
        <v>N/A</v>
        <stp/>
        <stp>VOLUME</stp>
        <stp>.SPY251024P582</stp>
        <tr r="S25" s="2"/>
      </tp>
      <tp t="s">
        <v>N/A</v>
        <stp/>
        <stp>VOLUME</stp>
        <stp>.SPY251031P597</stp>
        <tr r="T10" s="2"/>
      </tp>
      <tp t="s">
        <v>N/A</v>
        <stp/>
        <stp>VOLUME</stp>
        <stp>.SPY251024C582</stp>
        <tr r="S25" s="2"/>
      </tp>
      <tp t="s">
        <v>N/A</v>
        <stp/>
        <stp>VOLUME</stp>
        <stp>.SPY251031C597</stp>
        <tr r="T10" s="2"/>
      </tp>
      <tp t="s">
        <v>N/A</v>
        <stp/>
        <stp>VOLUME</stp>
        <stp>.SPY251024P583</stp>
        <tr r="S24" s="2"/>
      </tp>
      <tp t="s">
        <v>N/A</v>
        <stp/>
        <stp>VOLUME</stp>
        <stp>.SPY251031P596</stp>
        <tr r="T11" s="2"/>
      </tp>
      <tp t="s">
        <v>N/A</v>
        <stp/>
        <stp>VOLUME</stp>
        <stp>.SPY251024C583</stp>
        <tr r="S24" s="2"/>
      </tp>
      <tp t="s">
        <v>N/A</v>
        <stp/>
        <stp>VOLUME</stp>
        <stp>.SPY251031C596</stp>
        <tr r="T11" s="2"/>
      </tp>
      <tp t="s">
        <v>N/A</v>
        <stp/>
        <stp>VOLUME</stp>
        <stp>.SPY251024P580</stp>
        <tr r="S27" s="2"/>
      </tp>
      <tp>
        <v>79</v>
        <stp/>
        <stp>VOLUME</stp>
        <stp>.SPY251031P595</stp>
        <tr r="T12" s="2"/>
        <tr r="T12" s="2"/>
      </tp>
      <tp t="s">
        <v>N/A</v>
        <stp/>
        <stp>VOLUME</stp>
        <stp>.SPY251024C580</stp>
        <tr r="S27" s="2"/>
      </tp>
      <tp>
        <v>65</v>
        <stp/>
        <stp>VOLUME</stp>
        <stp>.SPY251031C595</stp>
        <tr r="T12" s="2"/>
        <tr r="T12" s="2"/>
      </tp>
      <tp t="s">
        <v>N/A</v>
        <stp/>
        <stp>VOLUME</stp>
        <stp>.SPY251024P581</stp>
        <tr r="S26" s="2"/>
      </tp>
      <tp t="s">
        <v>N/A</v>
        <stp/>
        <stp>VOLUME</stp>
        <stp>.SPY251031P594</stp>
        <tr r="T13" s="2"/>
      </tp>
      <tp t="s">
        <v>N/A</v>
        <stp/>
        <stp>VOLUME</stp>
        <stp>.SPY251024C581</stp>
        <tr r="S26" s="2"/>
      </tp>
      <tp t="s">
        <v>N/A</v>
        <stp/>
        <stp>VOLUME</stp>
        <stp>.SPY251031C594</stp>
        <tr r="T13" s="2"/>
      </tp>
      <tp t="s">
        <v>N/A</v>
        <stp/>
        <stp>VOLUME</stp>
        <stp>.SPY251024P586</stp>
        <tr r="S21" s="2"/>
      </tp>
      <tp t="s">
        <v>N/A</v>
        <stp/>
        <stp>VOLUME</stp>
        <stp>.SPY251031P593</stp>
        <tr r="T14" s="2"/>
      </tp>
      <tp t="s">
        <v>N/A</v>
        <stp/>
        <stp>VOLUME</stp>
        <stp>.SPY251024C586</stp>
        <tr r="S21" s="2"/>
      </tp>
      <tp t="s">
        <v>N/A</v>
        <stp/>
        <stp>VOLUME</stp>
        <stp>.SPY251031C593</stp>
        <tr r="T14" s="2"/>
      </tp>
      <tp t="s">
        <v>N/A</v>
        <stp/>
        <stp>VOLUME</stp>
        <stp>.SPY251024P587</stp>
        <tr r="S20" s="2"/>
      </tp>
      <tp t="s">
        <v>N/A</v>
        <stp/>
        <stp>VOLUME</stp>
        <stp>.SPY251031P592</stp>
        <tr r="T15" s="2"/>
      </tp>
      <tp t="s">
        <v>N/A</v>
        <stp/>
        <stp>VOLUME</stp>
        <stp>.SPY251024C587</stp>
        <tr r="S20" s="2"/>
      </tp>
      <tp t="s">
        <v>N/A</v>
        <stp/>
        <stp>VOLUME</stp>
        <stp>.SPY251031C592</stp>
        <tr r="T15" s="2"/>
      </tp>
      <tp t="s">
        <v>N/A</v>
        <stp/>
        <stp>VOLUME</stp>
        <stp>.SPY251024P584</stp>
        <tr r="S23" s="2"/>
      </tp>
      <tp t="s">
        <v>N/A</v>
        <stp/>
        <stp>VOLUME</stp>
        <stp>.SPY251031P591</stp>
        <tr r="T16" s="2"/>
      </tp>
      <tp t="s">
        <v>N/A</v>
        <stp/>
        <stp>VOLUME</stp>
        <stp>.SPY251024C584</stp>
        <tr r="S23" s="2"/>
      </tp>
      <tp t="s">
        <v>N/A</v>
        <stp/>
        <stp>VOLUME</stp>
        <stp>.SPY251031C591</stp>
        <tr r="T16" s="2"/>
      </tp>
      <tp t="s">
        <v>N/A</v>
        <stp/>
        <stp>VOLUME</stp>
        <stp>.SPY251024P585</stp>
        <tr r="S22" s="2"/>
      </tp>
      <tp>
        <v>117</v>
        <stp/>
        <stp>VOLUME</stp>
        <stp>.SPY251031P590</stp>
        <tr r="T17" s="2"/>
        <tr r="T17" s="2"/>
      </tp>
      <tp t="s">
        <v>N/A</v>
        <stp/>
        <stp>VOLUME</stp>
        <stp>.SPY251024C585</stp>
        <tr r="S22" s="2"/>
      </tp>
      <tp>
        <v>60</v>
        <stp/>
        <stp>VOLUME</stp>
        <stp>.SPY251031C590</stp>
        <tr r="T17" s="2"/>
        <tr r="T17" s="2"/>
      </tp>
      <tp t="s">
        <v>N/A</v>
        <stp/>
        <stp>VOLUME</stp>
        <stp>.SPY251024P588</stp>
        <tr r="S19" s="2"/>
      </tp>
      <tp t="s">
        <v>N/A</v>
        <stp/>
        <stp>VOLUME</stp>
        <stp>.SPY251024C588</stp>
        <tr r="S19" s="2"/>
      </tp>
      <tp t="s">
        <v>N/A</v>
        <stp/>
        <stp>VOLUME</stp>
        <stp>.SPY251024P589</stp>
        <tr r="S18" s="2"/>
      </tp>
      <tp t="s">
        <v>N/A</v>
        <stp/>
        <stp>VOLUME</stp>
        <stp>.SPY251024C589</stp>
        <tr r="S18" s="2"/>
      </tp>
      <tp t="s">
        <v>N/A</v>
        <stp/>
        <stp>VOLUME</stp>
        <stp>.QQQ250930P498</stp>
        <tr r="R80" s="2"/>
      </tp>
      <tp t="s">
        <v>N/A</v>
        <stp/>
        <stp>VOLUME</stp>
        <stp>.QQQ250930C498</stp>
        <tr r="R80" s="2"/>
      </tp>
      <tp t="s">
        <v>N/A</v>
        <stp/>
        <stp>VOLUME</stp>
        <stp>.QQQ250930P499</stp>
        <tr r="R79" s="2"/>
      </tp>
      <tp t="s">
        <v>N/A</v>
        <stp/>
        <stp>VOLUME</stp>
        <stp>.QQQ250930C499</stp>
        <tr r="R79" s="2"/>
      </tp>
      <tp t="s">
        <v>N/A</v>
        <stp/>
        <stp>VOLUME</stp>
        <stp>.SPY251031P599</stp>
        <tr r="T8" s="2"/>
      </tp>
      <tp t="s">
        <v>N/A</v>
        <stp/>
        <stp>VOLUME</stp>
        <stp>.SPY251031C599</stp>
        <tr r="T8" s="2"/>
      </tp>
      <tp t="s">
        <v>N/A</v>
        <stp/>
        <stp>VOLUME</stp>
        <stp>.SPY251031P598</stp>
        <tr r="T9" s="2"/>
      </tp>
      <tp t="s">
        <v>N/A</v>
        <stp/>
        <stp>VOLUME</stp>
        <stp>.SPY251031C598</stp>
        <tr r="T9" s="2"/>
      </tp>
      <tp t="s">
        <v>N/A</v>
        <stp/>
        <stp>VOLUME</stp>
        <stp>.QQQ250822P532</stp>
        <tr r="O46" s="2"/>
      </tp>
      <tp t="s">
        <v>N/A</v>
        <stp/>
        <stp>VOLUME</stp>
        <stp>.QQQ250822C532</stp>
        <tr r="O46" s="2"/>
      </tp>
      <tp t="s">
        <v>N/A</v>
        <stp/>
        <stp>VOLUME</stp>
        <stp>.QQQ250822P530</stp>
        <tr r="O48" s="2"/>
      </tp>
      <tp t="s">
        <v>N/A</v>
        <stp/>
        <stp>VOLUME</stp>
        <stp>.QQQ250822C530</stp>
        <tr r="O48" s="2"/>
      </tp>
      <tp t="s">
        <v>N/A</v>
        <stp/>
        <stp>VOLUME</stp>
        <stp>.QQQ250822P531</stp>
        <tr r="O47" s="2"/>
      </tp>
      <tp t="s">
        <v>N/A</v>
        <stp/>
        <stp>VOLUME</stp>
        <stp>.QQQ250822C531</stp>
        <tr r="O47" s="2"/>
      </tp>
      <tp t="s">
        <v>N/A</v>
        <stp/>
        <stp>VOLUME</stp>
        <stp>.QQQ250829P531</stp>
        <tr r="P47" s="2"/>
      </tp>
      <tp t="s">
        <v>N/A</v>
        <stp/>
        <stp>VOLUME</stp>
        <stp>.QQQ250829C531</stp>
        <tr r="P47" s="2"/>
      </tp>
      <tp>
        <v>3</v>
        <stp/>
        <stp>VOLUME</stp>
        <stp>.QQQ250829P530</stp>
        <tr r="P48" s="2"/>
        <tr r="P48" s="2"/>
      </tp>
      <tp>
        <v>46</v>
        <stp/>
        <stp>VOLUME</stp>
        <stp>.QQQ250829C530</stp>
        <tr r="P48" s="2"/>
        <tr r="P48" s="2"/>
      </tp>
      <tp t="s">
        <v>N/A</v>
        <stp/>
        <stp>VOLUME</stp>
        <stp>.QQQ250829P532</stp>
        <tr r="P46" s="2"/>
      </tp>
      <tp t="s">
        <v>N/A</v>
        <stp/>
        <stp>VOLUME</stp>
        <stp>.QQQ250829C532</stp>
        <tr r="P46" s="2"/>
      </tp>
      <tp t="s">
        <v>N/A</v>
        <stp/>
        <stp>VOLUME</stp>
        <stp>.QQQ250822P526</stp>
        <tr r="O52" s="2"/>
      </tp>
      <tp t="s">
        <v>N/A</v>
        <stp/>
        <stp>VOLUME</stp>
        <stp>.QQQ250822C526</stp>
        <tr r="O52" s="2"/>
      </tp>
      <tp t="s">
        <v>N/A</v>
        <stp/>
        <stp>VOLUME</stp>
        <stp>.QQQ250822P527</stp>
        <tr r="O51" s="2"/>
      </tp>
      <tp t="s">
        <v>N/A</v>
        <stp/>
        <stp>VOLUME</stp>
        <stp>.QQQ250822C527</stp>
        <tr r="O51" s="2"/>
      </tp>
      <tp t="s">
        <v>N/A</v>
        <stp/>
        <stp>VOLUME</stp>
        <stp>.QQQ250822P524</stp>
        <tr r="O54" s="2"/>
      </tp>
      <tp t="s">
        <v>N/A</v>
        <stp/>
        <stp>VOLUME</stp>
        <stp>.QQQ250822C524</stp>
        <tr r="O54" s="2"/>
      </tp>
      <tp t="s">
        <v>N/A</v>
        <stp/>
        <stp>VOLUME</stp>
        <stp>.QQQ250822P525</stp>
        <tr r="O53" s="2"/>
      </tp>
      <tp t="s">
        <v>N/A</v>
        <stp/>
        <stp>VOLUME</stp>
        <stp>.QQQ250822C525</stp>
        <tr r="O53" s="2"/>
      </tp>
      <tp t="s">
        <v>N/A</v>
        <stp/>
        <stp>VOLUME</stp>
        <stp>.QQQ250822P522</stp>
        <tr r="O56" s="2"/>
      </tp>
      <tp t="s">
        <v>N/A</v>
        <stp/>
        <stp>VOLUME</stp>
        <stp>.QQQ250829P529</stp>
        <tr r="P49" s="2"/>
      </tp>
      <tp t="s">
        <v>N/A</v>
        <stp/>
        <stp>VOLUME</stp>
        <stp>.QQQ250822C522</stp>
        <tr r="O56" s="2"/>
      </tp>
      <tp t="s">
        <v>N/A</v>
        <stp/>
        <stp>VOLUME</stp>
        <stp>.QQQ250829C529</stp>
        <tr r="P49" s="2"/>
      </tp>
      <tp t="s">
        <v>N/A</v>
        <stp/>
        <stp>VOLUME</stp>
        <stp>.QQQ250822P523</stp>
        <tr r="O55" s="2"/>
      </tp>
      <tp t="s">
        <v>N/A</v>
        <stp/>
        <stp>VOLUME</stp>
        <stp>.QQQ250829P528</stp>
        <tr r="P50" s="2"/>
      </tp>
      <tp t="s">
        <v>N/A</v>
        <stp/>
        <stp>VOLUME</stp>
        <stp>.QQQ250822C523</stp>
        <tr r="O55" s="2"/>
      </tp>
      <tp t="s">
        <v>N/A</v>
        <stp/>
        <stp>VOLUME</stp>
        <stp>.QQQ250829C528</stp>
        <tr r="P50" s="2"/>
      </tp>
      <tp t="s">
        <v>N/A</v>
        <stp/>
        <stp>VOLUME</stp>
        <stp>.QQQ250822P520</stp>
        <tr r="O58" s="2"/>
      </tp>
      <tp t="s">
        <v>N/A</v>
        <stp/>
        <stp>VOLUME</stp>
        <stp>.QQQ250822C520</stp>
        <tr r="O58" s="2"/>
      </tp>
      <tp t="s">
        <v>N/A</v>
        <stp/>
        <stp>VOLUME</stp>
        <stp>.QQQ250822P521</stp>
        <tr r="O57" s="2"/>
      </tp>
      <tp t="s">
        <v>N/A</v>
        <stp/>
        <stp>VOLUME</stp>
        <stp>.QQQ250822C521</stp>
        <tr r="O57" s="2"/>
      </tp>
      <tp>
        <v>11</v>
        <stp/>
        <stp>VOLUME</stp>
        <stp>.QQQ250829P525</stp>
        <tr r="P53" s="2"/>
        <tr r="P53" s="2"/>
      </tp>
      <tp>
        <v>50</v>
        <stp/>
        <stp>VOLUME</stp>
        <stp>.QQQ250829C525</stp>
        <tr r="P53" s="2"/>
        <tr r="P53" s="2"/>
      </tp>
      <tp t="s">
        <v>N/A</v>
        <stp/>
        <stp>VOLUME</stp>
        <stp>.QQQ250829P524</stp>
        <tr r="P54" s="2"/>
      </tp>
      <tp t="s">
        <v>N/A</v>
        <stp/>
        <stp>VOLUME</stp>
        <stp>.QQQ250829C524</stp>
        <tr r="P54" s="2"/>
      </tp>
      <tp t="s">
        <v>N/A</v>
        <stp/>
        <stp>VOLUME</stp>
        <stp>.QQQ250829P527</stp>
        <tr r="P51" s="2"/>
      </tp>
      <tp t="s">
        <v>N/A</v>
        <stp/>
        <stp>VOLUME</stp>
        <stp>.QQQ250829C527</stp>
        <tr r="P51" s="2"/>
      </tp>
      <tp t="s">
        <v>N/A</v>
        <stp/>
        <stp>VOLUME</stp>
        <stp>.QQQ250829P526</stp>
        <tr r="P52" s="2"/>
      </tp>
      <tp t="s">
        <v>N/A</v>
        <stp/>
        <stp>VOLUME</stp>
        <stp>.QQQ250829C526</stp>
        <tr r="P52" s="2"/>
      </tp>
      <tp t="s">
        <v>N/A</v>
        <stp/>
        <stp>VOLUME</stp>
        <stp>.QQQ250829P521</stp>
        <tr r="P57" s="2"/>
      </tp>
      <tp t="s">
        <v>N/A</v>
        <stp/>
        <stp>VOLUME</stp>
        <stp>.QQQ250829C521</stp>
        <tr r="P57" s="2"/>
      </tp>
      <tp>
        <v>19</v>
        <stp/>
        <stp>VOLUME</stp>
        <stp>.QQQ250829P520</stp>
        <tr r="P58" s="2"/>
        <tr r="P58" s="2"/>
      </tp>
      <tp>
        <v>36</v>
        <stp/>
        <stp>VOLUME</stp>
        <stp>.QQQ250829C520</stp>
        <tr r="P58" s="2"/>
        <tr r="P58" s="2"/>
      </tp>
      <tp t="s">
        <v>N/A</v>
        <stp/>
        <stp>VOLUME</stp>
        <stp>.QQQ250822P528</stp>
        <tr r="O50" s="2"/>
      </tp>
      <tp t="s">
        <v>N/A</v>
        <stp/>
        <stp>VOLUME</stp>
        <stp>.QQQ250829P523</stp>
        <tr r="P55" s="2"/>
      </tp>
      <tp t="s">
        <v>N/A</v>
        <stp/>
        <stp>VOLUME</stp>
        <stp>.QQQ250822C528</stp>
        <tr r="O50" s="2"/>
      </tp>
      <tp t="s">
        <v>N/A</v>
        <stp/>
        <stp>VOLUME</stp>
        <stp>.QQQ250829C523</stp>
        <tr r="P55" s="2"/>
      </tp>
      <tp t="s">
        <v>N/A</v>
        <stp/>
        <stp>VOLUME</stp>
        <stp>.QQQ250822P529</stp>
        <tr r="O49" s="2"/>
      </tp>
      <tp t="s">
        <v>N/A</v>
        <stp/>
        <stp>VOLUME</stp>
        <stp>.QQQ250829P522</stp>
        <tr r="P56" s="2"/>
      </tp>
      <tp t="s">
        <v>N/A</v>
        <stp/>
        <stp>VOLUME</stp>
        <stp>.QQQ250822C529</stp>
        <tr r="O49" s="2"/>
      </tp>
      <tp t="s">
        <v>N/A</v>
        <stp/>
        <stp>VOLUME</stp>
        <stp>.QQQ250829C522</stp>
        <tr r="P56" s="2"/>
      </tp>
      <tp t="s">
        <v>N/A</v>
        <stp/>
        <stp>VOLUME</stp>
        <stp>.QQQ250822P516</stp>
        <tr r="O62" s="2"/>
      </tp>
      <tp t="s">
        <v>N/A</v>
        <stp/>
        <stp>VOLUME</stp>
        <stp>.QQQ250822C516</stp>
        <tr r="O62" s="2"/>
      </tp>
      <tp t="s">
        <v>N/A</v>
        <stp/>
        <stp>VOLUME</stp>
        <stp>.QQQ250822P517</stp>
        <tr r="O61" s="2"/>
      </tp>
      <tp t="s">
        <v>N/A</v>
        <stp/>
        <stp>VOLUME</stp>
        <stp>.QQQ250822C517</stp>
        <tr r="O61" s="2"/>
      </tp>
      <tp t="s">
        <v>N/A</v>
        <stp/>
        <stp>VOLUME</stp>
        <stp>.QQQ250822P514</stp>
        <tr r="O64" s="2"/>
      </tp>
      <tp t="s">
        <v>N/A</v>
        <stp/>
        <stp>VOLUME</stp>
        <stp>.QQQ250822C514</stp>
        <tr r="O64" s="2"/>
      </tp>
      <tp t="s">
        <v>N/A</v>
        <stp/>
        <stp>VOLUME</stp>
        <stp>.QQQ250822P515</stp>
        <tr r="O63" s="2"/>
      </tp>
      <tp t="s">
        <v>N/A</v>
        <stp/>
        <stp>VOLUME</stp>
        <stp>.QQQ250822C515</stp>
        <tr r="O63" s="2"/>
      </tp>
      <tp t="s">
        <v>N/A</v>
        <stp/>
        <stp>VOLUME</stp>
        <stp>.QQQ250822P512</stp>
        <tr r="O66" s="2"/>
      </tp>
      <tp t="s">
        <v>N/A</v>
        <stp/>
        <stp>VOLUME</stp>
        <stp>.QQQ250829P519</stp>
        <tr r="P59" s="2"/>
      </tp>
      <tp t="s">
        <v>N/A</v>
        <stp/>
        <stp>VOLUME</stp>
        <stp>.QQQ250822C512</stp>
        <tr r="O66" s="2"/>
      </tp>
      <tp t="s">
        <v>N/A</v>
        <stp/>
        <stp>VOLUME</stp>
        <stp>.QQQ250829C519</stp>
        <tr r="P59" s="2"/>
      </tp>
      <tp t="s">
        <v>N/A</v>
        <stp/>
        <stp>VOLUME</stp>
        <stp>.QQQ250822P513</stp>
        <tr r="O65" s="2"/>
      </tp>
      <tp t="s">
        <v>N/A</v>
        <stp/>
        <stp>VOLUME</stp>
        <stp>.QQQ250829P518</stp>
        <tr r="P60" s="2"/>
      </tp>
      <tp t="s">
        <v>N/A</v>
        <stp/>
        <stp>VOLUME</stp>
        <stp>.QQQ250822C513</stp>
        <tr r="O65" s="2"/>
      </tp>
      <tp t="s">
        <v>N/A</v>
        <stp/>
        <stp>VOLUME</stp>
        <stp>.QQQ250829C518</stp>
        <tr r="P60" s="2"/>
      </tp>
      <tp t="s">
        <v>N/A</v>
        <stp/>
        <stp>VOLUME</stp>
        <stp>.QQQ250822P510</stp>
        <tr r="O68" s="2"/>
      </tp>
      <tp t="s">
        <v>N/A</v>
        <stp/>
        <stp>VOLUME</stp>
        <stp>.QQQ250822C510</stp>
        <tr r="O68" s="2"/>
      </tp>
      <tp t="s">
        <v>N/A</v>
        <stp/>
        <stp>VOLUME</stp>
        <stp>.QQQ250822P511</stp>
        <tr r="O67" s="2"/>
      </tp>
      <tp t="s">
        <v>N/A</v>
        <stp/>
        <stp>VOLUME</stp>
        <stp>.QQQ250822C511</stp>
        <tr r="O67" s="2"/>
      </tp>
      <tp>
        <v>65</v>
        <stp/>
        <stp>VOLUME</stp>
        <stp>.QQQ250829P515</stp>
        <tr r="P63" s="2"/>
        <tr r="P63" s="2"/>
      </tp>
      <tp>
        <v>75</v>
        <stp/>
        <stp>VOLUME</stp>
        <stp>.QQQ250829C515</stp>
        <tr r="P63" s="2"/>
        <tr r="P63" s="2"/>
      </tp>
      <tp t="s">
        <v>N/A</v>
        <stp/>
        <stp>VOLUME</stp>
        <stp>.QQQ250829P514</stp>
        <tr r="P64" s="2"/>
      </tp>
      <tp t="s">
        <v>N/A</v>
        <stp/>
        <stp>VOLUME</stp>
        <stp>.QQQ250829C514</stp>
        <tr r="P64" s="2"/>
      </tp>
      <tp t="s">
        <v>N/A</v>
        <stp/>
        <stp>VOLUME</stp>
        <stp>.QQQ250829P517</stp>
        <tr r="P61" s="2"/>
      </tp>
      <tp t="s">
        <v>N/A</v>
        <stp/>
        <stp>VOLUME</stp>
        <stp>.QQQ250829C517</stp>
        <tr r="P61" s="2"/>
      </tp>
      <tp t="s">
        <v>N/A</v>
        <stp/>
        <stp>VOLUME</stp>
        <stp>.QQQ250829P516</stp>
        <tr r="P62" s="2"/>
      </tp>
      <tp t="s">
        <v>N/A</v>
        <stp/>
        <stp>VOLUME</stp>
        <stp>.QQQ250829C516</stp>
        <tr r="P62" s="2"/>
      </tp>
      <tp t="s">
        <v>N/A</v>
        <stp/>
        <stp>VOLUME</stp>
        <stp>.QQQ250829P511</stp>
        <tr r="P67" s="2"/>
      </tp>
      <tp t="s">
        <v>N/A</v>
        <stp/>
        <stp>VOLUME</stp>
        <stp>.QQQ250829C511</stp>
        <tr r="P67" s="2"/>
      </tp>
      <tp>
        <v>29</v>
        <stp/>
        <stp>VOLUME</stp>
        <stp>.QQQ250829P510</stp>
        <tr r="P68" s="2"/>
        <tr r="P68" s="2"/>
      </tp>
      <tp>
        <v>16</v>
        <stp/>
        <stp>VOLUME</stp>
        <stp>.QQQ250829C510</stp>
        <tr r="P68" s="2"/>
        <tr r="P68" s="2"/>
      </tp>
      <tp t="s">
        <v>N/A</v>
        <stp/>
        <stp>VOLUME</stp>
        <stp>.QQQ250822P518</stp>
        <tr r="O60" s="2"/>
      </tp>
      <tp t="s">
        <v>N/A</v>
        <stp/>
        <stp>VOLUME</stp>
        <stp>.QQQ250829P513</stp>
        <tr r="P65" s="2"/>
      </tp>
      <tp t="s">
        <v>N/A</v>
        <stp/>
        <stp>VOLUME</stp>
        <stp>.QQQ250822C518</stp>
        <tr r="O60" s="2"/>
      </tp>
      <tp t="s">
        <v>N/A</v>
        <stp/>
        <stp>VOLUME</stp>
        <stp>.QQQ250829C513</stp>
        <tr r="P65" s="2"/>
      </tp>
      <tp t="s">
        <v>N/A</v>
        <stp/>
        <stp>VOLUME</stp>
        <stp>.QQQ250822P519</stp>
        <tr r="O59" s="2"/>
      </tp>
      <tp t="s">
        <v>N/A</v>
        <stp/>
        <stp>VOLUME</stp>
        <stp>.QQQ250829P512</stp>
        <tr r="P66" s="2"/>
      </tp>
      <tp t="s">
        <v>N/A</v>
        <stp/>
        <stp>VOLUME</stp>
        <stp>.QQQ250822C519</stp>
        <tr r="O59" s="2"/>
      </tp>
      <tp t="s">
        <v>N/A</v>
        <stp/>
        <stp>VOLUME</stp>
        <stp>.QQQ250829C512</stp>
        <tr r="P66" s="2"/>
      </tp>
      <tp t="s">
        <v>N/A</v>
        <stp/>
        <stp>VOLUME</stp>
        <stp>.QQQ250822P506</stp>
        <tr r="O72" s="2"/>
      </tp>
      <tp t="s">
        <v>N/A</v>
        <stp/>
        <stp>VOLUME</stp>
        <stp>.QQQ250822C506</stp>
        <tr r="O72" s="2"/>
      </tp>
      <tp t="s">
        <v>N/A</v>
        <stp/>
        <stp>VOLUME</stp>
        <stp>.QQQ250822P507</stp>
        <tr r="O71" s="2"/>
      </tp>
      <tp t="s">
        <v>N/A</v>
        <stp/>
        <stp>VOLUME</stp>
        <stp>.QQQ250822C507</stp>
        <tr r="O71" s="2"/>
      </tp>
      <tp t="s">
        <v>N/A</v>
        <stp/>
        <stp>VOLUME</stp>
        <stp>.QQQ250822P504</stp>
        <tr r="O74" s="2"/>
      </tp>
      <tp t="s">
        <v>N/A</v>
        <stp/>
        <stp>VOLUME</stp>
        <stp>.QQQ250822C504</stp>
        <tr r="O74" s="2"/>
      </tp>
      <tp t="s">
        <v>N/A</v>
        <stp/>
        <stp>VOLUME</stp>
        <stp>.QQQ250822P505</stp>
        <tr r="O73" s="2"/>
      </tp>
      <tp t="s">
        <v>N/A</v>
        <stp/>
        <stp>VOLUME</stp>
        <stp>.QQQ250822C505</stp>
        <tr r="O73" s="2"/>
      </tp>
      <tp t="s">
        <v>N/A</v>
        <stp/>
        <stp>VOLUME</stp>
        <stp>.QQQ250822P502</stp>
        <tr r="O76" s="2"/>
      </tp>
      <tp t="s">
        <v>N/A</v>
        <stp/>
        <stp>VOLUME</stp>
        <stp>.QQQ250829P509</stp>
        <tr r="P69" s="2"/>
      </tp>
      <tp t="s">
        <v>N/A</v>
        <stp/>
        <stp>VOLUME</stp>
        <stp>.QQQ250822C502</stp>
        <tr r="O76" s="2"/>
      </tp>
      <tp t="s">
        <v>N/A</v>
        <stp/>
        <stp>VOLUME</stp>
        <stp>.QQQ250829C509</stp>
        <tr r="P69" s="2"/>
      </tp>
      <tp t="s">
        <v>N/A</v>
        <stp/>
        <stp>VOLUME</stp>
        <stp>.QQQ250822P503</stp>
        <tr r="O75" s="2"/>
      </tp>
      <tp t="s">
        <v>N/A</v>
        <stp/>
        <stp>VOLUME</stp>
        <stp>.QQQ250829P508</stp>
        <tr r="P70" s="2"/>
      </tp>
      <tp t="s">
        <v>N/A</v>
        <stp/>
        <stp>VOLUME</stp>
        <stp>.QQQ250822C503</stp>
        <tr r="O75" s="2"/>
      </tp>
      <tp t="s">
        <v>N/A</v>
        <stp/>
        <stp>VOLUME</stp>
        <stp>.QQQ250829C508</stp>
        <tr r="P70" s="2"/>
      </tp>
      <tp t="s">
        <v>N/A</v>
        <stp/>
        <stp>VOLUME</stp>
        <stp>.QQQ250822P500</stp>
        <tr r="O78" s="2"/>
      </tp>
      <tp t="s">
        <v>N/A</v>
        <stp/>
        <stp>VOLUME</stp>
        <stp>.QQQ250822C500</stp>
        <tr r="O78" s="2"/>
      </tp>
      <tp t="s">
        <v>N/A</v>
        <stp/>
        <stp>VOLUME</stp>
        <stp>.QQQ250822P501</stp>
        <tr r="O77" s="2"/>
      </tp>
      <tp t="s">
        <v>N/A</v>
        <stp/>
        <stp>VOLUME</stp>
        <stp>.QQQ250822C501</stp>
        <tr r="O77" s="2"/>
      </tp>
      <tp>
        <v>8</v>
        <stp/>
        <stp>VOLUME</stp>
        <stp>.QQQ250829P505</stp>
        <tr r="P73" s="2"/>
        <tr r="P73" s="2"/>
      </tp>
      <tp t="s">
        <v>N/A</v>
        <stp/>
        <stp>VOLUME</stp>
        <stp>.QQQ250829C505</stp>
        <tr r="P73" s="2"/>
      </tp>
      <tp t="s">
        <v>N/A</v>
        <stp/>
        <stp>VOLUME</stp>
        <stp>.QQQ250829P504</stp>
        <tr r="P74" s="2"/>
      </tp>
      <tp t="s">
        <v>N/A</v>
        <stp/>
        <stp>VOLUME</stp>
        <stp>.QQQ250829C504</stp>
        <tr r="P74" s="2"/>
      </tp>
      <tp t="s">
        <v>N/A</v>
        <stp/>
        <stp>VOLUME</stp>
        <stp>.QQQ250829P507</stp>
        <tr r="P71" s="2"/>
      </tp>
      <tp t="s">
        <v>N/A</v>
        <stp/>
        <stp>VOLUME</stp>
        <stp>.QQQ250829C507</stp>
        <tr r="P71" s="2"/>
      </tp>
      <tp t="s">
        <v>N/A</v>
        <stp/>
        <stp>VOLUME</stp>
        <stp>.QQQ250829P506</stp>
        <tr r="P72" s="2"/>
      </tp>
      <tp t="s">
        <v>N/A</v>
        <stp/>
        <stp>VOLUME</stp>
        <stp>.QQQ250829C506</stp>
        <tr r="P72" s="2"/>
      </tp>
      <tp t="s">
        <v>N/A</v>
        <stp/>
        <stp>VOLUME</stp>
        <stp>.QQQ250829P501</stp>
        <tr r="P77" s="2"/>
      </tp>
      <tp t="s">
        <v>N/A</v>
        <stp/>
        <stp>VOLUME</stp>
        <stp>.QQQ250829C501</stp>
        <tr r="P77" s="2"/>
      </tp>
      <tp>
        <v>105</v>
        <stp/>
        <stp>VOLUME</stp>
        <stp>.QQQ250829P500</stp>
        <tr r="P78" s="2"/>
        <tr r="P78" s="2"/>
      </tp>
      <tp>
        <v>14</v>
        <stp/>
        <stp>VOLUME</stp>
        <stp>.QQQ250829C500</stp>
        <tr r="P78" s="2"/>
        <tr r="P78" s="2"/>
      </tp>
      <tp t="s">
        <v>N/A</v>
        <stp/>
        <stp>VOLUME</stp>
        <stp>.QQQ250822P508</stp>
        <tr r="O70" s="2"/>
      </tp>
      <tp t="s">
        <v>N/A</v>
        <stp/>
        <stp>VOLUME</stp>
        <stp>.QQQ250829P503</stp>
        <tr r="P75" s="2"/>
      </tp>
      <tp t="s">
        <v>N/A</v>
        <stp/>
        <stp>VOLUME</stp>
        <stp>.QQQ250822C508</stp>
        <tr r="O70" s="2"/>
      </tp>
      <tp t="s">
        <v>N/A</v>
        <stp/>
        <stp>VOLUME</stp>
        <stp>.QQQ250829C503</stp>
        <tr r="P75" s="2"/>
      </tp>
      <tp t="s">
        <v>N/A</v>
        <stp/>
        <stp>VOLUME</stp>
        <stp>.QQQ250822P509</stp>
        <tr r="O69" s="2"/>
      </tp>
      <tp t="s">
        <v>N/A</v>
        <stp/>
        <stp>VOLUME</stp>
        <stp>.QQQ250829P502</stp>
        <tr r="P76" s="2"/>
      </tp>
      <tp t="s">
        <v>N/A</v>
        <stp/>
        <stp>VOLUME</stp>
        <stp>.QQQ250822C509</stp>
        <tr r="O69" s="2"/>
      </tp>
      <tp t="s">
        <v>N/A</v>
        <stp/>
        <stp>VOLUME</stp>
        <stp>.QQQ250829C502</stp>
        <tr r="P76" s="2"/>
      </tp>
      <tp t="s">
        <v>N/A</v>
        <stp/>
        <stp>VOLUME</stp>
        <stp>.SPY251024P572</stp>
        <tr r="S35" s="2"/>
      </tp>
      <tp t="s">
        <v>N/A</v>
        <stp/>
        <stp>VOLUME</stp>
        <stp>.SPY251024C572</stp>
        <tr r="S35" s="2"/>
      </tp>
      <tp t="s">
        <v>N/A</v>
        <stp/>
        <stp>VOLUME</stp>
        <stp>.SPY251024P573</stp>
        <tr r="S34" s="2"/>
      </tp>
      <tp t="s">
        <v>N/A</v>
        <stp/>
        <stp>VOLUME</stp>
        <stp>.SPY251024C573</stp>
        <tr r="S34" s="2"/>
      </tp>
      <tp t="s">
        <v>N/A</v>
        <stp/>
        <stp>VOLUME</stp>
        <stp>.SPY251024P570</stp>
        <tr r="S37" s="2"/>
      </tp>
      <tp t="s">
        <v>N/A</v>
        <stp/>
        <stp>VOLUME</stp>
        <stp>.SPY251024C570</stp>
        <tr r="S37" s="2"/>
      </tp>
      <tp t="s">
        <v>N/A</v>
        <stp/>
        <stp>VOLUME</stp>
        <stp>.SPY251024P571</stp>
        <tr r="S36" s="2"/>
      </tp>
      <tp t="s">
        <v>N/A</v>
        <stp/>
        <stp>VOLUME</stp>
        <stp>.SPY251024C571</stp>
        <tr r="S36" s="2"/>
      </tp>
      <tp t="s">
        <v>N/A</v>
        <stp/>
        <stp>VOLUME</stp>
        <stp>.SPY251024P576</stp>
        <tr r="S31" s="2"/>
      </tp>
      <tp t="s">
        <v>N/A</v>
        <stp/>
        <stp>VOLUME</stp>
        <stp>.SPY251024C576</stp>
        <tr r="S31" s="2"/>
      </tp>
      <tp t="s">
        <v>N/A</v>
        <stp/>
        <stp>VOLUME</stp>
        <stp>.SPY251024P577</stp>
        <tr r="S30" s="2"/>
      </tp>
      <tp t="s">
        <v>N/A</v>
        <stp/>
        <stp>VOLUME</stp>
        <stp>.SPY251024C577</stp>
        <tr r="S30" s="2"/>
      </tp>
      <tp t="s">
        <v>N/A</v>
        <stp/>
        <stp>VOLUME</stp>
        <stp>.SPY251024P574</stp>
        <tr r="S33" s="2"/>
      </tp>
      <tp t="s">
        <v>N/A</v>
        <stp/>
        <stp>VOLUME</stp>
        <stp>.SPY251024C574</stp>
        <tr r="S33" s="2"/>
      </tp>
      <tp t="s">
        <v>N/A</v>
        <stp/>
        <stp>VOLUME</stp>
        <stp>.SPY251024P575</stp>
        <tr r="S32" s="2"/>
      </tp>
      <tp t="s">
        <v>N/A</v>
        <stp/>
        <stp>VOLUME</stp>
        <stp>.SPY251024C575</stp>
        <tr r="S32" s="2"/>
      </tp>
      <tp t="s">
        <v>N/A</v>
        <stp/>
        <stp>VOLUME</stp>
        <stp>.SPY251024P578</stp>
        <tr r="S29" s="2"/>
      </tp>
      <tp t="s">
        <v>N/A</v>
        <stp/>
        <stp>VOLUME</stp>
        <stp>.SPY251024C578</stp>
        <tr r="S29" s="2"/>
      </tp>
      <tp t="s">
        <v>N/A</v>
        <stp/>
        <stp>VOLUME</stp>
        <stp>.SPY251024P579</stp>
        <tr r="S28" s="2"/>
      </tp>
      <tp t="s">
        <v>N/A</v>
        <stp/>
        <stp>VOLUME</stp>
        <stp>.SPY251024C579</stp>
        <tr r="S28" s="2"/>
      </tp>
      <tp>
        <v>4</v>
        <stp/>
        <stp>VOLUME</stp>
        <stp>.SPY251031P569</stp>
        <tr r="T38" s="2"/>
        <tr r="T38" s="2"/>
      </tp>
      <tp t="s">
        <v>N/A</v>
        <stp/>
        <stp>VOLUME</stp>
        <stp>.SPY251031C569</stp>
        <tr r="T38" s="2"/>
      </tp>
      <tp>
        <v>3</v>
        <stp/>
        <stp>VOLUME</stp>
        <stp>.SPY251031P568</stp>
        <tr r="T39" s="2"/>
        <tr r="T39" s="2"/>
      </tp>
      <tp t="s">
        <v>N/A</v>
        <stp/>
        <stp>VOLUME</stp>
        <stp>.SPY251031C568</stp>
        <tr r="T39" s="2"/>
      </tp>
      <tp t="s">
        <v>N/A</v>
        <stp/>
        <stp>VOLUME</stp>
        <stp>.SPY251031P577</stp>
        <tr r="T30" s="2"/>
      </tp>
      <tp t="s">
        <v>N/A</v>
        <stp/>
        <stp>VOLUME</stp>
        <stp>.SPY251031C577</stp>
        <tr r="T30" s="2"/>
      </tp>
      <tp t="s">
        <v>N/A</v>
        <stp/>
        <stp>VOLUME</stp>
        <stp>.SPY251031P576</stp>
        <tr r="T31" s="2"/>
      </tp>
      <tp t="s">
        <v>N/A</v>
        <stp/>
        <stp>VOLUME</stp>
        <stp>.SPY251031C576</stp>
        <tr r="T31" s="2"/>
      </tp>
      <tp>
        <v>2</v>
        <stp/>
        <stp>VOLUME</stp>
        <stp>.SPY251031P575</stp>
        <tr r="T32" s="2"/>
        <tr r="T32" s="2"/>
      </tp>
      <tp>
        <v>3</v>
        <stp/>
        <stp>VOLUME</stp>
        <stp>.SPY251031C575</stp>
        <tr r="T32" s="2"/>
        <tr r="T32" s="2"/>
      </tp>
      <tp t="s">
        <v>N/A</v>
        <stp/>
        <stp>VOLUME</stp>
        <stp>.SPY251031P574</stp>
        <tr r="T33" s="2"/>
      </tp>
      <tp t="s">
        <v>N/A</v>
        <stp/>
        <stp>VOLUME</stp>
        <stp>.SPY251031C574</stp>
        <tr r="T33" s="2"/>
      </tp>
      <tp t="s">
        <v>N/A</v>
        <stp/>
        <stp>VOLUME</stp>
        <stp>.SPY251031P573</stp>
        <tr r="T34" s="2"/>
      </tp>
      <tp t="s">
        <v>N/A</v>
        <stp/>
        <stp>VOLUME</stp>
        <stp>.SPY251031C573</stp>
        <tr r="T34" s="2"/>
      </tp>
      <tp>
        <v>9</v>
        <stp/>
        <stp>VOLUME</stp>
        <stp>.SPY251031P572</stp>
        <tr r="T35" s="2"/>
        <tr r="T35" s="2"/>
      </tp>
      <tp>
        <v>2</v>
        <stp/>
        <stp>VOLUME</stp>
        <stp>.SPY251031C572</stp>
        <tr r="T35" s="2"/>
        <tr r="T35" s="2"/>
      </tp>
      <tp>
        <v>4</v>
        <stp/>
        <stp>VOLUME</stp>
        <stp>.SPY251031P571</stp>
        <tr r="T36" s="2"/>
        <tr r="T36" s="2"/>
      </tp>
      <tp t="s">
        <v>N/A</v>
        <stp/>
        <stp>VOLUME</stp>
        <stp>.SPY251031C571</stp>
        <tr r="T36" s="2"/>
      </tp>
      <tp>
        <v>44</v>
        <stp/>
        <stp>VOLUME</stp>
        <stp>.SPY251031P570</stp>
        <tr r="T37" s="2"/>
        <tr r="T37" s="2"/>
      </tp>
      <tp>
        <v>44</v>
        <stp/>
        <stp>VOLUME</stp>
        <stp>.SPY251031C570</stp>
        <tr r="T37" s="2"/>
        <tr r="T37" s="2"/>
      </tp>
      <tp t="s">
        <v>N/A</v>
        <stp/>
        <stp>VOLUME</stp>
        <stp>.SPY251024P568</stp>
        <tr r="S39" s="2"/>
      </tp>
      <tp t="s">
        <v>N/A</v>
        <stp/>
        <stp>VOLUME</stp>
        <stp>.SPY251024C568</stp>
        <tr r="S39" s="2"/>
      </tp>
      <tp t="s">
        <v>N/A</v>
        <stp/>
        <stp>VOLUME</stp>
        <stp>.SPY251024P569</stp>
        <tr r="S38" s="2"/>
      </tp>
      <tp t="s">
        <v>N/A</v>
        <stp/>
        <stp>VOLUME</stp>
        <stp>.SPY251024C569</stp>
        <tr r="S38" s="2"/>
      </tp>
      <tp t="s">
        <v>N/A</v>
        <stp/>
        <stp>VOLUME</stp>
        <stp>.SPY251031P579</stp>
        <tr r="T28" s="2"/>
      </tp>
      <tp t="s">
        <v>N/A</v>
        <stp/>
        <stp>VOLUME</stp>
        <stp>.SPY251031C579</stp>
        <tr r="T28" s="2"/>
      </tp>
      <tp t="s">
        <v>N/A</v>
        <stp/>
        <stp>VOLUME</stp>
        <stp>.SPY251031P578</stp>
        <tr r="T29" s="2"/>
      </tp>
      <tp t="s">
        <v>N/A</v>
        <stp/>
        <stp>VOLUME</stp>
        <stp>.SPY251031C578</stp>
        <tr r="T29" s="2"/>
      </tp>
      <tp>
        <v>17</v>
        <stp/>
        <stp>VOLUME</stp>
        <stp>.QQQ250606P498</stp>
        <tr r="H80" s="2"/>
        <tr r="H80" s="2"/>
      </tp>
      <tp>
        <v>30</v>
        <stp/>
        <stp>VOLUME</stp>
        <stp>.QQQ250606C498</stp>
        <tr r="H80" s="2"/>
        <tr r="H80" s="2"/>
      </tp>
      <tp>
        <v>190</v>
        <stp/>
        <stp>VOLUME</stp>
        <stp>.QQQ250606P499</stp>
        <tr r="H79" s="2"/>
        <tr r="H79" s="2"/>
      </tp>
      <tp>
        <v>25</v>
        <stp/>
        <stp>VOLUME</stp>
        <stp>.QQQ250606C499</stp>
        <tr r="H79" s="2"/>
        <tr r="H79" s="2"/>
      </tp>
      <tp>
        <v>73</v>
        <stp/>
        <stp>VOLUME</stp>
        <stp>.QQQ250613P499</stp>
        <tr r="I79" s="2"/>
        <tr r="I79" s="2"/>
      </tp>
      <tp>
        <v>5</v>
        <stp/>
        <stp>VOLUME</stp>
        <stp>.QQQ250613C499</stp>
        <tr r="I79" s="2"/>
        <tr r="I79" s="2"/>
      </tp>
      <tp>
        <v>21</v>
        <stp/>
        <stp>VOLUME</stp>
        <stp>.QQQ250613P498</stp>
        <tr r="I80" s="2"/>
        <tr r="I80" s="2"/>
      </tp>
      <tp>
        <v>2</v>
        <stp/>
        <stp>VOLUME</stp>
        <stp>.QQQ250613C498</stp>
        <tr r="I80" s="2"/>
        <tr r="I80" s="2"/>
      </tp>
      <tp>
        <v>27</v>
        <stp/>
        <stp>VOLUME</stp>
        <stp>.QQQ250627P499</stp>
        <tr r="K79" s="2"/>
        <tr r="K79" s="2"/>
      </tp>
      <tp t="s">
        <v>N/A</v>
        <stp/>
        <stp>VOLUME</stp>
        <stp>.QQQ250627C499</stp>
        <tr r="K79" s="2"/>
      </tp>
      <tp>
        <v>4</v>
        <stp/>
        <stp>VOLUME</stp>
        <stp>.QQQ250627P498</stp>
        <tr r="K80" s="2"/>
        <tr r="K80" s="2"/>
      </tp>
      <tp t="s">
        <v>N/A</v>
        <stp/>
        <stp>VOLUME</stp>
        <stp>.QQQ250627C498</stp>
        <tr r="K80" s="2"/>
      </tp>
      <tp>
        <v>41</v>
        <stp/>
        <stp>VOLUME</stp>
        <stp>.QQQ250620P498</stp>
        <tr r="BF79" s="1"/>
        <tr r="BF79" s="1"/>
      </tp>
      <tp>
        <v>1</v>
        <stp/>
        <stp>VOLUME</stp>
        <stp>.QQQ250620C498</stp>
        <tr r="BE79" s="1"/>
        <tr r="BE79" s="1"/>
      </tp>
      <tp>
        <v>122</v>
        <stp/>
        <stp>VOLUME</stp>
        <stp>.QQQ250620P499</stp>
        <tr r="BF78" s="1"/>
        <tr r="BF78" s="1"/>
      </tp>
      <tp>
        <v>1</v>
        <stp/>
        <stp>VOLUME</stp>
        <stp>.QQQ250620C499</stp>
        <tr r="BE78" s="1"/>
        <tr r="BE78" s="1"/>
      </tp>
      <tp>
        <v>523</v>
        <stp/>
        <stp>VOLUME</stp>
        <stp>.QQQ250630P498</stp>
        <tr r="L80" s="2"/>
        <tr r="L80" s="2"/>
      </tp>
      <tp>
        <v>1</v>
        <stp/>
        <stp>VOLUME</stp>
        <stp>.QQQ250630C498</stp>
        <tr r="L80" s="2"/>
        <tr r="L80" s="2"/>
      </tp>
      <tp>
        <v>3</v>
        <stp/>
        <stp>VOLUME</stp>
        <stp>.QQQ250630P499</stp>
        <tr r="L79" s="2"/>
        <tr r="L79" s="2"/>
      </tp>
      <tp>
        <v>1</v>
        <stp/>
        <stp>VOLUME</stp>
        <stp>.QQQ250630C499</stp>
        <tr r="L79" s="2"/>
        <tr r="L79" s="2"/>
      </tp>
      <tp t="s">
        <v>N/A</v>
        <stp/>
        <stp>VOLUME</stp>
        <stp>.QQQ250725P531</stp>
        <tr r="M47" s="2"/>
      </tp>
      <tp>
        <v>20</v>
        <stp/>
        <stp>VOLUME</stp>
        <stp>.QQQ250731P525</stp>
        <tr r="N53" s="2"/>
        <tr r="N53" s="2"/>
      </tp>
      <tp t="s">
        <v>N/A</v>
        <stp/>
        <stp>VOLUME</stp>
        <stp>.QQQ250725C531</stp>
        <tr r="M47" s="2"/>
      </tp>
      <tp>
        <v>109</v>
        <stp/>
        <stp>VOLUME</stp>
        <stp>.QQQ250731C525</stp>
        <tr r="N53" s="2"/>
        <tr r="N53" s="2"/>
      </tp>
      <tp t="s">
        <v>N/A</v>
        <stp/>
        <stp>VOLUME</stp>
        <stp>.QQQ250725P530</stp>
        <tr r="M48" s="2"/>
      </tp>
      <tp t="s">
        <v>N/A</v>
        <stp/>
        <stp>VOLUME</stp>
        <stp>.QQQ250731P524</stp>
        <tr r="N54" s="2"/>
      </tp>
      <tp t="s">
        <v>N/A</v>
        <stp/>
        <stp>VOLUME</stp>
        <stp>.QQQ250725C530</stp>
        <tr r="M48" s="2"/>
      </tp>
      <tp t="s">
        <v>N/A</v>
        <stp/>
        <stp>VOLUME</stp>
        <stp>.QQQ250731C524</stp>
        <tr r="N54" s="2"/>
      </tp>
      <tp t="s">
        <v>N/A</v>
        <stp/>
        <stp>VOLUME</stp>
        <stp>.QQQ250731P527</stp>
        <tr r="N51" s="2"/>
      </tp>
      <tp t="s">
        <v>N/A</v>
        <stp/>
        <stp>VOLUME</stp>
        <stp>.QQQ250731C527</stp>
        <tr r="N51" s="2"/>
      </tp>
      <tp t="s">
        <v>N/A</v>
        <stp/>
        <stp>VOLUME</stp>
        <stp>.QQQ250725P532</stp>
        <tr r="M46" s="2"/>
      </tp>
      <tp t="s">
        <v>N/A</v>
        <stp/>
        <stp>VOLUME</stp>
        <stp>.QQQ250731P526</stp>
        <tr r="N52" s="2"/>
      </tp>
      <tp t="s">
        <v>N/A</v>
        <stp/>
        <stp>VOLUME</stp>
        <stp>.QQQ250725C532</stp>
        <tr r="M46" s="2"/>
      </tp>
      <tp t="s">
        <v>N/A</v>
        <stp/>
        <stp>VOLUME</stp>
        <stp>.QQQ250731C526</stp>
        <tr r="N52" s="2"/>
      </tp>
      <tp t="s">
        <v>N/A</v>
        <stp/>
        <stp>VOLUME</stp>
        <stp>.QQQ250731P521</stp>
        <tr r="N57" s="2"/>
      </tp>
      <tp t="s">
        <v>N/A</v>
        <stp/>
        <stp>VOLUME</stp>
        <stp>.QQQ250731C521</stp>
        <tr r="N57" s="2"/>
      </tp>
      <tp>
        <v>213</v>
        <stp/>
        <stp>VOLUME</stp>
        <stp>.QQQ250731P520</stp>
        <tr r="N58" s="2"/>
        <tr r="N58" s="2"/>
      </tp>
      <tp>
        <v>32</v>
        <stp/>
        <stp>VOLUME</stp>
        <stp>.QQQ250731C520</stp>
        <tr r="N58" s="2"/>
        <tr r="N58" s="2"/>
      </tp>
      <tp t="s">
        <v>N/A</v>
        <stp/>
        <stp>VOLUME</stp>
        <stp>.QQQ250731P523</stp>
        <tr r="N55" s="2"/>
      </tp>
      <tp t="s">
        <v>N/A</v>
        <stp/>
        <stp>VOLUME</stp>
        <stp>.QQQ250731C523</stp>
        <tr r="N55" s="2"/>
      </tp>
      <tp t="s">
        <v>N/A</v>
        <stp/>
        <stp>VOLUME</stp>
        <stp>.QQQ250731P522</stp>
        <tr r="N56" s="2"/>
      </tp>
      <tp t="s">
        <v>N/A</v>
        <stp/>
        <stp>VOLUME</stp>
        <stp>.QQQ250731C522</stp>
        <tr r="N56" s="2"/>
      </tp>
      <tp t="s">
        <v>N/A</v>
        <stp/>
        <stp>VOLUME</stp>
        <stp>.QQQ250731P529</stp>
        <tr r="N49" s="2"/>
      </tp>
      <tp t="s">
        <v>N/A</v>
        <stp/>
        <stp>VOLUME</stp>
        <stp>.QQQ250731C529</stp>
        <tr r="N49" s="2"/>
      </tp>
      <tp t="s">
        <v>N/A</v>
        <stp/>
        <stp>VOLUME</stp>
        <stp>.QQQ250731P528</stp>
        <tr r="N50" s="2"/>
      </tp>
      <tp t="s">
        <v>N/A</v>
        <stp/>
        <stp>VOLUME</stp>
        <stp>.QQQ250731C528</stp>
        <tr r="N50" s="2"/>
      </tp>
      <tp t="s">
        <v>N/A</v>
        <stp/>
        <stp>VOLUME</stp>
        <stp>.QQQ250725P521</stp>
        <tr r="M57" s="2"/>
      </tp>
      <tp t="s">
        <v>N/A</v>
        <stp/>
        <stp>VOLUME</stp>
        <stp>.QQQ250725C521</stp>
        <tr r="M57" s="2"/>
      </tp>
      <tp t="s">
        <v>N/A</v>
        <stp/>
        <stp>VOLUME</stp>
        <stp>.QQQ250725P520</stp>
        <tr r="M58" s="2"/>
      </tp>
      <tp t="s">
        <v>N/A</v>
        <stp/>
        <stp>VOLUME</stp>
        <stp>.QQQ250725C520</stp>
        <tr r="M58" s="2"/>
      </tp>
      <tp t="s">
        <v>N/A</v>
        <stp/>
        <stp>VOLUME</stp>
        <stp>.QQQ250725P523</stp>
        <tr r="M55" s="2"/>
      </tp>
      <tp t="s">
        <v>N/A</v>
        <stp/>
        <stp>VOLUME</stp>
        <stp>.QQQ250725C523</stp>
        <tr r="M55" s="2"/>
      </tp>
      <tp t="s">
        <v>N/A</v>
        <stp/>
        <stp>VOLUME</stp>
        <stp>.QQQ250725P522</stp>
        <tr r="M56" s="2"/>
      </tp>
      <tp t="s">
        <v>N/A</v>
        <stp/>
        <stp>VOLUME</stp>
        <stp>.QQQ250725C522</stp>
        <tr r="M56" s="2"/>
      </tp>
      <tp t="s">
        <v>N/A</v>
        <stp/>
        <stp>VOLUME</stp>
        <stp>.QQQ250725P525</stp>
        <tr r="M53" s="2"/>
      </tp>
      <tp t="s">
        <v>N/A</v>
        <stp/>
        <stp>VOLUME</stp>
        <stp>.QQQ250731P531</stp>
        <tr r="N47" s="2"/>
      </tp>
      <tp t="s">
        <v>N/A</v>
        <stp/>
        <stp>VOLUME</stp>
        <stp>.QQQ250725C525</stp>
        <tr r="M53" s="2"/>
      </tp>
      <tp t="s">
        <v>N/A</v>
        <stp/>
        <stp>VOLUME</stp>
        <stp>.QQQ250731C531</stp>
        <tr r="N47" s="2"/>
      </tp>
      <tp t="s">
        <v>N/A</v>
        <stp/>
        <stp>VOLUME</stp>
        <stp>.QQQ250725P524</stp>
        <tr r="M54" s="2"/>
      </tp>
      <tp>
        <v>4</v>
        <stp/>
        <stp>VOLUME</stp>
        <stp>.QQQ250731P530</stp>
        <tr r="N48" s="2"/>
        <tr r="N48" s="2"/>
      </tp>
      <tp t="s">
        <v>N/A</v>
        <stp/>
        <stp>VOLUME</stp>
        <stp>.QQQ250725C524</stp>
        <tr r="M54" s="2"/>
      </tp>
      <tp>
        <v>195</v>
        <stp/>
        <stp>VOLUME</stp>
        <stp>.QQQ250731C530</stp>
        <tr r="N48" s="2"/>
        <tr r="N48" s="2"/>
      </tp>
      <tp t="s">
        <v>N/A</v>
        <stp/>
        <stp>VOLUME</stp>
        <stp>.QQQ250725P527</stp>
        <tr r="M51" s="2"/>
      </tp>
      <tp t="s">
        <v>N/A</v>
        <stp/>
        <stp>VOLUME</stp>
        <stp>.QQQ250725C527</stp>
        <tr r="M51" s="2"/>
      </tp>
      <tp t="s">
        <v>N/A</v>
        <stp/>
        <stp>VOLUME</stp>
        <stp>.QQQ250725P526</stp>
        <tr r="M52" s="2"/>
      </tp>
      <tp t="s">
        <v>N/A</v>
        <stp/>
        <stp>VOLUME</stp>
        <stp>.QQQ250731P532</stp>
        <tr r="N46" s="2"/>
      </tp>
      <tp t="s">
        <v>N/A</v>
        <stp/>
        <stp>VOLUME</stp>
        <stp>.QQQ250725C526</stp>
        <tr r="M52" s="2"/>
      </tp>
      <tp t="s">
        <v>N/A</v>
        <stp/>
        <stp>VOLUME</stp>
        <stp>.QQQ250731C532</stp>
        <tr r="N46" s="2"/>
      </tp>
      <tp t="s">
        <v>N/A</v>
        <stp/>
        <stp>VOLUME</stp>
        <stp>.QQQ250725P529</stp>
        <tr r="M49" s="2"/>
      </tp>
      <tp t="s">
        <v>N/A</v>
        <stp/>
        <stp>VOLUME</stp>
        <stp>.QQQ250725C529</stp>
        <tr r="M49" s="2"/>
      </tp>
      <tp t="s">
        <v>N/A</v>
        <stp/>
        <stp>VOLUME</stp>
        <stp>.QQQ250725P528</stp>
        <tr r="M50" s="2"/>
      </tp>
      <tp t="s">
        <v>N/A</v>
        <stp/>
        <stp>VOLUME</stp>
        <stp>.QQQ250725C528</stp>
        <tr r="M50" s="2"/>
      </tp>
      <tp t="s">
        <v>N/A</v>
        <stp/>
        <stp>VOLUME</stp>
        <stp>.QQQ250725P511</stp>
        <tr r="M67" s="2"/>
      </tp>
      <tp>
        <v>4</v>
        <stp/>
        <stp>VOLUME</stp>
        <stp>.QQQ250731P505</stp>
        <tr r="N73" s="2"/>
        <tr r="N73" s="2"/>
      </tp>
      <tp t="s">
        <v>N/A</v>
        <stp/>
        <stp>VOLUME</stp>
        <stp>.QQQ250725C511</stp>
        <tr r="M67" s="2"/>
      </tp>
      <tp>
        <v>1</v>
        <stp/>
        <stp>VOLUME</stp>
        <stp>.QQQ250731C505</stp>
        <tr r="N73" s="2"/>
        <tr r="N73" s="2"/>
      </tp>
      <tp t="s">
        <v>N/A</v>
        <stp/>
        <stp>VOLUME</stp>
        <stp>.QQQ250725P510</stp>
        <tr r="M68" s="2"/>
      </tp>
      <tp>
        <v>1</v>
        <stp/>
        <stp>VOLUME</stp>
        <stp>.QQQ250731P504</stp>
        <tr r="N74" s="2"/>
        <tr r="N74" s="2"/>
      </tp>
      <tp t="s">
        <v>N/A</v>
        <stp/>
        <stp>VOLUME</stp>
        <stp>.QQQ250725C510</stp>
        <tr r="M68" s="2"/>
      </tp>
      <tp>
        <v>3</v>
        <stp/>
        <stp>VOLUME</stp>
        <stp>.QQQ250731C504</stp>
        <tr r="N74" s="2"/>
        <tr r="N74" s="2"/>
      </tp>
      <tp t="s">
        <v>N/A</v>
        <stp/>
        <stp>VOLUME</stp>
        <stp>.QQQ250725P513</stp>
        <tr r="M65" s="2"/>
      </tp>
      <tp t="s">
        <v>N/A</v>
        <stp/>
        <stp>VOLUME</stp>
        <stp>.QQQ250731P507</stp>
        <tr r="N71" s="2"/>
      </tp>
      <tp t="s">
        <v>N/A</v>
        <stp/>
        <stp>VOLUME</stp>
        <stp>.QQQ250725C513</stp>
        <tr r="M65" s="2"/>
      </tp>
      <tp t="s">
        <v>N/A</v>
        <stp/>
        <stp>VOLUME</stp>
        <stp>.QQQ250731C507</stp>
        <tr r="N71" s="2"/>
      </tp>
      <tp t="s">
        <v>N/A</v>
        <stp/>
        <stp>VOLUME</stp>
        <stp>.QQQ250725P512</stp>
        <tr r="M66" s="2"/>
      </tp>
      <tp t="s">
        <v>N/A</v>
        <stp/>
        <stp>VOLUME</stp>
        <stp>.QQQ250731P506</stp>
        <tr r="N72" s="2"/>
      </tp>
      <tp t="s">
        <v>N/A</v>
        <stp/>
        <stp>VOLUME</stp>
        <stp>.QQQ250725C512</stp>
        <tr r="M66" s="2"/>
      </tp>
      <tp t="s">
        <v>N/A</v>
        <stp/>
        <stp>VOLUME</stp>
        <stp>.QQQ250731C506</stp>
        <tr r="N72" s="2"/>
      </tp>
      <tp t="s">
        <v>N/A</v>
        <stp/>
        <stp>VOLUME</stp>
        <stp>.QQQ250725P515</stp>
        <tr r="M63" s="2"/>
      </tp>
      <tp>
        <v>2</v>
        <stp/>
        <stp>VOLUME</stp>
        <stp>.QQQ250731P501</stp>
        <tr r="N77" s="2"/>
        <tr r="N77" s="2"/>
      </tp>
      <tp t="s">
        <v>N/A</v>
        <stp/>
        <stp>VOLUME</stp>
        <stp>.QQQ250725C515</stp>
        <tr r="M63" s="2"/>
      </tp>
      <tp t="s">
        <v>N/A</v>
        <stp/>
        <stp>VOLUME</stp>
        <stp>.QQQ250731C501</stp>
        <tr r="N77" s="2"/>
      </tp>
      <tp t="s">
        <v>N/A</v>
        <stp/>
        <stp>VOLUME</stp>
        <stp>.QQQ250725P514</stp>
        <tr r="M64" s="2"/>
      </tp>
      <tp>
        <v>61</v>
        <stp/>
        <stp>VOLUME</stp>
        <stp>.QQQ250731P500</stp>
        <tr r="N78" s="2"/>
        <tr r="N78" s="2"/>
      </tp>
      <tp t="s">
        <v>N/A</v>
        <stp/>
        <stp>VOLUME</stp>
        <stp>.QQQ250725C514</stp>
        <tr r="M64" s="2"/>
      </tp>
      <tp>
        <v>16</v>
        <stp/>
        <stp>VOLUME</stp>
        <stp>.QQQ250731C500</stp>
        <tr r="N78" s="2"/>
        <tr r="N78" s="2"/>
      </tp>
      <tp t="s">
        <v>N/A</v>
        <stp/>
        <stp>VOLUME</stp>
        <stp>.QQQ250725P517</stp>
        <tr r="M61" s="2"/>
      </tp>
      <tp>
        <v>1</v>
        <stp/>
        <stp>VOLUME</stp>
        <stp>.QQQ250731P503</stp>
        <tr r="N75" s="2"/>
        <tr r="N75" s="2"/>
      </tp>
      <tp t="s">
        <v>N/A</v>
        <stp/>
        <stp>VOLUME</stp>
        <stp>.QQQ250725C517</stp>
        <tr r="M61" s="2"/>
      </tp>
      <tp>
        <v>1</v>
        <stp/>
        <stp>VOLUME</stp>
        <stp>.QQQ250731C503</stp>
        <tr r="N75" s="2"/>
        <tr r="N75" s="2"/>
      </tp>
      <tp t="s">
        <v>N/A</v>
        <stp/>
        <stp>VOLUME</stp>
        <stp>.QQQ250725P516</stp>
        <tr r="M62" s="2"/>
      </tp>
      <tp t="s">
        <v>N/A</v>
        <stp/>
        <stp>VOLUME</stp>
        <stp>.QQQ250731P502</stp>
        <tr r="N76" s="2"/>
      </tp>
      <tp t="s">
        <v>N/A</v>
        <stp/>
        <stp>VOLUME</stp>
        <stp>.QQQ250725C516</stp>
        <tr r="M62" s="2"/>
      </tp>
      <tp>
        <v>1</v>
        <stp/>
        <stp>VOLUME</stp>
        <stp>.QQQ250731C502</stp>
        <tr r="N76" s="2"/>
        <tr r="N76" s="2"/>
      </tp>
      <tp t="s">
        <v>N/A</v>
        <stp/>
        <stp>VOLUME</stp>
        <stp>.QQQ250725P519</stp>
        <tr r="M59" s="2"/>
      </tp>
      <tp t="s">
        <v>N/A</v>
        <stp/>
        <stp>VOLUME</stp>
        <stp>.QQQ250725C519</stp>
        <tr r="M59" s="2"/>
      </tp>
      <tp t="s">
        <v>N/A</v>
        <stp/>
        <stp>VOLUME</stp>
        <stp>.QQQ250725P518</stp>
        <tr r="M60" s="2"/>
      </tp>
      <tp t="s">
        <v>N/A</v>
        <stp/>
        <stp>VOLUME</stp>
        <stp>.QQQ250725C518</stp>
        <tr r="M60" s="2"/>
      </tp>
      <tp t="s">
        <v>N/A</v>
        <stp/>
        <stp>VOLUME</stp>
        <stp>.QQQ250731P509</stp>
        <tr r="N69" s="2"/>
      </tp>
      <tp t="s">
        <v>N/A</v>
        <stp/>
        <stp>VOLUME</stp>
        <stp>.QQQ250731C509</stp>
        <tr r="N69" s="2"/>
      </tp>
      <tp t="s">
        <v>N/A</v>
        <stp/>
        <stp>VOLUME</stp>
        <stp>.QQQ250731P508</stp>
        <tr r="N70" s="2"/>
      </tp>
      <tp t="s">
        <v>N/A</v>
        <stp/>
        <stp>VOLUME</stp>
        <stp>.QQQ250731C508</stp>
        <tr r="N70" s="2"/>
      </tp>
      <tp t="s">
        <v>N/A</v>
        <stp/>
        <stp>VOLUME</stp>
        <stp>.QQQ250725P501</stp>
        <tr r="M77" s="2"/>
      </tp>
      <tp>
        <v>128</v>
        <stp/>
        <stp>VOLUME</stp>
        <stp>.QQQ250731P515</stp>
        <tr r="N63" s="2"/>
        <tr r="N63" s="2"/>
      </tp>
      <tp t="s">
        <v>N/A</v>
        <stp/>
        <stp>VOLUME</stp>
        <stp>.QQQ250725C501</stp>
        <tr r="M77" s="2"/>
      </tp>
      <tp>
        <v>124</v>
        <stp/>
        <stp>VOLUME</stp>
        <stp>.QQQ250731C515</stp>
        <tr r="N63" s="2"/>
        <tr r="N63" s="2"/>
      </tp>
      <tp t="s">
        <v>N/A</v>
        <stp/>
        <stp>VOLUME</stp>
        <stp>.QQQ250725P500</stp>
        <tr r="M78" s="2"/>
      </tp>
      <tp t="s">
        <v>N/A</v>
        <stp/>
        <stp>VOLUME</stp>
        <stp>.QQQ250731P514</stp>
        <tr r="N64" s="2"/>
      </tp>
      <tp t="s">
        <v>N/A</v>
        <stp/>
        <stp>VOLUME</stp>
        <stp>.QQQ250725C500</stp>
        <tr r="M78" s="2"/>
      </tp>
      <tp t="s">
        <v>N/A</v>
        <stp/>
        <stp>VOLUME</stp>
        <stp>.QQQ250731C514</stp>
        <tr r="N64" s="2"/>
      </tp>
      <tp t="s">
        <v>N/A</v>
        <stp/>
        <stp>VOLUME</stp>
        <stp>.QQQ250725P503</stp>
        <tr r="M75" s="2"/>
      </tp>
      <tp t="s">
        <v>N/A</v>
        <stp/>
        <stp>VOLUME</stp>
        <stp>.QQQ250731P517</stp>
        <tr r="N61" s="2"/>
      </tp>
      <tp t="s">
        <v>N/A</v>
        <stp/>
        <stp>VOLUME</stp>
        <stp>.QQQ250725C503</stp>
        <tr r="M75" s="2"/>
      </tp>
      <tp t="s">
        <v>N/A</v>
        <stp/>
        <stp>VOLUME</stp>
        <stp>.QQQ250731C517</stp>
        <tr r="N61" s="2"/>
      </tp>
      <tp t="s">
        <v>N/A</v>
        <stp/>
        <stp>VOLUME</stp>
        <stp>.QQQ250725P502</stp>
        <tr r="M76" s="2"/>
      </tp>
      <tp t="s">
        <v>N/A</v>
        <stp/>
        <stp>VOLUME</stp>
        <stp>.QQQ250731P516</stp>
        <tr r="N62" s="2"/>
      </tp>
      <tp t="s">
        <v>N/A</v>
        <stp/>
        <stp>VOLUME</stp>
        <stp>.QQQ250725C502</stp>
        <tr r="M76" s="2"/>
      </tp>
      <tp t="s">
        <v>N/A</v>
        <stp/>
        <stp>VOLUME</stp>
        <stp>.QQQ250731C516</stp>
        <tr r="N62" s="2"/>
      </tp>
      <tp t="s">
        <v>N/A</v>
        <stp/>
        <stp>VOLUME</stp>
        <stp>.QQQ250725P505</stp>
        <tr r="M73" s="2"/>
      </tp>
      <tp t="s">
        <v>N/A</v>
        <stp/>
        <stp>VOLUME</stp>
        <stp>.QQQ250731P511</stp>
        <tr r="N67" s="2"/>
      </tp>
      <tp t="s">
        <v>N/A</v>
        <stp/>
        <stp>VOLUME</stp>
        <stp>.QQQ250725C505</stp>
        <tr r="M73" s="2"/>
      </tp>
      <tp t="s">
        <v>N/A</v>
        <stp/>
        <stp>VOLUME</stp>
        <stp>.QQQ250731C511</stp>
        <tr r="N67" s="2"/>
      </tp>
      <tp t="s">
        <v>N/A</v>
        <stp/>
        <stp>VOLUME</stp>
        <stp>.QQQ250725P504</stp>
        <tr r="M74" s="2"/>
      </tp>
      <tp>
        <v>79</v>
        <stp/>
        <stp>VOLUME</stp>
        <stp>.QQQ250731P510</stp>
        <tr r="N68" s="2"/>
        <tr r="N68" s="2"/>
      </tp>
      <tp t="s">
        <v>N/A</v>
        <stp/>
        <stp>VOLUME</stp>
        <stp>.QQQ250725C504</stp>
        <tr r="M74" s="2"/>
      </tp>
      <tp>
        <v>39</v>
        <stp/>
        <stp>VOLUME</stp>
        <stp>.QQQ250731C510</stp>
        <tr r="N68" s="2"/>
        <tr r="N68" s="2"/>
      </tp>
      <tp t="s">
        <v>N/A</v>
        <stp/>
        <stp>VOLUME</stp>
        <stp>.QQQ250725P507</stp>
        <tr r="M71" s="2"/>
      </tp>
      <tp t="s">
        <v>N/A</v>
        <stp/>
        <stp>VOLUME</stp>
        <stp>.QQQ250731P513</stp>
        <tr r="N65" s="2"/>
      </tp>
      <tp t="s">
        <v>N/A</v>
        <stp/>
        <stp>VOLUME</stp>
        <stp>.QQQ250725C507</stp>
        <tr r="M71" s="2"/>
      </tp>
      <tp t="s">
        <v>N/A</v>
        <stp/>
        <stp>VOLUME</stp>
        <stp>.QQQ250731C513</stp>
        <tr r="N65" s="2"/>
      </tp>
      <tp t="s">
        <v>N/A</v>
        <stp/>
        <stp>VOLUME</stp>
        <stp>.QQQ250725P506</stp>
        <tr r="M72" s="2"/>
      </tp>
      <tp t="s">
        <v>N/A</v>
        <stp/>
        <stp>VOLUME</stp>
        <stp>.QQQ250731P512</stp>
        <tr r="N66" s="2"/>
      </tp>
      <tp t="s">
        <v>N/A</v>
        <stp/>
        <stp>VOLUME</stp>
        <stp>.QQQ250725C506</stp>
        <tr r="M72" s="2"/>
      </tp>
      <tp t="s">
        <v>N/A</v>
        <stp/>
        <stp>VOLUME</stp>
        <stp>.QQQ250731C512</stp>
        <tr r="N66" s="2"/>
      </tp>
      <tp t="s">
        <v>N/A</v>
        <stp/>
        <stp>VOLUME</stp>
        <stp>.QQQ250725P509</stp>
        <tr r="M69" s="2"/>
      </tp>
      <tp t="s">
        <v>N/A</v>
        <stp/>
        <stp>VOLUME</stp>
        <stp>.QQQ250725C509</stp>
        <tr r="M69" s="2"/>
      </tp>
      <tp t="s">
        <v>N/A</v>
        <stp/>
        <stp>VOLUME</stp>
        <stp>.QQQ250725P508</stp>
        <tr r="M70" s="2"/>
      </tp>
      <tp t="s">
        <v>N/A</v>
        <stp/>
        <stp>VOLUME</stp>
        <stp>.QQQ250725C508</stp>
        <tr r="M70" s="2"/>
      </tp>
      <tp t="s">
        <v>N/A</v>
        <stp/>
        <stp>VOLUME</stp>
        <stp>.QQQ250731P519</stp>
        <tr r="N59" s="2"/>
      </tp>
      <tp t="s">
        <v>N/A</v>
        <stp/>
        <stp>VOLUME</stp>
        <stp>.QQQ250731C519</stp>
        <tr r="N59" s="2"/>
      </tp>
      <tp t="s">
        <v>N/A</v>
        <stp/>
        <stp>VOLUME</stp>
        <stp>.QQQ250731P518</stp>
        <tr r="N60" s="2"/>
      </tp>
      <tp t="s">
        <v>N/A</v>
        <stp/>
        <stp>VOLUME</stp>
        <stp>.QQQ250731C518</stp>
        <tr r="N60" s="2"/>
      </tp>
      <tp t="s">
        <v>N/A</v>
        <stp/>
        <stp>VOLUME</stp>
        <stp>.QQQ250725P499</stp>
        <tr r="M79" s="2"/>
      </tp>
      <tp t="s">
        <v>N/A</v>
        <stp/>
        <stp>VOLUME</stp>
        <stp>.QQQ250725C499</stp>
        <tr r="M79" s="2"/>
      </tp>
      <tp t="s">
        <v>N/A</v>
        <stp/>
        <stp>VOLUME</stp>
        <stp>.QQQ250725P498</stp>
        <tr r="M80" s="2"/>
      </tp>
      <tp t="s">
        <v>N/A</v>
        <stp/>
        <stp>VOLUME</stp>
        <stp>.QQQ250725C498</stp>
        <tr r="M80" s="2"/>
      </tp>
      <tp>
        <v>2</v>
        <stp/>
        <stp>VOLUME</stp>
        <stp>.QQQ250731P499</stp>
        <tr r="N79" s="2"/>
        <tr r="N79" s="2"/>
      </tp>
      <tp t="s">
        <v>N/A</v>
        <stp/>
        <stp>VOLUME</stp>
        <stp>.QQQ250731C499</stp>
        <tr r="N79" s="2"/>
      </tp>
      <tp t="s">
        <v>N/A</v>
        <stp/>
        <stp>VOLUME</stp>
        <stp>.QQQ250731P498</stp>
        <tr r="N80" s="2"/>
      </tp>
      <tp t="s">
        <v>N/A</v>
        <stp/>
        <stp>VOLUME</stp>
        <stp>.QQQ250731C498</stp>
        <tr r="N80" s="2"/>
      </tp>
      <tp>
        <v>84</v>
        <stp/>
        <stp>VOLUME</stp>
        <stp>.QQQ250606P512</stp>
        <tr r="H66" s="2"/>
        <tr r="H66" s="2"/>
      </tp>
      <tp>
        <v>112</v>
        <stp/>
        <stp>VOLUME</stp>
        <stp>.QQQ250613P507</stp>
        <tr r="I71" s="2"/>
        <tr r="I71" s="2"/>
      </tp>
      <tp>
        <v>9</v>
        <stp/>
        <stp>VOLUME</stp>
        <stp>.QQQ250630P524</stp>
        <tr r="L54" s="2"/>
        <tr r="L54" s="2"/>
      </tp>
      <tp>
        <v>62</v>
        <stp/>
        <stp>VOLUME</stp>
        <stp>.QQQ250606C512</stp>
        <tr r="H66" s="2"/>
        <tr r="H66" s="2"/>
      </tp>
      <tp>
        <v>9</v>
        <stp/>
        <stp>VOLUME</stp>
        <stp>.QQQ250613C507</stp>
        <tr r="I71" s="2"/>
        <tr r="I71" s="2"/>
      </tp>
      <tp>
        <v>174</v>
        <stp/>
        <stp>VOLUME</stp>
        <stp>.QQQ250630C524</stp>
        <tr r="L54" s="2"/>
        <tr r="L54" s="2"/>
      </tp>
      <tp>
        <v>973</v>
        <stp/>
        <stp>VOLUME</stp>
        <stp>.QQQ250606P513</stp>
        <tr r="H65" s="2"/>
        <tr r="H65" s="2"/>
      </tp>
      <tp>
        <v>22</v>
        <stp/>
        <stp>VOLUME</stp>
        <stp>.QQQ250613P506</stp>
        <tr r="I72" s="2"/>
        <tr r="I72" s="2"/>
      </tp>
      <tp t="s">
        <v>N/A</v>
        <stp/>
        <stp>VOLUME</stp>
        <stp>.QQQ250627P532</stp>
        <tr r="K46" s="2"/>
      </tp>
      <tp>
        <v>32</v>
        <stp/>
        <stp>VOLUME</stp>
        <stp>.QQQ250630P525</stp>
        <tr r="L53" s="2"/>
        <tr r="L53" s="2"/>
      </tp>
      <tp>
        <v>4</v>
        <stp/>
        <stp>VOLUME</stp>
        <stp>.QQQ250606C513</stp>
        <tr r="H65" s="2"/>
        <tr r="H65" s="2"/>
      </tp>
      <tp t="s">
        <v>N/A</v>
        <stp/>
        <stp>VOLUME</stp>
        <stp>.QQQ250613C506</stp>
        <tr r="I72" s="2"/>
      </tp>
      <tp>
        <v>5</v>
        <stp/>
        <stp>VOLUME</stp>
        <stp>.QQQ250627C532</stp>
        <tr r="K46" s="2"/>
        <tr r="K46" s="2"/>
      </tp>
      <tp>
        <v>126</v>
        <stp/>
        <stp>VOLUME</stp>
        <stp>.QQQ250630C525</stp>
        <tr r="L53" s="2"/>
        <tr r="L53" s="2"/>
      </tp>
      <tp>
        <v>491</v>
        <stp/>
        <stp>VOLUME</stp>
        <stp>.QQQ250606P510</stp>
        <tr r="H68" s="2"/>
        <tr r="H68" s="2"/>
      </tp>
      <tp>
        <v>209</v>
        <stp/>
        <stp>VOLUME</stp>
        <stp>.QQQ250613P505</stp>
        <tr r="I73" s="2"/>
        <tr r="I73" s="2"/>
      </tp>
      <tp>
        <v>3</v>
        <stp/>
        <stp>VOLUME</stp>
        <stp>.QQQ250627P531</stp>
        <tr r="K47" s="2"/>
        <tr r="K47" s="2"/>
      </tp>
      <tp>
        <v>4</v>
        <stp/>
        <stp>VOLUME</stp>
        <stp>.QQQ250630P526</stp>
        <tr r="L52" s="2"/>
        <tr r="L52" s="2"/>
      </tp>
      <tp>
        <v>551</v>
        <stp/>
        <stp>VOLUME</stp>
        <stp>.QQQ250606C510</stp>
        <tr r="H68" s="2"/>
        <tr r="H68" s="2"/>
      </tp>
      <tp>
        <v>27</v>
        <stp/>
        <stp>VOLUME</stp>
        <stp>.QQQ250613C505</stp>
        <tr r="I73" s="2"/>
        <tr r="I73" s="2"/>
      </tp>
      <tp t="s">
        <v>N/A</v>
        <stp/>
        <stp>VOLUME</stp>
        <stp>.QQQ250627C531</stp>
        <tr r="K47" s="2"/>
      </tp>
      <tp>
        <v>40</v>
        <stp/>
        <stp>VOLUME</stp>
        <stp>.QQQ250630C526</stp>
        <tr r="L52" s="2"/>
        <tr r="L52" s="2"/>
      </tp>
      <tp>
        <v>54</v>
        <stp/>
        <stp>VOLUME</stp>
        <stp>.QQQ250606P511</stp>
        <tr r="H67" s="2"/>
        <tr r="H67" s="2"/>
      </tp>
      <tp>
        <v>4</v>
        <stp/>
        <stp>VOLUME</stp>
        <stp>.QQQ250613P504</stp>
        <tr r="I74" s="2"/>
        <tr r="I74" s="2"/>
      </tp>
      <tp>
        <v>3</v>
        <stp/>
        <stp>VOLUME</stp>
        <stp>.QQQ250627P530</stp>
        <tr r="K48" s="2"/>
        <tr r="K48" s="2"/>
      </tp>
      <tp>
        <v>342</v>
        <stp/>
        <stp>VOLUME</stp>
        <stp>.QQQ250630P527</stp>
        <tr r="L51" s="2"/>
        <tr r="L51" s="2"/>
      </tp>
      <tp>
        <v>92</v>
        <stp/>
        <stp>VOLUME</stp>
        <stp>.QQQ250606C511</stp>
        <tr r="H67" s="2"/>
        <tr r="H67" s="2"/>
      </tp>
      <tp>
        <v>2</v>
        <stp/>
        <stp>VOLUME</stp>
        <stp>.QQQ250613C504</stp>
        <tr r="I74" s="2"/>
        <tr r="I74" s="2"/>
      </tp>
      <tp>
        <v>67</v>
        <stp/>
        <stp>VOLUME</stp>
        <stp>.QQQ250627C530</stp>
        <tr r="K48" s="2"/>
        <tr r="K48" s="2"/>
      </tp>
      <tp>
        <v>40</v>
        <stp/>
        <stp>VOLUME</stp>
        <stp>.QQQ250630C527</stp>
        <tr r="L51" s="2"/>
        <tr r="L51" s="2"/>
      </tp>
      <tp>
        <v>84</v>
        <stp/>
        <stp>VOLUME</stp>
        <stp>.QQQ250606P516</stp>
        <tr r="H62" s="2"/>
        <tr r="H62" s="2"/>
      </tp>
      <tp t="s">
        <v>N/A</v>
        <stp/>
        <stp>VOLUME</stp>
        <stp>.QQQ250613P503</stp>
        <tr r="I75" s="2"/>
      </tp>
      <tp>
        <v>130</v>
        <stp/>
        <stp>VOLUME</stp>
        <stp>.QQQ250620P530</stp>
        <tr r="BF47" s="1"/>
        <tr r="BF47" s="1"/>
      </tp>
      <tp>
        <v>787</v>
        <stp/>
        <stp>VOLUME</stp>
        <stp>.QQQ250630P520</stp>
        <tr r="L58" s="2"/>
        <tr r="L58" s="2"/>
      </tp>
      <tp>
        <v>5</v>
        <stp/>
        <stp>VOLUME</stp>
        <stp>.QQQ250606C516</stp>
        <tr r="H62" s="2"/>
        <tr r="H62" s="2"/>
      </tp>
      <tp t="s">
        <v>N/A</v>
        <stp/>
        <stp>VOLUME</stp>
        <stp>.QQQ250613C503</stp>
        <tr r="I75" s="2"/>
      </tp>
      <tp>
        <v>768</v>
        <stp/>
        <stp>VOLUME</stp>
        <stp>.QQQ250620C530</stp>
        <tr r="BE47" s="1"/>
        <tr r="BE47" s="1"/>
      </tp>
      <tp>
        <v>187</v>
        <stp/>
        <stp>VOLUME</stp>
        <stp>.QQQ250630C520</stp>
        <tr r="L58" s="2"/>
        <tr r="L58" s="2"/>
      </tp>
      <tp>
        <v>336</v>
        <stp/>
        <stp>VOLUME</stp>
        <stp>.QQQ250606P517</stp>
        <tr r="H61" s="2"/>
        <tr r="H61" s="2"/>
      </tp>
      <tp t="s">
        <v>N/A</v>
        <stp/>
        <stp>VOLUME</stp>
        <stp>.QQQ250613P502</stp>
        <tr r="I76" s="2"/>
      </tp>
      <tp>
        <v>1</v>
        <stp/>
        <stp>VOLUME</stp>
        <stp>.QQQ250620P531</stp>
        <tr r="BF46" s="1"/>
        <tr r="BF46" s="1"/>
      </tp>
      <tp>
        <v>51</v>
        <stp/>
        <stp>VOLUME</stp>
        <stp>.QQQ250630P521</stp>
        <tr r="L57" s="2"/>
        <tr r="L57" s="2"/>
      </tp>
      <tp>
        <v>28</v>
        <stp/>
        <stp>VOLUME</stp>
        <stp>.QQQ250606C517</stp>
        <tr r="H61" s="2"/>
        <tr r="H61" s="2"/>
      </tp>
      <tp t="s">
        <v>N/A</v>
        <stp/>
        <stp>VOLUME</stp>
        <stp>.QQQ250613C502</stp>
        <tr r="I76" s="2"/>
      </tp>
      <tp>
        <v>152</v>
        <stp/>
        <stp>VOLUME</stp>
        <stp>.QQQ250620C531</stp>
        <tr r="BE46" s="1"/>
        <tr r="BE46" s="1"/>
      </tp>
      <tp>
        <v>8</v>
        <stp/>
        <stp>VOLUME</stp>
        <stp>.QQQ250630C521</stp>
        <tr r="L57" s="2"/>
        <tr r="L57" s="2"/>
      </tp>
      <tp>
        <v>86</v>
        <stp/>
        <stp>VOLUME</stp>
        <stp>.QQQ250606P514</stp>
        <tr r="H64" s="2"/>
        <tr r="H64" s="2"/>
      </tp>
      <tp t="s">
        <v>N/A</v>
        <stp/>
        <stp>VOLUME</stp>
        <stp>.QQQ250613P501</stp>
        <tr r="I77" s="2"/>
      </tp>
      <tp t="s">
        <v>N/A</v>
        <stp/>
        <stp>VOLUME</stp>
        <stp>.QQQ250620P532</stp>
        <tr r="BF45" s="1"/>
      </tp>
      <tp>
        <v>77</v>
        <stp/>
        <stp>VOLUME</stp>
        <stp>.QQQ250630P522</stp>
        <tr r="L56" s="2"/>
        <tr r="L56" s="2"/>
      </tp>
      <tp>
        <v>3</v>
        <stp/>
        <stp>VOLUME</stp>
        <stp>.QQQ250606C514</stp>
        <tr r="H64" s="2"/>
        <tr r="H64" s="2"/>
      </tp>
      <tp t="s">
        <v>N/A</v>
        <stp/>
        <stp>VOLUME</stp>
        <stp>.QQQ250613C501</stp>
        <tr r="I77" s="2"/>
      </tp>
      <tp>
        <v>51</v>
        <stp/>
        <stp>VOLUME</stp>
        <stp>.QQQ250620C532</stp>
        <tr r="BE45" s="1"/>
        <tr r="BE45" s="1"/>
      </tp>
      <tp>
        <v>78</v>
        <stp/>
        <stp>VOLUME</stp>
        <stp>.QQQ250630C522</stp>
        <tr r="L56" s="2"/>
        <tr r="L56" s="2"/>
      </tp>
      <tp>
        <v>532</v>
        <stp/>
        <stp>VOLUME</stp>
        <stp>.QQQ250606P515</stp>
        <tr r="H63" s="2"/>
        <tr r="H63" s="2"/>
      </tp>
      <tp>
        <v>747</v>
        <stp/>
        <stp>VOLUME</stp>
        <stp>.QQQ250613P500</stp>
        <tr r="I78" s="2"/>
        <tr r="I78" s="2"/>
      </tp>
      <tp>
        <v>47</v>
        <stp/>
        <stp>VOLUME</stp>
        <stp>.QQQ250630P523</stp>
        <tr r="L55" s="2"/>
        <tr r="L55" s="2"/>
      </tp>
      <tp>
        <v>4615</v>
        <stp/>
        <stp>VOLUME</stp>
        <stp>.QQQ250606C515</stp>
        <tr r="H63" s="2"/>
        <tr r="H63" s="2"/>
      </tp>
      <tp>
        <v>16</v>
        <stp/>
        <stp>VOLUME</stp>
        <stp>.QQQ250613C500</stp>
        <tr r="I78" s="2"/>
        <tr r="I78" s="2"/>
      </tp>
      <tp>
        <v>28</v>
        <stp/>
        <stp>VOLUME</stp>
        <stp>.QQQ250630C523</stp>
        <tr r="L55" s="2"/>
        <tr r="L55" s="2"/>
      </tp>
      <tp>
        <v>490</v>
        <stp/>
        <stp>VOLUME</stp>
        <stp>.QQQ250606P518</stp>
        <tr r="H60" s="2"/>
        <tr r="H60" s="2"/>
      </tp>
      <tp>
        <v>442</v>
        <stp/>
        <stp>VOLUME</stp>
        <stp>.QQQ250606C518</stp>
        <tr r="H60" s="2"/>
        <tr r="H60" s="2"/>
      </tp>
      <tp>
        <v>594</v>
        <stp/>
        <stp>VOLUME</stp>
        <stp>.QQQ250606P519</stp>
        <tr r="H59" s="2"/>
        <tr r="H59" s="2"/>
      </tp>
      <tp>
        <v>311</v>
        <stp/>
        <stp>VOLUME</stp>
        <stp>.QQQ250606C519</stp>
        <tr r="H59" s="2"/>
        <tr r="H59" s="2"/>
      </tp>
      <tp>
        <v>120</v>
        <stp/>
        <stp>VOLUME</stp>
        <stp>.QQQ250630P528</stp>
        <tr r="L50" s="2"/>
        <tr r="L50" s="2"/>
      </tp>
      <tp>
        <v>52</v>
        <stp/>
        <stp>VOLUME</stp>
        <stp>.QQQ250630C528</stp>
        <tr r="L50" s="2"/>
        <tr r="L50" s="2"/>
      </tp>
      <tp>
        <v>42</v>
        <stp/>
        <stp>VOLUME</stp>
        <stp>.QQQ250630P529</stp>
        <tr r="L49" s="2"/>
        <tr r="L49" s="2"/>
      </tp>
      <tp>
        <v>14</v>
        <stp/>
        <stp>VOLUME</stp>
        <stp>.QQQ250630C529</stp>
        <tr r="L49" s="2"/>
        <tr r="L49" s="2"/>
      </tp>
      <tp>
        <v>12</v>
        <stp/>
        <stp>VOLUME</stp>
        <stp>.QQQ250613P509</stp>
        <tr r="I69" s="2"/>
        <tr r="I69" s="2"/>
      </tp>
      <tp t="s">
        <v>N/A</v>
        <stp/>
        <stp>VOLUME</stp>
        <stp>.QQQ250613C509</stp>
        <tr r="I69" s="2"/>
      </tp>
      <tp>
        <v>14</v>
        <stp/>
        <stp>VOLUME</stp>
        <stp>.QQQ250613P508</stp>
        <tr r="I70" s="2"/>
        <tr r="I70" s="2"/>
      </tp>
      <tp>
        <v>1</v>
        <stp/>
        <stp>VOLUME</stp>
        <stp>.QQQ250613C508</stp>
        <tr r="I70" s="2"/>
        <tr r="I70" s="2"/>
      </tp>
      <tp>
        <v>30</v>
        <stp/>
        <stp>VOLUME</stp>
        <stp>.QQQ250606P502</stp>
        <tr r="H76" s="2"/>
        <tr r="H76" s="2"/>
      </tp>
      <tp>
        <v>278</v>
        <stp/>
        <stp>VOLUME</stp>
        <stp>.QQQ250613P517</stp>
        <tr r="I61" s="2"/>
        <tr r="I61" s="2"/>
      </tp>
      <tp>
        <v>41</v>
        <stp/>
        <stp>VOLUME</stp>
        <stp>.QQQ250620P524</stp>
        <tr r="BF53" s="1"/>
        <tr r="BF53" s="1"/>
      </tp>
      <tp>
        <v>10</v>
        <stp/>
        <stp>VOLUME</stp>
        <stp>.QQQ250627P523</stp>
        <tr r="K55" s="2"/>
        <tr r="K55" s="2"/>
      </tp>
      <tp t="s">
        <v>N/A</v>
        <stp/>
        <stp>VOLUME</stp>
        <stp>.QQQ250606C502</stp>
        <tr r="H76" s="2"/>
      </tp>
      <tp>
        <v>1</v>
        <stp/>
        <stp>VOLUME</stp>
        <stp>.QQQ250613C517</stp>
        <tr r="I61" s="2"/>
        <tr r="I61" s="2"/>
      </tp>
      <tp>
        <v>61</v>
        <stp/>
        <stp>VOLUME</stp>
        <stp>.QQQ250620C524</stp>
        <tr r="BE53" s="1"/>
        <tr r="BE53" s="1"/>
      </tp>
      <tp>
        <v>5</v>
        <stp/>
        <stp>VOLUME</stp>
        <stp>.QQQ250627C523</stp>
        <tr r="K55" s="2"/>
        <tr r="K55" s="2"/>
      </tp>
      <tp>
        <v>38</v>
        <stp/>
        <stp>VOLUME</stp>
        <stp>.QQQ250606P503</stp>
        <tr r="H75" s="2"/>
        <tr r="H75" s="2"/>
      </tp>
      <tp>
        <v>45</v>
        <stp/>
        <stp>VOLUME</stp>
        <stp>.QQQ250613P516</stp>
        <tr r="I62" s="2"/>
        <tr r="I62" s="2"/>
      </tp>
      <tp>
        <v>493</v>
        <stp/>
        <stp>VOLUME</stp>
        <stp>.QQQ250620P525</stp>
        <tr r="BF52" s="1"/>
        <tr r="BF52" s="1"/>
      </tp>
      <tp>
        <v>4</v>
        <stp/>
        <stp>VOLUME</stp>
        <stp>.QQQ250627P522</stp>
        <tr r="K56" s="2"/>
        <tr r="K56" s="2"/>
      </tp>
      <tp t="s">
        <v>N/A</v>
        <stp/>
        <stp>VOLUME</stp>
        <stp>.QQQ250606C503</stp>
        <tr r="H75" s="2"/>
      </tp>
      <tp>
        <v>13</v>
        <stp/>
        <stp>VOLUME</stp>
        <stp>.QQQ250613C516</stp>
        <tr r="I62" s="2"/>
        <tr r="I62" s="2"/>
      </tp>
      <tp>
        <v>1785</v>
        <stp/>
        <stp>VOLUME</stp>
        <stp>.QQQ250620C525</stp>
        <tr r="BE52" s="1"/>
        <tr r="BE52" s="1"/>
      </tp>
      <tp>
        <v>118</v>
        <stp/>
        <stp>VOLUME</stp>
        <stp>.QQQ250627C522</stp>
        <tr r="K56" s="2"/>
        <tr r="K56" s="2"/>
      </tp>
      <tp>
        <v>2773</v>
        <stp/>
        <stp>VOLUME</stp>
        <stp>.QQQ250606P500</stp>
        <tr r="H78" s="2"/>
        <tr r="H78" s="2"/>
      </tp>
      <tp>
        <v>200</v>
        <stp/>
        <stp>VOLUME</stp>
        <stp>.QQQ250613P515</stp>
        <tr r="I63" s="2"/>
        <tr r="I63" s="2"/>
      </tp>
      <tp>
        <v>5</v>
        <stp/>
        <stp>VOLUME</stp>
        <stp>.QQQ250620P526</stp>
        <tr r="BF51" s="1"/>
        <tr r="BF51" s="1"/>
      </tp>
      <tp>
        <v>119</v>
        <stp/>
        <stp>VOLUME</stp>
        <stp>.QQQ250627P521</stp>
        <tr r="K57" s="2"/>
        <tr r="K57" s="2"/>
      </tp>
      <tp>
        <v>150</v>
        <stp/>
        <stp>VOLUME</stp>
        <stp>.QQQ250606C500</stp>
        <tr r="H78" s="2"/>
        <tr r="H78" s="2"/>
      </tp>
      <tp>
        <v>94</v>
        <stp/>
        <stp>VOLUME</stp>
        <stp>.QQQ250613C515</stp>
        <tr r="I63" s="2"/>
        <tr r="I63" s="2"/>
      </tp>
      <tp>
        <v>104</v>
        <stp/>
        <stp>VOLUME</stp>
        <stp>.QQQ250620C526</stp>
        <tr r="BE51" s="1"/>
        <tr r="BE51" s="1"/>
      </tp>
      <tp>
        <v>10</v>
        <stp/>
        <stp>VOLUME</stp>
        <stp>.QQQ250627C521</stp>
        <tr r="K57" s="2"/>
        <tr r="K57" s="2"/>
      </tp>
      <tp>
        <v>3</v>
        <stp/>
        <stp>VOLUME</stp>
        <stp>.QQQ250606P501</stp>
        <tr r="H77" s="2"/>
        <tr r="H77" s="2"/>
      </tp>
      <tp>
        <v>546</v>
        <stp/>
        <stp>VOLUME</stp>
        <stp>.QQQ250613P514</stp>
        <tr r="I64" s="2"/>
        <tr r="I64" s="2"/>
      </tp>
      <tp>
        <v>75</v>
        <stp/>
        <stp>VOLUME</stp>
        <stp>.QQQ250620P527</stp>
        <tr r="BF50" s="1"/>
        <tr r="BF50" s="1"/>
      </tp>
      <tp>
        <v>217</v>
        <stp/>
        <stp>VOLUME</stp>
        <stp>.QQQ250627P520</stp>
        <tr r="K58" s="2"/>
        <tr r="K58" s="2"/>
      </tp>
      <tp t="s">
        <v>N/A</v>
        <stp/>
        <stp>VOLUME</stp>
        <stp>.QQQ250606C501</stp>
        <tr r="H77" s="2"/>
      </tp>
      <tp>
        <v>2</v>
        <stp/>
        <stp>VOLUME</stp>
        <stp>.QQQ250613C514</stp>
        <tr r="I64" s="2"/>
        <tr r="I64" s="2"/>
      </tp>
      <tp>
        <v>39</v>
        <stp/>
        <stp>VOLUME</stp>
        <stp>.QQQ250620C527</stp>
        <tr r="BE50" s="1"/>
        <tr r="BE50" s="1"/>
      </tp>
      <tp>
        <v>69</v>
        <stp/>
        <stp>VOLUME</stp>
        <stp>.QQQ250627C520</stp>
        <tr r="K58" s="2"/>
        <tr r="K58" s="2"/>
      </tp>
      <tp>
        <v>35</v>
        <stp/>
        <stp>VOLUME</stp>
        <stp>.QQQ250606P506</stp>
        <tr r="H72" s="2"/>
        <tr r="H72" s="2"/>
      </tp>
      <tp>
        <v>825</v>
        <stp/>
        <stp>VOLUME</stp>
        <stp>.QQQ250613P513</stp>
        <tr r="I65" s="2"/>
        <tr r="I65" s="2"/>
      </tp>
      <tp>
        <v>3679</v>
        <stp/>
        <stp>VOLUME</stp>
        <stp>.QQQ250620P520</stp>
        <tr r="BF57" s="1"/>
        <tr r="BF57" s="1"/>
      </tp>
      <tp t="s">
        <v>N/A</v>
        <stp/>
        <stp>VOLUME</stp>
        <stp>.QQQ250627P527</stp>
        <tr r="K51" s="2"/>
      </tp>
      <tp>
        <v>105</v>
        <stp/>
        <stp>VOLUME</stp>
        <stp>.QQQ250630P530</stp>
        <tr r="L48" s="2"/>
        <tr r="L48" s="2"/>
      </tp>
      <tp t="s">
        <v>N/A</v>
        <stp/>
        <stp>VOLUME</stp>
        <stp>.QQQ250606C506</stp>
        <tr r="H72" s="2"/>
      </tp>
      <tp>
        <v>1</v>
        <stp/>
        <stp>VOLUME</stp>
        <stp>.QQQ250613C513</stp>
        <tr r="I65" s="2"/>
        <tr r="I65" s="2"/>
      </tp>
      <tp>
        <v>11278</v>
        <stp/>
        <stp>VOLUME</stp>
        <stp>.QQQ250620C520</stp>
        <tr r="BE57" s="1"/>
        <tr r="BE57" s="1"/>
      </tp>
      <tp>
        <v>304</v>
        <stp/>
        <stp>VOLUME</stp>
        <stp>.QQQ250627C527</stp>
        <tr r="K51" s="2"/>
        <tr r="K51" s="2"/>
      </tp>
      <tp>
        <v>121</v>
        <stp/>
        <stp>VOLUME</stp>
        <stp>.QQQ250630C530</stp>
        <tr r="L48" s="2"/>
        <tr r="L48" s="2"/>
      </tp>
      <tp>
        <v>44</v>
        <stp/>
        <stp>VOLUME</stp>
        <stp>.QQQ250606P507</stp>
        <tr r="H71" s="2"/>
        <tr r="H71" s="2"/>
      </tp>
      <tp>
        <v>124</v>
        <stp/>
        <stp>VOLUME</stp>
        <stp>.QQQ250613P512</stp>
        <tr r="I66" s="2"/>
        <tr r="I66" s="2"/>
      </tp>
      <tp>
        <v>954</v>
        <stp/>
        <stp>VOLUME</stp>
        <stp>.QQQ250620P521</stp>
        <tr r="BF56" s="1"/>
        <tr r="BF56" s="1"/>
      </tp>
      <tp>
        <v>1</v>
        <stp/>
        <stp>VOLUME</stp>
        <stp>.QQQ250627P526</stp>
        <tr r="K52" s="2"/>
        <tr r="K52" s="2"/>
      </tp>
      <tp t="s">
        <v>N/A</v>
        <stp/>
        <stp>VOLUME</stp>
        <stp>.QQQ250630P531</stp>
        <tr r="L47" s="2"/>
      </tp>
      <tp>
        <v>1</v>
        <stp/>
        <stp>VOLUME</stp>
        <stp>.QQQ250606C507</stp>
        <tr r="H71" s="2"/>
        <tr r="H71" s="2"/>
      </tp>
      <tp>
        <v>5</v>
        <stp/>
        <stp>VOLUME</stp>
        <stp>.QQQ250613C512</stp>
        <tr r="I66" s="2"/>
        <tr r="I66" s="2"/>
      </tp>
      <tp>
        <v>312</v>
        <stp/>
        <stp>VOLUME</stp>
        <stp>.QQQ250620C521</stp>
        <tr r="BE56" s="1"/>
        <tr r="BE56" s="1"/>
      </tp>
      <tp>
        <v>1</v>
        <stp/>
        <stp>VOLUME</stp>
        <stp>.QQQ250627C526</stp>
        <tr r="K52" s="2"/>
        <tr r="K52" s="2"/>
      </tp>
      <tp t="s">
        <v>N/A</v>
        <stp/>
        <stp>VOLUME</stp>
        <stp>.QQQ250630C531</stp>
        <tr r="L47" s="2"/>
      </tp>
      <tp>
        <v>4</v>
        <stp/>
        <stp>VOLUME</stp>
        <stp>.QQQ250606P504</stp>
        <tr r="H74" s="2"/>
        <tr r="H74" s="2"/>
      </tp>
      <tp>
        <v>35</v>
        <stp/>
        <stp>VOLUME</stp>
        <stp>.QQQ250613P511</stp>
        <tr r="I67" s="2"/>
        <tr r="I67" s="2"/>
      </tp>
      <tp>
        <v>110</v>
        <stp/>
        <stp>VOLUME</stp>
        <stp>.QQQ250620P522</stp>
        <tr r="BF55" s="1"/>
        <tr r="BF55" s="1"/>
      </tp>
      <tp>
        <v>21</v>
        <stp/>
        <stp>VOLUME</stp>
        <stp>.QQQ250627P525</stp>
        <tr r="K53" s="2"/>
        <tr r="K53" s="2"/>
      </tp>
      <tp t="s">
        <v>N/A</v>
        <stp/>
        <stp>VOLUME</stp>
        <stp>.QQQ250630P532</stp>
        <tr r="L46" s="2"/>
      </tp>
      <tp>
        <v>13</v>
        <stp/>
        <stp>VOLUME</stp>
        <stp>.QQQ250606C504</stp>
        <tr r="H74" s="2"/>
        <tr r="H74" s="2"/>
      </tp>
      <tp>
        <v>4</v>
        <stp/>
        <stp>VOLUME</stp>
        <stp>.QQQ250613C511</stp>
        <tr r="I67" s="2"/>
        <tr r="I67" s="2"/>
      </tp>
      <tp>
        <v>513</v>
        <stp/>
        <stp>VOLUME</stp>
        <stp>.QQQ250620C522</stp>
        <tr r="BE55" s="1"/>
        <tr r="BE55" s="1"/>
      </tp>
      <tp>
        <v>30</v>
        <stp/>
        <stp>VOLUME</stp>
        <stp>.QQQ250627C525</stp>
        <tr r="K53" s="2"/>
        <tr r="K53" s="2"/>
      </tp>
      <tp t="s">
        <v>N/A</v>
        <stp/>
        <stp>VOLUME</stp>
        <stp>.QQQ250630C532</stp>
        <tr r="L46" s="2"/>
      </tp>
      <tp>
        <v>1175</v>
        <stp/>
        <stp>VOLUME</stp>
        <stp>.QQQ250606P505</stp>
        <tr r="H73" s="2"/>
        <tr r="H73" s="2"/>
      </tp>
      <tp>
        <v>605</v>
        <stp/>
        <stp>VOLUME</stp>
        <stp>.QQQ250613P510</stp>
        <tr r="I68" s="2"/>
        <tr r="I68" s="2"/>
      </tp>
      <tp>
        <v>112</v>
        <stp/>
        <stp>VOLUME</stp>
        <stp>.QQQ250620P523</stp>
        <tr r="BF54" s="1"/>
        <tr r="BF54" s="1"/>
      </tp>
      <tp>
        <v>6</v>
        <stp/>
        <stp>VOLUME</stp>
        <stp>.QQQ250627P524</stp>
        <tr r="K54" s="2"/>
        <tr r="K54" s="2"/>
      </tp>
      <tp>
        <v>43</v>
        <stp/>
        <stp>VOLUME</stp>
        <stp>.QQQ250606C505</stp>
        <tr r="H73" s="2"/>
        <tr r="H73" s="2"/>
      </tp>
      <tp>
        <v>26</v>
        <stp/>
        <stp>VOLUME</stp>
        <stp>.QQQ250613C510</stp>
        <tr r="I68" s="2"/>
        <tr r="I68" s="2"/>
      </tp>
      <tp>
        <v>206</v>
        <stp/>
        <stp>VOLUME</stp>
        <stp>.QQQ250620C523</stp>
        <tr r="BE54" s="1"/>
        <tr r="BE54" s="1"/>
      </tp>
      <tp>
        <v>2</v>
        <stp/>
        <stp>VOLUME</stp>
        <stp>.QQQ250627C524</stp>
        <tr r="K54" s="2"/>
        <tr r="K54" s="2"/>
      </tp>
      <tp>
        <v>25</v>
        <stp/>
        <stp>VOLUME</stp>
        <stp>.QQQ250606P508</stp>
        <tr r="H70" s="2"/>
        <tr r="H70" s="2"/>
      </tp>
      <tp t="s">
        <v>N/A</v>
        <stp/>
        <stp>VOLUME</stp>
        <stp>.QQQ250627P529</stp>
        <tr r="K49" s="2"/>
      </tp>
      <tp t="s">
        <v>N/A</v>
        <stp/>
        <stp>VOLUME</stp>
        <stp>.QQQ250606C508</stp>
        <tr r="H70" s="2"/>
      </tp>
      <tp>
        <v>12</v>
        <stp/>
        <stp>VOLUME</stp>
        <stp>.QQQ250627C529</stp>
        <tr r="K49" s="2"/>
        <tr r="K49" s="2"/>
      </tp>
      <tp>
        <v>12</v>
        <stp/>
        <stp>VOLUME</stp>
        <stp>.QQQ250606P509</stp>
        <tr r="H69" s="2"/>
        <tr r="H69" s="2"/>
      </tp>
      <tp>
        <v>5</v>
        <stp/>
        <stp>VOLUME</stp>
        <stp>.QQQ250627P528</stp>
        <tr r="K50" s="2"/>
        <tr r="K50" s="2"/>
      </tp>
      <tp>
        <v>81</v>
        <stp/>
        <stp>VOLUME</stp>
        <stp>.QQQ250606C509</stp>
        <tr r="H69" s="2"/>
        <tr r="H69" s="2"/>
      </tp>
      <tp>
        <v>28</v>
        <stp/>
        <stp>VOLUME</stp>
        <stp>.QQQ250627C528</stp>
        <tr r="K50" s="2"/>
        <tr r="K50" s="2"/>
      </tp>
      <tp>
        <v>1</v>
        <stp/>
        <stp>VOLUME</stp>
        <stp>.QQQ250620P528</stp>
        <tr r="BF49" s="1"/>
        <tr r="BF49" s="1"/>
      </tp>
      <tp>
        <v>65</v>
        <stp/>
        <stp>VOLUME</stp>
        <stp>.QQQ250620C528</stp>
        <tr r="BE49" s="1"/>
        <tr r="BE49" s="1"/>
      </tp>
      <tp>
        <v>8</v>
        <stp/>
        <stp>VOLUME</stp>
        <stp>.QQQ250620P529</stp>
        <tr r="BF48" s="1"/>
        <tr r="BF48" s="1"/>
      </tp>
      <tp>
        <v>35</v>
        <stp/>
        <stp>VOLUME</stp>
        <stp>.QQQ250620C529</stp>
        <tr r="BE48" s="1"/>
        <tr r="BE48" s="1"/>
      </tp>
      <tp>
        <v>140</v>
        <stp/>
        <stp>VOLUME</stp>
        <stp>.QQQ250613P519</stp>
        <tr r="I59" s="2"/>
        <tr r="I59" s="2"/>
      </tp>
      <tp>
        <v>448</v>
        <stp/>
        <stp>VOLUME</stp>
        <stp>.QQQ250613C519</stp>
        <tr r="I59" s="2"/>
        <tr r="I59" s="2"/>
      </tp>
      <tp>
        <v>794</v>
        <stp/>
        <stp>VOLUME</stp>
        <stp>.QQQ250613P518</stp>
        <tr r="I60" s="2"/>
        <tr r="I60" s="2"/>
      </tp>
      <tp>
        <v>16</v>
        <stp/>
        <stp>VOLUME</stp>
        <stp>.QQQ250613C518</stp>
        <tr r="I60" s="2"/>
        <tr r="I60" s="2"/>
      </tp>
      <tp>
        <v>26</v>
        <stp/>
        <stp>VOLUME</stp>
        <stp>.QQQ250606P532</stp>
        <tr r="H46" s="2"/>
        <tr r="H46" s="2"/>
      </tp>
      <tp t="s">
        <v>N/A</v>
        <stp/>
        <stp>VOLUME</stp>
        <stp>.QQQ250613P527</stp>
        <tr r="I51" s="2"/>
      </tp>
      <tp>
        <v>64</v>
        <stp/>
        <stp>VOLUME</stp>
        <stp>.QQQ250620P514</stp>
        <tr r="BF63" s="1"/>
        <tr r="BF63" s="1"/>
      </tp>
      <tp t="s">
        <v>N/A</v>
        <stp/>
        <stp>VOLUME</stp>
        <stp>.QQQ250627P513</stp>
        <tr r="K65" s="2"/>
      </tp>
      <tp>
        <v>2</v>
        <stp/>
        <stp>VOLUME</stp>
        <stp>.QQQ250630P504</stp>
        <tr r="L74" s="2"/>
        <tr r="L74" s="2"/>
      </tp>
      <tp>
        <v>34</v>
        <stp/>
        <stp>VOLUME</stp>
        <stp>.QQQ250606C532</stp>
        <tr r="H46" s="2"/>
        <tr r="H46" s="2"/>
      </tp>
      <tp>
        <v>34</v>
        <stp/>
        <stp>VOLUME</stp>
        <stp>.QQQ250613C527</stp>
        <tr r="I51" s="2"/>
        <tr r="I51" s="2"/>
      </tp>
      <tp>
        <v>79</v>
        <stp/>
        <stp>VOLUME</stp>
        <stp>.QQQ250620C514</stp>
        <tr r="BE63" s="1"/>
        <tr r="BE63" s="1"/>
      </tp>
      <tp>
        <v>1</v>
        <stp/>
        <stp>VOLUME</stp>
        <stp>.QQQ250627C513</stp>
        <tr r="K65" s="2"/>
        <tr r="K65" s="2"/>
      </tp>
      <tp>
        <v>1</v>
        <stp/>
        <stp>VOLUME</stp>
        <stp>.QQQ250630C504</stp>
        <tr r="L74" s="2"/>
        <tr r="L74" s="2"/>
      </tp>
      <tp>
        <v>2</v>
        <stp/>
        <stp>VOLUME</stp>
        <stp>.QQQ250613P526</stp>
        <tr r="I52" s="2"/>
        <tr r="I52" s="2"/>
      </tp>
      <tp>
        <v>1946</v>
        <stp/>
        <stp>VOLUME</stp>
        <stp>.QQQ250620P515</stp>
        <tr r="BF62" s="1"/>
        <tr r="BF62" s="1"/>
      </tp>
      <tp>
        <v>7</v>
        <stp/>
        <stp>VOLUME</stp>
        <stp>.QQQ250627P512</stp>
        <tr r="K66" s="2"/>
        <tr r="K66" s="2"/>
      </tp>
      <tp>
        <v>33</v>
        <stp/>
        <stp>VOLUME</stp>
        <stp>.QQQ250630P505</stp>
        <tr r="L73" s="2"/>
        <tr r="L73" s="2"/>
      </tp>
      <tp>
        <v>13</v>
        <stp/>
        <stp>VOLUME</stp>
        <stp>.QQQ250613C526</stp>
        <tr r="I52" s="2"/>
        <tr r="I52" s="2"/>
      </tp>
      <tp>
        <v>698</v>
        <stp/>
        <stp>VOLUME</stp>
        <stp>.QQQ250620C515</stp>
        <tr r="BE62" s="1"/>
        <tr r="BE62" s="1"/>
      </tp>
      <tp t="s">
        <v>N/A</v>
        <stp/>
        <stp>VOLUME</stp>
        <stp>.QQQ250627C512</stp>
        <tr r="K66" s="2"/>
      </tp>
      <tp>
        <v>48</v>
        <stp/>
        <stp>VOLUME</stp>
        <stp>.QQQ250630C505</stp>
        <tr r="L73" s="2"/>
        <tr r="L73" s="2"/>
      </tp>
      <tp>
        <v>182</v>
        <stp/>
        <stp>VOLUME</stp>
        <stp>.QQQ250606P530</stp>
        <tr r="H48" s="2"/>
        <tr r="H48" s="2"/>
      </tp>
      <tp>
        <v>134</v>
        <stp/>
        <stp>VOLUME</stp>
        <stp>.QQQ250613P525</stp>
        <tr r="I53" s="2"/>
        <tr r="I53" s="2"/>
      </tp>
      <tp>
        <v>421</v>
        <stp/>
        <stp>VOLUME</stp>
        <stp>.QQQ250620P516</stp>
        <tr r="BF61" s="1"/>
        <tr r="BF61" s="1"/>
      </tp>
      <tp>
        <v>44</v>
        <stp/>
        <stp>VOLUME</stp>
        <stp>.QQQ250627P511</stp>
        <tr r="K67" s="2"/>
        <tr r="K67" s="2"/>
      </tp>
      <tp>
        <v>2</v>
        <stp/>
        <stp>VOLUME</stp>
        <stp>.QQQ250630P506</stp>
        <tr r="L72" s="2"/>
        <tr r="L72" s="2"/>
      </tp>
      <tp>
        <v>527</v>
        <stp/>
        <stp>VOLUME</stp>
        <stp>.QQQ250606C530</stp>
        <tr r="H48" s="2"/>
        <tr r="H48" s="2"/>
      </tp>
      <tp>
        <v>639</v>
        <stp/>
        <stp>VOLUME</stp>
        <stp>.QQQ250613C525</stp>
        <tr r="I53" s="2"/>
        <tr r="I53" s="2"/>
      </tp>
      <tp>
        <v>279</v>
        <stp/>
        <stp>VOLUME</stp>
        <stp>.QQQ250620C516</stp>
        <tr r="BE61" s="1"/>
        <tr r="BE61" s="1"/>
      </tp>
      <tp t="s">
        <v>N/A</v>
        <stp/>
        <stp>VOLUME</stp>
        <stp>.QQQ250627C511</stp>
        <tr r="K67" s="2"/>
      </tp>
      <tp>
        <v>2</v>
        <stp/>
        <stp>VOLUME</stp>
        <stp>.QQQ250630C506</stp>
        <tr r="L72" s="2"/>
        <tr r="L72" s="2"/>
      </tp>
      <tp>
        <v>5</v>
        <stp/>
        <stp>VOLUME</stp>
        <stp>.QQQ250606P531</stp>
        <tr r="H47" s="2"/>
        <tr r="H47" s="2"/>
      </tp>
      <tp>
        <v>1</v>
        <stp/>
        <stp>VOLUME</stp>
        <stp>.QQQ250613P524</stp>
        <tr r="I54" s="2"/>
        <tr r="I54" s="2"/>
      </tp>
      <tp>
        <v>94</v>
        <stp/>
        <stp>VOLUME</stp>
        <stp>.QQQ250620P517</stp>
        <tr r="BF60" s="1"/>
        <tr r="BF60" s="1"/>
      </tp>
      <tp>
        <v>94</v>
        <stp/>
        <stp>VOLUME</stp>
        <stp>.QQQ250627P510</stp>
        <tr r="K68" s="2"/>
        <tr r="K68" s="2"/>
      </tp>
      <tp t="s">
        <v>N/A</v>
        <stp/>
        <stp>VOLUME</stp>
        <stp>.QQQ250630P507</stp>
        <tr r="L71" s="2"/>
      </tp>
      <tp>
        <v>49</v>
        <stp/>
        <stp>VOLUME</stp>
        <stp>.QQQ250606C531</stp>
        <tr r="H47" s="2"/>
        <tr r="H47" s="2"/>
      </tp>
      <tp>
        <v>30</v>
        <stp/>
        <stp>VOLUME</stp>
        <stp>.QQQ250613C524</stp>
        <tr r="I54" s="2"/>
        <tr r="I54" s="2"/>
      </tp>
      <tp>
        <v>45</v>
        <stp/>
        <stp>VOLUME</stp>
        <stp>.QQQ250620C517</stp>
        <tr r="BE60" s="1"/>
        <tr r="BE60" s="1"/>
      </tp>
      <tp>
        <v>40</v>
        <stp/>
        <stp>VOLUME</stp>
        <stp>.QQQ250627C510</stp>
        <tr r="K68" s="2"/>
        <tr r="K68" s="2"/>
      </tp>
      <tp>
        <v>1</v>
        <stp/>
        <stp>VOLUME</stp>
        <stp>.QQQ250630C507</stp>
        <tr r="L71" s="2"/>
        <tr r="L71" s="2"/>
      </tp>
      <tp>
        <v>28</v>
        <stp/>
        <stp>VOLUME</stp>
        <stp>.QQQ250613P523</stp>
        <tr r="I55" s="2"/>
        <tr r="I55" s="2"/>
      </tp>
      <tp>
        <v>8216</v>
        <stp/>
        <stp>VOLUME</stp>
        <stp>.QQQ250620P510</stp>
        <tr r="BF67" s="1"/>
        <tr r="BF67" s="1"/>
      </tp>
      <tp>
        <v>175</v>
        <stp/>
        <stp>VOLUME</stp>
        <stp>.QQQ250627P517</stp>
        <tr r="K61" s="2"/>
        <tr r="K61" s="2"/>
      </tp>
      <tp>
        <v>6480</v>
        <stp/>
        <stp>VOLUME</stp>
        <stp>.QQQ250630P500</stp>
        <tr r="L78" s="2"/>
        <tr r="L78" s="2"/>
      </tp>
      <tp>
        <v>572</v>
        <stp/>
        <stp>VOLUME</stp>
        <stp>.QQQ250613C523</stp>
        <tr r="I55" s="2"/>
        <tr r="I55" s="2"/>
      </tp>
      <tp>
        <v>2239</v>
        <stp/>
        <stp>VOLUME</stp>
        <stp>.QQQ250620C510</stp>
        <tr r="BE67" s="1"/>
        <tr r="BE67" s="1"/>
      </tp>
      <tp t="s">
        <v>N/A</v>
        <stp/>
        <stp>VOLUME</stp>
        <stp>.QQQ250627C517</stp>
        <tr r="K61" s="2"/>
      </tp>
      <tp>
        <v>88</v>
        <stp/>
        <stp>VOLUME</stp>
        <stp>.QQQ250630C500</stp>
        <tr r="L78" s="2"/>
        <tr r="L78" s="2"/>
      </tp>
      <tp>
        <v>220</v>
        <stp/>
        <stp>VOLUME</stp>
        <stp>.QQQ250613P522</stp>
        <tr r="I56" s="2"/>
        <tr r="I56" s="2"/>
      </tp>
      <tp>
        <v>101</v>
        <stp/>
        <stp>VOLUME</stp>
        <stp>.QQQ250620P511</stp>
        <tr r="BF66" s="1"/>
        <tr r="BF66" s="1"/>
      </tp>
      <tp>
        <v>5</v>
        <stp/>
        <stp>VOLUME</stp>
        <stp>.QQQ250627P516</stp>
        <tr r="K62" s="2"/>
        <tr r="K62" s="2"/>
      </tp>
      <tp t="s">
        <v>N/A</v>
        <stp/>
        <stp>VOLUME</stp>
        <stp>.QQQ250630P501</stp>
        <tr r="L77" s="2"/>
      </tp>
      <tp>
        <v>599</v>
        <stp/>
        <stp>VOLUME</stp>
        <stp>.QQQ250613C522</stp>
        <tr r="I56" s="2"/>
        <tr r="I56" s="2"/>
      </tp>
      <tp>
        <v>5</v>
        <stp/>
        <stp>VOLUME</stp>
        <stp>.QQQ250620C511</stp>
        <tr r="BE66" s="1"/>
        <tr r="BE66" s="1"/>
      </tp>
      <tp>
        <v>24</v>
        <stp/>
        <stp>VOLUME</stp>
        <stp>.QQQ250627C516</stp>
        <tr r="K62" s="2"/>
        <tr r="K62" s="2"/>
      </tp>
      <tp>
        <v>7</v>
        <stp/>
        <stp>VOLUME</stp>
        <stp>.QQQ250630C501</stp>
        <tr r="L77" s="2"/>
        <tr r="L77" s="2"/>
      </tp>
      <tp>
        <v>18</v>
        <stp/>
        <stp>VOLUME</stp>
        <stp>.QQQ250613P521</stp>
        <tr r="I57" s="2"/>
        <tr r="I57" s="2"/>
      </tp>
      <tp>
        <v>38</v>
        <stp/>
        <stp>VOLUME</stp>
        <stp>.QQQ250620P512</stp>
        <tr r="BF65" s="1"/>
        <tr r="BF65" s="1"/>
      </tp>
      <tp>
        <v>119</v>
        <stp/>
        <stp>VOLUME</stp>
        <stp>.QQQ250627P515</stp>
        <tr r="K63" s="2"/>
        <tr r="K63" s="2"/>
      </tp>
      <tp>
        <v>6</v>
        <stp/>
        <stp>VOLUME</stp>
        <stp>.QQQ250630P502</stp>
        <tr r="L76" s="2"/>
        <tr r="L76" s="2"/>
      </tp>
      <tp>
        <v>271</v>
        <stp/>
        <stp>VOLUME</stp>
        <stp>.QQQ250613C521</stp>
        <tr r="I57" s="2"/>
        <tr r="I57" s="2"/>
      </tp>
      <tp>
        <v>2</v>
        <stp/>
        <stp>VOLUME</stp>
        <stp>.QQQ250620C512</stp>
        <tr r="BE65" s="1"/>
        <tr r="BE65" s="1"/>
      </tp>
      <tp>
        <v>5</v>
        <stp/>
        <stp>VOLUME</stp>
        <stp>.QQQ250627C515</stp>
        <tr r="K63" s="2"/>
        <tr r="K63" s="2"/>
      </tp>
      <tp t="s">
        <v>N/A</v>
        <stp/>
        <stp>VOLUME</stp>
        <stp>.QQQ250630C502</stp>
        <tr r="L76" s="2"/>
      </tp>
      <tp>
        <v>727</v>
        <stp/>
        <stp>VOLUME</stp>
        <stp>.QQQ250613P520</stp>
        <tr r="I58" s="2"/>
        <tr r="I58" s="2"/>
      </tp>
      <tp>
        <v>418</v>
        <stp/>
        <stp>VOLUME</stp>
        <stp>.QQQ250620P513</stp>
        <tr r="BF64" s="1"/>
        <tr r="BF64" s="1"/>
      </tp>
      <tp>
        <v>12</v>
        <stp/>
        <stp>VOLUME</stp>
        <stp>.QQQ250627P514</stp>
        <tr r="K64" s="2"/>
        <tr r="K64" s="2"/>
      </tp>
      <tp>
        <v>27</v>
        <stp/>
        <stp>VOLUME</stp>
        <stp>.QQQ250630P503</stp>
        <tr r="L75" s="2"/>
        <tr r="L75" s="2"/>
      </tp>
      <tp>
        <v>672</v>
        <stp/>
        <stp>VOLUME</stp>
        <stp>.QQQ250613C520</stp>
        <tr r="I58" s="2"/>
        <tr r="I58" s="2"/>
      </tp>
      <tp>
        <v>29</v>
        <stp/>
        <stp>VOLUME</stp>
        <stp>.QQQ250620C513</stp>
        <tr r="BE64" s="1"/>
        <tr r="BE64" s="1"/>
      </tp>
      <tp t="s">
        <v>N/A</v>
        <stp/>
        <stp>VOLUME</stp>
        <stp>.QQQ250627C514</stp>
        <tr r="K64" s="2"/>
      </tp>
      <tp>
        <v>1</v>
        <stp/>
        <stp>VOLUME</stp>
        <stp>.QQQ250630C503</stp>
        <tr r="L75" s="2"/>
        <tr r="L75" s="2"/>
      </tp>
      <tp>
        <v>134</v>
        <stp/>
        <stp>VOLUME</stp>
        <stp>.QQQ250627P519</stp>
        <tr r="K59" s="2"/>
        <tr r="K59" s="2"/>
      </tp>
      <tp>
        <v>28</v>
        <stp/>
        <stp>VOLUME</stp>
        <stp>.QQQ250627C519</stp>
        <tr r="K59" s="2"/>
        <tr r="K59" s="2"/>
      </tp>
      <tp>
        <v>19</v>
        <stp/>
        <stp>VOLUME</stp>
        <stp>.QQQ250627P518</stp>
        <tr r="K60" s="2"/>
        <tr r="K60" s="2"/>
      </tp>
      <tp>
        <v>1</v>
        <stp/>
        <stp>VOLUME</stp>
        <stp>.QQQ250627C518</stp>
        <tr r="K60" s="2"/>
        <tr r="K60" s="2"/>
      </tp>
      <tp>
        <v>2258</v>
        <stp/>
        <stp>VOLUME</stp>
        <stp>.QQQ250620P518</stp>
        <tr r="BF59" s="1"/>
        <tr r="BF59" s="1"/>
      </tp>
      <tp>
        <v>4</v>
        <stp/>
        <stp>VOLUME</stp>
        <stp>.QQQ250630P508</stp>
        <tr r="L70" s="2"/>
        <tr r="L70" s="2"/>
      </tp>
      <tp>
        <v>439</v>
        <stp/>
        <stp>VOLUME</stp>
        <stp>.QQQ250620C518</stp>
        <tr r="BE59" s="1"/>
        <tr r="BE59" s="1"/>
      </tp>
      <tp>
        <v>1</v>
        <stp/>
        <stp>VOLUME</stp>
        <stp>.QQQ250630C508</stp>
        <tr r="L70" s="2"/>
        <tr r="L70" s="2"/>
      </tp>
      <tp>
        <v>1034</v>
        <stp/>
        <stp>VOLUME</stp>
        <stp>.QQQ250620P519</stp>
        <tr r="BF58" s="1"/>
        <tr r="BF58" s="1"/>
      </tp>
      <tp>
        <v>4</v>
        <stp/>
        <stp>VOLUME</stp>
        <stp>.QQQ250630P509</stp>
        <tr r="L69" s="2"/>
        <tr r="L69" s="2"/>
      </tp>
      <tp>
        <v>2697</v>
        <stp/>
        <stp>VOLUME</stp>
        <stp>.QQQ250620C519</stp>
        <tr r="BE58" s="1"/>
        <tr r="BE58" s="1"/>
      </tp>
      <tp>
        <v>3</v>
        <stp/>
        <stp>VOLUME</stp>
        <stp>.QQQ250630C509</stp>
        <tr r="L69" s="2"/>
        <tr r="L69" s="2"/>
      </tp>
      <tp t="s">
        <v>N/A</v>
        <stp/>
        <stp>VOLUME</stp>
        <stp>.QQQ250613P529</stp>
        <tr r="I49" s="2"/>
      </tp>
      <tp>
        <v>24</v>
        <stp/>
        <stp>VOLUME</stp>
        <stp>.QQQ250613C529</stp>
        <tr r="I49" s="2"/>
        <tr r="I49" s="2"/>
      </tp>
      <tp t="s">
        <v>N/A</v>
        <stp/>
        <stp>VOLUME</stp>
        <stp>.QQQ250613P528</stp>
        <tr r="I50" s="2"/>
      </tp>
      <tp>
        <v>13</v>
        <stp/>
        <stp>VOLUME</stp>
        <stp>.QQQ250613C528</stp>
        <tr r="I50" s="2"/>
        <tr r="I50" s="2"/>
      </tp>
      <tp>
        <v>94</v>
        <stp/>
        <stp>VOLUME</stp>
        <stp>.QQQ250606P522</stp>
        <tr r="H56" s="2"/>
        <tr r="H56" s="2"/>
      </tp>
      <tp>
        <v>97</v>
        <stp/>
        <stp>VOLUME</stp>
        <stp>.QQQ250620P504</stp>
        <tr r="BF73" s="1"/>
        <tr r="BF73" s="1"/>
      </tp>
      <tp t="s">
        <v>N/A</v>
        <stp/>
        <stp>VOLUME</stp>
        <stp>.QQQ250627P503</stp>
        <tr r="K75" s="2"/>
      </tp>
      <tp>
        <v>14</v>
        <stp/>
        <stp>VOLUME</stp>
        <stp>.QQQ250630P514</stp>
        <tr r="L64" s="2"/>
        <tr r="L64" s="2"/>
      </tp>
      <tp>
        <v>741</v>
        <stp/>
        <stp>VOLUME</stp>
        <stp>.QQQ250606C522</stp>
        <tr r="H56" s="2"/>
        <tr r="H56" s="2"/>
      </tp>
      <tp>
        <v>4</v>
        <stp/>
        <stp>VOLUME</stp>
        <stp>.QQQ250620C504</stp>
        <tr r="BE73" s="1"/>
        <tr r="BE73" s="1"/>
      </tp>
      <tp t="s">
        <v>N/A</v>
        <stp/>
        <stp>VOLUME</stp>
        <stp>.QQQ250627C503</stp>
        <tr r="K75" s="2"/>
      </tp>
      <tp>
        <v>5</v>
        <stp/>
        <stp>VOLUME</stp>
        <stp>.QQQ250630C514</stp>
        <tr r="L64" s="2"/>
        <tr r="L64" s="2"/>
      </tp>
      <tp>
        <v>37</v>
        <stp/>
        <stp>VOLUME</stp>
        <stp>.QQQ250606P523</stp>
        <tr r="H55" s="2"/>
        <tr r="H55" s="2"/>
      </tp>
      <tp>
        <v>1127</v>
        <stp/>
        <stp>VOLUME</stp>
        <stp>.QQQ250620P505</stp>
        <tr r="BF72" s="1"/>
        <tr r="BF72" s="1"/>
      </tp>
      <tp t="s">
        <v>N/A</v>
        <stp/>
        <stp>VOLUME</stp>
        <stp>.QQQ250627P502</stp>
        <tr r="K76" s="2"/>
      </tp>
      <tp>
        <v>263</v>
        <stp/>
        <stp>VOLUME</stp>
        <stp>.QQQ250630P515</stp>
        <tr r="L63" s="2"/>
        <tr r="L63" s="2"/>
      </tp>
      <tp>
        <v>198</v>
        <stp/>
        <stp>VOLUME</stp>
        <stp>.QQQ250606C523</stp>
        <tr r="H55" s="2"/>
        <tr r="H55" s="2"/>
      </tp>
      <tp>
        <v>206</v>
        <stp/>
        <stp>VOLUME</stp>
        <stp>.QQQ250620C505</stp>
        <tr r="BE72" s="1"/>
        <tr r="BE72" s="1"/>
      </tp>
      <tp t="s">
        <v>N/A</v>
        <stp/>
        <stp>VOLUME</stp>
        <stp>.QQQ250627C502</stp>
        <tr r="K76" s="2"/>
      </tp>
      <tp>
        <v>153</v>
        <stp/>
        <stp>VOLUME</stp>
        <stp>.QQQ250630C515</stp>
        <tr r="L63" s="2"/>
        <tr r="L63" s="2"/>
      </tp>
      <tp>
        <v>2824</v>
        <stp/>
        <stp>VOLUME</stp>
        <stp>.QQQ250606P520</stp>
        <tr r="H58" s="2"/>
        <tr r="H58" s="2"/>
      </tp>
      <tp>
        <v>195</v>
        <stp/>
        <stp>VOLUME</stp>
        <stp>.QQQ250620P506</stp>
        <tr r="BF71" s="1"/>
        <tr r="BF71" s="1"/>
      </tp>
      <tp t="s">
        <v>N/A</v>
        <stp/>
        <stp>VOLUME</stp>
        <stp>.QQQ250627P501</stp>
        <tr r="K77" s="2"/>
      </tp>
      <tp>
        <v>436</v>
        <stp/>
        <stp>VOLUME</stp>
        <stp>.QQQ250630P516</stp>
        <tr r="L62" s="2"/>
        <tr r="L62" s="2"/>
      </tp>
      <tp>
        <v>585</v>
        <stp/>
        <stp>VOLUME</stp>
        <stp>.QQQ250606C520</stp>
        <tr r="H58" s="2"/>
        <tr r="H58" s="2"/>
      </tp>
      <tp>
        <v>4</v>
        <stp/>
        <stp>VOLUME</stp>
        <stp>.QQQ250620C506</stp>
        <tr r="BE71" s="1"/>
        <tr r="BE71" s="1"/>
      </tp>
      <tp t="s">
        <v>N/A</v>
        <stp/>
        <stp>VOLUME</stp>
        <stp>.QQQ250627C501</stp>
        <tr r="K77" s="2"/>
      </tp>
      <tp>
        <v>15</v>
        <stp/>
        <stp>VOLUME</stp>
        <stp>.QQQ250630C516</stp>
        <tr r="L62" s="2"/>
        <tr r="L62" s="2"/>
      </tp>
      <tp>
        <v>339</v>
        <stp/>
        <stp>VOLUME</stp>
        <stp>.QQQ250606P521</stp>
        <tr r="H57" s="2"/>
        <tr r="H57" s="2"/>
      </tp>
      <tp>
        <v>30</v>
        <stp/>
        <stp>VOLUME</stp>
        <stp>.QQQ250620P507</stp>
        <tr r="BF70" s="1"/>
        <tr r="BF70" s="1"/>
      </tp>
      <tp>
        <v>338</v>
        <stp/>
        <stp>VOLUME</stp>
        <stp>.QQQ250627P500</stp>
        <tr r="K78" s="2"/>
        <tr r="K78" s="2"/>
      </tp>
      <tp>
        <v>56</v>
        <stp/>
        <stp>VOLUME</stp>
        <stp>.QQQ250630P517</stp>
        <tr r="L61" s="2"/>
        <tr r="L61" s="2"/>
      </tp>
      <tp>
        <v>580</v>
        <stp/>
        <stp>VOLUME</stp>
        <stp>.QQQ250606C521</stp>
        <tr r="H57" s="2"/>
        <tr r="H57" s="2"/>
      </tp>
      <tp>
        <v>3</v>
        <stp/>
        <stp>VOLUME</stp>
        <stp>.QQQ250620C507</stp>
        <tr r="BE70" s="1"/>
        <tr r="BE70" s="1"/>
      </tp>
      <tp>
        <v>7</v>
        <stp/>
        <stp>VOLUME</stp>
        <stp>.QQQ250627C500</stp>
        <tr r="K78" s="2"/>
        <tr r="K78" s="2"/>
      </tp>
      <tp>
        <v>32</v>
        <stp/>
        <stp>VOLUME</stp>
        <stp>.QQQ250630C517</stp>
        <tr r="L61" s="2"/>
        <tr r="L61" s="2"/>
      </tp>
      <tp>
        <v>1</v>
        <stp/>
        <stp>VOLUME</stp>
        <stp>.QQQ250606P526</stp>
        <tr r="H52" s="2"/>
        <tr r="H52" s="2"/>
      </tp>
      <tp>
        <v>8277</v>
        <stp/>
        <stp>VOLUME</stp>
        <stp>.QQQ250620P500</stp>
        <tr r="BF77" s="1"/>
        <tr r="BF77" s="1"/>
      </tp>
      <tp t="s">
        <v>N/A</v>
        <stp/>
        <stp>VOLUME</stp>
        <stp>.QQQ250627P507</stp>
        <tr r="K71" s="2"/>
      </tp>
      <tp>
        <v>239</v>
        <stp/>
        <stp>VOLUME</stp>
        <stp>.QQQ250630P510</stp>
        <tr r="L68" s="2"/>
        <tr r="L68" s="2"/>
      </tp>
      <tp>
        <v>20</v>
        <stp/>
        <stp>VOLUME</stp>
        <stp>.QQQ250606C526</stp>
        <tr r="H52" s="2"/>
        <tr r="H52" s="2"/>
      </tp>
      <tp>
        <v>693</v>
        <stp/>
        <stp>VOLUME</stp>
        <stp>.QQQ250620C500</stp>
        <tr r="BE77" s="1"/>
        <tr r="BE77" s="1"/>
      </tp>
      <tp t="s">
        <v>N/A</v>
        <stp/>
        <stp>VOLUME</stp>
        <stp>.QQQ250627C507</stp>
        <tr r="K71" s="2"/>
      </tp>
      <tp>
        <v>51</v>
        <stp/>
        <stp>VOLUME</stp>
        <stp>.QQQ250630C510</stp>
        <tr r="L68" s="2"/>
        <tr r="L68" s="2"/>
      </tp>
      <tp>
        <v>2</v>
        <stp/>
        <stp>VOLUME</stp>
        <stp>.QQQ250606P527</stp>
        <tr r="H51" s="2"/>
        <tr r="H51" s="2"/>
      </tp>
      <tp t="s">
        <v>N/A</v>
        <stp/>
        <stp>VOLUME</stp>
        <stp>.QQQ250613P532</stp>
        <tr r="I46" s="2"/>
      </tp>
      <tp>
        <v>143</v>
        <stp/>
        <stp>VOLUME</stp>
        <stp>.QQQ250620P501</stp>
        <tr r="BF76" s="1"/>
        <tr r="BF76" s="1"/>
      </tp>
      <tp>
        <v>1</v>
        <stp/>
        <stp>VOLUME</stp>
        <stp>.QQQ250627P506</stp>
        <tr r="K72" s="2"/>
        <tr r="K72" s="2"/>
      </tp>
      <tp>
        <v>10</v>
        <stp/>
        <stp>VOLUME</stp>
        <stp>.QQQ250630P511</stp>
        <tr r="L67" s="2"/>
        <tr r="L67" s="2"/>
      </tp>
      <tp>
        <v>100</v>
        <stp/>
        <stp>VOLUME</stp>
        <stp>.QQQ250606C527</stp>
        <tr r="H51" s="2"/>
        <tr r="H51" s="2"/>
      </tp>
      <tp>
        <v>81</v>
        <stp/>
        <stp>VOLUME</stp>
        <stp>.QQQ250613C532</stp>
        <tr r="I46" s="2"/>
        <tr r="I46" s="2"/>
      </tp>
      <tp>
        <v>1</v>
        <stp/>
        <stp>VOLUME</stp>
        <stp>.QQQ250620C501</stp>
        <tr r="BE76" s="1"/>
        <tr r="BE76" s="1"/>
      </tp>
      <tp t="s">
        <v>N/A</v>
        <stp/>
        <stp>VOLUME</stp>
        <stp>.QQQ250627C506</stp>
        <tr r="K72" s="2"/>
      </tp>
      <tp>
        <v>8</v>
        <stp/>
        <stp>VOLUME</stp>
        <stp>.QQQ250630C511</stp>
        <tr r="L67" s="2"/>
        <tr r="L67" s="2"/>
      </tp>
      <tp>
        <v>32</v>
        <stp/>
        <stp>VOLUME</stp>
        <stp>.QQQ250606P524</stp>
        <tr r="H54" s="2"/>
        <tr r="H54" s="2"/>
      </tp>
      <tp t="s">
        <v>N/A</v>
        <stp/>
        <stp>VOLUME</stp>
        <stp>.QQQ250613P531</stp>
        <tr r="I47" s="2"/>
      </tp>
      <tp>
        <v>47</v>
        <stp/>
        <stp>VOLUME</stp>
        <stp>.QQQ250620P502</stp>
        <tr r="BF75" s="1"/>
        <tr r="BF75" s="1"/>
      </tp>
      <tp>
        <v>27</v>
        <stp/>
        <stp>VOLUME</stp>
        <stp>.QQQ250627P505</stp>
        <tr r="K73" s="2"/>
        <tr r="K73" s="2"/>
      </tp>
      <tp>
        <v>6</v>
        <stp/>
        <stp>VOLUME</stp>
        <stp>.QQQ250630P512</stp>
        <tr r="L66" s="2"/>
        <tr r="L66" s="2"/>
      </tp>
      <tp>
        <v>162</v>
        <stp/>
        <stp>VOLUME</stp>
        <stp>.QQQ250606C524</stp>
        <tr r="H54" s="2"/>
        <tr r="H54" s="2"/>
      </tp>
      <tp>
        <v>22</v>
        <stp/>
        <stp>VOLUME</stp>
        <stp>.QQQ250613C531</stp>
        <tr r="I47" s="2"/>
        <tr r="I47" s="2"/>
      </tp>
      <tp t="s">
        <v>N/A</v>
        <stp/>
        <stp>VOLUME</stp>
        <stp>.QQQ250620C502</stp>
        <tr r="BE75" s="1"/>
      </tp>
      <tp>
        <v>4</v>
        <stp/>
        <stp>VOLUME</stp>
        <stp>.QQQ250627C505</stp>
        <tr r="K73" s="2"/>
        <tr r="K73" s="2"/>
      </tp>
      <tp>
        <v>14</v>
        <stp/>
        <stp>VOLUME</stp>
        <stp>.QQQ250630C512</stp>
        <tr r="L66" s="2"/>
        <tr r="L66" s="2"/>
      </tp>
      <tp>
        <v>29</v>
        <stp/>
        <stp>VOLUME</stp>
        <stp>.QQQ250606P525</stp>
        <tr r="H53" s="2"/>
        <tr r="H53" s="2"/>
      </tp>
      <tp>
        <v>5</v>
        <stp/>
        <stp>VOLUME</stp>
        <stp>.QQQ250613P530</stp>
        <tr r="I48" s="2"/>
        <tr r="I48" s="2"/>
      </tp>
      <tp>
        <v>20</v>
        <stp/>
        <stp>VOLUME</stp>
        <stp>.QQQ250620P503</stp>
        <tr r="BF74" s="1"/>
        <tr r="BF74" s="1"/>
      </tp>
      <tp>
        <v>43</v>
        <stp/>
        <stp>VOLUME</stp>
        <stp>.QQQ250627P504</stp>
        <tr r="K74" s="2"/>
        <tr r="K74" s="2"/>
      </tp>
      <tp>
        <v>109</v>
        <stp/>
        <stp>VOLUME</stp>
        <stp>.QQQ250630P513</stp>
        <tr r="L65" s="2"/>
        <tr r="L65" s="2"/>
      </tp>
      <tp>
        <v>557</v>
        <stp/>
        <stp>VOLUME</stp>
        <stp>.QQQ250606C525</stp>
        <tr r="H53" s="2"/>
        <tr r="H53" s="2"/>
      </tp>
      <tp>
        <v>130</v>
        <stp/>
        <stp>VOLUME</stp>
        <stp>.QQQ250613C530</stp>
        <tr r="I48" s="2"/>
        <tr r="I48" s="2"/>
      </tp>
      <tp>
        <v>3</v>
        <stp/>
        <stp>VOLUME</stp>
        <stp>.QQQ250620C503</stp>
        <tr r="BE74" s="1"/>
        <tr r="BE74" s="1"/>
      </tp>
      <tp t="s">
        <v>N/A</v>
        <stp/>
        <stp>VOLUME</stp>
        <stp>.QQQ250627C504</stp>
        <tr r="K74" s="2"/>
      </tp>
      <tp>
        <v>18</v>
        <stp/>
        <stp>VOLUME</stp>
        <stp>.QQQ250630C513</stp>
        <tr r="L65" s="2"/>
        <tr r="L65" s="2"/>
      </tp>
      <tp>
        <v>102</v>
        <stp/>
        <stp>VOLUME</stp>
        <stp>.QQQ250606P528</stp>
        <tr r="H50" s="2"/>
        <tr r="H50" s="2"/>
      </tp>
      <tp>
        <v>3</v>
        <stp/>
        <stp>VOLUME</stp>
        <stp>.QQQ250627P509</stp>
        <tr r="K69" s="2"/>
        <tr r="K69" s="2"/>
      </tp>
      <tp>
        <v>19</v>
        <stp/>
        <stp>VOLUME</stp>
        <stp>.QQQ250606C528</stp>
        <tr r="H50" s="2"/>
        <tr r="H50" s="2"/>
      </tp>
      <tp t="s">
        <v>N/A</v>
        <stp/>
        <stp>VOLUME</stp>
        <stp>.QQQ250627C509</stp>
        <tr r="K69" s="2"/>
      </tp>
      <tp>
        <v>160</v>
        <stp/>
        <stp>VOLUME</stp>
        <stp>.QQQ250606P529</stp>
        <tr r="H49" s="2"/>
        <tr r="H49" s="2"/>
      </tp>
      <tp>
        <v>2</v>
        <stp/>
        <stp>VOLUME</stp>
        <stp>.QQQ250627P508</stp>
        <tr r="K70" s="2"/>
        <tr r="K70" s="2"/>
      </tp>
      <tp>
        <v>28</v>
        <stp/>
        <stp>VOLUME</stp>
        <stp>.QQQ250606C529</stp>
        <tr r="H49" s="2"/>
        <tr r="H49" s="2"/>
      </tp>
      <tp t="s">
        <v>N/A</v>
        <stp/>
        <stp>VOLUME</stp>
        <stp>.QQQ250627C508</stp>
        <tr r="K70" s="2"/>
      </tp>
      <tp>
        <v>46</v>
        <stp/>
        <stp>VOLUME</stp>
        <stp>.QQQ250620P508</stp>
        <tr r="BF69" s="1"/>
        <tr r="BF69" s="1"/>
      </tp>
      <tp>
        <v>87</v>
        <stp/>
        <stp>VOLUME</stp>
        <stp>.QQQ250630P518</stp>
        <tr r="L60" s="2"/>
        <tr r="L60" s="2"/>
      </tp>
      <tp t="s">
        <v>N/A</v>
        <stp/>
        <stp>VOLUME</stp>
        <stp>.QQQ250620C508</stp>
        <tr r="BE69" s="1"/>
      </tp>
      <tp>
        <v>44</v>
        <stp/>
        <stp>VOLUME</stp>
        <stp>.QQQ250630C518</stp>
        <tr r="L60" s="2"/>
        <tr r="L60" s="2"/>
      </tp>
      <tp>
        <v>79</v>
        <stp/>
        <stp>VOLUME</stp>
        <stp>.QQQ250620P509</stp>
        <tr r="BF68" s="1"/>
        <tr r="BF68" s="1"/>
      </tp>
      <tp>
        <v>259</v>
        <stp/>
        <stp>VOLUME</stp>
        <stp>.QQQ250630P519</stp>
        <tr r="L59" s="2"/>
        <tr r="L59" s="2"/>
      </tp>
      <tp>
        <v>12</v>
        <stp/>
        <stp>VOLUME</stp>
        <stp>.QQQ250620C509</stp>
        <tr r="BE68" s="1"/>
        <tr r="BE68" s="1"/>
      </tp>
      <tp>
        <v>295</v>
        <stp/>
        <stp>VOLUME</stp>
        <stp>.QQQ250630C519</stp>
        <tr r="L59" s="2"/>
        <tr r="L59" s="2"/>
      </tp>
      <tp>
        <v>158.69999999999999</v>
        <stp/>
        <stp>BID</stp>
        <stp>.SPXW250520C5780</stp>
        <tr r="DE114" s="1"/>
        <tr r="DE114" s="1"/>
      </tp>
      <tp>
        <v>0</v>
        <stp/>
        <stp>BID</stp>
        <stp>.SPXW250520P5780</stp>
        <tr r="DF114" s="1"/>
        <tr r="DF114" s="1"/>
      </tp>
      <tp>
        <v>148.69999999999999</v>
        <stp/>
        <stp>BID</stp>
        <stp>.SPXW250520C5790</stp>
        <tr r="DE113" s="1"/>
        <tr r="DE113" s="1"/>
      </tp>
      <tp>
        <v>0</v>
        <stp/>
        <stp>BID</stp>
        <stp>.SPXW250520P5790</stp>
        <tr r="DF113" s="1"/>
        <tr r="DF113" s="1"/>
      </tp>
      <tp>
        <v>238.7</v>
        <stp/>
        <stp>BID</stp>
        <stp>.SPXW250520C5700</stp>
        <tr r="DE122" s="1"/>
        <tr r="DE122" s="1"/>
      </tp>
      <tp>
        <v>0</v>
        <stp/>
        <stp>BID</stp>
        <stp>.SPXW250520P5700</stp>
        <tr r="DF122" s="1"/>
        <tr r="DF122" s="1"/>
      </tp>
      <tp>
        <v>228.7</v>
        <stp/>
        <stp>BID</stp>
        <stp>.SPXW250520C5710</stp>
        <tr r="DE121" s="1"/>
        <tr r="DE121" s="1"/>
      </tp>
      <tp>
        <v>0</v>
        <stp/>
        <stp>BID</stp>
        <stp>.SPXW250520P5710</stp>
        <tr r="DF121" s="1"/>
        <tr r="DF121" s="1"/>
      </tp>
      <tp>
        <v>218.7</v>
        <stp/>
        <stp>BID</stp>
        <stp>.SPXW250520C5720</stp>
        <tr r="DE120" s="1"/>
        <tr r="DE120" s="1"/>
      </tp>
      <tp>
        <v>0</v>
        <stp/>
        <stp>BID</stp>
        <stp>.SPXW250520P5720</stp>
        <tr r="DF120" s="1"/>
        <tr r="DF120" s="1"/>
      </tp>
      <tp>
        <v>208.7</v>
        <stp/>
        <stp>BID</stp>
        <stp>.SPXW250520C5730</stp>
        <tr r="DE119" s="1"/>
        <tr r="DE119" s="1"/>
      </tp>
      <tp>
        <v>0</v>
        <stp/>
        <stp>BID</stp>
        <stp>.SPXW250520P5730</stp>
        <tr r="DF119" s="1"/>
        <tr r="DF119" s="1"/>
      </tp>
      <tp>
        <v>198.7</v>
        <stp/>
        <stp>BID</stp>
        <stp>.SPXW250520C5740</stp>
        <tr r="DE118" s="1"/>
        <tr r="DE118" s="1"/>
      </tp>
      <tp>
        <v>0</v>
        <stp/>
        <stp>BID</stp>
        <stp>.SPXW250520P5740</stp>
        <tr r="DF118" s="1"/>
        <tr r="DF118" s="1"/>
      </tp>
      <tp>
        <v>188.7</v>
        <stp/>
        <stp>BID</stp>
        <stp>.SPXW250520C5750</stp>
        <tr r="DE117" s="1"/>
        <tr r="DE117" s="1"/>
      </tp>
      <tp>
        <v>0</v>
        <stp/>
        <stp>BID</stp>
        <stp>.SPXW250520P5750</stp>
        <tr r="DF117" s="1"/>
        <tr r="DF117" s="1"/>
      </tp>
      <tp>
        <v>178.7</v>
        <stp/>
        <stp>BID</stp>
        <stp>.SPXW250520C5760</stp>
        <tr r="DE116" s="1"/>
        <tr r="DE116" s="1"/>
      </tp>
      <tp>
        <v>0</v>
        <stp/>
        <stp>BID</stp>
        <stp>.SPXW250520P5760</stp>
        <tr r="DF116" s="1"/>
        <tr r="DF116" s="1"/>
      </tp>
      <tp>
        <v>168.7</v>
        <stp/>
        <stp>BID</stp>
        <stp>.SPXW250520C5770</stp>
        <tr r="DE115" s="1"/>
        <tr r="DE115" s="1"/>
      </tp>
      <tp>
        <v>0</v>
        <stp/>
        <stp>BID</stp>
        <stp>.SPXW250520P5770</stp>
        <tr r="DF115" s="1"/>
        <tr r="DF115" s="1"/>
      </tp>
      <tp>
        <v>88</v>
        <stp/>
        <stp>VOLUME</stp>
        <stp>.QQQ250530P524</stp>
        <tr r="G54" s="2"/>
        <tr r="G54" s="2"/>
      </tp>
      <tp>
        <v>836</v>
        <stp/>
        <stp>VOLUME</stp>
        <stp>.QQQ250530C524</stp>
        <tr r="G54" s="2"/>
        <tr r="G54" s="2"/>
      </tp>
      <tp>
        <v>353</v>
        <stp/>
        <stp>VOLUME</stp>
        <stp>.QQQ250530P525</stp>
        <tr r="G53" s="2"/>
        <tr r="G53" s="2"/>
      </tp>
      <tp>
        <v>5940</v>
        <stp/>
        <stp>VOLUME</stp>
        <stp>.QQQ250530C525</stp>
        <tr r="G53" s="2"/>
        <tr r="G53" s="2"/>
      </tp>
      <tp>
        <v>84</v>
        <stp/>
        <stp>VOLUME</stp>
        <stp>.QQQ250530P526</stp>
        <tr r="G52" s="2"/>
        <tr r="G52" s="2"/>
      </tp>
      <tp>
        <v>225</v>
        <stp/>
        <stp>VOLUME</stp>
        <stp>.QQQ250530C526</stp>
        <tr r="G52" s="2"/>
        <tr r="G52" s="2"/>
      </tp>
      <tp>
        <v>146</v>
        <stp/>
        <stp>VOLUME</stp>
        <stp>.QQQ250530P527</stp>
        <tr r="G51" s="2"/>
        <tr r="G51" s="2"/>
      </tp>
      <tp>
        <v>315</v>
        <stp/>
        <stp>VOLUME</stp>
        <stp>.QQQ250530C527</stp>
        <tr r="G51" s="2"/>
        <tr r="G51" s="2"/>
      </tp>
      <tp>
        <v>129</v>
        <stp/>
        <stp>VOLUME</stp>
        <stp>.QQQ250520P530</stp>
        <tr r="BB47" s="1"/>
        <tr r="BB47" s="1"/>
      </tp>
      <tp>
        <v>4</v>
        <stp/>
        <stp>VOLUME</stp>
        <stp>.QQQ250521P531</stp>
        <tr r="D47" s="2"/>
        <tr r="D47" s="2"/>
      </tp>
      <tp t="s">
        <v>N/A</v>
        <stp/>
        <stp>VOLUME</stp>
        <stp>.QQQ250522P532</stp>
        <tr r="E46" s="2"/>
      </tp>
      <tp>
        <v>5906</v>
        <stp/>
        <stp>VOLUME</stp>
        <stp>.QQQ250530P520</stp>
        <tr r="G58" s="2"/>
        <tr r="G58" s="2"/>
      </tp>
      <tp>
        <v>11505</v>
        <stp/>
        <stp>VOLUME</stp>
        <stp>.QQQ250520C530</stp>
        <tr r="BA47" s="1"/>
        <tr r="BA47" s="1"/>
      </tp>
      <tp>
        <v>2254</v>
        <stp/>
        <stp>VOLUME</stp>
        <stp>.QQQ250521C531</stp>
        <tr r="D47" s="2"/>
        <tr r="D47" s="2"/>
      </tp>
      <tp>
        <v>622</v>
        <stp/>
        <stp>VOLUME</stp>
        <stp>.QQQ250522C532</stp>
        <tr r="E46" s="2"/>
        <tr r="E46" s="2"/>
      </tp>
      <tp>
        <v>4238</v>
        <stp/>
        <stp>VOLUME</stp>
        <stp>.QQQ250530C520</stp>
        <tr r="G58" s="2"/>
        <tr r="G58" s="2"/>
      </tp>
      <tp>
        <v>14</v>
        <stp/>
        <stp>VOLUME</stp>
        <stp>.QQQ250520P531</stp>
        <tr r="BB46" s="1"/>
        <tr r="BB46" s="1"/>
      </tp>
      <tp>
        <v>74</v>
        <stp/>
        <stp>VOLUME</stp>
        <stp>.QQQ250521P530</stp>
        <tr r="D48" s="2"/>
        <tr r="D48" s="2"/>
      </tp>
      <tp>
        <v>1</v>
        <stp/>
        <stp>VOLUME</stp>
        <stp>.QQQ250523P532</stp>
        <tr r="BD45" s="1"/>
        <tr r="BD45" s="1"/>
      </tp>
      <tp>
        <v>292</v>
        <stp/>
        <stp>VOLUME</stp>
        <stp>.QQQ250530P521</stp>
        <tr r="G57" s="2"/>
        <tr r="G57" s="2"/>
      </tp>
      <tp>
        <v>8828</v>
        <stp/>
        <stp>VOLUME</stp>
        <stp>.QQQ250520C531</stp>
        <tr r="BA46" s="1"/>
        <tr r="BA46" s="1"/>
      </tp>
      <tp>
        <v>4996</v>
        <stp/>
        <stp>VOLUME</stp>
        <stp>.QQQ250521C530</stp>
        <tr r="D48" s="2"/>
        <tr r="D48" s="2"/>
      </tp>
      <tp>
        <v>1628</v>
        <stp/>
        <stp>VOLUME</stp>
        <stp>.QQQ250523C532</stp>
        <tr r="BC45" s="1"/>
        <tr r="BC45" s="1"/>
      </tp>
      <tp>
        <v>1533</v>
        <stp/>
        <stp>VOLUME</stp>
        <stp>.QQQ250530C521</stp>
        <tr r="G57" s="2"/>
        <tr r="G57" s="2"/>
      </tp>
      <tp>
        <v>4</v>
        <stp/>
        <stp>VOLUME</stp>
        <stp>.QQQ250520P532</stp>
        <tr r="BB45" s="1"/>
        <tr r="BB45" s="1"/>
      </tp>
      <tp>
        <v>42</v>
        <stp/>
        <stp>VOLUME</stp>
        <stp>.QQQ250522P530</stp>
        <tr r="E48" s="2"/>
        <tr r="E48" s="2"/>
      </tp>
      <tp>
        <v>20</v>
        <stp/>
        <stp>VOLUME</stp>
        <stp>.QQQ250523P531</stp>
        <tr r="BD46" s="1"/>
        <tr r="BD46" s="1"/>
      </tp>
      <tp>
        <v>292</v>
        <stp/>
        <stp>VOLUME</stp>
        <stp>.QQQ250530P522</stp>
        <tr r="G56" s="2"/>
        <tr r="G56" s="2"/>
      </tp>
      <tp>
        <v>2315</v>
        <stp/>
        <stp>VOLUME</stp>
        <stp>.QQQ250520C532</stp>
        <tr r="BA45" s="1"/>
        <tr r="BA45" s="1"/>
      </tp>
      <tp>
        <v>3535</v>
        <stp/>
        <stp>VOLUME</stp>
        <stp>.QQQ250522C530</stp>
        <tr r="E48" s="2"/>
        <tr r="E48" s="2"/>
      </tp>
      <tp>
        <v>391</v>
        <stp/>
        <stp>VOLUME</stp>
        <stp>.QQQ250523C531</stp>
        <tr r="BC46" s="1"/>
        <tr r="BC46" s="1"/>
      </tp>
      <tp>
        <v>1334</v>
        <stp/>
        <stp>VOLUME</stp>
        <stp>.QQQ250530C522</stp>
        <tr r="G56" s="2"/>
        <tr r="G56" s="2"/>
      </tp>
      <tp>
        <v>4</v>
        <stp/>
        <stp>VOLUME</stp>
        <stp>.QQQ250521P532</stp>
        <tr r="D46" s="2"/>
        <tr r="D46" s="2"/>
      </tp>
      <tp t="s">
        <v>N/A</v>
        <stp/>
        <stp>VOLUME</stp>
        <stp>.QQQ250522P531</stp>
        <tr r="E47" s="2"/>
      </tp>
      <tp>
        <v>380</v>
        <stp/>
        <stp>VOLUME</stp>
        <stp>.QQQ250523P530</stp>
        <tr r="BD47" s="1"/>
        <tr r="BD47" s="1"/>
      </tp>
      <tp>
        <v>205</v>
        <stp/>
        <stp>VOLUME</stp>
        <stp>.QQQ250530P523</stp>
        <tr r="G55" s="2"/>
        <tr r="G55" s="2"/>
      </tp>
      <tp>
        <v>1400</v>
        <stp/>
        <stp>VOLUME</stp>
        <stp>.QQQ250521C532</stp>
        <tr r="D46" s="2"/>
        <tr r="D46" s="2"/>
      </tp>
      <tp>
        <v>1040</v>
        <stp/>
        <stp>VOLUME</stp>
        <stp>.QQQ250522C531</stp>
        <tr r="E47" s="2"/>
        <tr r="E47" s="2"/>
      </tp>
      <tp>
        <v>7613</v>
        <stp/>
        <stp>VOLUME</stp>
        <stp>.QQQ250523C530</stp>
        <tr r="BC47" s="1"/>
        <tr r="BC47" s="1"/>
      </tp>
      <tp>
        <v>949</v>
        <stp/>
        <stp>VOLUME</stp>
        <stp>.QQQ250530C523</stp>
        <tr r="G55" s="2"/>
        <tr r="G55" s="2"/>
      </tp>
      <tp>
        <v>83</v>
        <stp/>
        <stp>VOLUME</stp>
        <stp>.QQQ250530P528</stp>
        <tr r="G50" s="2"/>
        <tr r="G50" s="2"/>
      </tp>
      <tp>
        <v>257</v>
        <stp/>
        <stp>VOLUME</stp>
        <stp>.QQQ250530C528</stp>
        <tr r="G50" s="2"/>
        <tr r="G50" s="2"/>
      </tp>
      <tp>
        <v>183</v>
        <stp/>
        <stp>VOLUME</stp>
        <stp>.QQQ250530P529</stp>
        <tr r="G49" s="2"/>
        <tr r="G49" s="2"/>
      </tp>
      <tp>
        <v>310</v>
        <stp/>
        <stp>VOLUME</stp>
        <stp>.QQQ250530C529</stp>
        <tr r="G49" s="2"/>
        <tr r="G49" s="2"/>
      </tp>
      <tp>
        <v>2353</v>
        <stp/>
        <stp>VOLUME</stp>
        <stp>.QQQ250520P524</stp>
        <tr r="BB53" s="1"/>
        <tr r="BB53" s="1"/>
      </tp>
      <tp>
        <v>565</v>
        <stp/>
        <stp>VOLUME</stp>
        <stp>.QQQ250521P525</stp>
        <tr r="D53" s="2"/>
        <tr r="D53" s="2"/>
      </tp>
      <tp>
        <v>49</v>
        <stp/>
        <stp>VOLUME</stp>
        <stp>.QQQ250522P526</stp>
        <tr r="E52" s="2"/>
        <tr r="E52" s="2"/>
      </tp>
      <tp>
        <v>75</v>
        <stp/>
        <stp>VOLUME</stp>
        <stp>.QQQ250523P527</stp>
        <tr r="BD50" s="1"/>
        <tr r="BD50" s="1"/>
      </tp>
      <tp>
        <v>34134</v>
        <stp/>
        <stp>VOLUME</stp>
        <stp>.QQQ250520C524</stp>
        <tr r="BA53" s="1"/>
        <tr r="BA53" s="1"/>
      </tp>
      <tp>
        <v>21078</v>
        <stp/>
        <stp>VOLUME</stp>
        <stp>.QQQ250521C525</stp>
        <tr r="D53" s="2"/>
        <tr r="D53" s="2"/>
      </tp>
      <tp>
        <v>1246</v>
        <stp/>
        <stp>VOLUME</stp>
        <stp>.QQQ250522C526</stp>
        <tr r="E52" s="2"/>
        <tr r="E52" s="2"/>
      </tp>
      <tp>
        <v>1484</v>
        <stp/>
        <stp>VOLUME</stp>
        <stp>.QQQ250523C527</stp>
        <tr r="BC50" s="1"/>
        <tr r="BC50" s="1"/>
      </tp>
      <tp>
        <v>1842</v>
        <stp/>
        <stp>VOLUME</stp>
        <stp>.QQQ250520P525</stp>
        <tr r="BB52" s="1"/>
        <tr r="BB52" s="1"/>
      </tp>
      <tp>
        <v>996</v>
        <stp/>
        <stp>VOLUME</stp>
        <stp>.QQQ250521P524</stp>
        <tr r="D54" s="2"/>
        <tr r="D54" s="2"/>
      </tp>
      <tp>
        <v>41</v>
        <stp/>
        <stp>VOLUME</stp>
        <stp>.QQQ250522P527</stp>
        <tr r="E51" s="2"/>
        <tr r="E51" s="2"/>
      </tp>
      <tp>
        <v>206</v>
        <stp/>
        <stp>VOLUME</stp>
        <stp>.QQQ250523P526</stp>
        <tr r="BD51" s="1"/>
        <tr r="BD51" s="1"/>
      </tp>
      <tp>
        <v>27691</v>
        <stp/>
        <stp>VOLUME</stp>
        <stp>.QQQ250520C525</stp>
        <tr r="BA52" s="1"/>
        <tr r="BA52" s="1"/>
      </tp>
      <tp>
        <v>12376</v>
        <stp/>
        <stp>VOLUME</stp>
        <stp>.QQQ250521C524</stp>
        <tr r="D54" s="2"/>
        <tr r="D54" s="2"/>
      </tp>
      <tp>
        <v>1750</v>
        <stp/>
        <stp>VOLUME</stp>
        <stp>.QQQ250522C527</stp>
        <tr r="E51" s="2"/>
        <tr r="E51" s="2"/>
      </tp>
      <tp>
        <v>2026</v>
        <stp/>
        <stp>VOLUME</stp>
        <stp>.QQQ250523C526</stp>
        <tr r="BC51" s="1"/>
        <tr r="BC51" s="1"/>
      </tp>
      <tp>
        <v>385</v>
        <stp/>
        <stp>VOLUME</stp>
        <stp>.QQQ250520P526</stp>
        <tr r="BB51" s="1"/>
        <tr r="BB51" s="1"/>
      </tp>
      <tp>
        <v>33</v>
        <stp/>
        <stp>VOLUME</stp>
        <stp>.QQQ250521P527</stp>
        <tr r="D51" s="2"/>
        <tr r="D51" s="2"/>
      </tp>
      <tp>
        <v>90</v>
        <stp/>
        <stp>VOLUME</stp>
        <stp>.QQQ250522P524</stp>
        <tr r="E54" s="2"/>
        <tr r="E54" s="2"/>
      </tp>
      <tp>
        <v>1390</v>
        <stp/>
        <stp>VOLUME</stp>
        <stp>.QQQ250523P525</stp>
        <tr r="BD52" s="1"/>
        <tr r="BD52" s="1"/>
      </tp>
      <tp>
        <v>15179</v>
        <stp/>
        <stp>VOLUME</stp>
        <stp>.QQQ250520C526</stp>
        <tr r="BA51" s="1"/>
        <tr r="BA51" s="1"/>
      </tp>
      <tp>
        <v>4346</v>
        <stp/>
        <stp>VOLUME</stp>
        <stp>.QQQ250521C527</stp>
        <tr r="D51" s="2"/>
        <tr r="D51" s="2"/>
      </tp>
      <tp>
        <v>1372</v>
        <stp/>
        <stp>VOLUME</stp>
        <stp>.QQQ250522C524</stp>
        <tr r="E54" s="2"/>
        <tr r="E54" s="2"/>
      </tp>
      <tp>
        <v>8106</v>
        <stp/>
        <stp>VOLUME</stp>
        <stp>.QQQ250523C525</stp>
        <tr r="BC52" s="1"/>
        <tr r="BC52" s="1"/>
      </tp>
      <tp>
        <v>120</v>
        <stp/>
        <stp>VOLUME</stp>
        <stp>.QQQ250520P527</stp>
        <tr r="BB50" s="1"/>
        <tr r="BB50" s="1"/>
      </tp>
      <tp>
        <v>218</v>
        <stp/>
        <stp>VOLUME</stp>
        <stp>.QQQ250521P526</stp>
        <tr r="D52" s="2"/>
        <tr r="D52" s="2"/>
      </tp>
      <tp>
        <v>64</v>
        <stp/>
        <stp>VOLUME</stp>
        <stp>.QQQ250522P525</stp>
        <tr r="E53" s="2"/>
        <tr r="E53" s="2"/>
      </tp>
      <tp>
        <v>645</v>
        <stp/>
        <stp>VOLUME</stp>
        <stp>.QQQ250523P524</stp>
        <tr r="BD53" s="1"/>
        <tr r="BD53" s="1"/>
      </tp>
      <tp>
        <v>5775</v>
        <stp/>
        <stp>VOLUME</stp>
        <stp>.QQQ250520C527</stp>
        <tr r="BA50" s="1"/>
        <tr r="BA50" s="1"/>
      </tp>
      <tp>
        <v>4286</v>
        <stp/>
        <stp>VOLUME</stp>
        <stp>.QQQ250521C526</stp>
        <tr r="D52" s="2"/>
        <tr r="D52" s="2"/>
      </tp>
      <tp>
        <v>2134</v>
        <stp/>
        <stp>VOLUME</stp>
        <stp>.QQQ250522C525</stp>
        <tr r="E53" s="2"/>
        <tr r="E53" s="2"/>
      </tp>
      <tp>
        <v>1839</v>
        <stp/>
        <stp>VOLUME</stp>
        <stp>.QQQ250523C524</stp>
        <tr r="BC53" s="1"/>
        <tr r="BC53" s="1"/>
      </tp>
      <tp>
        <v>138761</v>
        <stp/>
        <stp>VOLUME</stp>
        <stp>.QQQ250520P520</stp>
        <tr r="BB57" s="1"/>
        <tr r="BB57" s="1"/>
      </tp>
      <tp>
        <v>8406</v>
        <stp/>
        <stp>VOLUME</stp>
        <stp>.QQQ250521P521</stp>
        <tr r="D57" s="2"/>
        <tr r="D57" s="2"/>
      </tp>
      <tp>
        <v>1121</v>
        <stp/>
        <stp>VOLUME</stp>
        <stp>.QQQ250522P522</stp>
        <tr r="E56" s="2"/>
        <tr r="E56" s="2"/>
      </tp>
      <tp>
        <v>729</v>
        <stp/>
        <stp>VOLUME</stp>
        <stp>.QQQ250523P523</stp>
        <tr r="BD54" s="1"/>
        <tr r="BD54" s="1"/>
      </tp>
      <tp>
        <v>45</v>
        <stp/>
        <stp>VOLUME</stp>
        <stp>.QQQ250530P530</stp>
        <tr r="G48" s="2"/>
        <tr r="G48" s="2"/>
      </tp>
      <tp>
        <v>302115</v>
        <stp/>
        <stp>VOLUME</stp>
        <stp>.QQQ250520C520</stp>
        <tr r="BA57" s="1"/>
        <tr r="BA57" s="1"/>
      </tp>
      <tp>
        <v>27815</v>
        <stp/>
        <stp>VOLUME</stp>
        <stp>.QQQ250521C521</stp>
        <tr r="D57" s="2"/>
        <tr r="D57" s="2"/>
      </tp>
      <tp>
        <v>6713</v>
        <stp/>
        <stp>VOLUME</stp>
        <stp>.QQQ250522C522</stp>
        <tr r="E56" s="2"/>
        <tr r="E56" s="2"/>
      </tp>
      <tp>
        <v>3405</v>
        <stp/>
        <stp>VOLUME</stp>
        <stp>.QQQ250523C523</stp>
        <tr r="BC54" s="1"/>
        <tr r="BC54" s="1"/>
      </tp>
      <tp>
        <v>1663</v>
        <stp/>
        <stp>VOLUME</stp>
        <stp>.QQQ250530C530</stp>
        <tr r="G48" s="2"/>
        <tr r="G48" s="2"/>
      </tp>
      <tp>
        <v>37910</v>
        <stp/>
        <stp>VOLUME</stp>
        <stp>.QQQ250520P521</stp>
        <tr r="BB56" s="1"/>
        <tr r="BB56" s="1"/>
      </tp>
      <tp>
        <v>28010</v>
        <stp/>
        <stp>VOLUME</stp>
        <stp>.QQQ250521P520</stp>
        <tr r="D58" s="2"/>
        <tr r="D58" s="2"/>
      </tp>
      <tp>
        <v>116</v>
        <stp/>
        <stp>VOLUME</stp>
        <stp>.QQQ250522P523</stp>
        <tr r="E55" s="2"/>
        <tr r="E55" s="2"/>
      </tp>
      <tp>
        <v>2060</v>
        <stp/>
        <stp>VOLUME</stp>
        <stp>.QQQ250523P522</stp>
        <tr r="BD55" s="1"/>
        <tr r="BD55" s="1"/>
      </tp>
      <tp>
        <v>84</v>
        <stp/>
        <stp>VOLUME</stp>
        <stp>.QQQ250530P531</stp>
        <tr r="G47" s="2"/>
        <tr r="G47" s="2"/>
      </tp>
      <tp>
        <v>214584</v>
        <stp/>
        <stp>VOLUME</stp>
        <stp>.QQQ250520C521</stp>
        <tr r="BA56" s="1"/>
        <tr r="BA56" s="1"/>
      </tp>
      <tp>
        <v>65145</v>
        <stp/>
        <stp>VOLUME</stp>
        <stp>.QQQ250521C520</stp>
        <tr r="D58" s="2"/>
        <tr r="D58" s="2"/>
      </tp>
      <tp>
        <v>2015</v>
        <stp/>
        <stp>VOLUME</stp>
        <stp>.QQQ250522C523</stp>
        <tr r="E55" s="2"/>
        <tr r="E55" s="2"/>
      </tp>
      <tp>
        <v>7519</v>
        <stp/>
        <stp>VOLUME</stp>
        <stp>.QQQ250523C522</stp>
        <tr r="BC55" s="1"/>
        <tr r="BC55" s="1"/>
      </tp>
      <tp>
        <v>208</v>
        <stp/>
        <stp>VOLUME</stp>
        <stp>.QQQ250530C531</stp>
        <tr r="G47" s="2"/>
        <tr r="G47" s="2"/>
      </tp>
      <tp>
        <v>11302</v>
        <stp/>
        <stp>VOLUME</stp>
        <stp>.QQQ250520P522</stp>
        <tr r="BB55" s="1"/>
        <tr r="BB55" s="1"/>
      </tp>
      <tp>
        <v>1417</v>
        <stp/>
        <stp>VOLUME</stp>
        <stp>.QQQ250521P523</stp>
        <tr r="D55" s="2"/>
        <tr r="D55" s="2"/>
      </tp>
      <tp>
        <v>5926</v>
        <stp/>
        <stp>VOLUME</stp>
        <stp>.QQQ250522P520</stp>
        <tr r="E58" s="2"/>
        <tr r="E58" s="2"/>
      </tp>
      <tp>
        <v>2507</v>
        <stp/>
        <stp>VOLUME</stp>
        <stp>.QQQ250523P521</stp>
        <tr r="BD56" s="1"/>
        <tr r="BD56" s="1"/>
      </tp>
      <tp>
        <v>140</v>
        <stp/>
        <stp>VOLUME</stp>
        <stp>.QQQ250530P532</stp>
        <tr r="G46" s="2"/>
        <tr r="G46" s="2"/>
      </tp>
      <tp>
        <v>127596</v>
        <stp/>
        <stp>VOLUME</stp>
        <stp>.QQQ250520C522</stp>
        <tr r="BA55" s="1"/>
        <tr r="BA55" s="1"/>
      </tp>
      <tp>
        <v>14165</v>
        <stp/>
        <stp>VOLUME</stp>
        <stp>.QQQ250521C523</stp>
        <tr r="D55" s="2"/>
        <tr r="D55" s="2"/>
      </tp>
      <tp>
        <v>5876</v>
        <stp/>
        <stp>VOLUME</stp>
        <stp>.QQQ250522C520</stp>
        <tr r="E58" s="2"/>
        <tr r="E58" s="2"/>
      </tp>
      <tp>
        <v>4830</v>
        <stp/>
        <stp>VOLUME</stp>
        <stp>.QQQ250523C521</stp>
        <tr r="BC56" s="1"/>
        <tr r="BC56" s="1"/>
      </tp>
      <tp>
        <v>199</v>
        <stp/>
        <stp>VOLUME</stp>
        <stp>.QQQ250530C532</stp>
        <tr r="G46" s="2"/>
        <tr r="G46" s="2"/>
      </tp>
      <tp>
        <v>4232</v>
        <stp/>
        <stp>VOLUME</stp>
        <stp>.QQQ250520P523</stp>
        <tr r="BB54" s="1"/>
        <tr r="BB54" s="1"/>
      </tp>
      <tp>
        <v>3949</v>
        <stp/>
        <stp>VOLUME</stp>
        <stp>.QQQ250521P522</stp>
        <tr r="D56" s="2"/>
        <tr r="D56" s="2"/>
      </tp>
      <tp>
        <v>1480</v>
        <stp/>
        <stp>VOLUME</stp>
        <stp>.QQQ250522P521</stp>
        <tr r="E57" s="2"/>
        <tr r="E57" s="2"/>
      </tp>
      <tp>
        <v>17117</v>
        <stp/>
        <stp>VOLUME</stp>
        <stp>.QQQ250523P520</stp>
        <tr r="BD57" s="1"/>
        <tr r="BD57" s="1"/>
      </tp>
      <tp>
        <v>54218</v>
        <stp/>
        <stp>VOLUME</stp>
        <stp>.QQQ250520C523</stp>
        <tr r="BA54" s="1"/>
        <tr r="BA54" s="1"/>
      </tp>
      <tp>
        <v>21622</v>
        <stp/>
        <stp>VOLUME</stp>
        <stp>.QQQ250521C522</stp>
        <tr r="D56" s="2"/>
        <tr r="D56" s="2"/>
      </tp>
      <tp>
        <v>4066</v>
        <stp/>
        <stp>VOLUME</stp>
        <stp>.QQQ250522C521</stp>
        <tr r="E57" s="2"/>
        <tr r="E57" s="2"/>
      </tp>
      <tp>
        <v>15324</v>
        <stp/>
        <stp>VOLUME</stp>
        <stp>.QQQ250523C520</stp>
        <tr r="BC57" s="1"/>
        <tr r="BC57" s="1"/>
      </tp>
      <tp>
        <v>52</v>
        <stp/>
        <stp>VOLUME</stp>
        <stp>.QQQ250520P528</stp>
        <tr r="BB49" s="1"/>
        <tr r="BB49" s="1"/>
      </tp>
      <tp>
        <v>35</v>
        <stp/>
        <stp>VOLUME</stp>
        <stp>.QQQ250521P529</stp>
        <tr r="D49" s="2"/>
        <tr r="D49" s="2"/>
      </tp>
      <tp>
        <v>6146</v>
        <stp/>
        <stp>VOLUME</stp>
        <stp>.QQQ250520C528</stp>
        <tr r="BA49" s="1"/>
        <tr r="BA49" s="1"/>
      </tp>
      <tp>
        <v>2418</v>
        <stp/>
        <stp>VOLUME</stp>
        <stp>.QQQ250521C529</stp>
        <tr r="D49" s="2"/>
        <tr r="D49" s="2"/>
      </tp>
      <tp>
        <v>21</v>
        <stp/>
        <stp>VOLUME</stp>
        <stp>.QQQ250520P529</stp>
        <tr r="BB48" s="1"/>
        <tr r="BB48" s="1"/>
      </tp>
      <tp>
        <v>58</v>
        <stp/>
        <stp>VOLUME</stp>
        <stp>.QQQ250521P528</stp>
        <tr r="D50" s="2"/>
        <tr r="D50" s="2"/>
      </tp>
      <tp>
        <v>9513</v>
        <stp/>
        <stp>VOLUME</stp>
        <stp>.QQQ250520C529</stp>
        <tr r="BA48" s="1"/>
        <tr r="BA48" s="1"/>
      </tp>
      <tp>
        <v>6552</v>
        <stp/>
        <stp>VOLUME</stp>
        <stp>.QQQ250521C528</stp>
        <tr r="D50" s="2"/>
        <tr r="D50" s="2"/>
      </tp>
      <tp>
        <v>34</v>
        <stp/>
        <stp>VOLUME</stp>
        <stp>.QQQ250522P528</stp>
        <tr r="E50" s="2"/>
        <tr r="E50" s="2"/>
      </tp>
      <tp>
        <v>55</v>
        <stp/>
        <stp>VOLUME</stp>
        <stp>.QQQ250523P529</stp>
        <tr r="BD48" s="1"/>
        <tr r="BD48" s="1"/>
      </tp>
      <tp>
        <v>598</v>
        <stp/>
        <stp>VOLUME</stp>
        <stp>.QQQ250522C528</stp>
        <tr r="E50" s="2"/>
        <tr r="E50" s="2"/>
      </tp>
      <tp>
        <v>1442</v>
        <stp/>
        <stp>VOLUME</stp>
        <stp>.QQQ250523C529</stp>
        <tr r="BC48" s="1"/>
        <tr r="BC48" s="1"/>
      </tp>
      <tp>
        <v>24</v>
        <stp/>
        <stp>VOLUME</stp>
        <stp>.QQQ250522P529</stp>
        <tr r="E49" s="2"/>
        <tr r="E49" s="2"/>
      </tp>
      <tp>
        <v>146</v>
        <stp/>
        <stp>VOLUME</stp>
        <stp>.QQQ250523P528</stp>
        <tr r="BD49" s="1"/>
        <tr r="BD49" s="1"/>
      </tp>
      <tp>
        <v>891</v>
        <stp/>
        <stp>VOLUME</stp>
        <stp>.QQQ250522C529</stp>
        <tr r="E49" s="2"/>
        <tr r="E49" s="2"/>
      </tp>
      <tp>
        <v>1599</v>
        <stp/>
        <stp>VOLUME</stp>
        <stp>.QQQ250523C528</stp>
        <tr r="BC49" s="1"/>
        <tr r="BC49" s="1"/>
      </tp>
      <tp>
        <v>29929</v>
        <stp/>
        <stp>VOLUME</stp>
        <stp>.QQQ250520P514</stp>
        <tr r="BB63" s="1"/>
        <tr r="BB63" s="1"/>
      </tp>
      <tp>
        <v>26741</v>
        <stp/>
        <stp>VOLUME</stp>
        <stp>.QQQ250521P515</stp>
        <tr r="D63" s="2"/>
        <tr r="D63" s="2"/>
      </tp>
      <tp>
        <v>5071</v>
        <stp/>
        <stp>VOLUME</stp>
        <stp>.QQQ250522P516</stp>
        <tr r="E62" s="2"/>
        <tr r="E62" s="2"/>
      </tp>
      <tp>
        <v>4395</v>
        <stp/>
        <stp>VOLUME</stp>
        <stp>.QQQ250523P517</stp>
        <tr r="BD60" s="1"/>
        <tr r="BD60" s="1"/>
      </tp>
      <tp>
        <v>348</v>
        <stp/>
        <stp>VOLUME</stp>
        <stp>.QQQ250530P504</stp>
        <tr r="G74" s="2"/>
        <tr r="G74" s="2"/>
      </tp>
      <tp>
        <v>1025</v>
        <stp/>
        <stp>VOLUME</stp>
        <stp>.QQQ250520C514</stp>
        <tr r="BA63" s="1"/>
        <tr r="BA63" s="1"/>
      </tp>
      <tp>
        <v>1868</v>
        <stp/>
        <stp>VOLUME</stp>
        <stp>.QQQ250521C515</stp>
        <tr r="D63" s="2"/>
        <tr r="D63" s="2"/>
      </tp>
      <tp>
        <v>255</v>
        <stp/>
        <stp>VOLUME</stp>
        <stp>.QQQ250522C516</stp>
        <tr r="E62" s="2"/>
        <tr r="E62" s="2"/>
      </tp>
      <tp>
        <v>2528</v>
        <stp/>
        <stp>VOLUME</stp>
        <stp>.QQQ250523C517</stp>
        <tr r="BC60" s="1"/>
        <tr r="BC60" s="1"/>
      </tp>
      <tp>
        <v>23</v>
        <stp/>
        <stp>VOLUME</stp>
        <stp>.QQQ250530C504</stp>
        <tr r="G74" s="2"/>
        <tr r="G74" s="2"/>
      </tp>
      <tp>
        <v>64950</v>
        <stp/>
        <stp>VOLUME</stp>
        <stp>.QQQ250520P515</stp>
        <tr r="BB62" s="1"/>
        <tr r="BB62" s="1"/>
      </tp>
      <tp>
        <v>10091</v>
        <stp/>
        <stp>VOLUME</stp>
        <stp>.QQQ250521P514</stp>
        <tr r="D64" s="2"/>
        <tr r="D64" s="2"/>
      </tp>
      <tp>
        <v>8782</v>
        <stp/>
        <stp>VOLUME</stp>
        <stp>.QQQ250522P517</stp>
        <tr r="E61" s="2"/>
        <tr r="E61" s="2"/>
      </tp>
      <tp>
        <v>3569</v>
        <stp/>
        <stp>VOLUME</stp>
        <stp>.QQQ250523P516</stp>
        <tr r="BD61" s="1"/>
        <tr r="BD61" s="1"/>
      </tp>
      <tp>
        <v>1032</v>
        <stp/>
        <stp>VOLUME</stp>
        <stp>.QQQ250530P505</stp>
        <tr r="G73" s="2"/>
        <tr r="G73" s="2"/>
      </tp>
      <tp>
        <v>2863</v>
        <stp/>
        <stp>VOLUME</stp>
        <stp>.QQQ250520C515</stp>
        <tr r="BA62" s="1"/>
        <tr r="BA62" s="1"/>
      </tp>
      <tp>
        <v>606</v>
        <stp/>
        <stp>VOLUME</stp>
        <stp>.QQQ250521C514</stp>
        <tr r="D64" s="2"/>
        <tr r="D64" s="2"/>
      </tp>
      <tp>
        <v>1065</v>
        <stp/>
        <stp>VOLUME</stp>
        <stp>.QQQ250522C517</stp>
        <tr r="E61" s="2"/>
        <tr r="E61" s="2"/>
      </tp>
      <tp>
        <v>1238</v>
        <stp/>
        <stp>VOLUME</stp>
        <stp>.QQQ250523C516</stp>
        <tr r="BC61" s="1"/>
        <tr r="BC61" s="1"/>
      </tp>
      <tp>
        <v>202</v>
        <stp/>
        <stp>VOLUME</stp>
        <stp>.QQQ250530C505</stp>
        <tr r="G73" s="2"/>
        <tr r="G73" s="2"/>
      </tp>
      <tp>
        <v>126828</v>
        <stp/>
        <stp>VOLUME</stp>
        <stp>.QQQ250520P516</stp>
        <tr r="BB61" s="1"/>
        <tr r="BB61" s="1"/>
      </tp>
      <tp>
        <v>21470</v>
        <stp/>
        <stp>VOLUME</stp>
        <stp>.QQQ250521P517</stp>
        <tr r="D61" s="2"/>
        <tr r="D61" s="2"/>
      </tp>
      <tp>
        <v>2487</v>
        <stp/>
        <stp>VOLUME</stp>
        <stp>.QQQ250522P514</stp>
        <tr r="E64" s="2"/>
        <tr r="E64" s="2"/>
      </tp>
      <tp>
        <v>12999</v>
        <stp/>
        <stp>VOLUME</stp>
        <stp>.QQQ250523P515</stp>
        <tr r="BD62" s="1"/>
        <tr r="BD62" s="1"/>
      </tp>
      <tp>
        <v>137</v>
        <stp/>
        <stp>VOLUME</stp>
        <stp>.QQQ250530P506</stp>
        <tr r="G72" s="2"/>
        <tr r="G72" s="2"/>
      </tp>
      <tp>
        <v>9180</v>
        <stp/>
        <stp>VOLUME</stp>
        <stp>.QQQ250520C516</stp>
        <tr r="BA61" s="1"/>
        <tr r="BA61" s="1"/>
      </tp>
      <tp>
        <v>7918</v>
        <stp/>
        <stp>VOLUME</stp>
        <stp>.QQQ250521C517</stp>
        <tr r="D61" s="2"/>
        <tr r="D61" s="2"/>
      </tp>
      <tp>
        <v>105</v>
        <stp/>
        <stp>VOLUME</stp>
        <stp>.QQQ250522C514</stp>
        <tr r="E64" s="2"/>
        <tr r="E64" s="2"/>
      </tp>
      <tp>
        <v>1636</v>
        <stp/>
        <stp>VOLUME</stp>
        <stp>.QQQ250523C515</stp>
        <tr r="BC62" s="1"/>
        <tr r="BC62" s="1"/>
      </tp>
      <tp>
        <v>11</v>
        <stp/>
        <stp>VOLUME</stp>
        <stp>.QQQ250530C506</stp>
        <tr r="G72" s="2"/>
        <tr r="G72" s="2"/>
      </tp>
      <tp>
        <v>140729</v>
        <stp/>
        <stp>VOLUME</stp>
        <stp>.QQQ250520P517</stp>
        <tr r="BB60" s="1"/>
        <tr r="BB60" s="1"/>
      </tp>
      <tp>
        <v>15041</v>
        <stp/>
        <stp>VOLUME</stp>
        <stp>.QQQ250521P516</stp>
        <tr r="D62" s="2"/>
        <tr r="D62" s="2"/>
      </tp>
      <tp>
        <v>4375</v>
        <stp/>
        <stp>VOLUME</stp>
        <stp>.QQQ250522P515</stp>
        <tr r="E63" s="2"/>
        <tr r="E63" s="2"/>
      </tp>
      <tp>
        <v>3797</v>
        <stp/>
        <stp>VOLUME</stp>
        <stp>.QQQ250523P514</stp>
        <tr r="BD63" s="1"/>
        <tr r="BD63" s="1"/>
      </tp>
      <tp>
        <v>191</v>
        <stp/>
        <stp>VOLUME</stp>
        <stp>.QQQ250530P507</stp>
        <tr r="G71" s="2"/>
        <tr r="G71" s="2"/>
      </tp>
      <tp>
        <v>29155</v>
        <stp/>
        <stp>VOLUME</stp>
        <stp>.QQQ250520C517</stp>
        <tr r="BA60" s="1"/>
        <tr r="BA60" s="1"/>
      </tp>
      <tp>
        <v>1588</v>
        <stp/>
        <stp>VOLUME</stp>
        <stp>.QQQ250521C516</stp>
        <tr r="D62" s="2"/>
        <tr r="D62" s="2"/>
      </tp>
      <tp>
        <v>361</v>
        <stp/>
        <stp>VOLUME</stp>
        <stp>.QQQ250522C515</stp>
        <tr r="E63" s="2"/>
        <tr r="E63" s="2"/>
      </tp>
      <tp>
        <v>185</v>
        <stp/>
        <stp>VOLUME</stp>
        <stp>.QQQ250523C514</stp>
        <tr r="BC63" s="1"/>
        <tr r="BC63" s="1"/>
      </tp>
      <tp>
        <v>60</v>
        <stp/>
        <stp>VOLUME</stp>
        <stp>.QQQ250530C507</stp>
        <tr r="G71" s="2"/>
        <tr r="G71" s="2"/>
      </tp>
      <tp>
        <v>16230</v>
        <stp/>
        <stp>VOLUME</stp>
        <stp>.QQQ250520P510</stp>
        <tr r="BB67" s="1"/>
        <tr r="BB67" s="1"/>
      </tp>
      <tp>
        <v>7504</v>
        <stp/>
        <stp>VOLUME</stp>
        <stp>.QQQ250521P511</stp>
        <tr r="D67" s="2"/>
        <tr r="D67" s="2"/>
      </tp>
      <tp>
        <v>1753</v>
        <stp/>
        <stp>VOLUME</stp>
        <stp>.QQQ250522P512</stp>
        <tr r="E66" s="2"/>
        <tr r="E66" s="2"/>
      </tp>
      <tp>
        <v>2646</v>
        <stp/>
        <stp>VOLUME</stp>
        <stp>.QQQ250523P513</stp>
        <tr r="BD64" s="1"/>
        <tr r="BD64" s="1"/>
      </tp>
      <tp>
        <v>9917</v>
        <stp/>
        <stp>VOLUME</stp>
        <stp>.QQQ250530P500</stp>
        <tr r="G78" s="2"/>
        <tr r="G78" s="2"/>
      </tp>
      <tp>
        <v>363</v>
        <stp/>
        <stp>VOLUME</stp>
        <stp>.QQQ250520C510</stp>
        <tr r="BA67" s="1"/>
        <tr r="BA67" s="1"/>
      </tp>
      <tp>
        <v>933</v>
        <stp/>
        <stp>VOLUME</stp>
        <stp>.QQQ250521C511</stp>
        <tr r="D67" s="2"/>
        <tr r="D67" s="2"/>
      </tp>
      <tp>
        <v>44</v>
        <stp/>
        <stp>VOLUME</stp>
        <stp>.QQQ250522C512</stp>
        <tr r="E66" s="2"/>
        <tr r="E66" s="2"/>
      </tp>
      <tp>
        <v>147</v>
        <stp/>
        <stp>VOLUME</stp>
        <stp>.QQQ250523C513</stp>
        <tr r="BC64" s="1"/>
        <tr r="BC64" s="1"/>
      </tp>
      <tp>
        <v>53</v>
        <stp/>
        <stp>VOLUME</stp>
        <stp>.QQQ250530C500</stp>
        <tr r="G78" s="2"/>
        <tr r="G78" s="2"/>
      </tp>
      <tp>
        <v>15405</v>
        <stp/>
        <stp>VOLUME</stp>
        <stp>.QQQ250520P511</stp>
        <tr r="BB66" s="1"/>
        <tr r="BB66" s="1"/>
      </tp>
      <tp>
        <v>14288</v>
        <stp/>
        <stp>VOLUME</stp>
        <stp>.QQQ250521P510</stp>
        <tr r="D68" s="2"/>
        <tr r="D68" s="2"/>
      </tp>
      <tp>
        <v>1736</v>
        <stp/>
        <stp>VOLUME</stp>
        <stp>.QQQ250522P513</stp>
        <tr r="E65" s="2"/>
        <tr r="E65" s="2"/>
      </tp>
      <tp>
        <v>6560</v>
        <stp/>
        <stp>VOLUME</stp>
        <stp>.QQQ250523P512</stp>
        <tr r="BD65" s="1"/>
        <tr r="BD65" s="1"/>
      </tp>
      <tp>
        <v>108</v>
        <stp/>
        <stp>VOLUME</stp>
        <stp>.QQQ250530P501</stp>
        <tr r="G77" s="2"/>
        <tr r="G77" s="2"/>
      </tp>
      <tp>
        <v>2332</v>
        <stp/>
        <stp>VOLUME</stp>
        <stp>.QQQ250520C511</stp>
        <tr r="BA66" s="1"/>
        <tr r="BA66" s="1"/>
      </tp>
      <tp>
        <v>285</v>
        <stp/>
        <stp>VOLUME</stp>
        <stp>.QQQ250521C510</stp>
        <tr r="D68" s="2"/>
        <tr r="D68" s="2"/>
      </tp>
      <tp>
        <v>40</v>
        <stp/>
        <stp>VOLUME</stp>
        <stp>.QQQ250522C513</stp>
        <tr r="E65" s="2"/>
        <tr r="E65" s="2"/>
      </tp>
      <tp>
        <v>211</v>
        <stp/>
        <stp>VOLUME</stp>
        <stp>.QQQ250523C512</stp>
        <tr r="BC65" s="1"/>
        <tr r="BC65" s="1"/>
      </tp>
      <tp>
        <v>74</v>
        <stp/>
        <stp>VOLUME</stp>
        <stp>.QQQ250530C501</stp>
        <tr r="G77" s="2"/>
        <tr r="G77" s="2"/>
      </tp>
      <tp>
        <v>14349</v>
        <stp/>
        <stp>VOLUME</stp>
        <stp>.QQQ250520P512</stp>
        <tr r="BB65" s="1"/>
        <tr r="BB65" s="1"/>
      </tp>
      <tp>
        <v>9974</v>
        <stp/>
        <stp>VOLUME</stp>
        <stp>.QQQ250521P513</stp>
        <tr r="D65" s="2"/>
        <tr r="D65" s="2"/>
      </tp>
      <tp>
        <v>3608</v>
        <stp/>
        <stp>VOLUME</stp>
        <stp>.QQQ250522P510</stp>
        <tr r="E68" s="2"/>
        <tr r="E68" s="2"/>
      </tp>
      <tp>
        <v>7609</v>
        <stp/>
        <stp>VOLUME</stp>
        <stp>.QQQ250523P511</stp>
        <tr r="BD66" s="1"/>
        <tr r="BD66" s="1"/>
      </tp>
      <tp>
        <v>52</v>
        <stp/>
        <stp>VOLUME</stp>
        <stp>.QQQ250530P502</stp>
        <tr r="G76" s="2"/>
        <tr r="G76" s="2"/>
      </tp>
      <tp>
        <v>690</v>
        <stp/>
        <stp>VOLUME</stp>
        <stp>.QQQ250520C512</stp>
        <tr r="BA65" s="1"/>
        <tr r="BA65" s="1"/>
      </tp>
      <tp>
        <v>414</v>
        <stp/>
        <stp>VOLUME</stp>
        <stp>.QQQ250521C513</stp>
        <tr r="D65" s="2"/>
        <tr r="D65" s="2"/>
      </tp>
      <tp>
        <v>57</v>
        <stp/>
        <stp>VOLUME</stp>
        <stp>.QQQ250522C510</stp>
        <tr r="E68" s="2"/>
        <tr r="E68" s="2"/>
      </tp>
      <tp>
        <v>108</v>
        <stp/>
        <stp>VOLUME</stp>
        <stp>.QQQ250523C511</stp>
        <tr r="BC66" s="1"/>
        <tr r="BC66" s="1"/>
      </tp>
      <tp>
        <v>7</v>
        <stp/>
        <stp>VOLUME</stp>
        <stp>.QQQ250530C502</stp>
        <tr r="G76" s="2"/>
        <tr r="G76" s="2"/>
      </tp>
      <tp>
        <v>19517</v>
        <stp/>
        <stp>VOLUME</stp>
        <stp>.QQQ250520P513</stp>
        <tr r="BB64" s="1"/>
        <tr r="BB64" s="1"/>
      </tp>
      <tp>
        <v>5660</v>
        <stp/>
        <stp>VOLUME</stp>
        <stp>.QQQ250521P512</stp>
        <tr r="D66" s="2"/>
        <tr r="D66" s="2"/>
      </tp>
      <tp>
        <v>1985</v>
        <stp/>
        <stp>VOLUME</stp>
        <stp>.QQQ250522P511</stp>
        <tr r="E67" s="2"/>
        <tr r="E67" s="2"/>
      </tp>
      <tp>
        <v>14247</v>
        <stp/>
        <stp>VOLUME</stp>
        <stp>.QQQ250523P510</stp>
        <tr r="BD67" s="1"/>
        <tr r="BD67" s="1"/>
      </tp>
      <tp>
        <v>177</v>
        <stp/>
        <stp>VOLUME</stp>
        <stp>.QQQ250530P503</stp>
        <tr r="G75" s="2"/>
        <tr r="G75" s="2"/>
      </tp>
      <tp>
        <v>2041</v>
        <stp/>
        <stp>VOLUME</stp>
        <stp>.QQQ250520C513</stp>
        <tr r="BA64" s="1"/>
        <tr r="BA64" s="1"/>
      </tp>
      <tp>
        <v>756</v>
        <stp/>
        <stp>VOLUME</stp>
        <stp>.QQQ250521C512</stp>
        <tr r="D66" s="2"/>
        <tr r="D66" s="2"/>
      </tp>
      <tp>
        <v>3</v>
        <stp/>
        <stp>VOLUME</stp>
        <stp>.QQQ250522C511</stp>
        <tr r="E67" s="2"/>
        <tr r="E67" s="2"/>
      </tp>
      <tp>
        <v>955</v>
        <stp/>
        <stp>VOLUME</stp>
        <stp>.QQQ250523C510</stp>
        <tr r="BC67" s="1"/>
        <tr r="BC67" s="1"/>
      </tp>
      <tp>
        <v>10</v>
        <stp/>
        <stp>VOLUME</stp>
        <stp>.QQQ250530C503</stp>
        <tr r="G75" s="2"/>
        <tr r="G75" s="2"/>
      </tp>
      <tp>
        <v>199360</v>
        <stp/>
        <stp>VOLUME</stp>
        <stp>.QQQ250520P518</stp>
        <tr r="BB59" s="1"/>
        <tr r="BB59" s="1"/>
      </tp>
      <tp>
        <v>30917</v>
        <stp/>
        <stp>VOLUME</stp>
        <stp>.QQQ250521P519</stp>
        <tr r="D59" s="2"/>
        <tr r="D59" s="2"/>
      </tp>
      <tp>
        <v>330</v>
        <stp/>
        <stp>VOLUME</stp>
        <stp>.QQQ250530P508</stp>
        <tr r="G70" s="2"/>
        <tr r="G70" s="2"/>
      </tp>
      <tp>
        <v>88210</v>
        <stp/>
        <stp>VOLUME</stp>
        <stp>.QQQ250520C518</stp>
        <tr r="BA59" s="1"/>
        <tr r="BA59" s="1"/>
      </tp>
      <tp>
        <v>36021</v>
        <stp/>
        <stp>VOLUME</stp>
        <stp>.QQQ250521C519</stp>
        <tr r="D59" s="2"/>
        <tr r="D59" s="2"/>
      </tp>
      <tp>
        <v>81</v>
        <stp/>
        <stp>VOLUME</stp>
        <stp>.QQQ250530C508</stp>
        <tr r="G70" s="2"/>
        <tr r="G70" s="2"/>
      </tp>
      <tp>
        <v>201520</v>
        <stp/>
        <stp>VOLUME</stp>
        <stp>.QQQ250520P519</stp>
        <tr r="BB58" s="1"/>
        <tr r="BB58" s="1"/>
      </tp>
      <tp>
        <v>42103</v>
        <stp/>
        <stp>VOLUME</stp>
        <stp>.QQQ250521P518</stp>
        <tr r="D60" s="2"/>
        <tr r="D60" s="2"/>
      </tp>
      <tp>
        <v>507</v>
        <stp/>
        <stp>VOLUME</stp>
        <stp>.QQQ250530P509</stp>
        <tr r="G69" s="2"/>
        <tr r="G69" s="2"/>
      </tp>
      <tp>
        <v>196512</v>
        <stp/>
        <stp>VOLUME</stp>
        <stp>.QQQ250520C519</stp>
        <tr r="BA58" s="1"/>
        <tr r="BA58" s="1"/>
      </tp>
      <tp>
        <v>18753</v>
        <stp/>
        <stp>VOLUME</stp>
        <stp>.QQQ250521C518</stp>
        <tr r="D60" s="2"/>
        <tr r="D60" s="2"/>
      </tp>
      <tp>
        <v>22</v>
        <stp/>
        <stp>VOLUME</stp>
        <stp>.QQQ250530C509</stp>
        <tr r="G69" s="2"/>
        <tr r="G69" s="2"/>
      </tp>
      <tp>
        <v>5867</v>
        <stp/>
        <stp>VOLUME</stp>
        <stp>.QQQ250522P518</stp>
        <tr r="E60" s="2"/>
        <tr r="E60" s="2"/>
      </tp>
      <tp>
        <v>5840</v>
        <stp/>
        <stp>VOLUME</stp>
        <stp>.QQQ250523P519</stp>
        <tr r="BD58" s="1"/>
        <tr r="BD58" s="1"/>
      </tp>
      <tp>
        <v>2562</v>
        <stp/>
        <stp>VOLUME</stp>
        <stp>.QQQ250522C518</stp>
        <tr r="E60" s="2"/>
        <tr r="E60" s="2"/>
      </tp>
      <tp>
        <v>13937</v>
        <stp/>
        <stp>VOLUME</stp>
        <stp>.QQQ250523C519</stp>
        <tr r="BC58" s="1"/>
        <tr r="BC58" s="1"/>
      </tp>
      <tp>
        <v>5320</v>
        <stp/>
        <stp>VOLUME</stp>
        <stp>.QQQ250522P519</stp>
        <tr r="E59" s="2"/>
        <tr r="E59" s="2"/>
      </tp>
      <tp>
        <v>9968</v>
        <stp/>
        <stp>VOLUME</stp>
        <stp>.QQQ250523P518</stp>
        <tr r="BD59" s="1"/>
        <tr r="BD59" s="1"/>
      </tp>
      <tp>
        <v>4161</v>
        <stp/>
        <stp>VOLUME</stp>
        <stp>.QQQ250522C519</stp>
        <tr r="E59" s="2"/>
        <tr r="E59" s="2"/>
      </tp>
      <tp>
        <v>5346</v>
        <stp/>
        <stp>VOLUME</stp>
        <stp>.QQQ250523C518</stp>
        <tr r="BC59" s="1"/>
        <tr r="BC59" s="1"/>
      </tp>
      <tp>
        <v>3530</v>
        <stp/>
        <stp>VOLUME</stp>
        <stp>.QQQ250520P504</stp>
        <tr r="BB73" s="1"/>
        <tr r="BB73" s="1"/>
      </tp>
      <tp>
        <v>1809</v>
        <stp/>
        <stp>VOLUME</stp>
        <stp>.QQQ250521P505</stp>
        <tr r="D73" s="2"/>
        <tr r="D73" s="2"/>
      </tp>
      <tp>
        <v>467</v>
        <stp/>
        <stp>VOLUME</stp>
        <stp>.QQQ250522P506</stp>
        <tr r="E72" s="2"/>
        <tr r="E72" s="2"/>
      </tp>
      <tp>
        <v>1517</v>
        <stp/>
        <stp>VOLUME</stp>
        <stp>.QQQ250523P507</stp>
        <tr r="BD70" s="1"/>
        <tr r="BD70" s="1"/>
      </tp>
      <tp>
        <v>307</v>
        <stp/>
        <stp>VOLUME</stp>
        <stp>.QQQ250530P514</stp>
        <tr r="G64" s="2"/>
        <tr r="G64" s="2"/>
      </tp>
      <tp>
        <v>74</v>
        <stp/>
        <stp>VOLUME</stp>
        <stp>.QQQ250520C504</stp>
        <tr r="BA73" s="1"/>
        <tr r="BA73" s="1"/>
      </tp>
      <tp>
        <v>19</v>
        <stp/>
        <stp>VOLUME</stp>
        <stp>.QQQ250521C505</stp>
        <tr r="D73" s="2"/>
        <tr r="D73" s="2"/>
      </tp>
      <tp>
        <v>4</v>
        <stp/>
        <stp>VOLUME</stp>
        <stp>.QQQ250522C506</stp>
        <tr r="E72" s="2"/>
        <tr r="E72" s="2"/>
      </tp>
      <tp>
        <v>54</v>
        <stp/>
        <stp>VOLUME</stp>
        <stp>.QQQ250523C507</stp>
        <tr r="BC70" s="1"/>
        <tr r="BC70" s="1"/>
      </tp>
      <tp>
        <v>64</v>
        <stp/>
        <stp>VOLUME</stp>
        <stp>.QQQ250530C514</stp>
        <tr r="G64" s="2"/>
        <tr r="G64" s="2"/>
      </tp>
      <tp>
        <v>4348</v>
        <stp/>
        <stp>VOLUME</stp>
        <stp>.QQQ250520P505</stp>
        <tr r="BB72" s="1"/>
        <tr r="BB72" s="1"/>
      </tp>
      <tp>
        <v>1360</v>
        <stp/>
        <stp>VOLUME</stp>
        <stp>.QQQ250521P504</stp>
        <tr r="D74" s="2"/>
        <tr r="D74" s="2"/>
      </tp>
      <tp>
        <v>330</v>
        <stp/>
        <stp>VOLUME</stp>
        <stp>.QQQ250522P507</stp>
        <tr r="E71" s="2"/>
        <tr r="E71" s="2"/>
      </tp>
      <tp>
        <v>6630</v>
        <stp/>
        <stp>VOLUME</stp>
        <stp>.QQQ250523P506</stp>
        <tr r="BD71" s="1"/>
        <tr r="BD71" s="1"/>
      </tp>
      <tp>
        <v>3360</v>
        <stp/>
        <stp>VOLUME</stp>
        <stp>.QQQ250530P515</stp>
        <tr r="G63" s="2"/>
        <tr r="G63" s="2"/>
      </tp>
      <tp>
        <v>48</v>
        <stp/>
        <stp>VOLUME</stp>
        <stp>.QQQ250520C505</stp>
        <tr r="BA72" s="1"/>
        <tr r="BA72" s="1"/>
      </tp>
      <tp>
        <v>20</v>
        <stp/>
        <stp>VOLUME</stp>
        <stp>.QQQ250521C504</stp>
        <tr r="D74" s="2"/>
        <tr r="D74" s="2"/>
      </tp>
      <tp>
        <v>6</v>
        <stp/>
        <stp>VOLUME</stp>
        <stp>.QQQ250522C507</stp>
        <tr r="E71" s="2"/>
        <tr r="E71" s="2"/>
      </tp>
      <tp>
        <v>46</v>
        <stp/>
        <stp>VOLUME</stp>
        <stp>.QQQ250523C506</stp>
        <tr r="BC71" s="1"/>
        <tr r="BC71" s="1"/>
      </tp>
      <tp>
        <v>535</v>
        <stp/>
        <stp>VOLUME</stp>
        <stp>.QQQ250530C515</stp>
        <tr r="G63" s="2"/>
        <tr r="G63" s="2"/>
      </tp>
      <tp>
        <v>4160</v>
        <stp/>
        <stp>VOLUME</stp>
        <stp>.QQQ250520P506</stp>
        <tr r="BB71" s="1"/>
        <tr r="BB71" s="1"/>
      </tp>
      <tp>
        <v>3220</v>
        <stp/>
        <stp>VOLUME</stp>
        <stp>.QQQ250521P507</stp>
        <tr r="D71" s="2"/>
        <tr r="D71" s="2"/>
      </tp>
      <tp>
        <v>861</v>
        <stp/>
        <stp>VOLUME</stp>
        <stp>.QQQ250522P504</stp>
        <tr r="E74" s="2"/>
        <tr r="E74" s="2"/>
      </tp>
      <tp>
        <v>3728</v>
        <stp/>
        <stp>VOLUME</stp>
        <stp>.QQQ250523P505</stp>
        <tr r="BD72" s="1"/>
        <tr r="BD72" s="1"/>
      </tp>
      <tp>
        <v>1129</v>
        <stp/>
        <stp>VOLUME</stp>
        <stp>.QQQ250530P516</stp>
        <tr r="G62" s="2"/>
        <tr r="G62" s="2"/>
      </tp>
      <tp>
        <v>67</v>
        <stp/>
        <stp>VOLUME</stp>
        <stp>.QQQ250520C506</stp>
        <tr r="BA71" s="1"/>
        <tr r="BA71" s="1"/>
      </tp>
      <tp>
        <v>42</v>
        <stp/>
        <stp>VOLUME</stp>
        <stp>.QQQ250521C507</stp>
        <tr r="D71" s="2"/>
        <tr r="D71" s="2"/>
      </tp>
      <tp t="s">
        <v>N/A</v>
        <stp/>
        <stp>VOLUME</stp>
        <stp>.QQQ250522C504</stp>
        <tr r="E74" s="2"/>
      </tp>
      <tp>
        <v>265</v>
        <stp/>
        <stp>VOLUME</stp>
        <stp>.QQQ250523C505</stp>
        <tr r="BC72" s="1"/>
        <tr r="BC72" s="1"/>
      </tp>
      <tp>
        <v>75</v>
        <stp/>
        <stp>VOLUME</stp>
        <stp>.QQQ250530C516</stp>
        <tr r="G62" s="2"/>
        <tr r="G62" s="2"/>
      </tp>
      <tp>
        <v>4582</v>
        <stp/>
        <stp>VOLUME</stp>
        <stp>.QQQ250520P507</stp>
        <tr r="BB70" s="1"/>
        <tr r="BB70" s="1"/>
      </tp>
      <tp>
        <v>1999</v>
        <stp/>
        <stp>VOLUME</stp>
        <stp>.QQQ250521P506</stp>
        <tr r="D72" s="2"/>
        <tr r="D72" s="2"/>
      </tp>
      <tp>
        <v>1643</v>
        <stp/>
        <stp>VOLUME</stp>
        <stp>.QQQ250522P505</stp>
        <tr r="E73" s="2"/>
        <tr r="E73" s="2"/>
      </tp>
      <tp>
        <v>1131</v>
        <stp/>
        <stp>VOLUME</stp>
        <stp>.QQQ250523P504</stp>
        <tr r="BD73" s="1"/>
        <tr r="BD73" s="1"/>
      </tp>
      <tp>
        <v>1109</v>
        <stp/>
        <stp>VOLUME</stp>
        <stp>.QQQ250530P517</stp>
        <tr r="G61" s="2"/>
        <tr r="G61" s="2"/>
      </tp>
      <tp>
        <v>110</v>
        <stp/>
        <stp>VOLUME</stp>
        <stp>.QQQ250520C507</stp>
        <tr r="BA70" s="1"/>
        <tr r="BA70" s="1"/>
      </tp>
      <tp>
        <v>8</v>
        <stp/>
        <stp>VOLUME</stp>
        <stp>.QQQ250521C506</stp>
        <tr r="D72" s="2"/>
        <tr r="D72" s="2"/>
      </tp>
      <tp>
        <v>18</v>
        <stp/>
        <stp>VOLUME</stp>
        <stp>.QQQ250522C505</stp>
        <tr r="E73" s="2"/>
        <tr r="E73" s="2"/>
      </tp>
      <tp>
        <v>4</v>
        <stp/>
        <stp>VOLUME</stp>
        <stp>.QQQ250523C504</stp>
        <tr r="BC73" s="1"/>
        <tr r="BC73" s="1"/>
      </tp>
      <tp>
        <v>116</v>
        <stp/>
        <stp>VOLUME</stp>
        <stp>.QQQ250530C517</stp>
        <tr r="G61" s="2"/>
        <tr r="G61" s="2"/>
      </tp>
      <tp>
        <v>2422</v>
        <stp/>
        <stp>VOLUME</stp>
        <stp>.QQQ250520P500</stp>
        <tr r="BB77" s="1"/>
        <tr r="BB77" s="1"/>
      </tp>
      <tp>
        <v>2972</v>
        <stp/>
        <stp>VOLUME</stp>
        <stp>.QQQ250521P501</stp>
        <tr r="D77" s="2"/>
        <tr r="D77" s="2"/>
      </tp>
      <tp>
        <v>854</v>
        <stp/>
        <stp>VOLUME</stp>
        <stp>.QQQ250522P502</stp>
        <tr r="E76" s="2"/>
        <tr r="E76" s="2"/>
      </tp>
      <tp>
        <v>2387</v>
        <stp/>
        <stp>VOLUME</stp>
        <stp>.QQQ250523P503</stp>
        <tr r="BD74" s="1"/>
        <tr r="BD74" s="1"/>
      </tp>
      <tp>
        <v>6006</v>
        <stp/>
        <stp>VOLUME</stp>
        <stp>.QQQ250530P510</stp>
        <tr r="G68" s="2"/>
        <tr r="G68" s="2"/>
      </tp>
      <tp>
        <v>348</v>
        <stp/>
        <stp>VOLUME</stp>
        <stp>.QQQ250520C500</stp>
        <tr r="BA77" s="1"/>
        <tr r="BA77" s="1"/>
      </tp>
      <tp>
        <v>10</v>
        <stp/>
        <stp>VOLUME</stp>
        <stp>.QQQ250521C501</stp>
        <tr r="D77" s="2"/>
        <tr r="D77" s="2"/>
      </tp>
      <tp>
        <v>2</v>
        <stp/>
        <stp>VOLUME</stp>
        <stp>.QQQ250522C502</stp>
        <tr r="E76" s="2"/>
        <tr r="E76" s="2"/>
      </tp>
      <tp>
        <v>30</v>
        <stp/>
        <stp>VOLUME</stp>
        <stp>.QQQ250523C503</stp>
        <tr r="BC74" s="1"/>
        <tr r="BC74" s="1"/>
      </tp>
      <tp>
        <v>636</v>
        <stp/>
        <stp>VOLUME</stp>
        <stp>.QQQ250530C510</stp>
        <tr r="G68" s="2"/>
        <tr r="G68" s="2"/>
      </tp>
      <tp>
        <v>842</v>
        <stp/>
        <stp>VOLUME</stp>
        <stp>.QQQ250520P501</stp>
        <tr r="BB76" s="1"/>
        <tr r="BB76" s="1"/>
      </tp>
      <tp>
        <v>2949</v>
        <stp/>
        <stp>VOLUME</stp>
        <stp>.QQQ250521P500</stp>
        <tr r="D78" s="2"/>
        <tr r="D78" s="2"/>
      </tp>
      <tp>
        <v>897</v>
        <stp/>
        <stp>VOLUME</stp>
        <stp>.QQQ250522P503</stp>
        <tr r="E75" s="2"/>
        <tr r="E75" s="2"/>
      </tp>
      <tp>
        <v>2255</v>
        <stp/>
        <stp>VOLUME</stp>
        <stp>.QQQ250523P502</stp>
        <tr r="BD75" s="1"/>
        <tr r="BD75" s="1"/>
      </tp>
      <tp>
        <v>161</v>
        <stp/>
        <stp>VOLUME</stp>
        <stp>.QQQ250530P511</stp>
        <tr r="G67" s="2"/>
        <tr r="G67" s="2"/>
      </tp>
      <tp>
        <v>12</v>
        <stp/>
        <stp>VOLUME</stp>
        <stp>.QQQ250520C501</stp>
        <tr r="BA76" s="1"/>
        <tr r="BA76" s="1"/>
      </tp>
      <tp>
        <v>272</v>
        <stp/>
        <stp>VOLUME</stp>
        <stp>.QQQ250521C500</stp>
        <tr r="D78" s="2"/>
        <tr r="D78" s="2"/>
      </tp>
      <tp>
        <v>27</v>
        <stp/>
        <stp>VOLUME</stp>
        <stp>.QQQ250522C503</stp>
        <tr r="E75" s="2"/>
        <tr r="E75" s="2"/>
      </tp>
      <tp>
        <v>17</v>
        <stp/>
        <stp>VOLUME</stp>
        <stp>.QQQ250523C502</stp>
        <tr r="BC75" s="1"/>
        <tr r="BC75" s="1"/>
      </tp>
      <tp>
        <v>7</v>
        <stp/>
        <stp>VOLUME</stp>
        <stp>.QQQ250530C511</stp>
        <tr r="G67" s="2"/>
        <tr r="G67" s="2"/>
      </tp>
      <tp>
        <v>4066</v>
        <stp/>
        <stp>VOLUME</stp>
        <stp>.QQQ250520P502</stp>
        <tr r="BB75" s="1"/>
        <tr r="BB75" s="1"/>
      </tp>
      <tp>
        <v>2397</v>
        <stp/>
        <stp>VOLUME</stp>
        <stp>.QQQ250521P503</stp>
        <tr r="D75" s="2"/>
        <tr r="D75" s="2"/>
      </tp>
      <tp>
        <v>710</v>
        <stp/>
        <stp>VOLUME</stp>
        <stp>.QQQ250522P500</stp>
        <tr r="E78" s="2"/>
        <tr r="E78" s="2"/>
      </tp>
      <tp>
        <v>2178</v>
        <stp/>
        <stp>VOLUME</stp>
        <stp>.QQQ250523P501</stp>
        <tr r="BD76" s="1"/>
        <tr r="BD76" s="1"/>
      </tp>
      <tp>
        <v>304</v>
        <stp/>
        <stp>VOLUME</stp>
        <stp>.QQQ250530P512</stp>
        <tr r="G66" s="2"/>
        <tr r="G66" s="2"/>
      </tp>
      <tp>
        <v>7</v>
        <stp/>
        <stp>VOLUME</stp>
        <stp>.QQQ250520C502</stp>
        <tr r="BA75" s="1"/>
        <tr r="BA75" s="1"/>
      </tp>
      <tp>
        <v>2</v>
        <stp/>
        <stp>VOLUME</stp>
        <stp>.QQQ250521C503</stp>
        <tr r="D75" s="2"/>
        <tr r="D75" s="2"/>
      </tp>
      <tp>
        <v>25</v>
        <stp/>
        <stp>VOLUME</stp>
        <stp>.QQQ250522C500</stp>
        <tr r="E78" s="2"/>
        <tr r="E78" s="2"/>
      </tp>
      <tp>
        <v>24</v>
        <stp/>
        <stp>VOLUME</stp>
        <stp>.QQQ250523C501</stp>
        <tr r="BC76" s="1"/>
        <tr r="BC76" s="1"/>
      </tp>
      <tp>
        <v>6</v>
        <stp/>
        <stp>VOLUME</stp>
        <stp>.QQQ250530C512</stp>
        <tr r="G66" s="2"/>
        <tr r="G66" s="2"/>
      </tp>
      <tp>
        <v>4053</v>
        <stp/>
        <stp>VOLUME</stp>
        <stp>.QQQ250520P503</stp>
        <tr r="BB74" s="1"/>
        <tr r="BB74" s="1"/>
      </tp>
      <tp>
        <v>1377</v>
        <stp/>
        <stp>VOLUME</stp>
        <stp>.QQQ250521P502</stp>
        <tr r="D76" s="2"/>
        <tr r="D76" s="2"/>
      </tp>
      <tp>
        <v>459</v>
        <stp/>
        <stp>VOLUME</stp>
        <stp>.QQQ250522P501</stp>
        <tr r="E77" s="2"/>
        <tr r="E77" s="2"/>
      </tp>
      <tp>
        <v>14107</v>
        <stp/>
        <stp>VOLUME</stp>
        <stp>.QQQ250523P500</stp>
        <tr r="BD77" s="1"/>
        <tr r="BD77" s="1"/>
      </tp>
      <tp>
        <v>210</v>
        <stp/>
        <stp>VOLUME</stp>
        <stp>.QQQ250530P513</stp>
        <tr r="G65" s="2"/>
        <tr r="G65" s="2"/>
      </tp>
      <tp>
        <v>13</v>
        <stp/>
        <stp>VOLUME</stp>
        <stp>.QQQ250520C503</stp>
        <tr r="BA74" s="1"/>
        <tr r="BA74" s="1"/>
      </tp>
      <tp>
        <v>17</v>
        <stp/>
        <stp>VOLUME</stp>
        <stp>.QQQ250521C502</stp>
        <tr r="D76" s="2"/>
        <tr r="D76" s="2"/>
      </tp>
      <tp t="s">
        <v>N/A</v>
        <stp/>
        <stp>VOLUME</stp>
        <stp>.QQQ250522C501</stp>
        <tr r="E77" s="2"/>
      </tp>
      <tp>
        <v>145</v>
        <stp/>
        <stp>VOLUME</stp>
        <stp>.QQQ250523C500</stp>
        <tr r="BC77" s="1"/>
        <tr r="BC77" s="1"/>
      </tp>
      <tp>
        <v>46</v>
        <stp/>
        <stp>VOLUME</stp>
        <stp>.QQQ250530C513</stp>
        <tr r="G65" s="2"/>
        <tr r="G65" s="2"/>
      </tp>
      <tp>
        <v>5878</v>
        <stp/>
        <stp>VOLUME</stp>
        <stp>.QQQ250520P508</stp>
        <tr r="BB69" s="1"/>
        <tr r="BB69" s="1"/>
      </tp>
      <tp>
        <v>4521</v>
        <stp/>
        <stp>VOLUME</stp>
        <stp>.QQQ250521P509</stp>
        <tr r="D69" s="2"/>
        <tr r="D69" s="2"/>
      </tp>
      <tp>
        <v>1191</v>
        <stp/>
        <stp>VOLUME</stp>
        <stp>.QQQ250530P518</stp>
        <tr r="G60" s="2"/>
        <tr r="G60" s="2"/>
      </tp>
      <tp>
        <v>73</v>
        <stp/>
        <stp>VOLUME</stp>
        <stp>.QQQ250520C508</stp>
        <tr r="BA69" s="1"/>
        <tr r="BA69" s="1"/>
      </tp>
      <tp>
        <v>188</v>
        <stp/>
        <stp>VOLUME</stp>
        <stp>.QQQ250521C509</stp>
        <tr r="D69" s="2"/>
        <tr r="D69" s="2"/>
      </tp>
      <tp>
        <v>402</v>
        <stp/>
        <stp>VOLUME</stp>
        <stp>.QQQ250530C518</stp>
        <tr r="G60" s="2"/>
        <tr r="G60" s="2"/>
      </tp>
      <tp>
        <v>4258</v>
        <stp/>
        <stp>VOLUME</stp>
        <stp>.QQQ250520P509</stp>
        <tr r="BB68" s="1"/>
        <tr r="BB68" s="1"/>
      </tp>
      <tp>
        <v>6156</v>
        <stp/>
        <stp>VOLUME</stp>
        <stp>.QQQ250521P508</stp>
        <tr r="D70" s="2"/>
        <tr r="D70" s="2"/>
      </tp>
      <tp>
        <v>2197</v>
        <stp/>
        <stp>VOLUME</stp>
        <stp>.QQQ250530P519</stp>
        <tr r="G59" s="2"/>
        <tr r="G59" s="2"/>
      </tp>
      <tp>
        <v>123</v>
        <stp/>
        <stp>VOLUME</stp>
        <stp>.QQQ250520C509</stp>
        <tr r="BA68" s="1"/>
        <tr r="BA68" s="1"/>
      </tp>
      <tp>
        <v>19</v>
        <stp/>
        <stp>VOLUME</stp>
        <stp>.QQQ250521C508</stp>
        <tr r="D70" s="2"/>
        <tr r="D70" s="2"/>
      </tp>
      <tp>
        <v>532</v>
        <stp/>
        <stp>VOLUME</stp>
        <stp>.QQQ250530C519</stp>
        <tr r="G59" s="2"/>
        <tr r="G59" s="2"/>
      </tp>
      <tp>
        <v>826</v>
        <stp/>
        <stp>VOLUME</stp>
        <stp>.QQQ250522P508</stp>
        <tr r="E70" s="2"/>
        <tr r="E70" s="2"/>
      </tp>
      <tp>
        <v>2456</v>
        <stp/>
        <stp>VOLUME</stp>
        <stp>.QQQ250523P509</stp>
        <tr r="BD68" s="1"/>
        <tr r="BD68" s="1"/>
      </tp>
      <tp>
        <v>3</v>
        <stp/>
        <stp>VOLUME</stp>
        <stp>.QQQ250522C508</stp>
        <tr r="E70" s="2"/>
        <tr r="E70" s="2"/>
      </tp>
      <tp>
        <v>33</v>
        <stp/>
        <stp>VOLUME</stp>
        <stp>.QQQ250523C509</stp>
        <tr r="BC68" s="1"/>
        <tr r="BC68" s="1"/>
      </tp>
      <tp>
        <v>1360</v>
        <stp/>
        <stp>VOLUME</stp>
        <stp>.QQQ250522P509</stp>
        <tr r="E69" s="2"/>
        <tr r="E69" s="2"/>
      </tp>
      <tp>
        <v>2484</v>
        <stp/>
        <stp>VOLUME</stp>
        <stp>.QQQ250523P508</stp>
        <tr r="BD69" s="1"/>
        <tr r="BD69" s="1"/>
      </tp>
      <tp>
        <v>4</v>
        <stp/>
        <stp>VOLUME</stp>
        <stp>.QQQ250522C509</stp>
        <tr r="E69" s="2"/>
        <tr r="E69" s="2"/>
      </tp>
      <tp>
        <v>35</v>
        <stp/>
        <stp>VOLUME</stp>
        <stp>.QQQ250523C508</stp>
        <tr r="BC69" s="1"/>
        <tr r="BC69" s="1"/>
      </tp>
      <tp>
        <v>258.7</v>
        <stp/>
        <stp>BID</stp>
        <stp>.SPXW250520C5680</stp>
        <tr r="DE124" s="1"/>
        <tr r="DE124" s="1"/>
      </tp>
      <tp>
        <v>0</v>
        <stp/>
        <stp>BID</stp>
        <stp>.SPXW250520P5680</stp>
        <tr r="DF124" s="1"/>
        <tr r="DF124" s="1"/>
      </tp>
      <tp>
        <v>248.7</v>
        <stp/>
        <stp>BID</stp>
        <stp>.SPXW250520C5690</stp>
        <tr r="DE123" s="1"/>
        <tr r="DE123" s="1"/>
      </tp>
      <tp>
        <v>0</v>
        <stp/>
        <stp>BID</stp>
        <stp>.SPXW250520P5690</stp>
        <tr r="DF123" s="1"/>
        <tr r="DF123" s="1"/>
      </tp>
      <tp>
        <v>318.7</v>
        <stp/>
        <stp>BID</stp>
        <stp>.SPXW250520C5620</stp>
        <tr r="DE130" s="1"/>
        <tr r="DE130" s="1"/>
      </tp>
      <tp>
        <v>0</v>
        <stp/>
        <stp>BID</stp>
        <stp>.SPXW250520P5620</stp>
        <tr r="DF130" s="1"/>
        <tr r="DF130" s="1"/>
      </tp>
      <tp>
        <v>308.7</v>
        <stp/>
        <stp>BID</stp>
        <stp>.SPXW250520C5630</stp>
        <tr r="DE129" s="1"/>
        <tr r="DE129" s="1"/>
      </tp>
      <tp>
        <v>0</v>
        <stp/>
        <stp>BID</stp>
        <stp>.SPXW250520P5630</stp>
        <tr r="DF129" s="1"/>
        <tr r="DF129" s="1"/>
      </tp>
      <tp>
        <v>298.7</v>
        <stp/>
        <stp>BID</stp>
        <stp>.SPXW250520C5640</stp>
        <tr r="DE128" s="1"/>
        <tr r="DE128" s="1"/>
      </tp>
      <tp>
        <v>0</v>
        <stp/>
        <stp>BID</stp>
        <stp>.SPXW250520P5640</stp>
        <tr r="DF128" s="1"/>
        <tr r="DF128" s="1"/>
      </tp>
      <tp>
        <v>288.7</v>
        <stp/>
        <stp>BID</stp>
        <stp>.SPXW250520C5650</stp>
        <tr r="DE127" s="1"/>
        <tr r="DE127" s="1"/>
      </tp>
      <tp>
        <v>0</v>
        <stp/>
        <stp>BID</stp>
        <stp>.SPXW250520P5650</stp>
        <tr r="DF127" s="1"/>
        <tr r="DF127" s="1"/>
      </tp>
      <tp>
        <v>278.7</v>
        <stp/>
        <stp>BID</stp>
        <stp>.SPXW250520C5660</stp>
        <tr r="DE126" s="1"/>
        <tr r="DE126" s="1"/>
      </tp>
      <tp>
        <v>0</v>
        <stp/>
        <stp>BID</stp>
        <stp>.SPXW250520P5660</stp>
        <tr r="DF126" s="1"/>
        <tr r="DF126" s="1"/>
      </tp>
      <tp>
        <v>268.7</v>
        <stp/>
        <stp>BID</stp>
        <stp>.SPXW250520C5670</stp>
        <tr r="DE125" s="1"/>
        <tr r="DE125" s="1"/>
      </tp>
      <tp>
        <v>0</v>
        <stp/>
        <stp>BID</stp>
        <stp>.SPXW250520P5670</stp>
        <tr r="DF125" s="1"/>
        <tr r="DF125" s="1"/>
      </tp>
      <tp>
        <v>102</v>
        <stp/>
        <stp>VOLUME</stp>
        <stp>.QQQ250520P498</stp>
        <tr r="BB79" s="1"/>
        <tr r="BB79" s="1"/>
      </tp>
      <tp>
        <v>663</v>
        <stp/>
        <stp>VOLUME</stp>
        <stp>.QQQ250521P499</stp>
        <tr r="D79" s="2"/>
        <tr r="D79" s="2"/>
      </tp>
      <tp>
        <v>78</v>
        <stp/>
        <stp>VOLUME</stp>
        <stp>.QQQ250520C498</stp>
        <tr r="BA79" s="1"/>
        <tr r="BA79" s="1"/>
      </tp>
      <tp>
        <v>12</v>
        <stp/>
        <stp>VOLUME</stp>
        <stp>.QQQ250521C499</stp>
        <tr r="D79" s="2"/>
        <tr r="D79" s="2"/>
      </tp>
      <tp>
        <v>906</v>
        <stp/>
        <stp>VOLUME</stp>
        <stp>.QQQ250520P499</stp>
        <tr r="BB78" s="1"/>
        <tr r="BB78" s="1"/>
      </tp>
      <tp>
        <v>227</v>
        <stp/>
        <stp>VOLUME</stp>
        <stp>.QQQ250521P498</stp>
        <tr r="D80" s="2"/>
        <tr r="D80" s="2"/>
      </tp>
      <tp>
        <v>21</v>
        <stp/>
        <stp>VOLUME</stp>
        <stp>.QQQ250520C499</stp>
        <tr r="BA78" s="1"/>
        <tr r="BA78" s="1"/>
      </tp>
      <tp t="s">
        <v>N/A</v>
        <stp/>
        <stp>VOLUME</stp>
        <stp>.QQQ250521C498</stp>
        <tr r="D80" s="2"/>
      </tp>
      <tp>
        <v>60</v>
        <stp/>
        <stp>VOLUME</stp>
        <stp>.QQQ250522P498</stp>
        <tr r="E80" s="2"/>
        <tr r="E80" s="2"/>
      </tp>
      <tp>
        <v>1893</v>
        <stp/>
        <stp>VOLUME</stp>
        <stp>.QQQ250523P499</stp>
        <tr r="BD78" s="1"/>
        <tr r="BD78" s="1"/>
      </tp>
      <tp>
        <v>1</v>
        <stp/>
        <stp>VOLUME</stp>
        <stp>.QQQ250522C498</stp>
        <tr r="E80" s="2"/>
        <tr r="E80" s="2"/>
      </tp>
      <tp>
        <v>2</v>
        <stp/>
        <stp>VOLUME</stp>
        <stp>.QQQ250523C499</stp>
        <tr r="BC78" s="1"/>
        <tr r="BC78" s="1"/>
      </tp>
      <tp>
        <v>493</v>
        <stp/>
        <stp>VOLUME</stp>
        <stp>.QQQ250522P499</stp>
        <tr r="E79" s="2"/>
        <tr r="E79" s="2"/>
      </tp>
      <tp>
        <v>819</v>
        <stp/>
        <stp>VOLUME</stp>
        <stp>.QQQ250523P498</stp>
        <tr r="BD79" s="1"/>
        <tr r="BD79" s="1"/>
      </tp>
      <tp t="s">
        <v>N/A</v>
        <stp/>
        <stp>VOLUME</stp>
        <stp>.QQQ250522C499</stp>
        <tr r="E79" s="2"/>
      </tp>
      <tp>
        <v>125</v>
        <stp/>
        <stp>VOLUME</stp>
        <stp>.QQQ250523C498</stp>
        <tr r="BC79" s="1"/>
        <tr r="BC79" s="1"/>
      </tp>
      <tp>
        <v>92</v>
        <stp/>
        <stp>VOLUME</stp>
        <stp>.QQQ250530P498</stp>
        <tr r="G80" s="2"/>
        <tr r="G80" s="2"/>
      </tp>
      <tp>
        <v>2</v>
        <stp/>
        <stp>VOLUME</stp>
        <stp>.QQQ250530C498</stp>
        <tr r="G80" s="2"/>
        <tr r="G80" s="2"/>
      </tp>
      <tp>
        <v>218</v>
        <stp/>
        <stp>VOLUME</stp>
        <stp>.QQQ250530P499</stp>
        <tr r="G79" s="2"/>
        <tr r="G79" s="2"/>
      </tp>
      <tp>
        <v>71</v>
        <stp/>
        <stp>VOLUME</stp>
        <stp>.QQQ250530C499</stp>
        <tr r="G79" s="2"/>
        <tr r="G79" s="2"/>
      </tp>
      <tp t="s">
        <v>N/A</v>
        <stp/>
        <stp>VOLUME</stp>
        <stp>.QQQ251226P498</stp>
        <tr r="W80" s="2"/>
      </tp>
      <tp t="s">
        <v>N/A</v>
        <stp/>
        <stp>VOLUME</stp>
        <stp>.QQQ251226C498</stp>
        <tr r="W80" s="2"/>
      </tp>
      <tp t="s">
        <v>N/A</v>
        <stp/>
        <stp>VOLUME</stp>
        <stp>.QQQ251226P499</stp>
        <tr r="W79" s="2"/>
      </tp>
      <tp t="s">
        <v>N/A</v>
        <stp/>
        <stp>VOLUME</stp>
        <stp>.QQQ251226C499</stp>
        <tr r="W79" s="2"/>
      </tp>
      <tp t="s">
        <v>N/A</v>
        <stp/>
        <stp>VOLUME</stp>
        <stp>.QQQ251231P499</stp>
        <tr r="X79" s="2"/>
      </tp>
      <tp t="s">
        <v>N/A</v>
        <stp/>
        <stp>VOLUME</stp>
        <stp>.QQQ251231C499</stp>
        <tr r="X79" s="2"/>
      </tp>
      <tp>
        <v>1</v>
        <stp/>
        <stp>VOLUME</stp>
        <stp>.QQQ251231P498</stp>
        <tr r="X80" s="2"/>
        <tr r="X80" s="2"/>
      </tp>
      <tp t="s">
        <v>N/A</v>
        <stp/>
        <stp>VOLUME</stp>
        <stp>.QQQ251231C498</stp>
        <tr r="X80" s="2"/>
      </tp>
      <tp t="s">
        <v>N/A</v>
        <stp/>
        <stp>VOLUME</stp>
        <stp>.SPY250822P600</stp>
        <tr r="O7" s="2"/>
      </tp>
      <tp t="s">
        <v>N/A</v>
        <stp/>
        <stp>VOLUME</stp>
        <stp>.SPY250822C600</stp>
        <tr r="O7" s="2"/>
      </tp>
      <tp t="s">
        <v>N/A</v>
        <stp/>
        <stp>VOLUME</stp>
        <stp>.SPY250822P601</stp>
        <tr r="O6" s="2"/>
      </tp>
      <tp t="s">
        <v>N/A</v>
        <stp/>
        <stp>VOLUME</stp>
        <stp>.SPY250822C601</stp>
        <tr r="O6" s="2"/>
      </tp>
      <tp t="s">
        <v>N/A</v>
        <stp/>
        <stp>VOLUME</stp>
        <stp>.SPY250822P602</stp>
        <tr r="O5" s="2"/>
      </tp>
      <tp t="s">
        <v>N/A</v>
        <stp/>
        <stp>VOLUME</stp>
        <stp>.SPY250822C602</stp>
        <tr r="O5" s="2"/>
      </tp>
      <tp t="s">
        <v>N/A</v>
        <stp/>
        <stp>VOLUME</stp>
        <stp>.SPY250829P602</stp>
        <tr r="P5" s="2"/>
      </tp>
      <tp t="s">
        <v>N/A</v>
        <stp/>
        <stp>VOLUME</stp>
        <stp>.SPY250829C602</stp>
        <tr r="P5" s="2"/>
      </tp>
      <tp t="s">
        <v>N/A</v>
        <stp/>
        <stp>VOLUME</stp>
        <stp>.SPY250829P601</stp>
        <tr r="P6" s="2"/>
      </tp>
      <tp t="s">
        <v>N/A</v>
        <stp/>
        <stp>VOLUME</stp>
        <stp>.SPY250829C601</stp>
        <tr r="P6" s="2"/>
      </tp>
      <tp>
        <v>5</v>
        <stp/>
        <stp>VOLUME</stp>
        <stp>.SPY250829P600</stp>
        <tr r="P7" s="2"/>
        <tr r="P7" s="2"/>
      </tp>
      <tp>
        <v>29</v>
        <stp/>
        <stp>VOLUME</stp>
        <stp>.SPY250829C600</stp>
        <tr r="P7" s="2"/>
        <tr r="P7" s="2"/>
      </tp>
      <tp>
        <v>-0.25</v>
        <stp/>
        <stp>DELTA</stp>
        <stp>.SPXW250523P5880</stp>
        <tr r="CG104" s="1"/>
        <tr r="CG104" s="1"/>
      </tp>
      <tp>
        <v>0.76</v>
        <stp/>
        <stp>DELTA</stp>
        <stp>.SPXW250523C5880</stp>
        <tr r="CF104" s="1"/>
        <tr r="CF104" s="1"/>
      </tp>
      <tp>
        <v>-0.28999999999999998</v>
        <stp/>
        <stp>DELTA</stp>
        <stp>.SPXW250523P5890</stp>
        <tr r="CG103" s="1"/>
        <tr r="CG103" s="1"/>
      </tp>
      <tp>
        <v>0.73</v>
        <stp/>
        <stp>DELTA</stp>
        <stp>.SPXW250523C5890</stp>
        <tr r="CF103" s="1"/>
        <tr r="CF103" s="1"/>
      </tp>
      <tp>
        <v>0</v>
        <stp/>
        <stp>DELTA</stp>
        <stp>.SPXW250520P5890</stp>
        <tr r="CE103" s="1"/>
        <tr r="CE103" s="1"/>
      </tp>
      <tp>
        <v>1</v>
        <stp/>
        <stp>DELTA</stp>
        <stp>.SPXW250520C5890</stp>
        <tr r="CD103" s="1"/>
        <tr r="CD103" s="1"/>
      </tp>
      <tp>
        <v>0</v>
        <stp/>
        <stp>DELTA</stp>
        <stp>.SPXW250520P5880</stp>
        <tr r="CE104" s="1"/>
        <tr r="CE104" s="1"/>
      </tp>
      <tp>
        <v>1</v>
        <stp/>
        <stp>DELTA</stp>
        <stp>.SPXW250520C5880</stp>
        <tr r="CD104" s="1"/>
        <tr r="CD104" s="1"/>
      </tp>
      <tp>
        <v>0</v>
        <stp/>
        <stp>DELTA</stp>
        <stp>.SPXW250520P5830</stp>
        <tr r="CE109" s="1"/>
        <tr r="CE109" s="1"/>
      </tp>
      <tp>
        <v>-0.08</v>
        <stp/>
        <stp>DELTA</stp>
        <stp>.SPXW250523P5800</stp>
        <tr r="CG112" s="1"/>
        <tr r="CG112" s="1"/>
      </tp>
      <tp>
        <v>1</v>
        <stp/>
        <stp>DELTA</stp>
        <stp>.SPXW250520C5830</stp>
        <tr r="CD109" s="1"/>
        <tr r="CD109" s="1"/>
      </tp>
      <tp>
        <v>0.95</v>
        <stp/>
        <stp>DELTA</stp>
        <stp>.SPXW250523C5800</stp>
        <tr r="CF112" s="1"/>
        <tr r="CF112" s="1"/>
      </tp>
      <tp>
        <v>0</v>
        <stp/>
        <stp>DELTA</stp>
        <stp>.SPXW250520P5820</stp>
        <tr r="CE110" s="1"/>
        <tr r="CE110" s="1"/>
      </tp>
      <tp>
        <v>-0.1</v>
        <stp/>
        <stp>DELTA</stp>
        <stp>.SPXW250523P5810</stp>
        <tr r="CG111" s="1"/>
        <tr r="CG111" s="1"/>
      </tp>
      <tp>
        <v>1</v>
        <stp/>
        <stp>DELTA</stp>
        <stp>.SPXW250520C5820</stp>
        <tr r="CD110" s="1"/>
        <tr r="CD110" s="1"/>
      </tp>
      <tp>
        <v>0.94</v>
        <stp/>
        <stp>DELTA</stp>
        <stp>.SPXW250523C5810</stp>
        <tr r="CF111" s="1"/>
        <tr r="CF111" s="1"/>
      </tp>
      <tp>
        <v>0</v>
        <stp/>
        <stp>DELTA</stp>
        <stp>.SPXW250520P5810</stp>
        <tr r="CE111" s="1"/>
        <tr r="CE111" s="1"/>
      </tp>
      <tp t="s">
        <v>N/A</v>
        <stp/>
        <stp>DELTA</stp>
        <stp>.SPXW250523P5820</stp>
        <tr r="CG110" s="1"/>
      </tp>
      <tp>
        <v>1</v>
        <stp/>
        <stp>DELTA</stp>
        <stp>.SPXW250520C5810</stp>
        <tr r="CD111" s="1"/>
        <tr r="CD111" s="1"/>
      </tp>
      <tp t="s">
        <v>N/A</v>
        <stp/>
        <stp>DELTA</stp>
        <stp>.SPXW250523C5820</stp>
        <tr r="CF110" s="1"/>
      </tp>
      <tp>
        <v>0</v>
        <stp/>
        <stp>DELTA</stp>
        <stp>.SPXW250520P5800</stp>
        <tr r="CE112" s="1"/>
        <tr r="CE112" s="1"/>
      </tp>
      <tp>
        <v>-0.13</v>
        <stp/>
        <stp>DELTA</stp>
        <stp>.SPXW250523P5830</stp>
        <tr r="CG109" s="1"/>
        <tr r="CG109" s="1"/>
      </tp>
      <tp>
        <v>1</v>
        <stp/>
        <stp>DELTA</stp>
        <stp>.SPXW250520C5800</stp>
        <tr r="CD112" s="1"/>
        <tr r="CD112" s="1"/>
      </tp>
      <tp>
        <v>0.9</v>
        <stp/>
        <stp>DELTA</stp>
        <stp>.SPXW250523C5830</stp>
        <tr r="CF109" s="1"/>
        <tr r="CF109" s="1"/>
      </tp>
      <tp>
        <v>0</v>
        <stp/>
        <stp>DELTA</stp>
        <stp>.SPXW250520P5870</stp>
        <tr r="CE105" s="1"/>
        <tr r="CE105" s="1"/>
      </tp>
      <tp t="s">
        <v>N/A</v>
        <stp/>
        <stp>DELTA</stp>
        <stp>.SPXW250523P5840</stp>
        <tr r="CG108" s="1"/>
      </tp>
      <tp>
        <v>1</v>
        <stp/>
        <stp>DELTA</stp>
        <stp>.SPXW250520C5870</stp>
        <tr r="CD105" s="1"/>
        <tr r="CD105" s="1"/>
      </tp>
      <tp t="s">
        <v>N/A</v>
        <stp/>
        <stp>DELTA</stp>
        <stp>.SPXW250523C5840</stp>
        <tr r="CF108" s="1"/>
      </tp>
      <tp>
        <v>0</v>
        <stp/>
        <stp>DELTA</stp>
        <stp>.SPXW250520P5860</stp>
        <tr r="CE106" s="1"/>
        <tr r="CE106" s="1"/>
      </tp>
      <tp>
        <v>-0.17</v>
        <stp/>
        <stp>DELTA</stp>
        <stp>.SPXW250523P5850</stp>
        <tr r="CG107" s="1"/>
        <tr r="CG107" s="1"/>
      </tp>
      <tp>
        <v>1</v>
        <stp/>
        <stp>DELTA</stp>
        <stp>.SPXW250520C5860</stp>
        <tr r="CD106" s="1"/>
        <tr r="CD106" s="1"/>
      </tp>
      <tp>
        <v>0.85</v>
        <stp/>
        <stp>DELTA</stp>
        <stp>.SPXW250523C5850</stp>
        <tr r="CF107" s="1"/>
        <tr r="CF107" s="1"/>
      </tp>
      <tp>
        <v>0</v>
        <stp/>
        <stp>DELTA</stp>
        <stp>.SPXW250520P5850</stp>
        <tr r="CE107" s="1"/>
        <tr r="CE107" s="1"/>
      </tp>
      <tp>
        <v>-0.2</v>
        <stp/>
        <stp>DELTA</stp>
        <stp>.SPXW250523P5860</stp>
        <tr r="CG106" s="1"/>
        <tr r="CG106" s="1"/>
      </tp>
      <tp>
        <v>1</v>
        <stp/>
        <stp>DELTA</stp>
        <stp>.SPXW250520C5850</stp>
        <tr r="CD107" s="1"/>
        <tr r="CD107" s="1"/>
      </tp>
      <tp>
        <v>0.82</v>
        <stp/>
        <stp>DELTA</stp>
        <stp>.SPXW250523C5860</stp>
        <tr r="CF106" s="1"/>
        <tr r="CF106" s="1"/>
      </tp>
      <tp>
        <v>0</v>
        <stp/>
        <stp>DELTA</stp>
        <stp>.SPXW250520P5840</stp>
        <tr r="CE108" s="1"/>
        <tr r="CE108" s="1"/>
      </tp>
      <tp>
        <v>-0.22</v>
        <stp/>
        <stp>DELTA</stp>
        <stp>.SPXW250523P5870</stp>
        <tr r="CG105" s="1"/>
        <tr r="CG105" s="1"/>
      </tp>
      <tp>
        <v>1</v>
        <stp/>
        <stp>DELTA</stp>
        <stp>.SPXW250520C5840</stp>
        <tr r="CD108" s="1"/>
        <tr r="CD108" s="1"/>
      </tp>
      <tp>
        <v>0.8</v>
        <stp/>
        <stp>DELTA</stp>
        <stp>.SPXW250523C5870</stp>
        <tr r="CF105" s="1"/>
        <tr r="CF105" s="1"/>
      </tp>
      <tp>
        <v>0</v>
        <stp/>
        <stp>BID</stp>
        <stp>.SPXW250520C6000</stp>
        <tr r="DE92" s="1"/>
        <tr r="DE92" s="1"/>
      </tp>
      <tp>
        <v>59.3</v>
        <stp/>
        <stp>BID</stp>
        <stp>.SPXW250520P6000</stp>
        <tr r="DF92" s="1"/>
        <tr r="DF92" s="1"/>
      </tp>
      <tp>
        <v>0</v>
        <stp/>
        <stp>BID</stp>
        <stp>.SPXW250520C6010</stp>
        <tr r="DE91" s="1"/>
        <tr r="DE91" s="1"/>
      </tp>
      <tp>
        <v>69.3</v>
        <stp/>
        <stp>BID</stp>
        <stp>.SPXW250520P6010</stp>
        <tr r="DF91" s="1"/>
        <tr r="DF91" s="1"/>
      </tp>
      <tp>
        <v>0</v>
        <stp/>
        <stp>BID</stp>
        <stp>.SPXW250520C6020</stp>
        <tr r="DE90" s="1"/>
        <tr r="DE90" s="1"/>
      </tp>
      <tp>
        <v>79.3</v>
        <stp/>
        <stp>BID</stp>
        <stp>.SPXW250520P6020</stp>
        <tr r="DF90" s="1"/>
        <tr r="DF90" s="1"/>
      </tp>
      <tp>
        <v>0</v>
        <stp/>
        <stp>BID</stp>
        <stp>.SPXW250520C6030</stp>
        <tr r="DE89" s="1"/>
        <tr r="DE89" s="1"/>
      </tp>
      <tp>
        <v>89.3</v>
        <stp/>
        <stp>BID</stp>
        <stp>.SPXW250520P6030</stp>
        <tr r="DF89" s="1"/>
        <tr r="DF89" s="1"/>
      </tp>
      <tp>
        <v>0</v>
        <stp/>
        <stp>BID</stp>
        <stp>.SPXW250520C6040</stp>
        <tr r="DE88" s="1"/>
        <tr r="DE88" s="1"/>
      </tp>
      <tp>
        <v>99.3</v>
        <stp/>
        <stp>BID</stp>
        <stp>.SPXW250520P6040</stp>
        <tr r="DF88" s="1"/>
        <tr r="DF88" s="1"/>
      </tp>
      <tp>
        <v>0</v>
        <stp/>
        <stp>BID</stp>
        <stp>.SPXW250520C6050</stp>
        <tr r="DE87" s="1"/>
        <tr r="DE87" s="1"/>
      </tp>
      <tp>
        <v>109.3</v>
        <stp/>
        <stp>BID</stp>
        <stp>.SPXW250520P6050</stp>
        <tr r="DF87" s="1"/>
        <tr r="DF87" s="1"/>
      </tp>
      <tp>
        <v>0</v>
        <stp/>
        <stp>BID</stp>
        <stp>.SPXW250520C6060</stp>
        <tr r="DE86" s="1"/>
        <tr r="DE86" s="1"/>
      </tp>
      <tp>
        <v>119.3</v>
        <stp/>
        <stp>BID</stp>
        <stp>.SPXW250520P6060</stp>
        <tr r="DF86" s="1"/>
        <tr r="DF86" s="1"/>
      </tp>
      <tp>
        <v>0</v>
        <stp/>
        <stp>BID</stp>
        <stp>.SPXW250520C6070</stp>
        <tr r="DE85" s="1"/>
        <tr r="DE85" s="1"/>
      </tp>
      <tp>
        <v>129.30000000000001</v>
        <stp/>
        <stp>BID</stp>
        <stp>.SPXW250520P6070</stp>
        <tr r="DF85" s="1"/>
        <tr r="DF85" s="1"/>
      </tp>
      <tp t="s">
        <v>N/A</v>
        <stp/>
        <stp>VOLUME</stp>
        <stp>.QQQ251226P532</stp>
        <tr r="W46" s="2"/>
      </tp>
      <tp t="s">
        <v>N/A</v>
        <stp/>
        <stp>VOLUME</stp>
        <stp>.QQQ251231P525</stp>
        <tr r="X53" s="2"/>
      </tp>
      <tp t="s">
        <v>N/A</v>
        <stp/>
        <stp>VOLUME</stp>
        <stp>.QQQ251226C532</stp>
        <tr r="W46" s="2"/>
      </tp>
      <tp t="s">
        <v>N/A</v>
        <stp/>
        <stp>VOLUME</stp>
        <stp>.QQQ251231C525</stp>
        <tr r="X53" s="2"/>
      </tp>
      <tp t="s">
        <v>N/A</v>
        <stp/>
        <stp>VOLUME</stp>
        <stp>.QQQ251231P524</stp>
        <tr r="X54" s="2"/>
      </tp>
      <tp t="s">
        <v>N/A</v>
        <stp/>
        <stp>VOLUME</stp>
        <stp>.QQQ251231C524</stp>
        <tr r="X54" s="2"/>
      </tp>
      <tp t="s">
        <v>N/A</v>
        <stp/>
        <stp>VOLUME</stp>
        <stp>.QQQ251226P530</stp>
        <tr r="W48" s="2"/>
      </tp>
      <tp t="s">
        <v>N/A</v>
        <stp/>
        <stp>VOLUME</stp>
        <stp>.QQQ251231P527</stp>
        <tr r="X51" s="2"/>
      </tp>
      <tp t="s">
        <v>N/A</v>
        <stp/>
        <stp>VOLUME</stp>
        <stp>.QQQ251226C530</stp>
        <tr r="W48" s="2"/>
      </tp>
      <tp t="s">
        <v>N/A</v>
        <stp/>
        <stp>VOLUME</stp>
        <stp>.QQQ251231C527</stp>
        <tr r="X51" s="2"/>
      </tp>
      <tp t="s">
        <v>N/A</v>
        <stp/>
        <stp>VOLUME</stp>
        <stp>.QQQ251226P531</stp>
        <tr r="W47" s="2"/>
      </tp>
      <tp t="s">
        <v>N/A</v>
        <stp/>
        <stp>VOLUME</stp>
        <stp>.QQQ251231P526</stp>
        <tr r="X52" s="2"/>
      </tp>
      <tp t="s">
        <v>N/A</v>
        <stp/>
        <stp>VOLUME</stp>
        <stp>.QQQ251226C531</stp>
        <tr r="W47" s="2"/>
      </tp>
      <tp t="s">
        <v>N/A</v>
        <stp/>
        <stp>VOLUME</stp>
        <stp>.QQQ251231C526</stp>
        <tr r="X52" s="2"/>
      </tp>
      <tp>
        <v>2</v>
        <stp/>
        <stp>VOLUME</stp>
        <stp>.QQQ251231P521</stp>
        <tr r="X57" s="2"/>
        <tr r="X57" s="2"/>
      </tp>
      <tp>
        <v>1</v>
        <stp/>
        <stp>VOLUME</stp>
        <stp>.QQQ251231C521</stp>
        <tr r="X57" s="2"/>
        <tr r="X57" s="2"/>
      </tp>
      <tp>
        <v>8</v>
        <stp/>
        <stp>VOLUME</stp>
        <stp>.QQQ251231P520</stp>
        <tr r="X58" s="2"/>
        <tr r="X58" s="2"/>
      </tp>
      <tp>
        <v>266</v>
        <stp/>
        <stp>VOLUME</stp>
        <stp>.QQQ251231C520</stp>
        <tr r="X58" s="2"/>
        <tr r="X58" s="2"/>
      </tp>
      <tp t="s">
        <v>N/A</v>
        <stp/>
        <stp>VOLUME</stp>
        <stp>.QQQ251231P523</stp>
        <tr r="X55" s="2"/>
      </tp>
      <tp t="s">
        <v>N/A</v>
        <stp/>
        <stp>VOLUME</stp>
        <stp>.QQQ251231C523</stp>
        <tr r="X55" s="2"/>
      </tp>
      <tp>
        <v>2</v>
        <stp/>
        <stp>VOLUME</stp>
        <stp>.QQQ251231P522</stp>
        <tr r="X56" s="2"/>
        <tr r="X56" s="2"/>
      </tp>
      <tp t="s">
        <v>N/A</v>
        <stp/>
        <stp>VOLUME</stp>
        <stp>.QQQ251231C522</stp>
        <tr r="X56" s="2"/>
      </tp>
      <tp t="s">
        <v>N/A</v>
        <stp/>
        <stp>VOLUME</stp>
        <stp>.QQQ251231P529</stp>
        <tr r="X49" s="2"/>
      </tp>
      <tp t="s">
        <v>N/A</v>
        <stp/>
        <stp>VOLUME</stp>
        <stp>.QQQ251231C529</stp>
        <tr r="X49" s="2"/>
      </tp>
      <tp t="s">
        <v>N/A</v>
        <stp/>
        <stp>VOLUME</stp>
        <stp>.QQQ251231P528</stp>
        <tr r="X50" s="2"/>
      </tp>
      <tp>
        <v>1</v>
        <stp/>
        <stp>VOLUME</stp>
        <stp>.QQQ251231C528</stp>
        <tr r="X50" s="2"/>
        <tr r="X50" s="2"/>
      </tp>
      <tp t="s">
        <v>N/A</v>
        <stp/>
        <stp>VOLUME</stp>
        <stp>.QQQ251226P522</stp>
        <tr r="W56" s="2"/>
      </tp>
      <tp t="s">
        <v>N/A</v>
        <stp/>
        <stp>VOLUME</stp>
        <stp>.QQQ251226C522</stp>
        <tr r="W56" s="2"/>
      </tp>
      <tp t="s">
        <v>N/A</v>
        <stp/>
        <stp>VOLUME</stp>
        <stp>.QQQ251226P523</stp>
        <tr r="W55" s="2"/>
      </tp>
      <tp t="s">
        <v>N/A</v>
        <stp/>
        <stp>VOLUME</stp>
        <stp>.QQQ251226C523</stp>
        <tr r="W55" s="2"/>
      </tp>
      <tp t="s">
        <v>N/A</v>
        <stp/>
        <stp>VOLUME</stp>
        <stp>.QQQ251226P520</stp>
        <tr r="W58" s="2"/>
      </tp>
      <tp t="s">
        <v>N/A</v>
        <stp/>
        <stp>VOLUME</stp>
        <stp>.QQQ251226C520</stp>
        <tr r="W58" s="2"/>
      </tp>
      <tp t="s">
        <v>N/A</v>
        <stp/>
        <stp>VOLUME</stp>
        <stp>.QQQ251226P521</stp>
        <tr r="W57" s="2"/>
      </tp>
      <tp t="s">
        <v>N/A</v>
        <stp/>
        <stp>VOLUME</stp>
        <stp>.QQQ251226C521</stp>
        <tr r="W57" s="2"/>
      </tp>
      <tp t="s">
        <v>N/A</v>
        <stp/>
        <stp>VOLUME</stp>
        <stp>.QQQ251226P526</stp>
        <tr r="W52" s="2"/>
      </tp>
      <tp t="s">
        <v>N/A</v>
        <stp/>
        <stp>VOLUME</stp>
        <stp>.QQQ251231P531</stp>
        <tr r="X47" s="2"/>
      </tp>
      <tp t="s">
        <v>N/A</v>
        <stp/>
        <stp>VOLUME</stp>
        <stp>.QQQ251226C526</stp>
        <tr r="W52" s="2"/>
      </tp>
      <tp t="s">
        <v>N/A</v>
        <stp/>
        <stp>VOLUME</stp>
        <stp>.QQQ251231C531</stp>
        <tr r="X47" s="2"/>
      </tp>
      <tp t="s">
        <v>N/A</v>
        <stp/>
        <stp>VOLUME</stp>
        <stp>.QQQ251226P527</stp>
        <tr r="W51" s="2"/>
      </tp>
      <tp>
        <v>5</v>
        <stp/>
        <stp>VOLUME</stp>
        <stp>.QQQ251231P530</stp>
        <tr r="X48" s="2"/>
        <tr r="X48" s="2"/>
      </tp>
      <tp t="s">
        <v>N/A</v>
        <stp/>
        <stp>VOLUME</stp>
        <stp>.QQQ251226C527</stp>
        <tr r="W51" s="2"/>
      </tp>
      <tp>
        <v>1</v>
        <stp/>
        <stp>VOLUME</stp>
        <stp>.QQQ251231C530</stp>
        <tr r="X48" s="2"/>
        <tr r="X48" s="2"/>
      </tp>
      <tp t="s">
        <v>N/A</v>
        <stp/>
        <stp>VOLUME</stp>
        <stp>.QQQ251226P524</stp>
        <tr r="W54" s="2"/>
      </tp>
      <tp t="s">
        <v>N/A</v>
        <stp/>
        <stp>VOLUME</stp>
        <stp>.QQQ251226C524</stp>
        <tr r="W54" s="2"/>
      </tp>
      <tp t="s">
        <v>N/A</v>
        <stp/>
        <stp>VOLUME</stp>
        <stp>.QQQ251226P525</stp>
        <tr r="W53" s="2"/>
      </tp>
      <tp t="s">
        <v>N/A</v>
        <stp/>
        <stp>VOLUME</stp>
        <stp>.QQQ251231P532</stp>
        <tr r="X46" s="2"/>
      </tp>
      <tp t="s">
        <v>N/A</v>
        <stp/>
        <stp>VOLUME</stp>
        <stp>.QQQ251226C525</stp>
        <tr r="W53" s="2"/>
      </tp>
      <tp t="s">
        <v>N/A</v>
        <stp/>
        <stp>VOLUME</stp>
        <stp>.QQQ251231C532</stp>
        <tr r="X46" s="2"/>
      </tp>
      <tp t="s">
        <v>N/A</v>
        <stp/>
        <stp>VOLUME</stp>
        <stp>.QQQ251226P528</stp>
        <tr r="W50" s="2"/>
      </tp>
      <tp t="s">
        <v>N/A</v>
        <stp/>
        <stp>VOLUME</stp>
        <stp>.QQQ251226C528</stp>
        <tr r="W50" s="2"/>
      </tp>
      <tp t="s">
        <v>N/A</v>
        <stp/>
        <stp>VOLUME</stp>
        <stp>.QQQ251226P529</stp>
        <tr r="W49" s="2"/>
      </tp>
      <tp t="s">
        <v>N/A</v>
        <stp/>
        <stp>VOLUME</stp>
        <stp>.QQQ251226C529</stp>
        <tr r="W49" s="2"/>
      </tp>
      <tp t="s">
        <v>N/A</v>
        <stp/>
        <stp>VOLUME</stp>
        <stp>.QQQ251226P512</stp>
        <tr r="W66" s="2"/>
      </tp>
      <tp t="s">
        <v>N/A</v>
        <stp/>
        <stp>VOLUME</stp>
        <stp>.QQQ251231P505</stp>
        <tr r="X73" s="2"/>
      </tp>
      <tp t="s">
        <v>N/A</v>
        <stp/>
        <stp>VOLUME</stp>
        <stp>.QQQ251226C512</stp>
        <tr r="W66" s="2"/>
      </tp>
      <tp>
        <v>1</v>
        <stp/>
        <stp>VOLUME</stp>
        <stp>.QQQ251231C505</stp>
        <tr r="X73" s="2"/>
        <tr r="X73" s="2"/>
      </tp>
      <tp t="s">
        <v>N/A</v>
        <stp/>
        <stp>VOLUME</stp>
        <stp>.QQQ251226P513</stp>
        <tr r="W65" s="2"/>
      </tp>
      <tp t="s">
        <v>N/A</v>
        <stp/>
        <stp>VOLUME</stp>
        <stp>.QQQ251231P504</stp>
        <tr r="X74" s="2"/>
      </tp>
      <tp t="s">
        <v>N/A</v>
        <stp/>
        <stp>VOLUME</stp>
        <stp>.QQQ251226C513</stp>
        <tr r="W65" s="2"/>
      </tp>
      <tp t="s">
        <v>N/A</v>
        <stp/>
        <stp>VOLUME</stp>
        <stp>.QQQ251231C504</stp>
        <tr r="X74" s="2"/>
      </tp>
      <tp t="s">
        <v>N/A</v>
        <stp/>
        <stp>VOLUME</stp>
        <stp>.QQQ251226P510</stp>
        <tr r="W68" s="2"/>
      </tp>
      <tp t="s">
        <v>N/A</v>
        <stp/>
        <stp>VOLUME</stp>
        <stp>.QQQ251231P507</stp>
        <tr r="X71" s="2"/>
      </tp>
      <tp t="s">
        <v>N/A</v>
        <stp/>
        <stp>VOLUME</stp>
        <stp>.QQQ251226C510</stp>
        <tr r="W68" s="2"/>
      </tp>
      <tp t="s">
        <v>N/A</v>
        <stp/>
        <stp>VOLUME</stp>
        <stp>.QQQ251231C507</stp>
        <tr r="X71" s="2"/>
      </tp>
      <tp t="s">
        <v>N/A</v>
        <stp/>
        <stp>VOLUME</stp>
        <stp>.QQQ251226P511</stp>
        <tr r="W67" s="2"/>
      </tp>
      <tp t="s">
        <v>N/A</v>
        <stp/>
        <stp>VOLUME</stp>
        <stp>.QQQ251231P506</stp>
        <tr r="X72" s="2"/>
      </tp>
      <tp t="s">
        <v>N/A</v>
        <stp/>
        <stp>VOLUME</stp>
        <stp>.QQQ251226C511</stp>
        <tr r="W67" s="2"/>
      </tp>
      <tp t="s">
        <v>N/A</v>
        <stp/>
        <stp>VOLUME</stp>
        <stp>.QQQ251231C506</stp>
        <tr r="X72" s="2"/>
      </tp>
      <tp t="s">
        <v>N/A</v>
        <stp/>
        <stp>VOLUME</stp>
        <stp>.QQQ251226P516</stp>
        <tr r="W62" s="2"/>
      </tp>
      <tp t="s">
        <v>N/A</v>
        <stp/>
        <stp>VOLUME</stp>
        <stp>.QQQ251231P501</stp>
        <tr r="X77" s="2"/>
      </tp>
      <tp t="s">
        <v>N/A</v>
        <stp/>
        <stp>VOLUME</stp>
        <stp>.SPY250930P602</stp>
        <tr r="R5" s="2"/>
      </tp>
      <tp t="s">
        <v>N/A</v>
        <stp/>
        <stp>VOLUME</stp>
        <stp>.QQQ251226C516</stp>
        <tr r="W62" s="2"/>
      </tp>
      <tp t="s">
        <v>N/A</v>
        <stp/>
        <stp>VOLUME</stp>
        <stp>.QQQ251231C501</stp>
        <tr r="X77" s="2"/>
      </tp>
      <tp t="s">
        <v>N/A</v>
        <stp/>
        <stp>VOLUME</stp>
        <stp>.SPY250930C602</stp>
        <tr r="R5" s="2"/>
      </tp>
      <tp t="s">
        <v>N/A</v>
        <stp/>
        <stp>VOLUME</stp>
        <stp>.QQQ251226P517</stp>
        <tr r="W61" s="2"/>
      </tp>
      <tp>
        <v>6</v>
        <stp/>
        <stp>VOLUME</stp>
        <stp>.QQQ251231P500</stp>
        <tr r="X78" s="2"/>
        <tr r="X78" s="2"/>
      </tp>
      <tp t="s">
        <v>N/A</v>
        <stp/>
        <stp>VOLUME</stp>
        <stp>.QQQ251226C517</stp>
        <tr r="W61" s="2"/>
      </tp>
      <tp>
        <v>31</v>
        <stp/>
        <stp>VOLUME</stp>
        <stp>.QQQ251231C500</stp>
        <tr r="X78" s="2"/>
        <tr r="X78" s="2"/>
      </tp>
      <tp t="s">
        <v>N/A</v>
        <stp/>
        <stp>VOLUME</stp>
        <stp>.QQQ251226P514</stp>
        <tr r="W64" s="2"/>
      </tp>
      <tp t="s">
        <v>N/A</v>
        <stp/>
        <stp>VOLUME</stp>
        <stp>.QQQ251231P503</stp>
        <tr r="X75" s="2"/>
      </tp>
      <tp>
        <v>145</v>
        <stp/>
        <stp>VOLUME</stp>
        <stp>.SPY250930P600</stp>
        <tr r="R7" s="2"/>
        <tr r="R7" s="2"/>
      </tp>
      <tp t="s">
        <v>N/A</v>
        <stp/>
        <stp>VOLUME</stp>
        <stp>.QQQ251226C514</stp>
        <tr r="W64" s="2"/>
      </tp>
      <tp t="s">
        <v>N/A</v>
        <stp/>
        <stp>VOLUME</stp>
        <stp>.QQQ251231C503</stp>
        <tr r="X75" s="2"/>
      </tp>
      <tp>
        <v>48</v>
        <stp/>
        <stp>VOLUME</stp>
        <stp>.SPY250930C600</stp>
        <tr r="R7" s="2"/>
        <tr r="R7" s="2"/>
      </tp>
      <tp t="s">
        <v>N/A</v>
        <stp/>
        <stp>VOLUME</stp>
        <stp>.QQQ251226P515</stp>
        <tr r="W63" s="2"/>
      </tp>
      <tp t="s">
        <v>N/A</v>
        <stp/>
        <stp>VOLUME</stp>
        <stp>.QQQ251231P502</stp>
        <tr r="X76" s="2"/>
      </tp>
      <tp t="s">
        <v>N/A</v>
        <stp/>
        <stp>VOLUME</stp>
        <stp>.SPY250930P601</stp>
        <tr r="R6" s="2"/>
      </tp>
      <tp t="s">
        <v>N/A</v>
        <stp/>
        <stp>VOLUME</stp>
        <stp>.QQQ251226C515</stp>
        <tr r="W63" s="2"/>
      </tp>
      <tp t="s">
        <v>N/A</v>
        <stp/>
        <stp>VOLUME</stp>
        <stp>.QQQ251231C502</stp>
        <tr r="X76" s="2"/>
      </tp>
      <tp>
        <v>20</v>
        <stp/>
        <stp>VOLUME</stp>
        <stp>.SPY250930C601</stp>
        <tr r="R6" s="2"/>
        <tr r="R6" s="2"/>
      </tp>
      <tp t="s">
        <v>N/A</v>
        <stp/>
        <stp>VOLUME</stp>
        <stp>.QQQ251226P518</stp>
        <tr r="W60" s="2"/>
      </tp>
      <tp t="s">
        <v>N/A</v>
        <stp/>
        <stp>VOLUME</stp>
        <stp>.QQQ251226C518</stp>
        <tr r="W60" s="2"/>
      </tp>
      <tp t="s">
        <v>N/A</v>
        <stp/>
        <stp>VOLUME</stp>
        <stp>.QQQ251226P519</stp>
        <tr r="W59" s="2"/>
      </tp>
      <tp t="s">
        <v>N/A</v>
        <stp/>
        <stp>VOLUME</stp>
        <stp>.QQQ251226C519</stp>
        <tr r="W59" s="2"/>
      </tp>
      <tp>
        <v>9</v>
        <stp/>
        <stp>VOLUME</stp>
        <stp>.QQQ251231P509</stp>
        <tr r="X69" s="2"/>
        <tr r="X69" s="2"/>
      </tp>
      <tp>
        <v>3</v>
        <stp/>
        <stp>VOLUME</stp>
        <stp>.QQQ251231C509</stp>
        <tr r="X69" s="2"/>
        <tr r="X69" s="2"/>
      </tp>
      <tp>
        <v>1</v>
        <stp/>
        <stp>VOLUME</stp>
        <stp>.QQQ251231P508</stp>
        <tr r="X70" s="2"/>
        <tr r="X70" s="2"/>
      </tp>
      <tp t="s">
        <v>N/A</v>
        <stp/>
        <stp>VOLUME</stp>
        <stp>.QQQ251231C508</stp>
        <tr r="X70" s="2"/>
      </tp>
      <tp t="s">
        <v>N/A</v>
        <stp/>
        <stp>VOLUME</stp>
        <stp>.QQQ251226P502</stp>
        <tr r="W76" s="2"/>
      </tp>
      <tp t="s">
        <v>N/A</v>
        <stp/>
        <stp>VOLUME</stp>
        <stp>.QQQ251231P515</stp>
        <tr r="X63" s="2"/>
      </tp>
      <tp t="s">
        <v>N/A</v>
        <stp/>
        <stp>VOLUME</stp>
        <stp>.SPY250926P600</stp>
        <tr r="Q7" s="2"/>
      </tp>
      <tp t="s">
        <v>N/A</v>
        <stp/>
        <stp>VOLUME</stp>
        <stp>.QQQ251226C502</stp>
        <tr r="W76" s="2"/>
      </tp>
      <tp>
        <v>1</v>
        <stp/>
        <stp>VOLUME</stp>
        <stp>.QQQ251231C515</stp>
        <tr r="X63" s="2"/>
        <tr r="X63" s="2"/>
      </tp>
      <tp t="s">
        <v>N/A</v>
        <stp/>
        <stp>VOLUME</stp>
        <stp>.SPY250926C600</stp>
        <tr r="Q7" s="2"/>
      </tp>
      <tp t="s">
        <v>N/A</v>
        <stp/>
        <stp>VOLUME</stp>
        <stp>.QQQ251226P503</stp>
        <tr r="W75" s="2"/>
      </tp>
      <tp t="s">
        <v>N/A</v>
        <stp/>
        <stp>VOLUME</stp>
        <stp>.QQQ251231P514</stp>
        <tr r="X64" s="2"/>
      </tp>
      <tp t="s">
        <v>N/A</v>
        <stp/>
        <stp>VOLUME</stp>
        <stp>.SPY250926P601</stp>
        <tr r="Q6" s="2"/>
      </tp>
      <tp t="s">
        <v>N/A</v>
        <stp/>
        <stp>VOLUME</stp>
        <stp>.QQQ251226C503</stp>
        <tr r="W75" s="2"/>
      </tp>
      <tp t="s">
        <v>N/A</v>
        <stp/>
        <stp>VOLUME</stp>
        <stp>.QQQ251231C514</stp>
        <tr r="X64" s="2"/>
      </tp>
      <tp t="s">
        <v>N/A</v>
        <stp/>
        <stp>VOLUME</stp>
        <stp>.SPY250926C601</stp>
        <tr r="Q6" s="2"/>
      </tp>
      <tp t="s">
        <v>N/A</v>
        <stp/>
        <stp>VOLUME</stp>
        <stp>.QQQ251226P500</stp>
        <tr r="W78" s="2"/>
      </tp>
      <tp t="s">
        <v>N/A</v>
        <stp/>
        <stp>VOLUME</stp>
        <stp>.QQQ251231P517</stp>
        <tr r="X61" s="2"/>
      </tp>
      <tp t="s">
        <v>N/A</v>
        <stp/>
        <stp>VOLUME</stp>
        <stp>.SPY250926P602</stp>
        <tr r="Q5" s="2"/>
      </tp>
      <tp t="s">
        <v>N/A</v>
        <stp/>
        <stp>VOLUME</stp>
        <stp>.QQQ251226C500</stp>
        <tr r="W78" s="2"/>
      </tp>
      <tp t="s">
        <v>N/A</v>
        <stp/>
        <stp>VOLUME</stp>
        <stp>.QQQ251231C517</stp>
        <tr r="X61" s="2"/>
      </tp>
      <tp t="s">
        <v>N/A</v>
        <stp/>
        <stp>VOLUME</stp>
        <stp>.SPY250926C602</stp>
        <tr r="Q5" s="2"/>
      </tp>
      <tp t="s">
        <v>N/A</v>
        <stp/>
        <stp>VOLUME</stp>
        <stp>.QQQ251226P501</stp>
        <tr r="W77" s="2"/>
      </tp>
      <tp t="s">
        <v>N/A</v>
        <stp/>
        <stp>VOLUME</stp>
        <stp>.QQQ251231P516</stp>
        <tr r="X62" s="2"/>
      </tp>
      <tp t="s">
        <v>N/A</v>
        <stp/>
        <stp>VOLUME</stp>
        <stp>.QQQ251226C501</stp>
        <tr r="W77" s="2"/>
      </tp>
      <tp t="s">
        <v>N/A</v>
        <stp/>
        <stp>VOLUME</stp>
        <stp>.QQQ251231C516</stp>
        <tr r="X62" s="2"/>
      </tp>
      <tp t="s">
        <v>N/A</v>
        <stp/>
        <stp>VOLUME</stp>
        <stp>.QQQ251226P506</stp>
        <tr r="W72" s="2"/>
      </tp>
      <tp t="s">
        <v>N/A</v>
        <stp/>
        <stp>VOLUME</stp>
        <stp>.QQQ251231P511</stp>
        <tr r="X67" s="2"/>
      </tp>
      <tp t="s">
        <v>N/A</v>
        <stp/>
        <stp>VOLUME</stp>
        <stp>.QQQ251226C506</stp>
        <tr r="W72" s="2"/>
      </tp>
      <tp t="s">
        <v>N/A</v>
        <stp/>
        <stp>VOLUME</stp>
        <stp>.QQQ251231C511</stp>
        <tr r="X67" s="2"/>
      </tp>
      <tp t="s">
        <v>N/A</v>
        <stp/>
        <stp>VOLUME</stp>
        <stp>.QQQ251226P507</stp>
        <tr r="W71" s="2"/>
      </tp>
      <tp>
        <v>1</v>
        <stp/>
        <stp>VOLUME</stp>
        <stp>.QQQ251231P510</stp>
        <tr r="X68" s="2"/>
        <tr r="X68" s="2"/>
      </tp>
      <tp t="s">
        <v>N/A</v>
        <stp/>
        <stp>VOLUME</stp>
        <stp>.QQQ251226C507</stp>
        <tr r="W71" s="2"/>
      </tp>
      <tp>
        <v>2</v>
        <stp/>
        <stp>VOLUME</stp>
        <stp>.QQQ251231C510</stp>
        <tr r="X68" s="2"/>
        <tr r="X68" s="2"/>
      </tp>
      <tp t="s">
        <v>N/A</v>
        <stp/>
        <stp>VOLUME</stp>
        <stp>.QQQ251226P504</stp>
        <tr r="W74" s="2"/>
      </tp>
      <tp t="s">
        <v>N/A</v>
        <stp/>
        <stp>VOLUME</stp>
        <stp>.QQQ251231P513</stp>
        <tr r="X65" s="2"/>
      </tp>
      <tp t="s">
        <v>N/A</v>
        <stp/>
        <stp>VOLUME</stp>
        <stp>.QQQ251226C504</stp>
        <tr r="W74" s="2"/>
      </tp>
      <tp t="s">
        <v>N/A</v>
        <stp/>
        <stp>VOLUME</stp>
        <stp>.QQQ251231C513</stp>
        <tr r="X65" s="2"/>
      </tp>
      <tp t="s">
        <v>N/A</v>
        <stp/>
        <stp>VOLUME</stp>
        <stp>.QQQ251226P505</stp>
        <tr r="W73" s="2"/>
      </tp>
      <tp>
        <v>1</v>
        <stp/>
        <stp>VOLUME</stp>
        <stp>.QQQ251231P512</stp>
        <tr r="X66" s="2"/>
        <tr r="X66" s="2"/>
      </tp>
      <tp t="s">
        <v>N/A</v>
        <stp/>
        <stp>VOLUME</stp>
        <stp>.QQQ251226C505</stp>
        <tr r="W73" s="2"/>
      </tp>
      <tp t="s">
        <v>N/A</v>
        <stp/>
        <stp>VOLUME</stp>
        <stp>.QQQ251231C512</stp>
        <tr r="X66" s="2"/>
      </tp>
      <tp t="s">
        <v>N/A</v>
        <stp/>
        <stp>VOLUME</stp>
        <stp>.QQQ251226P508</stp>
        <tr r="W70" s="2"/>
      </tp>
      <tp t="s">
        <v>N/A</v>
        <stp/>
        <stp>VOLUME</stp>
        <stp>.QQQ251226C508</stp>
        <tr r="W70" s="2"/>
      </tp>
      <tp t="s">
        <v>N/A</v>
        <stp/>
        <stp>VOLUME</stp>
        <stp>.QQQ251226P509</stp>
        <tr r="W69" s="2"/>
      </tp>
      <tp t="s">
        <v>N/A</v>
        <stp/>
        <stp>VOLUME</stp>
        <stp>.QQQ251226C509</stp>
        <tr r="W69" s="2"/>
      </tp>
      <tp t="s">
        <v>N/A</v>
        <stp/>
        <stp>VOLUME</stp>
        <stp>.QQQ251231P519</stp>
        <tr r="X59" s="2"/>
      </tp>
      <tp t="s">
        <v>N/A</v>
        <stp/>
        <stp>VOLUME</stp>
        <stp>.QQQ251231C519</stp>
        <tr r="X59" s="2"/>
      </tp>
      <tp>
        <v>4</v>
        <stp/>
        <stp>VOLUME</stp>
        <stp>.QQQ251231P518</stp>
        <tr r="X60" s="2"/>
        <tr r="X60" s="2"/>
      </tp>
      <tp t="s">
        <v>N/A</v>
        <stp/>
        <stp>VOLUME</stp>
        <stp>.QQQ251231C518</stp>
        <tr r="X60" s="2"/>
      </tp>
      <tp>
        <v>-0.67</v>
        <stp/>
        <stp>DELTA</stp>
        <stp>.SPXW250523P5980</stp>
        <tr r="CG94" s="1"/>
        <tr r="CG94" s="1"/>
      </tp>
      <tp>
        <v>0.32</v>
        <stp/>
        <stp>DELTA</stp>
        <stp>.SPXW250523C5980</stp>
        <tr r="CF94" s="1"/>
        <tr r="CF94" s="1"/>
      </tp>
      <tp>
        <v>-0.71</v>
        <stp/>
        <stp>DELTA</stp>
        <stp>.SPXW250523P5990</stp>
        <tr r="CG93" s="1"/>
        <tr r="CG93" s="1"/>
      </tp>
      <tp>
        <v>0.28000000000000003</v>
        <stp/>
        <stp>DELTA</stp>
        <stp>.SPXW250523C5990</stp>
        <tr r="CF93" s="1"/>
        <tr r="CF93" s="1"/>
      </tp>
      <tp>
        <v>-0.94</v>
        <stp/>
        <stp>DELTA</stp>
        <stp>.SPXW250520P5990</stp>
        <tr r="CE93" s="1"/>
        <tr r="CE93" s="1"/>
      </tp>
      <tp>
        <v>0</v>
        <stp/>
        <stp>DELTA</stp>
        <stp>.SPXW250520C5990</stp>
        <tr r="CD93" s="1"/>
        <tr r="CD93" s="1"/>
      </tp>
      <tp>
        <v>-0.93</v>
        <stp/>
        <stp>DELTA</stp>
        <stp>.SPXW250520P5980</stp>
        <tr r="CE94" s="1"/>
        <tr r="CE94" s="1"/>
      </tp>
      <tp>
        <v>0.01</v>
        <stp/>
        <stp>DELTA</stp>
        <stp>.SPXW250520C5980</stp>
        <tr r="CD94" s="1"/>
        <tr r="CD94" s="1"/>
      </tp>
      <tp>
        <v>-0.01</v>
        <stp/>
        <stp>DELTA</stp>
        <stp>.SPXW250520P5930</stp>
        <tr r="CE99" s="1"/>
        <tr r="CE99" s="1"/>
      </tp>
      <tp>
        <v>-0.32</v>
        <stp/>
        <stp>DELTA</stp>
        <stp>.SPXW250523P5900</stp>
        <tr r="CG102" s="1"/>
        <tr r="CG102" s="1"/>
      </tp>
      <tp>
        <v>1</v>
        <stp/>
        <stp>DELTA</stp>
        <stp>.SPXW250520C5930</stp>
        <tr r="CD99" s="1"/>
        <tr r="CD99" s="1"/>
      </tp>
      <tp>
        <v>0.69</v>
        <stp/>
        <stp>DELTA</stp>
        <stp>.SPXW250523C5900</stp>
        <tr r="CF102" s="1"/>
        <tr r="CF102" s="1"/>
      </tp>
      <tp>
        <v>-0.01</v>
        <stp/>
        <stp>DELTA</stp>
        <stp>.SPXW250520P5920</stp>
        <tr r="CE100" s="1"/>
        <tr r="CE100" s="1"/>
      </tp>
      <tp>
        <v>-0.36</v>
        <stp/>
        <stp>DELTA</stp>
        <stp>.SPXW250523P5910</stp>
        <tr r="CG101" s="1"/>
        <tr r="CG101" s="1"/>
      </tp>
      <tp>
        <v>1</v>
        <stp/>
        <stp>DELTA</stp>
        <stp>.SPXW250520C5920</stp>
        <tr r="CD100" s="1"/>
        <tr r="CD100" s="1"/>
      </tp>
      <tp>
        <v>0.65</v>
        <stp/>
        <stp>DELTA</stp>
        <stp>.SPXW250523C5910</stp>
        <tr r="CF101" s="1"/>
        <tr r="CF101" s="1"/>
      </tp>
      <tp>
        <v>-0.01</v>
        <stp/>
        <stp>DELTA</stp>
        <stp>.SPXW250520P5910</stp>
        <tr r="CE101" s="1"/>
        <tr r="CE101" s="1"/>
      </tp>
      <tp>
        <v>-0.4</v>
        <stp/>
        <stp>DELTA</stp>
        <stp>.SPXW250523P5920</stp>
        <tr r="CG100" s="1"/>
        <tr r="CG100" s="1"/>
      </tp>
      <tp>
        <v>1</v>
        <stp/>
        <stp>DELTA</stp>
        <stp>.SPXW250520C5910</stp>
        <tr r="CD101" s="1"/>
        <tr r="CD101" s="1"/>
      </tp>
      <tp>
        <v>0.61</v>
        <stp/>
        <stp>DELTA</stp>
        <stp>.SPXW250523C5920</stp>
        <tr r="CF100" s="1"/>
        <tr r="CF100" s="1"/>
      </tp>
      <tp>
        <v>-0.01</v>
        <stp/>
        <stp>DELTA</stp>
        <stp>.SPXW250520P5900</stp>
        <tr r="CE102" s="1"/>
        <tr r="CE102" s="1"/>
      </tp>
      <tp>
        <v>-0.44</v>
        <stp/>
        <stp>DELTA</stp>
        <stp>.SPXW250523P5930</stp>
        <tr r="CG99" s="1"/>
        <tr r="CG99" s="1"/>
      </tp>
      <tp>
        <v>1</v>
        <stp/>
        <stp>DELTA</stp>
        <stp>.SPXW250520C5900</stp>
        <tr r="CD102" s="1"/>
        <tr r="CD102" s="1"/>
      </tp>
      <tp>
        <v>0.56000000000000005</v>
        <stp/>
        <stp>DELTA</stp>
        <stp>.SPXW250523C5930</stp>
        <tr r="CF99" s="1"/>
        <tr r="CF99" s="1"/>
      </tp>
      <tp>
        <v>-0.92</v>
        <stp/>
        <stp>DELTA</stp>
        <stp>.SPXW250520P5970</stp>
        <tr r="CE95" s="1"/>
        <tr r="CE95" s="1"/>
      </tp>
      <tp>
        <v>-0.49</v>
        <stp/>
        <stp>DELTA</stp>
        <stp>.SPXW250523P5940</stp>
        <tr r="CG98" s="1"/>
        <tr r="CG98" s="1"/>
      </tp>
      <tp>
        <v>0.01</v>
        <stp/>
        <stp>DELTA</stp>
        <stp>.SPXW250520C5970</stp>
        <tr r="CD95" s="1"/>
        <tr r="CD95" s="1"/>
      </tp>
      <tp>
        <v>0.52</v>
        <stp/>
        <stp>DELTA</stp>
        <stp>.SPXW250523C5940</stp>
        <tr r="CF98" s="1"/>
        <tr r="CF98" s="1"/>
      </tp>
      <tp>
        <v>-0.93</v>
        <stp/>
        <stp>DELTA</stp>
        <stp>.SPXW250520P5960</stp>
        <tr r="CE96" s="1"/>
        <tr r="CE96" s="1"/>
      </tp>
      <tp>
        <v>-0.53</v>
        <stp/>
        <stp>DELTA</stp>
        <stp>.SPXW250523P5950</stp>
        <tr r="CG97" s="1"/>
        <tr r="CG97" s="1"/>
      </tp>
      <tp>
        <v>0.01</v>
        <stp/>
        <stp>DELTA</stp>
        <stp>.SPXW250520C5960</stp>
        <tr r="CD96" s="1"/>
        <tr r="CD96" s="1"/>
      </tp>
      <tp>
        <v>0.47</v>
        <stp/>
        <stp>DELTA</stp>
        <stp>.SPXW250523C5950</stp>
        <tr r="CF97" s="1"/>
        <tr r="CF97" s="1"/>
      </tp>
      <tp>
        <v>-0.91</v>
        <stp/>
        <stp>DELTA</stp>
        <stp>.SPXW250520P5950</stp>
        <tr r="CE97" s="1"/>
        <tr r="CE97" s="1"/>
      </tp>
      <tp>
        <v>-0.57999999999999996</v>
        <stp/>
        <stp>DELTA</stp>
        <stp>.SPXW250523P5960</stp>
        <tr r="CG96" s="1"/>
        <tr r="CG96" s="1"/>
      </tp>
      <tp>
        <v>0.02</v>
        <stp/>
        <stp>DELTA</stp>
        <stp>.SPXW250520C5950</stp>
        <tr r="CD97" s="1"/>
        <tr r="CD97" s="1"/>
      </tp>
      <tp>
        <v>0.42</v>
        <stp/>
        <stp>DELTA</stp>
        <stp>.SPXW250523C5960</stp>
        <tr r="CF96" s="1"/>
        <tr r="CF96" s="1"/>
      </tp>
      <tp>
        <v>-0.4</v>
        <stp/>
        <stp>DELTA</stp>
        <stp>.SPXW250520P5940</stp>
        <tr r="CE98" s="1"/>
        <tr r="CE98" s="1"/>
      </tp>
      <tp>
        <v>-0.62</v>
        <stp/>
        <stp>DELTA</stp>
        <stp>.SPXW250523P5970</stp>
        <tr r="CG95" s="1"/>
        <tr r="CG95" s="1"/>
      </tp>
      <tp>
        <v>0.69</v>
        <stp/>
        <stp>DELTA</stp>
        <stp>.SPXW250520C5940</stp>
        <tr r="CD98" s="1"/>
        <tr r="CD98" s="1"/>
      </tp>
      <tp>
        <v>0.37</v>
        <stp/>
        <stp>DELTA</stp>
        <stp>.SPXW250523C5970</stp>
        <tr r="CF95" s="1"/>
        <tr r="CF95" s="1"/>
      </tp>
      <tp t="s">
        <v>N/A</v>
        <stp/>
        <stp>VOLUME</stp>
        <stp>.SPY250926P590</stp>
        <tr r="Q17" s="2"/>
      </tp>
      <tp t="s">
        <v>N/A</v>
        <stp/>
        <stp>VOLUME</stp>
        <stp>.SPY250930P586</stp>
        <tr r="R21" s="2"/>
      </tp>
      <tp t="s">
        <v>N/A</v>
        <stp/>
        <stp>VOLUME</stp>
        <stp>.SPY250926C590</stp>
        <tr r="Q17" s="2"/>
      </tp>
      <tp>
        <v>20</v>
        <stp/>
        <stp>VOLUME</stp>
        <stp>.SPY250930C586</stp>
        <tr r="R21" s="2"/>
        <tr r="R21" s="2"/>
      </tp>
      <tp t="s">
        <v>N/A</v>
        <stp/>
        <stp>VOLUME</stp>
        <stp>.SPY250926P591</stp>
        <tr r="Q16" s="2"/>
      </tp>
      <tp>
        <v>1</v>
        <stp/>
        <stp>VOLUME</stp>
        <stp>.SPY250930P587</stp>
        <tr r="R20" s="2"/>
        <tr r="R20" s="2"/>
      </tp>
      <tp t="s">
        <v>N/A</v>
        <stp/>
        <stp>VOLUME</stp>
        <stp>.SPY250926C591</stp>
        <tr r="Q16" s="2"/>
      </tp>
      <tp t="s">
        <v>N/A</v>
        <stp/>
        <stp>VOLUME</stp>
        <stp>.SPY250930C587</stp>
        <tr r="R20" s="2"/>
      </tp>
      <tp t="s">
        <v>N/A</v>
        <stp/>
        <stp>VOLUME</stp>
        <stp>.SPY250926P592</stp>
        <tr r="Q15" s="2"/>
      </tp>
      <tp t="s">
        <v>N/A</v>
        <stp/>
        <stp>VOLUME</stp>
        <stp>.SPY250930P584</stp>
        <tr r="R23" s="2"/>
      </tp>
      <tp t="s">
        <v>N/A</v>
        <stp/>
        <stp>VOLUME</stp>
        <stp>.SPY250926C592</stp>
        <tr r="Q15" s="2"/>
      </tp>
      <tp t="s">
        <v>N/A</v>
        <stp/>
        <stp>VOLUME</stp>
        <stp>.SPY250930C584</stp>
        <tr r="R23" s="2"/>
      </tp>
      <tp t="s">
        <v>N/A</v>
        <stp/>
        <stp>VOLUME</stp>
        <stp>.SPY250926P593</stp>
        <tr r="Q14" s="2"/>
      </tp>
      <tp>
        <v>61</v>
        <stp/>
        <stp>VOLUME</stp>
        <stp>.SPY250930P585</stp>
        <tr r="R22" s="2"/>
        <tr r="R22" s="2"/>
      </tp>
      <tp t="s">
        <v>N/A</v>
        <stp/>
        <stp>VOLUME</stp>
        <stp>.SPY250926C593</stp>
        <tr r="Q14" s="2"/>
      </tp>
      <tp>
        <v>11</v>
        <stp/>
        <stp>VOLUME</stp>
        <stp>.SPY250930C585</stp>
        <tr r="R22" s="2"/>
        <tr r="R22" s="2"/>
      </tp>
      <tp t="s">
        <v>N/A</v>
        <stp/>
        <stp>VOLUME</stp>
        <stp>.SPY250926P594</stp>
        <tr r="Q13" s="2"/>
      </tp>
      <tp t="s">
        <v>N/A</v>
        <stp/>
        <stp>VOLUME</stp>
        <stp>.SPY250930P582</stp>
        <tr r="R25" s="2"/>
      </tp>
      <tp t="s">
        <v>N/A</v>
        <stp/>
        <stp>VOLUME</stp>
        <stp>.SPY250926C594</stp>
        <tr r="Q13" s="2"/>
      </tp>
      <tp>
        <v>4</v>
        <stp/>
        <stp>VOLUME</stp>
        <stp>.SPY250930C582</stp>
        <tr r="R25" s="2"/>
        <tr r="R25" s="2"/>
      </tp>
      <tp t="s">
        <v>N/A</v>
        <stp/>
        <stp>VOLUME</stp>
        <stp>.SPY250926P595</stp>
        <tr r="Q12" s="2"/>
      </tp>
      <tp t="s">
        <v>N/A</v>
        <stp/>
        <stp>VOLUME</stp>
        <stp>.SPY250930P583</stp>
        <tr r="R24" s="2"/>
      </tp>
      <tp t="s">
        <v>N/A</v>
        <stp/>
        <stp>VOLUME</stp>
        <stp>.SPY250926C595</stp>
        <tr r="Q12" s="2"/>
      </tp>
      <tp>
        <v>4</v>
        <stp/>
        <stp>VOLUME</stp>
        <stp>.SPY250930C583</stp>
        <tr r="R24" s="2"/>
        <tr r="R24" s="2"/>
      </tp>
      <tp t="s">
        <v>N/A</v>
        <stp/>
        <stp>VOLUME</stp>
        <stp>.SPY250926P596</stp>
        <tr r="Q11" s="2"/>
      </tp>
      <tp>
        <v>153</v>
        <stp/>
        <stp>VOLUME</stp>
        <stp>.SPY250930P580</stp>
        <tr r="R27" s="2"/>
        <tr r="R27" s="2"/>
      </tp>
      <tp t="s">
        <v>N/A</v>
        <stp/>
        <stp>VOLUME</stp>
        <stp>.SPY250926C596</stp>
        <tr r="Q11" s="2"/>
      </tp>
      <tp>
        <v>13</v>
        <stp/>
        <stp>VOLUME</stp>
        <stp>.SPY250930C580</stp>
        <tr r="R27" s="2"/>
        <tr r="R27" s="2"/>
      </tp>
      <tp t="s">
        <v>N/A</v>
        <stp/>
        <stp>VOLUME</stp>
        <stp>.SPY250926P597</stp>
        <tr r="Q10" s="2"/>
      </tp>
      <tp t="s">
        <v>N/A</v>
        <stp/>
        <stp>VOLUME</stp>
        <stp>.SPY250930P581</stp>
        <tr r="R26" s="2"/>
      </tp>
      <tp t="s">
        <v>N/A</v>
        <stp/>
        <stp>VOLUME</stp>
        <stp>.SPY250926C597</stp>
        <tr r="Q10" s="2"/>
      </tp>
      <tp>
        <v>6</v>
        <stp/>
        <stp>VOLUME</stp>
        <stp>.SPY250930C581</stp>
        <tr r="R26" s="2"/>
        <tr r="R26" s="2"/>
      </tp>
      <tp t="s">
        <v>N/A</v>
        <stp/>
        <stp>VOLUME</stp>
        <stp>.QQQ251024P498</stp>
        <tr r="S80" s="2"/>
      </tp>
      <tp t="s">
        <v>N/A</v>
        <stp/>
        <stp>VOLUME</stp>
        <stp>.SPY250926P598</stp>
        <tr r="Q9" s="2"/>
      </tp>
      <tp t="s">
        <v>N/A</v>
        <stp/>
        <stp>VOLUME</stp>
        <stp>.QQQ251024C498</stp>
        <tr r="S80" s="2"/>
      </tp>
      <tp t="s">
        <v>N/A</v>
        <stp/>
        <stp>VOLUME</stp>
        <stp>.SPY250926C598</stp>
        <tr r="Q9" s="2"/>
      </tp>
      <tp t="s">
        <v>N/A</v>
        <stp/>
        <stp>VOLUME</stp>
        <stp>.QQQ251024P499</stp>
        <tr r="S79" s="2"/>
      </tp>
      <tp t="s">
        <v>N/A</v>
        <stp/>
        <stp>VOLUME</stp>
        <stp>.SPY250926P599</stp>
        <tr r="Q8" s="2"/>
      </tp>
      <tp t="s">
        <v>N/A</v>
        <stp/>
        <stp>VOLUME</stp>
        <stp>.QQQ251024C499</stp>
        <tr r="S79" s="2"/>
      </tp>
      <tp t="s">
        <v>N/A</v>
        <stp/>
        <stp>VOLUME</stp>
        <stp>.SPY250926C599</stp>
        <tr r="Q8" s="2"/>
      </tp>
      <tp>
        <v>9</v>
        <stp/>
        <stp>VOLUME</stp>
        <stp>.SPY250930P588</stp>
        <tr r="R19" s="2"/>
        <tr r="R19" s="2"/>
      </tp>
      <tp>
        <v>5</v>
        <stp/>
        <stp>VOLUME</stp>
        <stp>.SPY250930C588</stp>
        <tr r="R19" s="2"/>
        <tr r="R19" s="2"/>
      </tp>
      <tp>
        <v>3</v>
        <stp/>
        <stp>VOLUME</stp>
        <stp>.SPY250930P589</stp>
        <tr r="R18" s="2"/>
        <tr r="R18" s="2"/>
      </tp>
      <tp>
        <v>3</v>
        <stp/>
        <stp>VOLUME</stp>
        <stp>.SPY250930C589</stp>
        <tr r="R18" s="2"/>
        <tr r="R18" s="2"/>
      </tp>
      <tp t="s">
        <v>N/A</v>
        <stp/>
        <stp>VOLUME</stp>
        <stp>.SPY250926P580</stp>
        <tr r="Q27" s="2"/>
      </tp>
      <tp t="s">
        <v>N/A</v>
        <stp/>
        <stp>VOLUME</stp>
        <stp>.SPY250930P596</stp>
        <tr r="R11" s="2"/>
      </tp>
      <tp t="s">
        <v>N/A</v>
        <stp/>
        <stp>VOLUME</stp>
        <stp>.SPY250926C580</stp>
        <tr r="Q27" s="2"/>
      </tp>
      <tp>
        <v>3</v>
        <stp/>
        <stp>VOLUME</stp>
        <stp>.SPY250930C596</stp>
        <tr r="R11" s="2"/>
        <tr r="R11" s="2"/>
      </tp>
      <tp t="s">
        <v>N/A</v>
        <stp/>
        <stp>VOLUME</stp>
        <stp>.SPY250926P581</stp>
        <tr r="Q26" s="2"/>
      </tp>
      <tp t="s">
        <v>N/A</v>
        <stp/>
        <stp>VOLUME</stp>
        <stp>.SPY250930P597</stp>
        <tr r="R10" s="2"/>
      </tp>
      <tp t="s">
        <v>N/A</v>
        <stp/>
        <stp>VOLUME</stp>
        <stp>.SPY250926C581</stp>
        <tr r="Q26" s="2"/>
      </tp>
      <tp>
        <v>12</v>
        <stp/>
        <stp>VOLUME</stp>
        <stp>.SPY250930C597</stp>
        <tr r="R10" s="2"/>
        <tr r="R10" s="2"/>
      </tp>
      <tp t="s">
        <v>N/A</v>
        <stp/>
        <stp>VOLUME</stp>
        <stp>.SPY250926P582</stp>
        <tr r="Q25" s="2"/>
      </tp>
      <tp>
        <v>22</v>
        <stp/>
        <stp>VOLUME</stp>
        <stp>.SPY250930P594</stp>
        <tr r="R13" s="2"/>
        <tr r="R13" s="2"/>
      </tp>
      <tp t="s">
        <v>N/A</v>
        <stp/>
        <stp>VOLUME</stp>
        <stp>.SPY250926C582</stp>
        <tr r="Q25" s="2"/>
      </tp>
      <tp>
        <v>2</v>
        <stp/>
        <stp>VOLUME</stp>
        <stp>.SPY250930C594</stp>
        <tr r="R13" s="2"/>
        <tr r="R13" s="2"/>
      </tp>
      <tp t="s">
        <v>N/A</v>
        <stp/>
        <stp>VOLUME</stp>
        <stp>.SPY250926P583</stp>
        <tr r="Q24" s="2"/>
      </tp>
      <tp>
        <v>9</v>
        <stp/>
        <stp>VOLUME</stp>
        <stp>.SPY250930P595</stp>
        <tr r="R12" s="2"/>
        <tr r="R12" s="2"/>
      </tp>
      <tp t="s">
        <v>N/A</v>
        <stp/>
        <stp>VOLUME</stp>
        <stp>.SPY250926C583</stp>
        <tr r="Q24" s="2"/>
      </tp>
      <tp>
        <v>13</v>
        <stp/>
        <stp>VOLUME</stp>
        <stp>.SPY250930C595</stp>
        <tr r="R12" s="2"/>
        <tr r="R12" s="2"/>
      </tp>
      <tp t="s">
        <v>N/A</v>
        <stp/>
        <stp>VOLUME</stp>
        <stp>.SPY250926P584</stp>
        <tr r="Q23" s="2"/>
      </tp>
      <tp>
        <v>10</v>
        <stp/>
        <stp>VOLUME</stp>
        <stp>.SPY250930P592</stp>
        <tr r="R15" s="2"/>
        <tr r="R15" s="2"/>
      </tp>
      <tp t="s">
        <v>N/A</v>
        <stp/>
        <stp>VOLUME</stp>
        <stp>.SPY250926C584</stp>
        <tr r="Q23" s="2"/>
      </tp>
      <tp>
        <v>1</v>
        <stp/>
        <stp>VOLUME</stp>
        <stp>.SPY250930C592</stp>
        <tr r="R15" s="2"/>
        <tr r="R15" s="2"/>
      </tp>
      <tp t="s">
        <v>N/A</v>
        <stp/>
        <stp>VOLUME</stp>
        <stp>.SPY250926P585</stp>
        <tr r="Q22" s="2"/>
      </tp>
      <tp>
        <v>27</v>
        <stp/>
        <stp>VOLUME</stp>
        <stp>.SPY250930P593</stp>
        <tr r="R14" s="2"/>
        <tr r="R14" s="2"/>
      </tp>
      <tp t="s">
        <v>N/A</v>
        <stp/>
        <stp>VOLUME</stp>
        <stp>.SPY250926C585</stp>
        <tr r="Q22" s="2"/>
      </tp>
      <tp>
        <v>7</v>
        <stp/>
        <stp>VOLUME</stp>
        <stp>.SPY250930C593</stp>
        <tr r="R14" s="2"/>
        <tr r="R14" s="2"/>
      </tp>
      <tp t="s">
        <v>N/A</v>
        <stp/>
        <stp>VOLUME</stp>
        <stp>.SPY250926P586</stp>
        <tr r="Q21" s="2"/>
      </tp>
      <tp>
        <v>26</v>
        <stp/>
        <stp>VOLUME</stp>
        <stp>.SPY250930P590</stp>
        <tr r="R17" s="2"/>
        <tr r="R17" s="2"/>
      </tp>
      <tp t="s">
        <v>N/A</v>
        <stp/>
        <stp>VOLUME</stp>
        <stp>.SPY250926C586</stp>
        <tr r="Q21" s="2"/>
      </tp>
      <tp>
        <v>13</v>
        <stp/>
        <stp>VOLUME</stp>
        <stp>.SPY250930C590</stp>
        <tr r="R17" s="2"/>
        <tr r="R17" s="2"/>
      </tp>
      <tp t="s">
        <v>N/A</v>
        <stp/>
        <stp>VOLUME</stp>
        <stp>.SPY250926P587</stp>
        <tr r="Q20" s="2"/>
      </tp>
      <tp>
        <v>1</v>
        <stp/>
        <stp>VOLUME</stp>
        <stp>.SPY250930P591</stp>
        <tr r="R16" s="2"/>
        <tr r="R16" s="2"/>
      </tp>
      <tp t="s">
        <v>N/A</v>
        <stp/>
        <stp>VOLUME</stp>
        <stp>.SPY250926C587</stp>
        <tr r="Q20" s="2"/>
      </tp>
      <tp>
        <v>1</v>
        <stp/>
        <stp>VOLUME</stp>
        <stp>.SPY250930C591</stp>
        <tr r="R16" s="2"/>
        <tr r="R16" s="2"/>
      </tp>
      <tp t="s">
        <v>N/A</v>
        <stp/>
        <stp>VOLUME</stp>
        <stp>.SPY250926P588</stp>
        <tr r="Q19" s="2"/>
      </tp>
      <tp t="s">
        <v>N/A</v>
        <stp/>
        <stp>VOLUME</stp>
        <stp>.SPY250926C588</stp>
        <tr r="Q19" s="2"/>
      </tp>
      <tp t="s">
        <v>N/A</v>
        <stp/>
        <stp>VOLUME</stp>
        <stp>.SPY250926P589</stp>
        <tr r="Q18" s="2"/>
      </tp>
      <tp t="s">
        <v>N/A</v>
        <stp/>
        <stp>VOLUME</stp>
        <stp>.SPY250926C589</stp>
        <tr r="Q18" s="2"/>
      </tp>
      <tp t="s">
        <v>N/A</v>
        <stp/>
        <stp>VOLUME</stp>
        <stp>.QQQ251031P499</stp>
        <tr r="T79" s="2"/>
      </tp>
      <tp t="s">
        <v>N/A</v>
        <stp/>
        <stp>VOLUME</stp>
        <stp>.QQQ251031C499</stp>
        <tr r="T79" s="2"/>
      </tp>
      <tp t="s">
        <v>N/A</v>
        <stp/>
        <stp>VOLUME</stp>
        <stp>.QQQ251031P498</stp>
        <tr r="T80" s="2"/>
      </tp>
      <tp t="s">
        <v>N/A</v>
        <stp/>
        <stp>VOLUME</stp>
        <stp>.QQQ251031C498</stp>
        <tr r="T80" s="2"/>
      </tp>
      <tp t="s">
        <v>N/A</v>
        <stp/>
        <stp>VOLUME</stp>
        <stp>.SPY250930P598</stp>
        <tr r="R9" s="2"/>
      </tp>
      <tp>
        <v>1</v>
        <stp/>
        <stp>VOLUME</stp>
        <stp>.SPY250930C598</stp>
        <tr r="R9" s="2"/>
        <tr r="R9" s="2"/>
      </tp>
      <tp>
        <v>50</v>
        <stp/>
        <stp>VOLUME</stp>
        <stp>.SPY250930P599</stp>
        <tr r="R8" s="2"/>
        <tr r="R8" s="2"/>
      </tp>
      <tp>
        <v>40</v>
        <stp/>
        <stp>VOLUME</stp>
        <stp>.SPY250930C599</stp>
        <tr r="R8" s="2"/>
        <tr r="R8" s="2"/>
      </tp>
      <tp t="s">
        <v>N/A</v>
        <stp/>
        <stp>VOLUME</stp>
        <stp>.QQQ251128P530</stp>
        <tr r="U48" s="2"/>
        <tr r="V48" s="2"/>
      </tp>
      <tp t="s">
        <v>N/A</v>
        <stp/>
        <stp>VOLUME</stp>
        <stp>.QQQ251128C530</stp>
        <tr r="U48" s="2"/>
        <tr r="V48" s="2"/>
      </tp>
      <tp t="s">
        <v>N/A</v>
        <stp/>
        <stp>VOLUME</stp>
        <stp>.QQQ251128P531</stp>
        <tr r="U47" s="2"/>
        <tr r="V47" s="2"/>
      </tp>
      <tp t="s">
        <v>N/A</v>
        <stp/>
        <stp>VOLUME</stp>
        <stp>.QQQ251128C531</stp>
        <tr r="U47" s="2"/>
        <tr r="V47" s="2"/>
      </tp>
      <tp t="s">
        <v>N/A</v>
        <stp/>
        <stp>VOLUME</stp>
        <stp>.QQQ251128P532</stp>
        <tr r="V46" s="2"/>
        <tr r="U46" s="2"/>
      </tp>
      <tp t="s">
        <v>N/A</v>
        <stp/>
        <stp>VOLUME</stp>
        <stp>.QQQ251128C532</stp>
        <tr r="V46" s="2"/>
        <tr r="U46" s="2"/>
      </tp>
      <tp t="s">
        <v>N/A</v>
        <stp/>
        <stp>VOLUME</stp>
        <stp>.QQQ251128P528</stp>
        <tr r="V50" s="2"/>
        <tr r="U50" s="2"/>
      </tp>
      <tp t="s">
        <v>N/A</v>
        <stp/>
        <stp>VOLUME</stp>
        <stp>.QQQ251128C528</stp>
        <tr r="V50" s="2"/>
        <tr r="U50" s="2"/>
      </tp>
      <tp t="s">
        <v>N/A</v>
        <stp/>
        <stp>VOLUME</stp>
        <stp>.QQQ251128P529</stp>
        <tr r="U49" s="2"/>
        <tr r="V49" s="2"/>
      </tp>
      <tp t="s">
        <v>N/A</v>
        <stp/>
        <stp>VOLUME</stp>
        <stp>.QQQ251128C529</stp>
        <tr r="U49" s="2"/>
        <tr r="V49" s="2"/>
      </tp>
      <tp t="s">
        <v>N/A</v>
        <stp/>
        <stp>VOLUME</stp>
        <stp>.QQQ251128P524</stp>
        <tr r="U54" s="2"/>
        <tr r="V54" s="2"/>
      </tp>
      <tp t="s">
        <v>N/A</v>
        <stp/>
        <stp>VOLUME</stp>
        <stp>.QQQ251128C524</stp>
        <tr r="U54" s="2"/>
        <tr r="V54" s="2"/>
      </tp>
      <tp t="s">
        <v>N/A</v>
        <stp/>
        <stp>VOLUME</stp>
        <stp>.QQQ251128P525</stp>
        <tr r="V53" s="2"/>
        <tr r="U53" s="2"/>
      </tp>
      <tp t="s">
        <v>N/A</v>
        <stp/>
        <stp>VOLUME</stp>
        <stp>.QQQ251128C525</stp>
        <tr r="V53" s="2"/>
        <tr r="U53" s="2"/>
      </tp>
      <tp t="s">
        <v>N/A</v>
        <stp/>
        <stp>VOLUME</stp>
        <stp>.QQQ251128P526</stp>
        <tr r="V52" s="2"/>
        <tr r="U52" s="2"/>
      </tp>
      <tp t="s">
        <v>N/A</v>
        <stp/>
        <stp>VOLUME</stp>
        <stp>.QQQ251128C526</stp>
        <tr r="V52" s="2"/>
        <tr r="U52" s="2"/>
      </tp>
      <tp t="s">
        <v>N/A</v>
        <stp/>
        <stp>VOLUME</stp>
        <stp>.QQQ251128P527</stp>
        <tr r="V51" s="2"/>
        <tr r="U51" s="2"/>
      </tp>
      <tp t="s">
        <v>N/A</v>
        <stp/>
        <stp>VOLUME</stp>
        <stp>.QQQ251128C527</stp>
        <tr r="V51" s="2"/>
        <tr r="U51" s="2"/>
      </tp>
      <tp t="s">
        <v>N/A</v>
        <stp/>
        <stp>VOLUME</stp>
        <stp>.QQQ251128P520</stp>
        <tr r="V58" s="2"/>
        <tr r="U58" s="2"/>
      </tp>
      <tp t="s">
        <v>N/A</v>
        <stp/>
        <stp>VOLUME</stp>
        <stp>.QQQ251128C520</stp>
        <tr r="V58" s="2"/>
        <tr r="U58" s="2"/>
      </tp>
      <tp t="s">
        <v>N/A</v>
        <stp/>
        <stp>VOLUME</stp>
        <stp>.QQQ251128P521</stp>
        <tr r="V57" s="2"/>
        <tr r="U57" s="2"/>
      </tp>
      <tp t="s">
        <v>N/A</v>
        <stp/>
        <stp>VOLUME</stp>
        <stp>.QQQ251128C521</stp>
        <tr r="V57" s="2"/>
        <tr r="U57" s="2"/>
      </tp>
      <tp t="s">
        <v>N/A</v>
        <stp/>
        <stp>VOLUME</stp>
        <stp>.QQQ251128P522</stp>
        <tr r="V56" s="2"/>
        <tr r="U56" s="2"/>
      </tp>
      <tp t="s">
        <v>N/A</v>
        <stp/>
        <stp>VOLUME</stp>
        <stp>.QQQ251128C522</stp>
        <tr r="V56" s="2"/>
        <tr r="U56" s="2"/>
      </tp>
      <tp t="s">
        <v>N/A</v>
        <stp/>
        <stp>VOLUME</stp>
        <stp>.QQQ251128P523</stp>
        <tr r="U55" s="2"/>
        <tr r="V55" s="2"/>
      </tp>
      <tp t="s">
        <v>N/A</v>
        <stp/>
        <stp>VOLUME</stp>
        <stp>.QQQ251128C523</stp>
        <tr r="U55" s="2"/>
        <tr r="V55" s="2"/>
      </tp>
      <tp t="s">
        <v>N/A</v>
        <stp/>
        <stp>VOLUME</stp>
        <stp>.QQQ251128P518</stp>
        <tr r="V60" s="2"/>
        <tr r="U60" s="2"/>
      </tp>
      <tp t="s">
        <v>N/A</v>
        <stp/>
        <stp>VOLUME</stp>
        <stp>.QQQ251128C518</stp>
        <tr r="V60" s="2"/>
        <tr r="U60" s="2"/>
      </tp>
      <tp t="s">
        <v>N/A</v>
        <stp/>
        <stp>VOLUME</stp>
        <stp>.QQQ251128P519</stp>
        <tr r="U59" s="2"/>
        <tr r="V59" s="2"/>
      </tp>
      <tp t="s">
        <v>N/A</v>
        <stp/>
        <stp>VOLUME</stp>
        <stp>.QQQ251128C519</stp>
        <tr r="U59" s="2"/>
        <tr r="V59" s="2"/>
      </tp>
      <tp t="s">
        <v>N/A</v>
        <stp/>
        <stp>VOLUME</stp>
        <stp>.QQQ251128P514</stp>
        <tr r="V64" s="2"/>
        <tr r="U64" s="2"/>
      </tp>
      <tp t="s">
        <v>N/A</v>
        <stp/>
        <stp>VOLUME</stp>
        <stp>.QQQ251128C514</stp>
        <tr r="V64" s="2"/>
        <tr r="U64" s="2"/>
      </tp>
      <tp t="s">
        <v>N/A</v>
        <stp/>
        <stp>VOLUME</stp>
        <stp>.QQQ251128P515</stp>
        <tr r="U63" s="2"/>
        <tr r="V63" s="2"/>
      </tp>
      <tp t="s">
        <v>N/A</v>
        <stp/>
        <stp>VOLUME</stp>
        <stp>.QQQ251128C515</stp>
        <tr r="U63" s="2"/>
        <tr r="V63" s="2"/>
      </tp>
      <tp t="s">
        <v>N/A</v>
        <stp/>
        <stp>VOLUME</stp>
        <stp>.QQQ251128P516</stp>
        <tr r="U62" s="2"/>
        <tr r="V62" s="2"/>
      </tp>
      <tp t="s">
        <v>N/A</v>
        <stp/>
        <stp>VOLUME</stp>
        <stp>.QQQ251128C516</stp>
        <tr r="U62" s="2"/>
        <tr r="V62" s="2"/>
      </tp>
      <tp t="s">
        <v>N/A</v>
        <stp/>
        <stp>VOLUME</stp>
        <stp>.QQQ251128P517</stp>
        <tr r="V61" s="2"/>
        <tr r="U61" s="2"/>
      </tp>
      <tp t="s">
        <v>N/A</v>
        <stp/>
        <stp>VOLUME</stp>
        <stp>.QQQ251128C517</stp>
        <tr r="V61" s="2"/>
        <tr r="U61" s="2"/>
      </tp>
      <tp t="s">
        <v>N/A</v>
        <stp/>
        <stp>VOLUME</stp>
        <stp>.QQQ251128P510</stp>
        <tr r="U68" s="2"/>
        <tr r="V68" s="2"/>
      </tp>
      <tp t="s">
        <v>N/A</v>
        <stp/>
        <stp>VOLUME</stp>
        <stp>.QQQ251128C510</stp>
        <tr r="U68" s="2"/>
        <tr r="V68" s="2"/>
      </tp>
      <tp t="s">
        <v>N/A</v>
        <stp/>
        <stp>VOLUME</stp>
        <stp>.QQQ251128P511</stp>
        <tr r="V67" s="2"/>
        <tr r="U67" s="2"/>
      </tp>
      <tp t="s">
        <v>N/A</v>
        <stp/>
        <stp>VOLUME</stp>
        <stp>.QQQ251128C511</stp>
        <tr r="V67" s="2"/>
        <tr r="U67" s="2"/>
      </tp>
      <tp t="s">
        <v>N/A</v>
        <stp/>
        <stp>VOLUME</stp>
        <stp>.QQQ251128P512</stp>
        <tr r="V66" s="2"/>
        <tr r="U66" s="2"/>
      </tp>
      <tp t="s">
        <v>N/A</v>
        <stp/>
        <stp>VOLUME</stp>
        <stp>.QQQ251128C512</stp>
        <tr r="V66" s="2"/>
        <tr r="U66" s="2"/>
      </tp>
      <tp t="s">
        <v>N/A</v>
        <stp/>
        <stp>VOLUME</stp>
        <stp>.QQQ251128P513</stp>
        <tr r="V65" s="2"/>
        <tr r="U65" s="2"/>
      </tp>
      <tp t="s">
        <v>N/A</v>
        <stp/>
        <stp>VOLUME</stp>
        <stp>.QQQ251128C513</stp>
        <tr r="V65" s="2"/>
        <tr r="U65" s="2"/>
      </tp>
      <tp t="s">
        <v>N/A</v>
        <stp/>
        <stp>VOLUME</stp>
        <stp>.QQQ251128P508</stp>
        <tr r="U70" s="2"/>
        <tr r="V70" s="2"/>
      </tp>
      <tp t="s">
        <v>N/A</v>
        <stp/>
        <stp>VOLUME</stp>
        <stp>.QQQ251128C508</stp>
        <tr r="U70" s="2"/>
        <tr r="V70" s="2"/>
      </tp>
      <tp t="s">
        <v>N/A</v>
        <stp/>
        <stp>VOLUME</stp>
        <stp>.QQQ251128P509</stp>
        <tr r="U69" s="2"/>
        <tr r="V69" s="2"/>
      </tp>
      <tp t="s">
        <v>N/A</v>
        <stp/>
        <stp>VOLUME</stp>
        <stp>.QQQ251128C509</stp>
        <tr r="U69" s="2"/>
        <tr r="V69" s="2"/>
      </tp>
      <tp t="s">
        <v>N/A</v>
        <stp/>
        <stp>VOLUME</stp>
        <stp>.QQQ251128P504</stp>
        <tr r="V74" s="2"/>
        <tr r="U74" s="2"/>
      </tp>
      <tp t="s">
        <v>N/A</v>
        <stp/>
        <stp>VOLUME</stp>
        <stp>.QQQ251128C504</stp>
        <tr r="V74" s="2"/>
        <tr r="U74" s="2"/>
      </tp>
      <tp t="s">
        <v>N/A</v>
        <stp/>
        <stp>VOLUME</stp>
        <stp>.QQQ251128P505</stp>
        <tr r="V73" s="2"/>
        <tr r="U73" s="2"/>
      </tp>
      <tp t="s">
        <v>N/A</v>
        <stp/>
        <stp>VOLUME</stp>
        <stp>.QQQ251128C505</stp>
        <tr r="V73" s="2"/>
        <tr r="U73" s="2"/>
      </tp>
      <tp t="s">
        <v>N/A</v>
        <stp/>
        <stp>VOLUME</stp>
        <stp>.QQQ251128P506</stp>
        <tr r="V72" s="2"/>
        <tr r="U72" s="2"/>
      </tp>
      <tp t="s">
        <v>N/A</v>
        <stp/>
        <stp>VOLUME</stp>
        <stp>.QQQ251128C506</stp>
        <tr r="V72" s="2"/>
        <tr r="U72" s="2"/>
      </tp>
      <tp t="s">
        <v>N/A</v>
        <stp/>
        <stp>VOLUME</stp>
        <stp>.QQQ251128P507</stp>
        <tr r="V71" s="2"/>
        <tr r="U71" s="2"/>
      </tp>
      <tp t="s">
        <v>N/A</v>
        <stp/>
        <stp>VOLUME</stp>
        <stp>.QQQ251128C507</stp>
        <tr r="V71" s="2"/>
        <tr r="U71" s="2"/>
      </tp>
      <tp t="s">
        <v>N/A</v>
        <stp/>
        <stp>VOLUME</stp>
        <stp>.QQQ251128P500</stp>
        <tr r="V78" s="2"/>
        <tr r="U78" s="2"/>
      </tp>
      <tp t="s">
        <v>N/A</v>
        <stp/>
        <stp>VOLUME</stp>
        <stp>.QQQ251128C500</stp>
        <tr r="V78" s="2"/>
        <tr r="U78" s="2"/>
      </tp>
      <tp t="s">
        <v>N/A</v>
        <stp/>
        <stp>VOLUME</stp>
        <stp>.QQQ251128P501</stp>
        <tr r="V77" s="2"/>
        <tr r="U77" s="2"/>
      </tp>
      <tp t="s">
        <v>N/A</v>
        <stp/>
        <stp>VOLUME</stp>
        <stp>.QQQ251128C501</stp>
        <tr r="V77" s="2"/>
        <tr r="U77" s="2"/>
      </tp>
      <tp t="s">
        <v>N/A</v>
        <stp/>
        <stp>VOLUME</stp>
        <stp>.QQQ251128P502</stp>
        <tr r="U76" s="2"/>
        <tr r="V76" s="2"/>
      </tp>
      <tp t="s">
        <v>N/A</v>
        <stp/>
        <stp>VOLUME</stp>
        <stp>.QQQ251128C502</stp>
        <tr r="U76" s="2"/>
        <tr r="V76" s="2"/>
      </tp>
      <tp t="s">
        <v>N/A</v>
        <stp/>
        <stp>VOLUME</stp>
        <stp>.QQQ251128P503</stp>
        <tr r="V75" s="2"/>
        <tr r="U75" s="2"/>
      </tp>
      <tp t="s">
        <v>N/A</v>
        <stp/>
        <stp>VOLUME</stp>
        <stp>.QQQ251128C503</stp>
        <tr r="V75" s="2"/>
        <tr r="U75" s="2"/>
      </tp>
      <tp t="s">
        <v>N/A</v>
        <stp/>
        <stp>VOLUME</stp>
        <stp>.SPY250926P570</stp>
        <tr r="Q37" s="2"/>
      </tp>
      <tp t="s">
        <v>N/A</v>
        <stp/>
        <stp>VOLUME</stp>
        <stp>.SPY250926C570</stp>
        <tr r="Q37" s="2"/>
      </tp>
      <tp t="s">
        <v>N/A</v>
        <stp/>
        <stp>VOLUME</stp>
        <stp>.SPY250926P571</stp>
        <tr r="Q36" s="2"/>
      </tp>
      <tp t="s">
        <v>N/A</v>
        <stp/>
        <stp>VOLUME</stp>
        <stp>.SPY250926C571</stp>
        <tr r="Q36" s="2"/>
      </tp>
      <tp t="s">
        <v>N/A</v>
        <stp/>
        <stp>VOLUME</stp>
        <stp>.SPY250926P572</stp>
        <tr r="Q35" s="2"/>
      </tp>
      <tp t="s">
        <v>N/A</v>
        <stp/>
        <stp>VOLUME</stp>
        <stp>.SPY250926C572</stp>
        <tr r="Q35" s="2"/>
      </tp>
      <tp t="s">
        <v>N/A</v>
        <stp/>
        <stp>VOLUME</stp>
        <stp>.SPY250926P573</stp>
        <tr r="Q34" s="2"/>
      </tp>
      <tp t="s">
        <v>N/A</v>
        <stp/>
        <stp>VOLUME</stp>
        <stp>.SPY250926C573</stp>
        <tr r="Q34" s="2"/>
      </tp>
      <tp t="s">
        <v>N/A</v>
        <stp/>
        <stp>VOLUME</stp>
        <stp>.SPY250926P574</stp>
        <tr r="Q33" s="2"/>
      </tp>
      <tp t="s">
        <v>N/A</v>
        <stp/>
        <stp>VOLUME</stp>
        <stp>.SPY250926C574</stp>
        <tr r="Q33" s="2"/>
      </tp>
      <tp t="s">
        <v>N/A</v>
        <stp/>
        <stp>VOLUME</stp>
        <stp>.SPY250926P575</stp>
        <tr r="Q32" s="2"/>
      </tp>
      <tp t="s">
        <v>N/A</v>
        <stp/>
        <stp>VOLUME</stp>
        <stp>.SPY250926C575</stp>
        <tr r="Q32" s="2"/>
      </tp>
      <tp t="s">
        <v>N/A</v>
        <stp/>
        <stp>VOLUME</stp>
        <stp>.SPY250926P576</stp>
        <tr r="Q31" s="2"/>
      </tp>
      <tp t="s">
        <v>N/A</v>
        <stp/>
        <stp>VOLUME</stp>
        <stp>.SPY250926C576</stp>
        <tr r="Q31" s="2"/>
      </tp>
      <tp t="s">
        <v>N/A</v>
        <stp/>
        <stp>VOLUME</stp>
        <stp>.SPY250926P577</stp>
        <tr r="Q30" s="2"/>
      </tp>
      <tp t="s">
        <v>N/A</v>
        <stp/>
        <stp>VOLUME</stp>
        <stp>.SPY250926C577</stp>
        <tr r="Q30" s="2"/>
      </tp>
      <tp t="s">
        <v>N/A</v>
        <stp/>
        <stp>VOLUME</stp>
        <stp>.SPY250926P578</stp>
        <tr r="Q29" s="2"/>
      </tp>
      <tp t="s">
        <v>N/A</v>
        <stp/>
        <stp>VOLUME</stp>
        <stp>.SPY250926C578</stp>
        <tr r="Q29" s="2"/>
      </tp>
      <tp t="s">
        <v>N/A</v>
        <stp/>
        <stp>VOLUME</stp>
        <stp>.SPY250926P579</stp>
        <tr r="Q28" s="2"/>
      </tp>
      <tp t="s">
        <v>N/A</v>
        <stp/>
        <stp>VOLUME</stp>
        <stp>.SPY250926C579</stp>
        <tr r="Q28" s="2"/>
      </tp>
      <tp t="s">
        <v>N/A</v>
        <stp/>
        <stp>VOLUME</stp>
        <stp>.SPY250930P568</stp>
        <tr r="R39" s="2"/>
      </tp>
      <tp t="s">
        <v>N/A</v>
        <stp/>
        <stp>VOLUME</stp>
        <stp>.SPY250930C568</stp>
        <tr r="R39" s="2"/>
      </tp>
      <tp>
        <v>1</v>
        <stp/>
        <stp>VOLUME</stp>
        <stp>.SPY250930P569</stp>
        <tr r="R38" s="2"/>
        <tr r="R38" s="2"/>
      </tp>
      <tp t="s">
        <v>N/A</v>
        <stp/>
        <stp>VOLUME</stp>
        <stp>.SPY250930C569</stp>
        <tr r="R38" s="2"/>
      </tp>
      <tp>
        <v>3</v>
        <stp/>
        <stp>VOLUME</stp>
        <stp>.SPY250930P576</stp>
        <tr r="R31" s="2"/>
        <tr r="R31" s="2"/>
      </tp>
      <tp t="s">
        <v>N/A</v>
        <stp/>
        <stp>VOLUME</stp>
        <stp>.SPY250930C576</stp>
        <tr r="R31" s="2"/>
      </tp>
      <tp>
        <v>1</v>
        <stp/>
        <stp>VOLUME</stp>
        <stp>.SPY250930P577</stp>
        <tr r="R30" s="2"/>
        <tr r="R30" s="2"/>
      </tp>
      <tp t="s">
        <v>N/A</v>
        <stp/>
        <stp>VOLUME</stp>
        <stp>.SPY250930C577</stp>
        <tr r="R30" s="2"/>
      </tp>
      <tp t="s">
        <v>N/A</v>
        <stp/>
        <stp>VOLUME</stp>
        <stp>.SPY250930P574</stp>
        <tr r="R33" s="2"/>
      </tp>
      <tp t="s">
        <v>N/A</v>
        <stp/>
        <stp>VOLUME</stp>
        <stp>.SPY250930C574</stp>
        <tr r="R33" s="2"/>
      </tp>
      <tp>
        <v>118</v>
        <stp/>
        <stp>VOLUME</stp>
        <stp>.SPY250930P575</stp>
        <tr r="R32" s="2"/>
        <tr r="R32" s="2"/>
      </tp>
      <tp>
        <v>30</v>
        <stp/>
        <stp>VOLUME</stp>
        <stp>.SPY250930C575</stp>
        <tr r="R32" s="2"/>
        <tr r="R32" s="2"/>
      </tp>
      <tp>
        <v>1</v>
        <stp/>
        <stp>VOLUME</stp>
        <stp>.SPY250930P572</stp>
        <tr r="R35" s="2"/>
        <tr r="R35" s="2"/>
      </tp>
      <tp>
        <v>2</v>
        <stp/>
        <stp>VOLUME</stp>
        <stp>.SPY250930C572</stp>
        <tr r="R35" s="2"/>
        <tr r="R35" s="2"/>
      </tp>
      <tp t="s">
        <v>N/A</v>
        <stp/>
        <stp>VOLUME</stp>
        <stp>.SPY250930P573</stp>
        <tr r="R34" s="2"/>
      </tp>
      <tp t="s">
        <v>N/A</v>
        <stp/>
        <stp>VOLUME</stp>
        <stp>.SPY250930C573</stp>
        <tr r="R34" s="2"/>
      </tp>
      <tp>
        <v>66</v>
        <stp/>
        <stp>VOLUME</stp>
        <stp>.SPY250930P570</stp>
        <tr r="R37" s="2"/>
        <tr r="R37" s="2"/>
      </tp>
      <tp>
        <v>22</v>
        <stp/>
        <stp>VOLUME</stp>
        <stp>.SPY250930C570</stp>
        <tr r="R37" s="2"/>
        <tr r="R37" s="2"/>
      </tp>
      <tp t="s">
        <v>N/A</v>
        <stp/>
        <stp>VOLUME</stp>
        <stp>.SPY250930P571</stp>
        <tr r="R36" s="2"/>
      </tp>
      <tp t="s">
        <v>N/A</v>
        <stp/>
        <stp>VOLUME</stp>
        <stp>.SPY250930C571</stp>
        <tr r="R36" s="2"/>
      </tp>
      <tp t="s">
        <v>N/A</v>
        <stp/>
        <stp>VOLUME</stp>
        <stp>.SPY250926P568</stp>
        <tr r="Q39" s="2"/>
      </tp>
      <tp t="s">
        <v>N/A</v>
        <stp/>
        <stp>VOLUME</stp>
        <stp>.SPY250926C568</stp>
        <tr r="Q39" s="2"/>
      </tp>
      <tp t="s">
        <v>N/A</v>
        <stp/>
        <stp>VOLUME</stp>
        <stp>.SPY250926P569</stp>
        <tr r="Q38" s="2"/>
      </tp>
      <tp t="s">
        <v>N/A</v>
        <stp/>
        <stp>VOLUME</stp>
        <stp>.SPY250926C569</stp>
        <tr r="Q38" s="2"/>
      </tp>
      <tp>
        <v>4</v>
        <stp/>
        <stp>VOLUME</stp>
        <stp>.SPY250930P578</stp>
        <tr r="R29" s="2"/>
        <tr r="R29" s="2"/>
      </tp>
      <tp t="s">
        <v>N/A</v>
        <stp/>
        <stp>VOLUME</stp>
        <stp>.SPY250930C578</stp>
        <tr r="R29" s="2"/>
      </tp>
      <tp t="s">
        <v>N/A</v>
        <stp/>
        <stp>VOLUME</stp>
        <stp>.SPY250930P579</stp>
        <tr r="R28" s="2"/>
      </tp>
      <tp t="s">
        <v>N/A</v>
        <stp/>
        <stp>VOLUME</stp>
        <stp>.SPY250930C579</stp>
        <tr r="R28" s="2"/>
      </tp>
      <tp t="s">
        <v>N/A</v>
        <stp/>
        <stp>VOLUME</stp>
        <stp>.SPY250822P594</stp>
        <tr r="O13" s="2"/>
      </tp>
      <tp t="s">
        <v>N/A</v>
        <stp/>
        <stp>VOLUME</stp>
        <stp>.SPY250822C594</stp>
        <tr r="O13" s="2"/>
      </tp>
      <tp t="s">
        <v>N/A</v>
        <stp/>
        <stp>VOLUME</stp>
        <stp>.SPY250822P595</stp>
        <tr r="O12" s="2"/>
      </tp>
      <tp t="s">
        <v>N/A</v>
        <stp/>
        <stp>VOLUME</stp>
        <stp>.SPY250822C595</stp>
        <tr r="O12" s="2"/>
      </tp>
      <tp t="s">
        <v>N/A</v>
        <stp/>
        <stp>VOLUME</stp>
        <stp>.SPY250822P596</stp>
        <tr r="O11" s="2"/>
      </tp>
      <tp t="s">
        <v>N/A</v>
        <stp/>
        <stp>VOLUME</stp>
        <stp>.SPY250822C596</stp>
        <tr r="O11" s="2"/>
      </tp>
      <tp t="s">
        <v>N/A</v>
        <stp/>
        <stp>VOLUME</stp>
        <stp>.SPY250822P597</stp>
        <tr r="O10" s="2"/>
      </tp>
      <tp t="s">
        <v>N/A</v>
        <stp/>
        <stp>VOLUME</stp>
        <stp>.SPY250822C597</stp>
        <tr r="O10" s="2"/>
      </tp>
      <tp t="s">
        <v>N/A</v>
        <stp/>
        <stp>VOLUME</stp>
        <stp>.QQQ251128P498</stp>
        <tr r="V80" s="2"/>
        <tr r="U80" s="2"/>
      </tp>
      <tp t="s">
        <v>N/A</v>
        <stp/>
        <stp>VOLUME</stp>
        <stp>.SPY250822P590</stp>
        <tr r="O17" s="2"/>
      </tp>
      <tp t="s">
        <v>N/A</v>
        <stp/>
        <stp>VOLUME</stp>
        <stp>.QQQ251128C498</stp>
        <tr r="V80" s="2"/>
        <tr r="U80" s="2"/>
      </tp>
      <tp t="s">
        <v>N/A</v>
        <stp/>
        <stp>VOLUME</stp>
        <stp>.SPY250822C590</stp>
        <tr r="O17" s="2"/>
      </tp>
      <tp t="s">
        <v>N/A</v>
        <stp/>
        <stp>VOLUME</stp>
        <stp>.QQQ251128P499</stp>
        <tr r="U79" s="2"/>
        <tr r="V79" s="2"/>
      </tp>
      <tp t="s">
        <v>N/A</v>
        <stp/>
        <stp>VOLUME</stp>
        <stp>.SPY250822P591</stp>
        <tr r="O16" s="2"/>
      </tp>
      <tp t="s">
        <v>N/A</v>
        <stp/>
        <stp>VOLUME</stp>
        <stp>.QQQ251128C499</stp>
        <tr r="U79" s="2"/>
        <tr r="V79" s="2"/>
      </tp>
      <tp t="s">
        <v>N/A</v>
        <stp/>
        <stp>VOLUME</stp>
        <stp>.SPY250822C591</stp>
        <tr r="O16" s="2"/>
      </tp>
      <tp t="s">
        <v>N/A</v>
        <stp/>
        <stp>VOLUME</stp>
        <stp>.SPY250822P592</stp>
        <tr r="O15" s="2"/>
      </tp>
      <tp>
        <v>1</v>
        <stp/>
        <stp>VOLUME</stp>
        <stp>.SPY250829P599</stp>
        <tr r="P8" s="2"/>
        <tr r="P8" s="2"/>
      </tp>
      <tp t="s">
        <v>N/A</v>
        <stp/>
        <stp>VOLUME</stp>
        <stp>.SPY250822C592</stp>
        <tr r="O15" s="2"/>
      </tp>
      <tp>
        <v>93</v>
        <stp/>
        <stp>VOLUME</stp>
        <stp>.SPY250829C599</stp>
        <tr r="P8" s="2"/>
        <tr r="P8" s="2"/>
      </tp>
      <tp t="s">
        <v>N/A</v>
        <stp/>
        <stp>VOLUME</stp>
        <stp>.SPY250822P593</stp>
        <tr r="O14" s="2"/>
      </tp>
      <tp t="s">
        <v>N/A</v>
        <stp/>
        <stp>VOLUME</stp>
        <stp>.SPY250829P598</stp>
        <tr r="P9" s="2"/>
      </tp>
      <tp t="s">
        <v>N/A</v>
        <stp/>
        <stp>VOLUME</stp>
        <stp>.SPY250822C593</stp>
        <tr r="O14" s="2"/>
      </tp>
      <tp t="s">
        <v>N/A</v>
        <stp/>
        <stp>VOLUME</stp>
        <stp>.SPY250829C598</stp>
        <tr r="P9" s="2"/>
      </tp>
      <tp t="s">
        <v>N/A</v>
        <stp/>
        <stp>VOLUME</stp>
        <stp>.SPY250829P597</stp>
        <tr r="P10" s="2"/>
      </tp>
      <tp>
        <v>1</v>
        <stp/>
        <stp>VOLUME</stp>
        <stp>.SPY250829C597</stp>
        <tr r="P10" s="2"/>
        <tr r="P10" s="2"/>
      </tp>
      <tp>
        <v>97</v>
        <stp/>
        <stp>VOLUME</stp>
        <stp>.SPY250829P596</stp>
        <tr r="P11" s="2"/>
        <tr r="P11" s="2"/>
      </tp>
      <tp>
        <v>2</v>
        <stp/>
        <stp>VOLUME</stp>
        <stp>.SPY250829C596</stp>
        <tr r="P11" s="2"/>
        <tr r="P11" s="2"/>
      </tp>
      <tp>
        <v>18</v>
        <stp/>
        <stp>VOLUME</stp>
        <stp>.SPY250829P595</stp>
        <tr r="P12" s="2"/>
        <tr r="P12" s="2"/>
      </tp>
      <tp>
        <v>13</v>
        <stp/>
        <stp>VOLUME</stp>
        <stp>.SPY250829C595</stp>
        <tr r="P12" s="2"/>
        <tr r="P12" s="2"/>
      </tp>
      <tp>
        <v>119</v>
        <stp/>
        <stp>VOLUME</stp>
        <stp>.SPY250829P594</stp>
        <tr r="P13" s="2"/>
        <tr r="P13" s="2"/>
      </tp>
      <tp>
        <v>66</v>
        <stp/>
        <stp>VOLUME</stp>
        <stp>.SPY250829C594</stp>
        <tr r="P13" s="2"/>
        <tr r="P13" s="2"/>
      </tp>
      <tp t="s">
        <v>N/A</v>
        <stp/>
        <stp>VOLUME</stp>
        <stp>.SPY250822P598</stp>
        <tr r="O9" s="2"/>
      </tp>
      <tp>
        <v>151</v>
        <stp/>
        <stp>VOLUME</stp>
        <stp>.SPY250829P593</stp>
        <tr r="P14" s="2"/>
        <tr r="P14" s="2"/>
      </tp>
      <tp t="s">
        <v>N/A</v>
        <stp/>
        <stp>VOLUME</stp>
        <stp>.SPY250822C598</stp>
        <tr r="O9" s="2"/>
      </tp>
      <tp>
        <v>166</v>
        <stp/>
        <stp>VOLUME</stp>
        <stp>.SPY250829C593</stp>
        <tr r="P14" s="2"/>
        <tr r="P14" s="2"/>
      </tp>
      <tp t="s">
        <v>N/A</v>
        <stp/>
        <stp>VOLUME</stp>
        <stp>.SPY250822P599</stp>
        <tr r="O8" s="2"/>
      </tp>
      <tp>
        <v>5</v>
        <stp/>
        <stp>VOLUME</stp>
        <stp>.SPY250829P592</stp>
        <tr r="P15" s="2"/>
        <tr r="P15" s="2"/>
      </tp>
      <tp t="s">
        <v>N/A</v>
        <stp/>
        <stp>VOLUME</stp>
        <stp>.SPY250822C599</stp>
        <tr r="O8" s="2"/>
      </tp>
      <tp>
        <v>13</v>
        <stp/>
        <stp>VOLUME</stp>
        <stp>.SPY250829C592</stp>
        <tr r="P15" s="2"/>
        <tr r="P15" s="2"/>
      </tp>
      <tp>
        <v>77</v>
        <stp/>
        <stp>VOLUME</stp>
        <stp>.SPY250829P591</stp>
        <tr r="P16" s="2"/>
        <tr r="P16" s="2"/>
      </tp>
      <tp>
        <v>22</v>
        <stp/>
        <stp>VOLUME</stp>
        <stp>.SPY250829C591</stp>
        <tr r="P16" s="2"/>
        <tr r="P16" s="2"/>
      </tp>
      <tp>
        <v>91</v>
        <stp/>
        <stp>VOLUME</stp>
        <stp>.SPY250829P590</stp>
        <tr r="P17" s="2"/>
        <tr r="P17" s="2"/>
      </tp>
      <tp>
        <v>46</v>
        <stp/>
        <stp>VOLUME</stp>
        <stp>.SPY250829C590</stp>
        <tr r="P17" s="2"/>
        <tr r="P17" s="2"/>
      </tp>
      <tp t="s">
        <v>N/A</v>
        <stp/>
        <stp>VOLUME</stp>
        <stp>.SPY250822P584</stp>
        <tr r="O23" s="2"/>
      </tp>
      <tp t="s">
        <v>N/A</v>
        <stp/>
        <stp>VOLUME</stp>
        <stp>.SPY250822C584</stp>
        <tr r="O23" s="2"/>
      </tp>
      <tp t="s">
        <v>N/A</v>
        <stp/>
        <stp>VOLUME</stp>
        <stp>.SPY250822P585</stp>
        <tr r="O22" s="2"/>
      </tp>
      <tp t="s">
        <v>N/A</v>
        <stp/>
        <stp>VOLUME</stp>
        <stp>.SPY250822C585</stp>
        <tr r="O22" s="2"/>
      </tp>
      <tp t="s">
        <v>N/A</v>
        <stp/>
        <stp>VOLUME</stp>
        <stp>.SPY250822P586</stp>
        <tr r="O21" s="2"/>
      </tp>
      <tp t="s">
        <v>N/A</v>
        <stp/>
        <stp>VOLUME</stp>
        <stp>.SPY250822C586</stp>
        <tr r="O21" s="2"/>
      </tp>
      <tp t="s">
        <v>N/A</v>
        <stp/>
        <stp>VOLUME</stp>
        <stp>.SPY250822P587</stp>
        <tr r="O20" s="2"/>
      </tp>
      <tp t="s">
        <v>N/A</v>
        <stp/>
        <stp>VOLUME</stp>
        <stp>.SPY250822C587</stp>
        <tr r="O20" s="2"/>
      </tp>
      <tp t="s">
        <v>N/A</v>
        <stp/>
        <stp>VOLUME</stp>
        <stp>.SPY250822P580</stp>
        <tr r="O27" s="2"/>
      </tp>
      <tp t="s">
        <v>N/A</v>
        <stp/>
        <stp>VOLUME</stp>
        <stp>.SPY250822C580</stp>
        <tr r="O27" s="2"/>
      </tp>
      <tp t="s">
        <v>N/A</v>
        <stp/>
        <stp>VOLUME</stp>
        <stp>.SPY250822P581</stp>
        <tr r="O26" s="2"/>
      </tp>
      <tp t="s">
        <v>N/A</v>
        <stp/>
        <stp>VOLUME</stp>
        <stp>.SPY250822C581</stp>
        <tr r="O26" s="2"/>
      </tp>
      <tp t="s">
        <v>N/A</v>
        <stp/>
        <stp>VOLUME</stp>
        <stp>.SPY250822P582</stp>
        <tr r="O25" s="2"/>
      </tp>
      <tp t="s">
        <v>N/A</v>
        <stp/>
        <stp>VOLUME</stp>
        <stp>.SPY250829P589</stp>
        <tr r="P18" s="2"/>
      </tp>
      <tp t="s">
        <v>N/A</v>
        <stp/>
        <stp>VOLUME</stp>
        <stp>.SPY250822C582</stp>
        <tr r="O25" s="2"/>
      </tp>
      <tp>
        <v>3</v>
        <stp/>
        <stp>VOLUME</stp>
        <stp>.SPY250829C589</stp>
        <tr r="P18" s="2"/>
        <tr r="P18" s="2"/>
      </tp>
      <tp t="s">
        <v>N/A</v>
        <stp/>
        <stp>VOLUME</stp>
        <stp>.SPY250822P583</stp>
        <tr r="O24" s="2"/>
      </tp>
      <tp>
        <v>1</v>
        <stp/>
        <stp>VOLUME</stp>
        <stp>.SPY250829P588</stp>
        <tr r="P19" s="2"/>
        <tr r="P19" s="2"/>
      </tp>
      <tp t="s">
        <v>N/A</v>
        <stp/>
        <stp>VOLUME</stp>
        <stp>.SPY250822C583</stp>
        <tr r="O24" s="2"/>
      </tp>
      <tp>
        <v>54</v>
        <stp/>
        <stp>VOLUME</stp>
        <stp>.SPY250829C588</stp>
        <tr r="P19" s="2"/>
        <tr r="P19" s="2"/>
      </tp>
      <tp>
        <v>1</v>
        <stp/>
        <stp>VOLUME</stp>
        <stp>.SPY250829P587</stp>
        <tr r="P20" s="2"/>
        <tr r="P20" s="2"/>
      </tp>
      <tp>
        <v>1</v>
        <stp/>
        <stp>VOLUME</stp>
        <stp>.SPY250829C587</stp>
        <tr r="P20" s="2"/>
        <tr r="P20" s="2"/>
      </tp>
      <tp>
        <v>3</v>
        <stp/>
        <stp>VOLUME</stp>
        <stp>.SPY250829P586</stp>
        <tr r="P21" s="2"/>
        <tr r="P21" s="2"/>
      </tp>
      <tp t="s">
        <v>N/A</v>
        <stp/>
        <stp>VOLUME</stp>
        <stp>.SPY250829C586</stp>
        <tr r="P21" s="2"/>
      </tp>
      <tp>
        <v>27</v>
        <stp/>
        <stp>VOLUME</stp>
        <stp>.SPY250829P585</stp>
        <tr r="P22" s="2"/>
        <tr r="P22" s="2"/>
      </tp>
      <tp>
        <v>14</v>
        <stp/>
        <stp>VOLUME</stp>
        <stp>.SPY250829C585</stp>
        <tr r="P22" s="2"/>
        <tr r="P22" s="2"/>
      </tp>
      <tp>
        <v>2</v>
        <stp/>
        <stp>VOLUME</stp>
        <stp>.SPY250829P584</stp>
        <tr r="P23" s="2"/>
        <tr r="P23" s="2"/>
      </tp>
      <tp>
        <v>3</v>
        <stp/>
        <stp>VOLUME</stp>
        <stp>.SPY250829C584</stp>
        <tr r="P23" s="2"/>
        <tr r="P23" s="2"/>
      </tp>
      <tp t="s">
        <v>N/A</v>
        <stp/>
        <stp>VOLUME</stp>
        <stp>.SPY250822P588</stp>
        <tr r="O19" s="2"/>
      </tp>
      <tp>
        <v>2</v>
        <stp/>
        <stp>VOLUME</stp>
        <stp>.SPY250829P583</stp>
        <tr r="P24" s="2"/>
        <tr r="P24" s="2"/>
      </tp>
      <tp t="s">
        <v>N/A</v>
        <stp/>
        <stp>VOLUME</stp>
        <stp>.SPY250822C588</stp>
        <tr r="O19" s="2"/>
      </tp>
      <tp t="s">
        <v>N/A</v>
        <stp/>
        <stp>VOLUME</stp>
        <stp>.SPY250829C583</stp>
        <tr r="P24" s="2"/>
      </tp>
      <tp t="s">
        <v>N/A</v>
        <stp/>
        <stp>VOLUME</stp>
        <stp>.SPY250822P589</stp>
        <tr r="O18" s="2"/>
      </tp>
      <tp>
        <v>14</v>
        <stp/>
        <stp>VOLUME</stp>
        <stp>.SPY250829P582</stp>
        <tr r="P25" s="2"/>
        <tr r="P25" s="2"/>
      </tp>
      <tp t="s">
        <v>N/A</v>
        <stp/>
        <stp>VOLUME</stp>
        <stp>.SPY250822C589</stp>
        <tr r="O18" s="2"/>
      </tp>
      <tp>
        <v>20</v>
        <stp/>
        <stp>VOLUME</stp>
        <stp>.SPY250829C582</stp>
        <tr r="P25" s="2"/>
        <tr r="P25" s="2"/>
      </tp>
      <tp>
        <v>1</v>
        <stp/>
        <stp>VOLUME</stp>
        <stp>.SPY250829P581</stp>
        <tr r="P26" s="2"/>
        <tr r="P26" s="2"/>
      </tp>
      <tp t="s">
        <v>N/A</v>
        <stp/>
        <stp>VOLUME</stp>
        <stp>.SPY250829C581</stp>
        <tr r="P26" s="2"/>
      </tp>
      <tp>
        <v>46</v>
        <stp/>
        <stp>VOLUME</stp>
        <stp>.SPY250829P580</stp>
        <tr r="P27" s="2"/>
        <tr r="P27" s="2"/>
      </tp>
      <tp>
        <v>16</v>
        <stp/>
        <stp>VOLUME</stp>
        <stp>.SPY250829C580</stp>
        <tr r="P27" s="2"/>
        <tr r="P27" s="2"/>
      </tp>
      <tp t="s">
        <v>N/A</v>
        <stp/>
        <stp>VOLUME</stp>
        <stp>.QQQ251024P530</stp>
        <tr r="S48" s="2"/>
      </tp>
      <tp t="s">
        <v>N/A</v>
        <stp/>
        <stp>VOLUME</stp>
        <stp>.QQQ251031P525</stp>
        <tr r="T53" s="2"/>
      </tp>
      <tp t="s">
        <v>N/A</v>
        <stp/>
        <stp>VOLUME</stp>
        <stp>.QQQ251024C530</stp>
        <tr r="S48" s="2"/>
      </tp>
      <tp t="s">
        <v>N/A</v>
        <stp/>
        <stp>VOLUME</stp>
        <stp>.QQQ251031C525</stp>
        <tr r="T53" s="2"/>
      </tp>
      <tp t="s">
        <v>N/A</v>
        <stp/>
        <stp>VOLUME</stp>
        <stp>.QQQ251024P531</stp>
        <tr r="S47" s="2"/>
      </tp>
      <tp t="s">
        <v>N/A</v>
        <stp/>
        <stp>VOLUME</stp>
        <stp>.QQQ251031P524</stp>
        <tr r="T54" s="2"/>
      </tp>
      <tp t="s">
        <v>N/A</v>
        <stp/>
        <stp>VOLUME</stp>
        <stp>.QQQ251024C531</stp>
        <tr r="S47" s="2"/>
      </tp>
      <tp t="s">
        <v>N/A</v>
        <stp/>
        <stp>VOLUME</stp>
        <stp>.QQQ251031C524</stp>
        <tr r="T54" s="2"/>
      </tp>
      <tp t="s">
        <v>N/A</v>
        <stp/>
        <stp>VOLUME</stp>
        <stp>.QQQ251024P532</stp>
        <tr r="S46" s="2"/>
      </tp>
      <tp t="s">
        <v>N/A</v>
        <stp/>
        <stp>VOLUME</stp>
        <stp>.QQQ251031P527</stp>
        <tr r="T51" s="2"/>
      </tp>
      <tp t="s">
        <v>N/A</v>
        <stp/>
        <stp>VOLUME</stp>
        <stp>.QQQ251024C532</stp>
        <tr r="S46" s="2"/>
      </tp>
      <tp t="s">
        <v>N/A</v>
        <stp/>
        <stp>VOLUME</stp>
        <stp>.QQQ251031C527</stp>
        <tr r="T51" s="2"/>
      </tp>
      <tp t="s">
        <v>N/A</v>
        <stp/>
        <stp>VOLUME</stp>
        <stp>.QQQ251031P526</stp>
        <tr r="T52" s="2"/>
      </tp>
      <tp t="s">
        <v>N/A</v>
        <stp/>
        <stp>VOLUME</stp>
        <stp>.QQQ251031C526</stp>
        <tr r="T52" s="2"/>
      </tp>
      <tp t="s">
        <v>N/A</v>
        <stp/>
        <stp>VOLUME</stp>
        <stp>.QQQ251031P521</stp>
        <tr r="T57" s="2"/>
      </tp>
      <tp t="s">
        <v>N/A</v>
        <stp/>
        <stp>VOLUME</stp>
        <stp>.QQQ251031C521</stp>
        <tr r="T57" s="2"/>
      </tp>
      <tp t="s">
        <v>N/A</v>
        <stp/>
        <stp>VOLUME</stp>
        <stp>.QQQ251031P520</stp>
        <tr r="T58" s="2"/>
      </tp>
      <tp t="s">
        <v>N/A</v>
        <stp/>
        <stp>VOLUME</stp>
        <stp>.QQQ251031C520</stp>
        <tr r="T58" s="2"/>
      </tp>
      <tp t="s">
        <v>N/A</v>
        <stp/>
        <stp>VOLUME</stp>
        <stp>.QQQ251031P523</stp>
        <tr r="T55" s="2"/>
      </tp>
      <tp t="s">
        <v>N/A</v>
        <stp/>
        <stp>VOLUME</stp>
        <stp>.QQQ251031C523</stp>
        <tr r="T55" s="2"/>
      </tp>
      <tp t="s">
        <v>N/A</v>
        <stp/>
        <stp>VOLUME</stp>
        <stp>.QQQ251031P522</stp>
        <tr r="T56" s="2"/>
      </tp>
      <tp t="s">
        <v>N/A</v>
        <stp/>
        <stp>VOLUME</stp>
        <stp>.QQQ251031C522</stp>
        <tr r="T56" s="2"/>
      </tp>
      <tp t="s">
        <v>N/A</v>
        <stp/>
        <stp>VOLUME</stp>
        <stp>.QQQ251031P529</stp>
        <tr r="T49" s="2"/>
      </tp>
      <tp t="s">
        <v>N/A</v>
        <stp/>
        <stp>VOLUME</stp>
        <stp>.QQQ251031C529</stp>
        <tr r="T49" s="2"/>
      </tp>
      <tp t="s">
        <v>N/A</v>
        <stp/>
        <stp>VOLUME</stp>
        <stp>.QQQ251031P528</stp>
        <tr r="T50" s="2"/>
      </tp>
      <tp t="s">
        <v>N/A</v>
        <stp/>
        <stp>VOLUME</stp>
        <stp>.QQQ251031C528</stp>
        <tr r="T50" s="2"/>
      </tp>
      <tp t="s">
        <v>N/A</v>
        <stp/>
        <stp>VOLUME</stp>
        <stp>.QQQ251024P520</stp>
        <tr r="S58" s="2"/>
      </tp>
      <tp t="s">
        <v>N/A</v>
        <stp/>
        <stp>VOLUME</stp>
        <stp>.QQQ251024C520</stp>
        <tr r="S58" s="2"/>
      </tp>
      <tp t="s">
        <v>N/A</v>
        <stp/>
        <stp>VOLUME</stp>
        <stp>.QQQ251024P521</stp>
        <tr r="S57" s="2"/>
      </tp>
      <tp t="s">
        <v>N/A</v>
        <stp/>
        <stp>VOLUME</stp>
        <stp>.QQQ251024C521</stp>
        <tr r="S57" s="2"/>
      </tp>
      <tp t="s">
        <v>N/A</v>
        <stp/>
        <stp>VOLUME</stp>
        <stp>.QQQ251024P522</stp>
        <tr r="S56" s="2"/>
      </tp>
      <tp t="s">
        <v>N/A</v>
        <stp/>
        <stp>VOLUME</stp>
        <stp>.QQQ251024C522</stp>
        <tr r="S56" s="2"/>
      </tp>
      <tp t="s">
        <v>N/A</v>
        <stp/>
        <stp>VOLUME</stp>
        <stp>.QQQ251024P523</stp>
        <tr r="S55" s="2"/>
      </tp>
      <tp t="s">
        <v>N/A</v>
        <stp/>
        <stp>VOLUME</stp>
        <stp>.QQQ251024C523</stp>
        <tr r="S55" s="2"/>
      </tp>
      <tp t="s">
        <v>N/A</v>
        <stp/>
        <stp>VOLUME</stp>
        <stp>.QQQ251024P524</stp>
        <tr r="S54" s="2"/>
      </tp>
      <tp t="s">
        <v>N/A</v>
        <stp/>
        <stp>VOLUME</stp>
        <stp>.QQQ251031P531</stp>
        <tr r="T47" s="2"/>
      </tp>
      <tp t="s">
        <v>N/A</v>
        <stp/>
        <stp>VOLUME</stp>
        <stp>.QQQ251024C524</stp>
        <tr r="S54" s="2"/>
      </tp>
      <tp t="s">
        <v>N/A</v>
        <stp/>
        <stp>VOLUME</stp>
        <stp>.QQQ251031C531</stp>
        <tr r="T47" s="2"/>
      </tp>
      <tp t="s">
        <v>N/A</v>
        <stp/>
        <stp>VOLUME</stp>
        <stp>.QQQ251024P525</stp>
        <tr r="S53" s="2"/>
      </tp>
      <tp t="s">
        <v>N/A</v>
        <stp/>
        <stp>VOLUME</stp>
        <stp>.QQQ251031P530</stp>
        <tr r="T48" s="2"/>
      </tp>
      <tp t="s">
        <v>N/A</v>
        <stp/>
        <stp>VOLUME</stp>
        <stp>.QQQ251024C525</stp>
        <tr r="S53" s="2"/>
      </tp>
      <tp t="s">
        <v>N/A</v>
        <stp/>
        <stp>VOLUME</stp>
        <stp>.QQQ251031C530</stp>
        <tr r="T48" s="2"/>
      </tp>
      <tp t="s">
        <v>N/A</v>
        <stp/>
        <stp>VOLUME</stp>
        <stp>.QQQ251024P526</stp>
        <tr r="S52" s="2"/>
      </tp>
      <tp t="s">
        <v>N/A</v>
        <stp/>
        <stp>VOLUME</stp>
        <stp>.QQQ251024C526</stp>
        <tr r="S52" s="2"/>
      </tp>
      <tp t="s">
        <v>N/A</v>
        <stp/>
        <stp>VOLUME</stp>
        <stp>.QQQ251024P527</stp>
        <tr r="S51" s="2"/>
      </tp>
      <tp t="s">
        <v>N/A</v>
        <stp/>
        <stp>VOLUME</stp>
        <stp>.QQQ251031P532</stp>
        <tr r="T46" s="2"/>
      </tp>
      <tp t="s">
        <v>N/A</v>
        <stp/>
        <stp>VOLUME</stp>
        <stp>.QQQ251024C527</stp>
        <tr r="S51" s="2"/>
      </tp>
      <tp t="s">
        <v>N/A</v>
        <stp/>
        <stp>VOLUME</stp>
        <stp>.QQQ251031C532</stp>
        <tr r="T46" s="2"/>
      </tp>
      <tp t="s">
        <v>N/A</v>
        <stp/>
        <stp>VOLUME</stp>
        <stp>.QQQ251024P528</stp>
        <tr r="S50" s="2"/>
      </tp>
      <tp t="s">
        <v>N/A</v>
        <stp/>
        <stp>VOLUME</stp>
        <stp>.QQQ251024C528</stp>
        <tr r="S50" s="2"/>
      </tp>
      <tp t="s">
        <v>N/A</v>
        <stp/>
        <stp>VOLUME</stp>
        <stp>.QQQ251024P529</stp>
        <tr r="S49" s="2"/>
      </tp>
      <tp t="s">
        <v>N/A</v>
        <stp/>
        <stp>VOLUME</stp>
        <stp>.QQQ251024C529</stp>
        <tr r="S49" s="2"/>
      </tp>
      <tp t="s">
        <v>N/A</v>
        <stp/>
        <stp>VOLUME</stp>
        <stp>.QQQ251024P510</stp>
        <tr r="S68" s="2"/>
      </tp>
      <tp t="s">
        <v>N/A</v>
        <stp/>
        <stp>VOLUME</stp>
        <stp>.QQQ251031P505</stp>
        <tr r="T73" s="2"/>
      </tp>
      <tp t="s">
        <v>N/A</v>
        <stp/>
        <stp>VOLUME</stp>
        <stp>.QQQ251024C510</stp>
        <tr r="S68" s="2"/>
      </tp>
      <tp t="s">
        <v>N/A</v>
        <stp/>
        <stp>VOLUME</stp>
        <stp>.QQQ251031C505</stp>
        <tr r="T73" s="2"/>
      </tp>
      <tp t="s">
        <v>N/A</v>
        <stp/>
        <stp>VOLUME</stp>
        <stp>.QQQ251024P511</stp>
        <tr r="S67" s="2"/>
      </tp>
      <tp t="s">
        <v>N/A</v>
        <stp/>
        <stp>VOLUME</stp>
        <stp>.QQQ251031P504</stp>
        <tr r="T74" s="2"/>
      </tp>
      <tp t="s">
        <v>N/A</v>
        <stp/>
        <stp>VOLUME</stp>
        <stp>.QQQ251024C511</stp>
        <tr r="S67" s="2"/>
      </tp>
      <tp t="s">
        <v>N/A</v>
        <stp/>
        <stp>VOLUME</stp>
        <stp>.QQQ251031C504</stp>
        <tr r="T74" s="2"/>
      </tp>
      <tp t="s">
        <v>N/A</v>
        <stp/>
        <stp>VOLUME</stp>
        <stp>.QQQ251024P512</stp>
        <tr r="S66" s="2"/>
      </tp>
      <tp t="s">
        <v>N/A</v>
        <stp/>
        <stp>VOLUME</stp>
        <stp>.QQQ251031P507</stp>
        <tr r="T71" s="2"/>
      </tp>
      <tp t="s">
        <v>N/A</v>
        <stp/>
        <stp>VOLUME</stp>
        <stp>.QQQ251024C512</stp>
        <tr r="S66" s="2"/>
      </tp>
      <tp t="s">
        <v>N/A</v>
        <stp/>
        <stp>VOLUME</stp>
        <stp>.QQQ251031C507</stp>
        <tr r="T71" s="2"/>
      </tp>
      <tp t="s">
        <v>N/A</v>
        <stp/>
        <stp>VOLUME</stp>
        <stp>.QQQ251024P513</stp>
        <tr r="S65" s="2"/>
      </tp>
      <tp t="s">
        <v>N/A</v>
        <stp/>
        <stp>VOLUME</stp>
        <stp>.QQQ251031P506</stp>
        <tr r="T72" s="2"/>
      </tp>
      <tp t="s">
        <v>N/A</v>
        <stp/>
        <stp>VOLUME</stp>
        <stp>.QQQ251024C513</stp>
        <tr r="S65" s="2"/>
      </tp>
      <tp t="s">
        <v>N/A</v>
        <stp/>
        <stp>VOLUME</stp>
        <stp>.QQQ251031C506</stp>
        <tr r="T72" s="2"/>
      </tp>
      <tp t="s">
        <v>N/A</v>
        <stp/>
        <stp>VOLUME</stp>
        <stp>.QQQ251024P514</stp>
        <tr r="S64" s="2"/>
      </tp>
      <tp t="s">
        <v>N/A</v>
        <stp/>
        <stp>VOLUME</stp>
        <stp>.QQQ251031P501</stp>
        <tr r="T77" s="2"/>
      </tp>
      <tp t="s">
        <v>N/A</v>
        <stp/>
        <stp>VOLUME</stp>
        <stp>.QQQ251024C514</stp>
        <tr r="S64" s="2"/>
      </tp>
      <tp t="s">
        <v>N/A</v>
        <stp/>
        <stp>VOLUME</stp>
        <stp>.QQQ251031C501</stp>
        <tr r="T77" s="2"/>
      </tp>
      <tp t="s">
        <v>N/A</v>
        <stp/>
        <stp>VOLUME</stp>
        <stp>.QQQ251024P515</stp>
        <tr r="S63" s="2"/>
      </tp>
      <tp t="s">
        <v>N/A</v>
        <stp/>
        <stp>VOLUME</stp>
        <stp>.QQQ251031P500</stp>
        <tr r="T78" s="2"/>
      </tp>
      <tp t="s">
        <v>N/A</v>
        <stp/>
        <stp>VOLUME</stp>
        <stp>.QQQ251024C515</stp>
        <tr r="S63" s="2"/>
      </tp>
      <tp t="s">
        <v>N/A</v>
        <stp/>
        <stp>VOLUME</stp>
        <stp>.QQQ251031C500</stp>
        <tr r="T78" s="2"/>
      </tp>
      <tp t="s">
        <v>N/A</v>
        <stp/>
        <stp>VOLUME</stp>
        <stp>.QQQ251024P516</stp>
        <tr r="S62" s="2"/>
      </tp>
      <tp t="s">
        <v>N/A</v>
        <stp/>
        <stp>VOLUME</stp>
        <stp>.QQQ251031P503</stp>
        <tr r="T75" s="2"/>
      </tp>
      <tp t="s">
        <v>N/A</v>
        <stp/>
        <stp>VOLUME</stp>
        <stp>.QQQ251024C516</stp>
        <tr r="S62" s="2"/>
      </tp>
      <tp t="s">
        <v>N/A</v>
        <stp/>
        <stp>VOLUME</stp>
        <stp>.QQQ251031C503</stp>
        <tr r="T75" s="2"/>
      </tp>
      <tp t="s">
        <v>N/A</v>
        <stp/>
        <stp>VOLUME</stp>
        <stp>.QQQ251024P517</stp>
        <tr r="S61" s="2"/>
      </tp>
      <tp t="s">
        <v>N/A</v>
        <stp/>
        <stp>VOLUME</stp>
        <stp>.QQQ251031P502</stp>
        <tr r="T76" s="2"/>
      </tp>
      <tp t="s">
        <v>N/A</v>
        <stp/>
        <stp>VOLUME</stp>
        <stp>.QQQ251024C517</stp>
        <tr r="S61" s="2"/>
      </tp>
      <tp t="s">
        <v>N/A</v>
        <stp/>
        <stp>VOLUME</stp>
        <stp>.QQQ251031C502</stp>
        <tr r="T76" s="2"/>
      </tp>
      <tp t="s">
        <v>N/A</v>
        <stp/>
        <stp>VOLUME</stp>
        <stp>.QQQ251024P518</stp>
        <tr r="S60" s="2"/>
      </tp>
      <tp t="s">
        <v>N/A</v>
        <stp/>
        <stp>VOLUME</stp>
        <stp>.QQQ251024C518</stp>
        <tr r="S60" s="2"/>
      </tp>
      <tp t="s">
        <v>N/A</v>
        <stp/>
        <stp>VOLUME</stp>
        <stp>.QQQ251024P519</stp>
        <tr r="S59" s="2"/>
      </tp>
      <tp t="s">
        <v>N/A</v>
        <stp/>
        <stp>VOLUME</stp>
        <stp>.QQQ251024C519</stp>
        <tr r="S59" s="2"/>
      </tp>
      <tp t="s">
        <v>N/A</v>
        <stp/>
        <stp>VOLUME</stp>
        <stp>.QQQ251031P509</stp>
        <tr r="T69" s="2"/>
      </tp>
      <tp t="s">
        <v>N/A</v>
        <stp/>
        <stp>VOLUME</stp>
        <stp>.QQQ251031C509</stp>
        <tr r="T69" s="2"/>
      </tp>
      <tp t="s">
        <v>N/A</v>
        <stp/>
        <stp>VOLUME</stp>
        <stp>.QQQ251031P508</stp>
        <tr r="T70" s="2"/>
      </tp>
      <tp t="s">
        <v>N/A</v>
        <stp/>
        <stp>VOLUME</stp>
        <stp>.QQQ251031C508</stp>
        <tr r="T70" s="2"/>
      </tp>
      <tp t="s">
        <v>N/A</v>
        <stp/>
        <stp>VOLUME</stp>
        <stp>.QQQ251024P500</stp>
        <tr r="S78" s="2"/>
      </tp>
      <tp t="s">
        <v>N/A</v>
        <stp/>
        <stp>VOLUME</stp>
        <stp>.QQQ251031P515</stp>
        <tr r="T63" s="2"/>
      </tp>
      <tp t="s">
        <v>N/A</v>
        <stp/>
        <stp>VOLUME</stp>
        <stp>.QQQ251024C500</stp>
        <tr r="S78" s="2"/>
      </tp>
      <tp t="s">
        <v>N/A</v>
        <stp/>
        <stp>VOLUME</stp>
        <stp>.QQQ251031C515</stp>
        <tr r="T63" s="2"/>
      </tp>
      <tp t="s">
        <v>N/A</v>
        <stp/>
        <stp>VOLUME</stp>
        <stp>.QQQ251024P501</stp>
        <tr r="S77" s="2"/>
      </tp>
      <tp t="s">
        <v>N/A</v>
        <stp/>
        <stp>VOLUME</stp>
        <stp>.QQQ251031P514</stp>
        <tr r="T64" s="2"/>
      </tp>
      <tp t="s">
        <v>N/A</v>
        <stp/>
        <stp>VOLUME</stp>
        <stp>.QQQ251024C501</stp>
        <tr r="S77" s="2"/>
      </tp>
      <tp t="s">
        <v>N/A</v>
        <stp/>
        <stp>VOLUME</stp>
        <stp>.QQQ251031C514</stp>
        <tr r="T64" s="2"/>
      </tp>
      <tp t="s">
        <v>N/A</v>
        <stp/>
        <stp>VOLUME</stp>
        <stp>.QQQ251024P502</stp>
        <tr r="S76" s="2"/>
      </tp>
      <tp t="s">
        <v>N/A</v>
        <stp/>
        <stp>VOLUME</stp>
        <stp>.QQQ251031P517</stp>
        <tr r="T61" s="2"/>
      </tp>
      <tp t="s">
        <v>N/A</v>
        <stp/>
        <stp>VOLUME</stp>
        <stp>.QQQ251024C502</stp>
        <tr r="S76" s="2"/>
      </tp>
      <tp t="s">
        <v>N/A</v>
        <stp/>
        <stp>VOLUME</stp>
        <stp>.QQQ251031C517</stp>
        <tr r="T61" s="2"/>
      </tp>
      <tp t="s">
        <v>N/A</v>
        <stp/>
        <stp>VOLUME</stp>
        <stp>.QQQ251024P503</stp>
        <tr r="S75" s="2"/>
      </tp>
      <tp t="s">
        <v>N/A</v>
        <stp/>
        <stp>VOLUME</stp>
        <stp>.QQQ251031P516</stp>
        <tr r="T62" s="2"/>
      </tp>
      <tp t="s">
        <v>N/A</v>
        <stp/>
        <stp>VOLUME</stp>
        <stp>.QQQ251024C503</stp>
        <tr r="S75" s="2"/>
      </tp>
      <tp t="s">
        <v>N/A</v>
        <stp/>
        <stp>VOLUME</stp>
        <stp>.QQQ251031C516</stp>
        <tr r="T62" s="2"/>
      </tp>
      <tp t="s">
        <v>N/A</v>
        <stp/>
        <stp>VOLUME</stp>
        <stp>.QQQ251024P504</stp>
        <tr r="S74" s="2"/>
      </tp>
      <tp t="s">
        <v>N/A</v>
        <stp/>
        <stp>VOLUME</stp>
        <stp>.QQQ251031P511</stp>
        <tr r="T67" s="2"/>
      </tp>
      <tp t="s">
        <v>N/A</v>
        <stp/>
        <stp>VOLUME</stp>
        <stp>.QQQ251024C504</stp>
        <tr r="S74" s="2"/>
      </tp>
      <tp t="s">
        <v>N/A</v>
        <stp/>
        <stp>VOLUME</stp>
        <stp>.QQQ251031C511</stp>
        <tr r="T67" s="2"/>
      </tp>
      <tp t="s">
        <v>N/A</v>
        <stp/>
        <stp>VOLUME</stp>
        <stp>.QQQ251024P505</stp>
        <tr r="S73" s="2"/>
      </tp>
      <tp t="s">
        <v>N/A</v>
        <stp/>
        <stp>VOLUME</stp>
        <stp>.QQQ251031P510</stp>
        <tr r="T68" s="2"/>
      </tp>
      <tp t="s">
        <v>N/A</v>
        <stp/>
        <stp>VOLUME</stp>
        <stp>.QQQ251024C505</stp>
        <tr r="S73" s="2"/>
      </tp>
      <tp t="s">
        <v>N/A</v>
        <stp/>
        <stp>VOLUME</stp>
        <stp>.QQQ251031C510</stp>
        <tr r="T68" s="2"/>
      </tp>
      <tp t="s">
        <v>N/A</v>
        <stp/>
        <stp>VOLUME</stp>
        <stp>.QQQ251024P506</stp>
        <tr r="S72" s="2"/>
      </tp>
      <tp t="s">
        <v>N/A</v>
        <stp/>
        <stp>VOLUME</stp>
        <stp>.QQQ251031P513</stp>
        <tr r="T65" s="2"/>
      </tp>
      <tp t="s">
        <v>N/A</v>
        <stp/>
        <stp>VOLUME</stp>
        <stp>.QQQ251024C506</stp>
        <tr r="S72" s="2"/>
      </tp>
      <tp t="s">
        <v>N/A</v>
        <stp/>
        <stp>VOLUME</stp>
        <stp>.QQQ251031C513</stp>
        <tr r="T65" s="2"/>
      </tp>
      <tp t="s">
        <v>N/A</v>
        <stp/>
        <stp>VOLUME</stp>
        <stp>.QQQ251024P507</stp>
        <tr r="S71" s="2"/>
      </tp>
      <tp t="s">
        <v>N/A</v>
        <stp/>
        <stp>VOLUME</stp>
        <stp>.QQQ251031P512</stp>
        <tr r="T66" s="2"/>
      </tp>
      <tp t="s">
        <v>N/A</v>
        <stp/>
        <stp>VOLUME</stp>
        <stp>.QQQ251024C507</stp>
        <tr r="S71" s="2"/>
      </tp>
      <tp t="s">
        <v>N/A</v>
        <stp/>
        <stp>VOLUME</stp>
        <stp>.QQQ251031C512</stp>
        <tr r="T66" s="2"/>
      </tp>
      <tp t="s">
        <v>N/A</v>
        <stp/>
        <stp>VOLUME</stp>
        <stp>.QQQ251024P508</stp>
        <tr r="S70" s="2"/>
      </tp>
      <tp t="s">
        <v>N/A</v>
        <stp/>
        <stp>VOLUME</stp>
        <stp>.QQQ251024C508</stp>
        <tr r="S70" s="2"/>
      </tp>
      <tp t="s">
        <v>N/A</v>
        <stp/>
        <stp>VOLUME</stp>
        <stp>.QQQ251024P509</stp>
        <tr r="S69" s="2"/>
      </tp>
      <tp t="s">
        <v>N/A</v>
        <stp/>
        <stp>VOLUME</stp>
        <stp>.QQQ251024C509</stp>
        <tr r="S69" s="2"/>
      </tp>
      <tp t="s">
        <v>N/A</v>
        <stp/>
        <stp>VOLUME</stp>
        <stp>.QQQ251031P519</stp>
        <tr r="T59" s="2"/>
      </tp>
      <tp t="s">
        <v>N/A</v>
        <stp/>
        <stp>VOLUME</stp>
        <stp>.QQQ251031C519</stp>
        <tr r="T59" s="2"/>
      </tp>
      <tp t="s">
        <v>N/A</v>
        <stp/>
        <stp>VOLUME</stp>
        <stp>.QQQ251031P518</stp>
        <tr r="T60" s="2"/>
      </tp>
      <tp t="s">
        <v>N/A</v>
        <stp/>
        <stp>VOLUME</stp>
        <stp>.QQQ251031C518</stp>
        <tr r="T60" s="2"/>
      </tp>
      <tp t="s">
        <v>N/A</v>
        <stp/>
        <stp>VOLUME</stp>
        <stp>.SPY250822P574</stp>
        <tr r="O33" s="2"/>
      </tp>
      <tp t="s">
        <v>N/A</v>
        <stp/>
        <stp>VOLUME</stp>
        <stp>.SPY250822C574</stp>
        <tr r="O33" s="2"/>
      </tp>
      <tp t="s">
        <v>N/A</v>
        <stp/>
        <stp>VOLUME</stp>
        <stp>.SPY250822P575</stp>
        <tr r="O32" s="2"/>
      </tp>
      <tp t="s">
        <v>N/A</v>
        <stp/>
        <stp>VOLUME</stp>
        <stp>.SPY250822C575</stp>
        <tr r="O32" s="2"/>
      </tp>
      <tp t="s">
        <v>N/A</v>
        <stp/>
        <stp>VOLUME</stp>
        <stp>.SPY250822P576</stp>
        <tr r="O31" s="2"/>
      </tp>
      <tp t="s">
        <v>N/A</v>
        <stp/>
        <stp>VOLUME</stp>
        <stp>.SPY250822C576</stp>
        <tr r="O31" s="2"/>
      </tp>
      <tp t="s">
        <v>N/A</v>
        <stp/>
        <stp>VOLUME</stp>
        <stp>.SPY250822P577</stp>
        <tr r="O30" s="2"/>
      </tp>
      <tp t="s">
        <v>N/A</v>
        <stp/>
        <stp>VOLUME</stp>
        <stp>.SPY250822C577</stp>
        <tr r="O30" s="2"/>
      </tp>
      <tp t="s">
        <v>N/A</v>
        <stp/>
        <stp>VOLUME</stp>
        <stp>.SPY250822P570</stp>
        <tr r="O37" s="2"/>
      </tp>
      <tp t="s">
        <v>N/A</v>
        <stp/>
        <stp>VOLUME</stp>
        <stp>.SPY250822C570</stp>
        <tr r="O37" s="2"/>
      </tp>
      <tp t="s">
        <v>N/A</v>
        <stp/>
        <stp>VOLUME</stp>
        <stp>.SPY250822P571</stp>
        <tr r="O36" s="2"/>
      </tp>
      <tp t="s">
        <v>N/A</v>
        <stp/>
        <stp>VOLUME</stp>
        <stp>.SPY250822C571</stp>
        <tr r="O36" s="2"/>
      </tp>
      <tp t="s">
        <v>N/A</v>
        <stp/>
        <stp>VOLUME</stp>
        <stp>.SPY250822P572</stp>
        <tr r="O35" s="2"/>
      </tp>
      <tp t="s">
        <v>N/A</v>
        <stp/>
        <stp>VOLUME</stp>
        <stp>.SPY250829P579</stp>
        <tr r="P28" s="2"/>
      </tp>
      <tp t="s">
        <v>N/A</v>
        <stp/>
        <stp>VOLUME</stp>
        <stp>.SPY250822C572</stp>
        <tr r="O35" s="2"/>
      </tp>
      <tp t="s">
        <v>N/A</v>
        <stp/>
        <stp>VOLUME</stp>
        <stp>.SPY250829C579</stp>
        <tr r="P28" s="2"/>
      </tp>
      <tp t="s">
        <v>N/A</v>
        <stp/>
        <stp>VOLUME</stp>
        <stp>.SPY250822P573</stp>
        <tr r="O34" s="2"/>
      </tp>
      <tp t="s">
        <v>N/A</v>
        <stp/>
        <stp>VOLUME</stp>
        <stp>.SPY250829P578</stp>
        <tr r="P29" s="2"/>
      </tp>
      <tp t="s">
        <v>N/A</v>
        <stp/>
        <stp>VOLUME</stp>
        <stp>.SPY250822C573</stp>
        <tr r="O34" s="2"/>
      </tp>
      <tp t="s">
        <v>N/A</v>
        <stp/>
        <stp>VOLUME</stp>
        <stp>.SPY250829C578</stp>
        <tr r="P29" s="2"/>
      </tp>
      <tp>
        <v>1</v>
        <stp/>
        <stp>VOLUME</stp>
        <stp>.SPY250829P577</stp>
        <tr r="P30" s="2"/>
        <tr r="P30" s="2"/>
      </tp>
      <tp t="s">
        <v>N/A</v>
        <stp/>
        <stp>VOLUME</stp>
        <stp>.SPY250829C577</stp>
        <tr r="P30" s="2"/>
      </tp>
      <tp>
        <v>1</v>
        <stp/>
        <stp>VOLUME</stp>
        <stp>.SPY250829P576</stp>
        <tr r="P31" s="2"/>
        <tr r="P31" s="2"/>
      </tp>
      <tp t="s">
        <v>N/A</v>
        <stp/>
        <stp>VOLUME</stp>
        <stp>.SPY250829C576</stp>
        <tr r="P31" s="2"/>
      </tp>
      <tp>
        <v>3</v>
        <stp/>
        <stp>VOLUME</stp>
        <stp>.SPY250829P575</stp>
        <tr r="P32" s="2"/>
        <tr r="P32" s="2"/>
      </tp>
      <tp>
        <v>8</v>
        <stp/>
        <stp>VOLUME</stp>
        <stp>.SPY250829C575</stp>
        <tr r="P32" s="2"/>
        <tr r="P32" s="2"/>
      </tp>
      <tp t="s">
        <v>N/A</v>
        <stp/>
        <stp>VOLUME</stp>
        <stp>.SPY250829P574</stp>
        <tr r="P33" s="2"/>
      </tp>
      <tp t="s">
        <v>N/A</v>
        <stp/>
        <stp>VOLUME</stp>
        <stp>.SPY250829C574</stp>
        <tr r="P33" s="2"/>
      </tp>
      <tp t="s">
        <v>N/A</v>
        <stp/>
        <stp>VOLUME</stp>
        <stp>.SPY250822P578</stp>
        <tr r="O29" s="2"/>
      </tp>
      <tp t="s">
        <v>N/A</v>
        <stp/>
        <stp>VOLUME</stp>
        <stp>.SPY250829P573</stp>
        <tr r="P34" s="2"/>
      </tp>
      <tp t="s">
        <v>N/A</v>
        <stp/>
        <stp>VOLUME</stp>
        <stp>.SPY250822C578</stp>
        <tr r="O29" s="2"/>
      </tp>
      <tp t="s">
        <v>N/A</v>
        <stp/>
        <stp>VOLUME</stp>
        <stp>.SPY250829C573</stp>
        <tr r="P34" s="2"/>
      </tp>
      <tp t="s">
        <v>N/A</v>
        <stp/>
        <stp>VOLUME</stp>
        <stp>.SPY250822P579</stp>
        <tr r="O28" s="2"/>
      </tp>
      <tp t="s">
        <v>N/A</v>
        <stp/>
        <stp>VOLUME</stp>
        <stp>.SPY250829P572</stp>
        <tr r="P35" s="2"/>
      </tp>
      <tp t="s">
        <v>N/A</v>
        <stp/>
        <stp>VOLUME</stp>
        <stp>.SPY250822C579</stp>
        <tr r="O28" s="2"/>
      </tp>
      <tp t="s">
        <v>N/A</v>
        <stp/>
        <stp>VOLUME</stp>
        <stp>.SPY250829C572</stp>
        <tr r="P35" s="2"/>
      </tp>
      <tp>
        <v>3</v>
        <stp/>
        <stp>VOLUME</stp>
        <stp>.SPY250829P571</stp>
        <tr r="P36" s="2"/>
        <tr r="P36" s="2"/>
      </tp>
      <tp t="s">
        <v>N/A</v>
        <stp/>
        <stp>VOLUME</stp>
        <stp>.SPY250829C571</stp>
        <tr r="P36" s="2"/>
      </tp>
      <tp>
        <v>12</v>
        <stp/>
        <stp>VOLUME</stp>
        <stp>.SPY250829P570</stp>
        <tr r="P37" s="2"/>
        <tr r="P37" s="2"/>
      </tp>
      <tp>
        <v>5</v>
        <stp/>
        <stp>VOLUME</stp>
        <stp>.SPY250829C570</stp>
        <tr r="P37" s="2"/>
        <tr r="P37" s="2"/>
      </tp>
      <tp>
        <v>1</v>
        <stp/>
        <stp>VOLUME</stp>
        <stp>.SPY250829P569</stp>
        <tr r="P38" s="2"/>
        <tr r="P38" s="2"/>
      </tp>
      <tp>
        <v>1</v>
        <stp/>
        <stp>VOLUME</stp>
        <stp>.SPY250829C569</stp>
        <tr r="P38" s="2"/>
        <tr r="P38" s="2"/>
      </tp>
      <tp>
        <v>1</v>
        <stp/>
        <stp>VOLUME</stp>
        <stp>.SPY250829P568</stp>
        <tr r="P39" s="2"/>
        <tr r="P39" s="2"/>
      </tp>
      <tp t="s">
        <v>N/A</v>
        <stp/>
        <stp>VOLUME</stp>
        <stp>.SPY250829C568</stp>
        <tr r="P39" s="2"/>
      </tp>
      <tp t="s">
        <v>N/A</v>
        <stp/>
        <stp>VOLUME</stp>
        <stp>.SPY250822P568</stp>
        <tr r="O39" s="2"/>
      </tp>
      <tp t="s">
        <v>N/A</v>
        <stp/>
        <stp>VOLUME</stp>
        <stp>.SPY250822C568</stp>
        <tr r="O39" s="2"/>
      </tp>
      <tp t="s">
        <v>N/A</v>
        <stp/>
        <stp>VOLUME</stp>
        <stp>.SPY250822P569</stp>
        <tr r="O38" s="2"/>
      </tp>
      <tp t="s">
        <v>N/A</v>
        <stp/>
        <stp>VOLUME</stp>
        <stp>.SPY250822C569</stp>
        <tr r="O38" s="2"/>
      </tp>
      <tp t="s">
        <v>N/A</v>
        <stp/>
        <stp>VOLUME</stp>
        <stp>.SPX250606C5900</stp>
        <tr r="H103" s="2"/>
      </tp>
      <tp t="s">
        <v>N/A</v>
        <stp/>
        <stp>VOLUME</stp>
        <stp>.SPX250606P5900</stp>
        <tr r="H103" s="2"/>
      </tp>
      <tp t="s">
        <v>N/A</v>
        <stp/>
        <stp>VOLUME</stp>
        <stp>.SPX250606C5910</stp>
        <tr r="H102" s="2"/>
      </tp>
      <tp t="s">
        <v>N/A</v>
        <stp/>
        <stp>VOLUME</stp>
        <stp>.SPX250606P5910</stp>
        <tr r="H102" s="2"/>
      </tp>
      <tp t="s">
        <v>N/A</v>
        <stp/>
        <stp>VOLUME</stp>
        <stp>.SPX250606C5920</stp>
        <tr r="H101" s="2"/>
      </tp>
      <tp t="s">
        <v>N/A</v>
        <stp/>
        <stp>VOLUME</stp>
        <stp>.SPX250606P5920</stp>
        <tr r="H101" s="2"/>
      </tp>
      <tp t="s">
        <v>N/A</v>
        <stp/>
        <stp>VOLUME</stp>
        <stp>.SPX250606C5930</stp>
        <tr r="H100" s="2"/>
      </tp>
      <tp t="s">
        <v>N/A</v>
        <stp/>
        <stp>VOLUME</stp>
        <stp>.SPX250606P5930</stp>
        <tr r="H100" s="2"/>
      </tp>
      <tp t="s">
        <v>N/A</v>
        <stp/>
        <stp>VOLUME</stp>
        <stp>.SPX250606C5940</stp>
        <tr r="H99" s="2"/>
      </tp>
      <tp t="s">
        <v>N/A</v>
        <stp/>
        <stp>VOLUME</stp>
        <stp>.SPX250606P5940</stp>
        <tr r="H99" s="2"/>
      </tp>
      <tp t="s">
        <v>N/A</v>
        <stp/>
        <stp>VOLUME</stp>
        <stp>.SPX250606C5950</stp>
        <tr r="H98" s="2"/>
      </tp>
      <tp t="s">
        <v>N/A</v>
        <stp/>
        <stp>VOLUME</stp>
        <stp>.SPX250606P5950</stp>
        <tr r="H98" s="2"/>
      </tp>
      <tp t="s">
        <v>N/A</v>
        <stp/>
        <stp>VOLUME</stp>
        <stp>.SPX250606C5960</stp>
        <tr r="H97" s="2"/>
      </tp>
      <tp t="s">
        <v>N/A</v>
        <stp/>
        <stp>VOLUME</stp>
        <stp>.SPX250606P5960</stp>
        <tr r="H97" s="2"/>
      </tp>
      <tp t="s">
        <v>N/A</v>
        <stp/>
        <stp>VOLUME</stp>
        <stp>.SPX250606C5970</stp>
        <tr r="H96" s="2"/>
      </tp>
      <tp t="s">
        <v>N/A</v>
        <stp/>
        <stp>VOLUME</stp>
        <stp>.SPX250606P5970</stp>
        <tr r="H96" s="2"/>
      </tp>
      <tp t="s">
        <v>N/A</v>
        <stp/>
        <stp>VOLUME</stp>
        <stp>.SPX250606C5980</stp>
        <tr r="H95" s="2"/>
      </tp>
      <tp t="s">
        <v>N/A</v>
        <stp/>
        <stp>VOLUME</stp>
        <stp>.SPX250606P5980</stp>
        <tr r="H95" s="2"/>
      </tp>
      <tp t="s">
        <v>N/A</v>
        <stp/>
        <stp>VOLUME</stp>
        <stp>.SPX250606C5990</stp>
        <tr r="H94" s="2"/>
      </tp>
      <tp t="s">
        <v>N/A</v>
        <stp/>
        <stp>VOLUME</stp>
        <stp>.SPX250606P5990</stp>
        <tr r="H94" s="2"/>
      </tp>
      <tp t="s">
        <v>N/A</v>
        <stp/>
        <stp>VOLUME</stp>
        <stp>.SPX250606C5800</stp>
        <tr r="H113" s="2"/>
      </tp>
      <tp t="s">
        <v>N/A</v>
        <stp/>
        <stp>VOLUME</stp>
        <stp>.SPX250606P5800</stp>
        <tr r="H113" s="2"/>
      </tp>
      <tp t="s">
        <v>N/A</v>
        <stp/>
        <stp>VOLUME</stp>
        <stp>.SPX250606C5810</stp>
        <tr r="H112" s="2"/>
      </tp>
      <tp t="s">
        <v>N/A</v>
        <stp/>
        <stp>VOLUME</stp>
        <stp>.SPX250606P5810</stp>
        <tr r="H112" s="2"/>
      </tp>
      <tp t="s">
        <v>N/A</v>
        <stp/>
        <stp>VOLUME</stp>
        <stp>.SPX250606C5820</stp>
        <tr r="H111" s="2"/>
      </tp>
      <tp t="s">
        <v>N/A</v>
        <stp/>
        <stp>VOLUME</stp>
        <stp>.SPX250606P5820</stp>
        <tr r="H111" s="2"/>
      </tp>
      <tp t="s">
        <v>N/A</v>
        <stp/>
        <stp>VOLUME</stp>
        <stp>.SPX250606C5830</stp>
        <tr r="H110" s="2"/>
      </tp>
      <tp t="s">
        <v>N/A</v>
        <stp/>
        <stp>VOLUME</stp>
        <stp>.SPX250606P5830</stp>
        <tr r="H110" s="2"/>
      </tp>
      <tp t="s">
        <v>N/A</v>
        <stp/>
        <stp>VOLUME</stp>
        <stp>.SPX250606C5840</stp>
        <tr r="H109" s="2"/>
      </tp>
      <tp t="s">
        <v>N/A</v>
        <stp/>
        <stp>VOLUME</stp>
        <stp>.SPX250606P5840</stp>
        <tr r="H109" s="2"/>
      </tp>
      <tp t="s">
        <v>N/A</v>
        <stp/>
        <stp>VOLUME</stp>
        <stp>.SPX250606C5850</stp>
        <tr r="H108" s="2"/>
      </tp>
      <tp t="s">
        <v>N/A</v>
        <stp/>
        <stp>VOLUME</stp>
        <stp>.SPX250606P5850</stp>
        <tr r="H108" s="2"/>
      </tp>
      <tp t="s">
        <v>N/A</v>
        <stp/>
        <stp>VOLUME</stp>
        <stp>.SPX250606C5860</stp>
        <tr r="H107" s="2"/>
      </tp>
      <tp t="s">
        <v>N/A</v>
        <stp/>
        <stp>VOLUME</stp>
        <stp>.SPX250606P5860</stp>
        <tr r="H107" s="2"/>
      </tp>
      <tp t="s">
        <v>N/A</v>
        <stp/>
        <stp>VOLUME</stp>
        <stp>.SPX250606C5870</stp>
        <tr r="H106" s="2"/>
      </tp>
      <tp t="s">
        <v>N/A</v>
        <stp/>
        <stp>VOLUME</stp>
        <stp>.SPX250606P5870</stp>
        <tr r="H106" s="2"/>
      </tp>
      <tp t="s">
        <v>N/A</v>
        <stp/>
        <stp>VOLUME</stp>
        <stp>.SPX250606C5880</stp>
        <tr r="H105" s="2"/>
      </tp>
      <tp t="s">
        <v>N/A</v>
        <stp/>
        <stp>VOLUME</stp>
        <stp>.SPX250606P5880</stp>
        <tr r="H105" s="2"/>
      </tp>
      <tp t="s">
        <v>N/A</v>
        <stp/>
        <stp>VOLUME</stp>
        <stp>.SPX250606C5890</stp>
        <tr r="H104" s="2"/>
      </tp>
      <tp t="s">
        <v>N/A</v>
        <stp/>
        <stp>VOLUME</stp>
        <stp>.SPX250606P5890</stp>
        <tr r="H104" s="2"/>
      </tp>
      <tp>
        <v>2483</v>
        <stp/>
        <stp>OPEN_INT</stp>
        <stp>.SPXW250520C6010</stp>
        <tr r="AS91" s="1"/>
        <tr r="AS91" s="1"/>
      </tp>
      <tp>
        <v>832</v>
        <stp/>
        <stp>OPEN_INT</stp>
        <stp>.SPXW250523C6020</stp>
        <tr r="AU90" s="1"/>
        <tr r="AU90" s="1"/>
      </tp>
      <tp>
        <v>31</v>
        <stp/>
        <stp>OPEN_INT</stp>
        <stp>.SPXW250520P6010</stp>
        <tr r="AT91" s="1"/>
        <tr r="AT91" s="1"/>
      </tp>
      <tp>
        <v>13</v>
        <stp/>
        <stp>OPEN_INT</stp>
        <stp>.SPXW250523P6020</stp>
        <tr r="AV90" s="1"/>
        <tr r="AV90" s="1"/>
      </tp>
      <tp>
        <v>4718</v>
        <stp/>
        <stp>OPEN_INT</stp>
        <stp>.SPXW250520C6000</stp>
        <tr r="AS92" s="1"/>
        <tr r="AS92" s="1"/>
      </tp>
      <tp>
        <v>1174</v>
        <stp/>
        <stp>OPEN_INT</stp>
        <stp>.SPXW250523C6030</stp>
        <tr r="AU89" s="1"/>
        <tr r="AU89" s="1"/>
      </tp>
      <tp>
        <v>82</v>
        <stp/>
        <stp>OPEN_INT</stp>
        <stp>.SPXW250520P6000</stp>
        <tr r="AT92" s="1"/>
        <tr r="AT92" s="1"/>
      </tp>
      <tp>
        <v>20</v>
        <stp/>
        <stp>OPEN_INT</stp>
        <stp>.SPXW250523P6030</stp>
        <tr r="AV89" s="1"/>
        <tr r="AV89" s="1"/>
      </tp>
      <tp>
        <v>1315</v>
        <stp/>
        <stp>OPEN_INT</stp>
        <stp>.SPXW250520C6030</stp>
        <tr r="AS89" s="1"/>
        <tr r="AS89" s="1"/>
      </tp>
      <tp>
        <v>3650</v>
        <stp/>
        <stp>OPEN_INT</stp>
        <stp>.SPXW250523C6000</stp>
        <tr r="AU92" s="1"/>
        <tr r="AU92" s="1"/>
      </tp>
      <tp>
        <v>71</v>
        <stp/>
        <stp>OPEN_INT</stp>
        <stp>.SPXW250520P6030</stp>
        <tr r="AT89" s="1"/>
        <tr r="AT89" s="1"/>
      </tp>
      <tp>
        <v>1034</v>
        <stp/>
        <stp>OPEN_INT</stp>
        <stp>.SPXW250523P6000</stp>
        <tr r="AV92" s="1"/>
        <tr r="AV92" s="1"/>
      </tp>
      <tp>
        <v>3118</v>
        <stp/>
        <stp>OPEN_INT</stp>
        <stp>.SPXW250520C6020</stp>
        <tr r="AS90" s="1"/>
        <tr r="AS90" s="1"/>
      </tp>
      <tp>
        <v>653</v>
        <stp/>
        <stp>OPEN_INT</stp>
        <stp>.SPXW250523C6010</stp>
        <tr r="AU91" s="1"/>
        <tr r="AU91" s="1"/>
      </tp>
      <tp>
        <v>22</v>
        <stp/>
        <stp>OPEN_INT</stp>
        <stp>.SPXW250520P6020</stp>
        <tr r="AT90" s="1"/>
        <tr r="AT90" s="1"/>
      </tp>
      <tp>
        <v>28</v>
        <stp/>
        <stp>OPEN_INT</stp>
        <stp>.SPXW250523P6010</stp>
        <tr r="AV91" s="1"/>
        <tr r="AV91" s="1"/>
      </tp>
      <tp>
        <v>2711</v>
        <stp/>
        <stp>OPEN_INT</stp>
        <stp>.SPXW250520C6050</stp>
        <tr r="AS87" s="1"/>
        <tr r="AS87" s="1"/>
      </tp>
      <tp>
        <v>443</v>
        <stp/>
        <stp>OPEN_INT</stp>
        <stp>.SPXW250523C6060</stp>
        <tr r="AU86" s="1"/>
        <tr r="AU86" s="1"/>
      </tp>
      <tp>
        <v>211</v>
        <stp/>
        <stp>OPEN_INT</stp>
        <stp>.SPXW250520P6050</stp>
        <tr r="AT87" s="1"/>
        <tr r="AT87" s="1"/>
      </tp>
      <tp>
        <v>2</v>
        <stp/>
        <stp>OPEN_INT</stp>
        <stp>.SPXW250523P6060</stp>
        <tr r="AV86" s="1"/>
        <tr r="AV86" s="1"/>
      </tp>
      <tp>
        <v>1299</v>
        <stp/>
        <stp>OPEN_INT</stp>
        <stp>.SPXW250520C6040</stp>
        <tr r="AS88" s="1"/>
        <tr r="AS88" s="1"/>
      </tp>
      <tp>
        <v>553</v>
        <stp/>
        <stp>OPEN_INT</stp>
        <stp>.SPXW250523C6070</stp>
        <tr r="AU85" s="1"/>
        <tr r="AU85" s="1"/>
      </tp>
      <tp>
        <v>201</v>
        <stp/>
        <stp>OPEN_INT</stp>
        <stp>.SPXW250520P6040</stp>
        <tr r="AT88" s="1"/>
        <tr r="AT88" s="1"/>
      </tp>
      <tp>
        <v>15</v>
        <stp/>
        <stp>OPEN_INT</stp>
        <stp>.SPXW250523P6070</stp>
        <tr r="AV85" s="1"/>
        <tr r="AV85" s="1"/>
      </tp>
      <tp>
        <v>574</v>
        <stp/>
        <stp>OPEN_INT</stp>
        <stp>.SPXW250520C6070</stp>
        <tr r="AS85" s="1"/>
        <tr r="AS85" s="1"/>
      </tp>
      <tp>
        <v>688</v>
        <stp/>
        <stp>OPEN_INT</stp>
        <stp>.SPXW250523C6040</stp>
        <tr r="AU88" s="1"/>
        <tr r="AU88" s="1"/>
      </tp>
      <tp>
        <v>2</v>
        <stp/>
        <stp>OPEN_INT</stp>
        <stp>.SPXW250520P6070</stp>
        <tr r="AT85" s="1"/>
        <tr r="AT85" s="1"/>
      </tp>
      <tp>
        <v>36</v>
        <stp/>
        <stp>OPEN_INT</stp>
        <stp>.SPXW250523P6040</stp>
        <tr r="AV88" s="1"/>
        <tr r="AV88" s="1"/>
      </tp>
      <tp>
        <v>829</v>
        <stp/>
        <stp>OPEN_INT</stp>
        <stp>.SPXW250520C6060</stp>
        <tr r="AS86" s="1"/>
        <tr r="AS86" s="1"/>
      </tp>
      <tp>
        <v>3469</v>
        <stp/>
        <stp>OPEN_INT</stp>
        <stp>.SPXW250523C6050</stp>
        <tr r="AU87" s="1"/>
        <tr r="AU87" s="1"/>
      </tp>
      <tp>
        <v>6</v>
        <stp/>
        <stp>OPEN_INT</stp>
        <stp>.SPXW250520P6060</stp>
        <tr r="AT86" s="1"/>
        <tr r="AT86" s="1"/>
      </tp>
      <tp>
        <v>40</v>
        <stp/>
        <stp>OPEN_INT</stp>
        <stp>.SPXW250523P6050</stp>
        <tr r="AV87" s="1"/>
        <tr r="AV87" s="1"/>
      </tp>
      <tp t="s">
        <v>N/A</v>
        <stp/>
        <stp>VOLUME</stp>
        <stp>.SPX250725C5930</stp>
        <tr r="M100" s="2"/>
      </tp>
      <tp>
        <v>5172</v>
        <stp/>
        <stp>VOLUME</stp>
        <stp>.SPX250620C5960</stp>
        <tr r="BE96" s="1"/>
        <tr r="BE96" s="1"/>
      </tp>
      <tp t="s">
        <v>N/A</v>
        <stp/>
        <stp>VOLUME</stp>
        <stp>.SPX250627C5910</stp>
        <tr r="K102" s="2"/>
      </tp>
      <tp t="s">
        <v>N/A</v>
        <stp/>
        <stp>VOLUME</stp>
        <stp>.SPX250926C5900</stp>
        <tr r="Q103" s="2"/>
      </tp>
      <tp t="s">
        <v>N/A</v>
        <stp/>
        <stp>VOLUME</stp>
        <stp>.SPX250822C5940</stp>
        <tr r="O99" s="2"/>
      </tp>
      <tp t="s">
        <v>N/A</v>
        <stp/>
        <stp>VOLUME</stp>
        <stp>.SPX251226C5900</stp>
        <tr r="W103" s="2"/>
      </tp>
      <tp t="s">
        <v>N/A</v>
        <stp/>
        <stp>VOLUME</stp>
        <stp>.SPX251024C5920</stp>
        <tr r="S101" s="2"/>
      </tp>
      <tp t="s">
        <v>N/A</v>
        <stp/>
        <stp>VOLUME</stp>
        <stp>.SPX251226P5900</stp>
        <tr r="W103" s="2"/>
      </tp>
      <tp t="s">
        <v>N/A</v>
        <stp/>
        <stp>VOLUME</stp>
        <stp>.SPX251024P5920</stp>
        <tr r="S101" s="2"/>
      </tp>
      <tp t="s">
        <v>N/A</v>
        <stp/>
        <stp>VOLUME</stp>
        <stp>.SPX250725P5930</stp>
        <tr r="M100" s="2"/>
      </tp>
      <tp>
        <v>5159</v>
        <stp/>
        <stp>VOLUME</stp>
        <stp>.SPX250620P5960</stp>
        <tr r="BF96" s="1"/>
        <tr r="BF96" s="1"/>
      </tp>
      <tp t="s">
        <v>N/A</v>
        <stp/>
        <stp>VOLUME</stp>
        <stp>.SPX250627P5910</stp>
        <tr r="K102" s="2"/>
      </tp>
      <tp t="s">
        <v>N/A</v>
        <stp/>
        <stp>VOLUME</stp>
        <stp>.SPX250926P5900</stp>
        <tr r="Q103" s="2"/>
      </tp>
      <tp t="s">
        <v>N/A</v>
        <stp/>
        <stp>VOLUME</stp>
        <stp>.SPX250822P5940</stp>
        <tr r="O99" s="2"/>
      </tp>
      <tp t="s">
        <v>N/A</v>
        <stp/>
        <stp>VOLUME</stp>
        <stp>.SPX250725C5920</stp>
        <tr r="M101" s="2"/>
      </tp>
      <tp>
        <v>731</v>
        <stp/>
        <stp>VOLUME</stp>
        <stp>.SPX250620C5970</stp>
        <tr r="BE95" s="1"/>
        <tr r="BE95" s="1"/>
      </tp>
      <tp t="s">
        <v>N/A</v>
        <stp/>
        <stp>VOLUME</stp>
        <stp>.SPX250627C5900</stp>
        <tr r="K103" s="2"/>
      </tp>
      <tp t="s">
        <v>N/A</v>
        <stp/>
        <stp>VOLUME</stp>
        <stp>.SPX250926C5910</stp>
        <tr r="Q102" s="2"/>
      </tp>
      <tp t="s">
        <v>N/A</v>
        <stp/>
        <stp>VOLUME</stp>
        <stp>.SPX250822C5950</stp>
        <tr r="O98" s="2"/>
      </tp>
      <tp t="s">
        <v>N/A</v>
        <stp/>
        <stp>VOLUME</stp>
        <stp>.SPX251226C5910</stp>
        <tr r="W102" s="2"/>
      </tp>
      <tp t="s">
        <v>N/A</v>
        <stp/>
        <stp>VOLUME</stp>
        <stp>.SPX251024C5930</stp>
        <tr r="S100" s="2"/>
      </tp>
      <tp t="s">
        <v>N/A</v>
        <stp/>
        <stp>VOLUME</stp>
        <stp>.SPX251226P5910</stp>
        <tr r="W102" s="2"/>
      </tp>
      <tp t="s">
        <v>N/A</v>
        <stp/>
        <stp>VOLUME</stp>
        <stp>.SPX251024P5930</stp>
        <tr r="S100" s="2"/>
      </tp>
      <tp t="s">
        <v>N/A</v>
        <stp/>
        <stp>VOLUME</stp>
        <stp>.SPX250725P5920</stp>
        <tr r="M101" s="2"/>
      </tp>
      <tp>
        <v>706</v>
        <stp/>
        <stp>VOLUME</stp>
        <stp>.SPX250620P5970</stp>
        <tr r="BF95" s="1"/>
        <tr r="BF95" s="1"/>
      </tp>
      <tp t="s">
        <v>N/A</v>
        <stp/>
        <stp>VOLUME</stp>
        <stp>.SPX250627P5900</stp>
        <tr r="K103" s="2"/>
      </tp>
      <tp t="s">
        <v>N/A</v>
        <stp/>
        <stp>VOLUME</stp>
        <stp>.SPX250926P5910</stp>
        <tr r="Q102" s="2"/>
      </tp>
      <tp t="s">
        <v>N/A</v>
        <stp/>
        <stp>VOLUME</stp>
        <stp>.SPX250822P5950</stp>
        <tr r="O98" s="2"/>
      </tp>
      <tp t="s">
        <v>N/A</v>
        <stp/>
        <stp>VOLUME</stp>
        <stp>.SPX250725C5910</stp>
        <tr r="M102" s="2"/>
      </tp>
      <tp>
        <v>981</v>
        <stp/>
        <stp>VOLUME</stp>
        <stp>.SPX250620C5940</stp>
        <tr r="BE98" s="1"/>
        <tr r="BE98" s="1"/>
      </tp>
      <tp t="s">
        <v>N/A</v>
        <stp/>
        <stp>VOLUME</stp>
        <stp>.SPX250627C5930</stp>
        <tr r="K100" s="2"/>
      </tp>
      <tp t="s">
        <v>N/A</v>
        <stp/>
        <stp>VOLUME</stp>
        <stp>.SPX250926C5920</stp>
        <tr r="Q101" s="2"/>
      </tp>
      <tp t="s">
        <v>N/A</v>
        <stp/>
        <stp>VOLUME</stp>
        <stp>.SPX250822C5960</stp>
        <tr r="O97" s="2"/>
      </tp>
      <tp t="s">
        <v>N/A</v>
        <stp/>
        <stp>VOLUME</stp>
        <stp>.SPX251226C5920</stp>
        <tr r="W101" s="2"/>
      </tp>
      <tp t="s">
        <v>N/A</v>
        <stp/>
        <stp>VOLUME</stp>
        <stp>.SPX251024C5900</stp>
        <tr r="S103" s="2"/>
      </tp>
      <tp t="s">
        <v>N/A</v>
        <stp/>
        <stp>VOLUME</stp>
        <stp>.SPX251226P5920</stp>
        <tr r="W101" s="2"/>
      </tp>
      <tp t="s">
        <v>N/A</v>
        <stp/>
        <stp>VOLUME</stp>
        <stp>.SPX251024P5900</stp>
        <tr r="S103" s="2"/>
      </tp>
      <tp t="s">
        <v>N/A</v>
        <stp/>
        <stp>VOLUME</stp>
        <stp>.SPX250725P5910</stp>
        <tr r="M102" s="2"/>
      </tp>
      <tp>
        <v>836</v>
        <stp/>
        <stp>VOLUME</stp>
        <stp>.SPX250620P5940</stp>
        <tr r="BF98" s="1"/>
        <tr r="BF98" s="1"/>
      </tp>
      <tp t="s">
        <v>N/A</v>
        <stp/>
        <stp>VOLUME</stp>
        <stp>.SPX250627P5930</stp>
        <tr r="K100" s="2"/>
      </tp>
      <tp t="s">
        <v>N/A</v>
        <stp/>
        <stp>VOLUME</stp>
        <stp>.SPX250926P5920</stp>
        <tr r="Q101" s="2"/>
      </tp>
      <tp t="s">
        <v>N/A</v>
        <stp/>
        <stp>VOLUME</stp>
        <stp>.SPX250822P5960</stp>
        <tr r="O97" s="2"/>
      </tp>
      <tp t="s">
        <v>N/A</v>
        <stp/>
        <stp>VOLUME</stp>
        <stp>.SPX250725C5900</stp>
        <tr r="M103" s="2"/>
      </tp>
      <tp>
        <v>3333</v>
        <stp/>
        <stp>VOLUME</stp>
        <stp>.SPX250620C5950</stp>
        <tr r="BE97" s="1"/>
        <tr r="BE97" s="1"/>
      </tp>
      <tp t="s">
        <v>N/A</v>
        <stp/>
        <stp>VOLUME</stp>
        <stp>.SPX250627C5920</stp>
        <tr r="K101" s="2"/>
      </tp>
      <tp t="s">
        <v>N/A</v>
        <stp/>
        <stp>VOLUME</stp>
        <stp>.SPX250926C5930</stp>
        <tr r="Q100" s="2"/>
      </tp>
      <tp t="s">
        <v>N/A</v>
        <stp/>
        <stp>VOLUME</stp>
        <stp>.SPX250822C5970</stp>
        <tr r="O96" s="2"/>
      </tp>
      <tp t="s">
        <v>N/A</v>
        <stp/>
        <stp>VOLUME</stp>
        <stp>.SPX251226C5930</stp>
        <tr r="W100" s="2"/>
      </tp>
      <tp t="s">
        <v>N/A</v>
        <stp/>
        <stp>VOLUME</stp>
        <stp>.SPX251024C5910</stp>
        <tr r="S102" s="2"/>
      </tp>
      <tp t="s">
        <v>N/A</v>
        <stp/>
        <stp>VOLUME</stp>
        <stp>.SPX251226P5930</stp>
        <tr r="W100" s="2"/>
      </tp>
      <tp t="s">
        <v>N/A</v>
        <stp/>
        <stp>VOLUME</stp>
        <stp>.SPX251024P5910</stp>
        <tr r="S102" s="2"/>
      </tp>
      <tp t="s">
        <v>N/A</v>
        <stp/>
        <stp>VOLUME</stp>
        <stp>.SPX250725P5900</stp>
        <tr r="M103" s="2"/>
      </tp>
      <tp>
        <v>3854</v>
        <stp/>
        <stp>VOLUME</stp>
        <stp>.SPX250620P5950</stp>
        <tr r="BF97" s="1"/>
        <tr r="BF97" s="1"/>
      </tp>
      <tp t="s">
        <v>N/A</v>
        <stp/>
        <stp>VOLUME</stp>
        <stp>.SPX250627P5920</stp>
        <tr r="K101" s="2"/>
      </tp>
      <tp t="s">
        <v>N/A</v>
        <stp/>
        <stp>VOLUME</stp>
        <stp>.SPX250926P5930</stp>
        <tr r="Q100" s="2"/>
      </tp>
      <tp t="s">
        <v>N/A</v>
        <stp/>
        <stp>VOLUME</stp>
        <stp>.SPX250822P5970</stp>
        <tr r="O96" s="2"/>
      </tp>
      <tp t="s">
        <v>N/A</v>
        <stp/>
        <stp>VOLUME</stp>
        <stp>.SPX250725C5970</stp>
        <tr r="M96" s="2"/>
      </tp>
      <tp>
        <v>72</v>
        <stp/>
        <stp>VOLUME</stp>
        <stp>.SPX250620C5920</stp>
        <tr r="BE100" s="1"/>
        <tr r="BE100" s="1"/>
      </tp>
      <tp t="s">
        <v>N/A</v>
        <stp/>
        <stp>VOLUME</stp>
        <stp>.SPX250627C5950</stp>
        <tr r="K98" s="2"/>
      </tp>
      <tp t="s">
        <v>N/A</v>
        <stp/>
        <stp>VOLUME</stp>
        <stp>.SPX250926C5940</stp>
        <tr r="Q99" s="2"/>
      </tp>
      <tp t="s">
        <v>N/A</v>
        <stp/>
        <stp>VOLUME</stp>
        <stp>.SPX250822C5900</stp>
        <tr r="O103" s="2"/>
      </tp>
      <tp t="s">
        <v>N/A</v>
        <stp/>
        <stp>VOLUME</stp>
        <stp>.SPX251226C5940</stp>
        <tr r="W99" s="2"/>
      </tp>
      <tp t="s">
        <v>N/A</v>
        <stp/>
        <stp>VOLUME</stp>
        <stp>.SPX251024C5960</stp>
        <tr r="S97" s="2"/>
      </tp>
      <tp t="s">
        <v>N/A</v>
        <stp/>
        <stp>VOLUME</stp>
        <stp>.SPX251226P5940</stp>
        <tr r="W99" s="2"/>
      </tp>
      <tp t="s">
        <v>N/A</v>
        <stp/>
        <stp>VOLUME</stp>
        <stp>.SPX251024P5960</stp>
        <tr r="S97" s="2"/>
      </tp>
      <tp t="s">
        <v>N/A</v>
        <stp/>
        <stp>VOLUME</stp>
        <stp>.SPX250725P5970</stp>
        <tr r="M96" s="2"/>
      </tp>
      <tp>
        <v>140</v>
        <stp/>
        <stp>VOLUME</stp>
        <stp>.SPX250620P5920</stp>
        <tr r="BF100" s="1"/>
        <tr r="BF100" s="1"/>
      </tp>
      <tp t="s">
        <v>N/A</v>
        <stp/>
        <stp>VOLUME</stp>
        <stp>.SPX250627P5950</stp>
        <tr r="K98" s="2"/>
      </tp>
      <tp t="s">
        <v>N/A</v>
        <stp/>
        <stp>VOLUME</stp>
        <stp>.SPX250926P5940</stp>
        <tr r="Q99" s="2"/>
      </tp>
      <tp t="s">
        <v>N/A</v>
        <stp/>
        <stp>VOLUME</stp>
        <stp>.SPX250822P5900</stp>
        <tr r="O103" s="2"/>
      </tp>
      <tp t="s">
        <v>N/A</v>
        <stp/>
        <stp>VOLUME</stp>
        <stp>.SPX250725C5960</stp>
        <tr r="M97" s="2"/>
      </tp>
      <tp>
        <v>95</v>
        <stp/>
        <stp>VOLUME</stp>
        <stp>.SPX250620C5930</stp>
        <tr r="BE99" s="1"/>
        <tr r="BE99" s="1"/>
      </tp>
      <tp t="s">
        <v>N/A</v>
        <stp/>
        <stp>VOLUME</stp>
        <stp>.SPX250627C5940</stp>
        <tr r="K99" s="2"/>
      </tp>
      <tp t="s">
        <v>N/A</v>
        <stp/>
        <stp>VOLUME</stp>
        <stp>.SPX250926C5950</stp>
        <tr r="Q98" s="2"/>
      </tp>
      <tp t="s">
        <v>N/A</v>
        <stp/>
        <stp>VOLUME</stp>
        <stp>.SPX250822C5910</stp>
        <tr r="O102" s="2"/>
      </tp>
      <tp t="s">
        <v>N/A</v>
        <stp/>
        <stp>VOLUME</stp>
        <stp>.SPX251226C5950</stp>
        <tr r="W98" s="2"/>
      </tp>
      <tp t="s">
        <v>N/A</v>
        <stp/>
        <stp>VOLUME</stp>
        <stp>.SPX251024C5970</stp>
        <tr r="S96" s="2"/>
      </tp>
      <tp t="s">
        <v>N/A</v>
        <stp/>
        <stp>VOLUME</stp>
        <stp>.SPX251226P5950</stp>
        <tr r="W98" s="2"/>
      </tp>
      <tp t="s">
        <v>N/A</v>
        <stp/>
        <stp>VOLUME</stp>
        <stp>.SPX251024P5970</stp>
        <tr r="S96" s="2"/>
      </tp>
      <tp t="s">
        <v>N/A</v>
        <stp/>
        <stp>VOLUME</stp>
        <stp>.SPX250725P5960</stp>
        <tr r="M97" s="2"/>
      </tp>
      <tp>
        <v>75</v>
        <stp/>
        <stp>VOLUME</stp>
        <stp>.SPX250620P5930</stp>
        <tr r="BF99" s="1"/>
        <tr r="BF99" s="1"/>
      </tp>
      <tp t="s">
        <v>N/A</v>
        <stp/>
        <stp>VOLUME</stp>
        <stp>.SPX250627P5940</stp>
        <tr r="K99" s="2"/>
      </tp>
      <tp t="s">
        <v>N/A</v>
        <stp/>
        <stp>VOLUME</stp>
        <stp>.SPX250926P5950</stp>
        <tr r="Q98" s="2"/>
      </tp>
      <tp t="s">
        <v>N/A</v>
        <stp/>
        <stp>VOLUME</stp>
        <stp>.SPX250822P5910</stp>
        <tr r="O102" s="2"/>
      </tp>
      <tp t="s">
        <v>N/A</v>
        <stp/>
        <stp>VOLUME</stp>
        <stp>.SPX250725C5950</stp>
        <tr r="M98" s="2"/>
      </tp>
      <tp>
        <v>166</v>
        <stp/>
        <stp>VOLUME</stp>
        <stp>.SPX250620C5900</stp>
        <tr r="BE102" s="1"/>
        <tr r="BE102" s="1"/>
      </tp>
      <tp t="s">
        <v>N/A</v>
        <stp/>
        <stp>VOLUME</stp>
        <stp>.SPX250627C5970</stp>
        <tr r="K96" s="2"/>
      </tp>
      <tp t="s">
        <v>N/A</v>
        <stp/>
        <stp>VOLUME</stp>
        <stp>.SPX250926C5960</stp>
        <tr r="Q97" s="2"/>
      </tp>
      <tp t="s">
        <v>N/A</v>
        <stp/>
        <stp>VOLUME</stp>
        <stp>.SPX250822C5920</stp>
        <tr r="O101" s="2"/>
      </tp>
      <tp t="s">
        <v>N/A</v>
        <stp/>
        <stp>VOLUME</stp>
        <stp>.SPX251226C5960</stp>
        <tr r="W97" s="2"/>
      </tp>
      <tp t="s">
        <v>N/A</v>
        <stp/>
        <stp>VOLUME</stp>
        <stp>.SPX251128C5980</stp>
        <tr r="U95" s="2"/>
      </tp>
      <tp t="s">
        <v>N/A</v>
        <stp/>
        <stp>VOLUME</stp>
        <stp>.SPX251024C5940</stp>
        <tr r="S99" s="2"/>
      </tp>
      <tp t="s">
        <v>N/A</v>
        <stp/>
        <stp>VOLUME</stp>
        <stp>.SPX251226P5960</stp>
        <tr r="W97" s="2"/>
      </tp>
      <tp t="s">
        <v>N/A</v>
        <stp/>
        <stp>VOLUME</stp>
        <stp>.SPX251128P5980</stp>
        <tr r="U95" s="2"/>
      </tp>
      <tp t="s">
        <v>N/A</v>
        <stp/>
        <stp>VOLUME</stp>
        <stp>.SPX251024P5940</stp>
        <tr r="S99" s="2"/>
      </tp>
      <tp t="s">
        <v>N/A</v>
        <stp/>
        <stp>VOLUME</stp>
        <stp>.SPX250725P5950</stp>
        <tr r="M98" s="2"/>
      </tp>
      <tp>
        <v>987</v>
        <stp/>
        <stp>VOLUME</stp>
        <stp>.SPX250620P5900</stp>
        <tr r="BF102" s="1"/>
        <tr r="BF102" s="1"/>
      </tp>
      <tp t="s">
        <v>N/A</v>
        <stp/>
        <stp>VOLUME</stp>
        <stp>.SPX250627P5970</stp>
        <tr r="K96" s="2"/>
      </tp>
      <tp t="s">
        <v>N/A</v>
        <stp/>
        <stp>VOLUME</stp>
        <stp>.SPX250926P5960</stp>
        <tr r="Q97" s="2"/>
      </tp>
      <tp t="s">
        <v>N/A</v>
        <stp/>
        <stp>VOLUME</stp>
        <stp>.SPX250822P5920</stp>
        <tr r="O101" s="2"/>
      </tp>
      <tp t="s">
        <v>N/A</v>
        <stp/>
        <stp>VOLUME</stp>
        <stp>.SPX250725C5940</stp>
        <tr r="M99" s="2"/>
      </tp>
      <tp>
        <v>10</v>
        <stp/>
        <stp>VOLUME</stp>
        <stp>.SPX250620C5910</stp>
        <tr r="BE101" s="1"/>
        <tr r="BE101" s="1"/>
      </tp>
      <tp t="s">
        <v>N/A</v>
        <stp/>
        <stp>VOLUME</stp>
        <stp>.SPX250627C5960</stp>
        <tr r="K97" s="2"/>
      </tp>
      <tp t="s">
        <v>N/A</v>
        <stp/>
        <stp>VOLUME</stp>
        <stp>.SPX250926C5970</stp>
        <tr r="Q96" s="2"/>
      </tp>
      <tp t="s">
        <v>N/A</v>
        <stp/>
        <stp>VOLUME</stp>
        <stp>.SPX250822C5930</stp>
        <tr r="O100" s="2"/>
      </tp>
      <tp t="s">
        <v>N/A</v>
        <stp/>
        <stp>VOLUME</stp>
        <stp>.SPX251226C5970</stp>
        <tr r="W96" s="2"/>
      </tp>
      <tp t="s">
        <v>N/A</v>
        <stp/>
        <stp>VOLUME</stp>
        <stp>.SPX251128C5990</stp>
        <tr r="U94" s="2"/>
      </tp>
      <tp t="s">
        <v>N/A</v>
        <stp/>
        <stp>VOLUME</stp>
        <stp>.SPX251024C5950</stp>
        <tr r="S98" s="2"/>
      </tp>
      <tp t="s">
        <v>N/A</v>
        <stp/>
        <stp>VOLUME</stp>
        <stp>.SPX251226P5970</stp>
        <tr r="W96" s="2"/>
      </tp>
      <tp t="s">
        <v>N/A</v>
        <stp/>
        <stp>VOLUME</stp>
        <stp>.SPX251128P5990</stp>
        <tr r="U94" s="2"/>
      </tp>
      <tp t="s">
        <v>N/A</v>
        <stp/>
        <stp>VOLUME</stp>
        <stp>.SPX251024P5950</stp>
        <tr r="S98" s="2"/>
      </tp>
      <tp t="s">
        <v>N/A</v>
        <stp/>
        <stp>VOLUME</stp>
        <stp>.SPX250725P5940</stp>
        <tr r="M99" s="2"/>
      </tp>
      <tp>
        <v>27</v>
        <stp/>
        <stp>VOLUME</stp>
        <stp>.SPX250620P5910</stp>
        <tr r="BF101" s="1"/>
        <tr r="BF101" s="1"/>
      </tp>
      <tp t="s">
        <v>N/A</v>
        <stp/>
        <stp>VOLUME</stp>
        <stp>.SPX250627P5960</stp>
        <tr r="K97" s="2"/>
      </tp>
      <tp t="s">
        <v>N/A</v>
        <stp/>
        <stp>VOLUME</stp>
        <stp>.SPX250926P5970</stp>
        <tr r="Q96" s="2"/>
      </tp>
      <tp t="s">
        <v>N/A</v>
        <stp/>
        <stp>VOLUME</stp>
        <stp>.SPX250822P5930</stp>
        <tr r="O100" s="2"/>
      </tp>
      <tp t="s">
        <v>N/A</v>
        <stp/>
        <stp>VOLUME</stp>
        <stp>.SPX250627C5990</stp>
        <tr r="K94" s="2"/>
      </tp>
      <tp t="s">
        <v>N/A</v>
        <stp/>
        <stp>VOLUME</stp>
        <stp>.SPX250926C5980</stp>
        <tr r="Q95" s="2"/>
      </tp>
      <tp t="s">
        <v>N/A</v>
        <stp/>
        <stp>VOLUME</stp>
        <stp>.SPX251226C5980</stp>
        <tr r="W95" s="2"/>
      </tp>
      <tp t="s">
        <v>N/A</v>
        <stp/>
        <stp>VOLUME</stp>
        <stp>.SPX251128C5960</stp>
        <tr r="U97" s="2"/>
      </tp>
      <tp t="s">
        <v>N/A</v>
        <stp/>
        <stp>VOLUME</stp>
        <stp>.SPX251226P5980</stp>
        <tr r="W95" s="2"/>
      </tp>
      <tp t="s">
        <v>N/A</v>
        <stp/>
        <stp>VOLUME</stp>
        <stp>.SPX251128P5960</stp>
        <tr r="U97" s="2"/>
      </tp>
      <tp t="s">
        <v>N/A</v>
        <stp/>
        <stp>VOLUME</stp>
        <stp>.SPX250627P5990</stp>
        <tr r="K94" s="2"/>
      </tp>
      <tp t="s">
        <v>N/A</v>
        <stp/>
        <stp>VOLUME</stp>
        <stp>.SPX250926P5980</stp>
        <tr r="Q95" s="2"/>
      </tp>
      <tp t="s">
        <v>N/A</v>
        <stp/>
        <stp>VOLUME</stp>
        <stp>.SPX250627C5980</stp>
        <tr r="K95" s="2"/>
      </tp>
      <tp t="s">
        <v>N/A</v>
        <stp/>
        <stp>VOLUME</stp>
        <stp>.SPX250926C5990</stp>
        <tr r="Q94" s="2"/>
      </tp>
      <tp t="s">
        <v>N/A</v>
        <stp/>
        <stp>VOLUME</stp>
        <stp>.SPX251226C5990</stp>
        <tr r="W94" s="2"/>
      </tp>
      <tp t="s">
        <v>N/A</v>
        <stp/>
        <stp>VOLUME</stp>
        <stp>.SPX251128C5970</stp>
        <tr r="U96" s="2"/>
      </tp>
      <tp t="s">
        <v>N/A</v>
        <stp/>
        <stp>VOLUME</stp>
        <stp>.SPX251226P5990</stp>
        <tr r="W94" s="2"/>
      </tp>
      <tp t="s">
        <v>N/A</v>
        <stp/>
        <stp>VOLUME</stp>
        <stp>.SPX251128P5970</stp>
        <tr r="U96" s="2"/>
      </tp>
      <tp t="s">
        <v>N/A</v>
        <stp/>
        <stp>VOLUME</stp>
        <stp>.SPX250627P5980</stp>
        <tr r="K95" s="2"/>
      </tp>
      <tp t="s">
        <v>N/A</v>
        <stp/>
        <stp>VOLUME</stp>
        <stp>.SPX250926P5990</stp>
        <tr r="Q94" s="2"/>
      </tp>
      <tp t="s">
        <v>N/A</v>
        <stp/>
        <stp>VOLUME</stp>
        <stp>.SPX250725C5990</stp>
        <tr r="M94" s="2"/>
      </tp>
      <tp t="s">
        <v>N/A</v>
        <stp/>
        <stp>VOLUME</stp>
        <stp>.SPX251128C5940</stp>
        <tr r="U99" s="2"/>
      </tp>
      <tp t="s">
        <v>N/A</v>
        <stp/>
        <stp>VOLUME</stp>
        <stp>.SPX251024C5980</stp>
        <tr r="S95" s="2"/>
      </tp>
      <tp t="s">
        <v>N/A</v>
        <stp/>
        <stp>VOLUME</stp>
        <stp>.SPX251128P5940</stp>
        <tr r="U99" s="2"/>
      </tp>
      <tp t="s">
        <v>N/A</v>
        <stp/>
        <stp>VOLUME</stp>
        <stp>.SPX251024P5980</stp>
        <tr r="S95" s="2"/>
      </tp>
      <tp t="s">
        <v>N/A</v>
        <stp/>
        <stp>VOLUME</stp>
        <stp>.SPX250725P5990</stp>
        <tr r="M94" s="2"/>
      </tp>
      <tp t="s">
        <v>N/A</v>
        <stp/>
        <stp>VOLUME</stp>
        <stp>.SPX250725C5980</stp>
        <tr r="M95" s="2"/>
      </tp>
      <tp t="s">
        <v>N/A</v>
        <stp/>
        <stp>VOLUME</stp>
        <stp>.SPX251128C5950</stp>
        <tr r="U98" s="2"/>
      </tp>
      <tp t="s">
        <v>N/A</v>
        <stp/>
        <stp>VOLUME</stp>
        <stp>.SPX251024C5990</stp>
        <tr r="S94" s="2"/>
      </tp>
      <tp t="s">
        <v>N/A</v>
        <stp/>
        <stp>VOLUME</stp>
        <stp>.SPX251128P5950</stp>
        <tr r="U98" s="2"/>
      </tp>
      <tp t="s">
        <v>N/A</v>
        <stp/>
        <stp>VOLUME</stp>
        <stp>.SPX251024P5990</stp>
        <tr r="S94" s="2"/>
      </tp>
      <tp t="s">
        <v>N/A</v>
        <stp/>
        <stp>VOLUME</stp>
        <stp>.SPX250725P5980</stp>
        <tr r="M95" s="2"/>
      </tp>
      <tp t="s">
        <v>N/A</v>
        <stp/>
        <stp>VOLUME</stp>
        <stp>.SPX250822C5980</stp>
        <tr r="O95" s="2"/>
      </tp>
      <tp t="s">
        <v>N/A</v>
        <stp/>
        <stp>VOLUME</stp>
        <stp>.SPX251128C5920</stp>
        <tr r="U101" s="2"/>
      </tp>
      <tp t="s">
        <v>N/A</v>
        <stp/>
        <stp>VOLUME</stp>
        <stp>.SPX251128P5920</stp>
        <tr r="U101" s="2"/>
      </tp>
      <tp t="s">
        <v>N/A</v>
        <stp/>
        <stp>VOLUME</stp>
        <stp>.SPX250822P5980</stp>
        <tr r="O95" s="2"/>
      </tp>
      <tp t="s">
        <v>N/A</v>
        <stp/>
        <stp>VOLUME</stp>
        <stp>.SPX250822C5990</stp>
        <tr r="O94" s="2"/>
      </tp>
      <tp t="s">
        <v>N/A</v>
        <stp/>
        <stp>VOLUME</stp>
        <stp>.SPX251128C5930</stp>
        <tr r="U100" s="2"/>
      </tp>
      <tp t="s">
        <v>N/A</v>
        <stp/>
        <stp>VOLUME</stp>
        <stp>.SPX251128P5930</stp>
        <tr r="U100" s="2"/>
      </tp>
      <tp t="s">
        <v>N/A</v>
        <stp/>
        <stp>VOLUME</stp>
        <stp>.SPX250822P5990</stp>
        <tr r="O94" s="2"/>
      </tp>
      <tp>
        <v>23</v>
        <stp/>
        <stp>VOLUME</stp>
        <stp>.SPX250620C5980</stp>
        <tr r="BE94" s="1"/>
        <tr r="BE94" s="1"/>
      </tp>
      <tp t="s">
        <v>N/A</v>
        <stp/>
        <stp>VOLUME</stp>
        <stp>.SPX251128C5900</stp>
        <tr r="U103" s="2"/>
      </tp>
      <tp t="s">
        <v>N/A</v>
        <stp/>
        <stp>VOLUME</stp>
        <stp>.SPX251128P5900</stp>
        <tr r="U103" s="2"/>
      </tp>
      <tp>
        <v>8</v>
        <stp/>
        <stp>VOLUME</stp>
        <stp>.SPX250620P5980</stp>
        <tr r="BF94" s="1"/>
        <tr r="BF94" s="1"/>
      </tp>
      <tp>
        <v>60</v>
        <stp/>
        <stp>VOLUME</stp>
        <stp>.SPX250620C5990</stp>
        <tr r="BE93" s="1"/>
        <tr r="BE93" s="1"/>
      </tp>
      <tp t="s">
        <v>N/A</v>
        <stp/>
        <stp>VOLUME</stp>
        <stp>.SPX251128C5910</stp>
        <tr r="U102" s="2"/>
      </tp>
      <tp t="s">
        <v>N/A</v>
        <stp/>
        <stp>VOLUME</stp>
        <stp>.SPX251128P5910</stp>
        <tr r="U102" s="2"/>
      </tp>
      <tp t="s">
        <v>N/A</v>
        <stp/>
        <stp>VOLUME</stp>
        <stp>.SPX250620P5990</stp>
        <tr r="BF93" s="1"/>
      </tp>
      <tp t="s">
        <v>N/A</v>
        <stp/>
        <stp>VOLUME</stp>
        <stp>.SPX250725C5830</stp>
        <tr r="M110" s="2"/>
      </tp>
      <tp>
        <v>5</v>
        <stp/>
        <stp>VOLUME</stp>
        <stp>.SPX250620C5860</stp>
        <tr r="BE106" s="1"/>
        <tr r="BE106" s="1"/>
      </tp>
      <tp t="s">
        <v>N/A</v>
        <stp/>
        <stp>VOLUME</stp>
        <stp>.SPX250627C5810</stp>
        <tr r="K112" s="2"/>
      </tp>
      <tp t="s">
        <v>N/A</v>
        <stp/>
        <stp>VOLUME</stp>
        <stp>.SPX250926C5800</stp>
        <tr r="Q113" s="2"/>
      </tp>
      <tp t="s">
        <v>N/A</v>
        <stp/>
        <stp>VOLUME</stp>
        <stp>.SPX250822C5840</stp>
        <tr r="O109" s="2"/>
      </tp>
      <tp t="s">
        <v>N/A</v>
        <stp/>
        <stp>VOLUME</stp>
        <stp>.SPX251226C5800</stp>
        <tr r="W113" s="2"/>
      </tp>
      <tp t="s">
        <v>N/A</v>
        <stp/>
        <stp>VOLUME</stp>
        <stp>.SPX251024C5820</stp>
        <tr r="S111" s="2"/>
      </tp>
      <tp t="s">
        <v>N/A</v>
        <stp/>
        <stp>VOLUME</stp>
        <stp>.SPX251226P5800</stp>
        <tr r="W113" s="2"/>
      </tp>
      <tp t="s">
        <v>N/A</v>
        <stp/>
        <stp>VOLUME</stp>
        <stp>.SPX251024P5820</stp>
        <tr r="S111" s="2"/>
      </tp>
      <tp t="s">
        <v>N/A</v>
        <stp/>
        <stp>VOLUME</stp>
        <stp>.SPX250725P5830</stp>
        <tr r="M110" s="2"/>
      </tp>
      <tp>
        <v>14</v>
        <stp/>
        <stp>VOLUME</stp>
        <stp>.SPX250620P5860</stp>
        <tr r="BF106" s="1"/>
        <tr r="BF106" s="1"/>
      </tp>
      <tp t="s">
        <v>N/A</v>
        <stp/>
        <stp>VOLUME</stp>
        <stp>.SPX250627P5810</stp>
        <tr r="K112" s="2"/>
      </tp>
      <tp t="s">
        <v>N/A</v>
        <stp/>
        <stp>VOLUME</stp>
        <stp>.SPX250926P5800</stp>
        <tr r="Q113" s="2"/>
      </tp>
      <tp t="s">
        <v>N/A</v>
        <stp/>
        <stp>VOLUME</stp>
        <stp>.SPX250822P5840</stp>
        <tr r="O109" s="2"/>
      </tp>
      <tp t="s">
        <v>N/A</v>
        <stp/>
        <stp>VOLUME</stp>
        <stp>.SPX250725C5820</stp>
        <tr r="M111" s="2"/>
      </tp>
      <tp t="s">
        <v>N/A</v>
        <stp/>
        <stp>VOLUME</stp>
        <stp>.SPX250620C5870</stp>
        <tr r="BE105" s="1"/>
      </tp>
      <tp t="s">
        <v>N/A</v>
        <stp/>
        <stp>VOLUME</stp>
        <stp>.SPX250627C5800</stp>
        <tr r="K113" s="2"/>
      </tp>
      <tp t="s">
        <v>N/A</v>
        <stp/>
        <stp>VOLUME</stp>
        <stp>.SPX250926C5810</stp>
        <tr r="Q112" s="2"/>
      </tp>
      <tp t="s">
        <v>N/A</v>
        <stp/>
        <stp>VOLUME</stp>
        <stp>.SPX250822C5850</stp>
        <tr r="O108" s="2"/>
      </tp>
      <tp t="s">
        <v>N/A</v>
        <stp/>
        <stp>VOLUME</stp>
        <stp>.SPX251226C5810</stp>
        <tr r="W112" s="2"/>
      </tp>
      <tp t="s">
        <v>N/A</v>
        <stp/>
        <stp>VOLUME</stp>
        <stp>.SPX251024C5830</stp>
        <tr r="S110" s="2"/>
      </tp>
      <tp t="s">
        <v>N/A</v>
        <stp/>
        <stp>VOLUME</stp>
        <stp>.SPX251226P5810</stp>
        <tr r="W112" s="2"/>
      </tp>
      <tp t="s">
        <v>N/A</v>
        <stp/>
        <stp>VOLUME</stp>
        <stp>.SPX251024P5830</stp>
        <tr r="S110" s="2"/>
      </tp>
      <tp t="s">
        <v>N/A</v>
        <stp/>
        <stp>VOLUME</stp>
        <stp>.SPX250725P5820</stp>
        <tr r="M111" s="2"/>
      </tp>
      <tp>
        <v>110</v>
        <stp/>
        <stp>VOLUME</stp>
        <stp>.SPX250620P5870</stp>
        <tr r="BF105" s="1"/>
        <tr r="BF105" s="1"/>
      </tp>
      <tp t="s">
        <v>N/A</v>
        <stp/>
        <stp>VOLUME</stp>
        <stp>.SPX250627P5800</stp>
        <tr r="K113" s="2"/>
      </tp>
      <tp t="s">
        <v>N/A</v>
        <stp/>
        <stp>VOLUME</stp>
        <stp>.SPX250926P5810</stp>
        <tr r="Q112" s="2"/>
      </tp>
      <tp t="s">
        <v>N/A</v>
        <stp/>
        <stp>VOLUME</stp>
        <stp>.SPX250822P5850</stp>
        <tr r="O108" s="2"/>
      </tp>
      <tp t="s">
        <v>N/A</v>
        <stp/>
        <stp>VOLUME</stp>
        <stp>.SPX250725C5810</stp>
        <tr r="M112" s="2"/>
      </tp>
      <tp>
        <v>1</v>
        <stp/>
        <stp>VOLUME</stp>
        <stp>.SPX250620C5840</stp>
        <tr r="BE108" s="1"/>
        <tr r="BE108" s="1"/>
      </tp>
      <tp t="s">
        <v>N/A</v>
        <stp/>
        <stp>VOLUME</stp>
        <stp>.SPX250627C5830</stp>
        <tr r="K110" s="2"/>
      </tp>
      <tp t="s">
        <v>N/A</v>
        <stp/>
        <stp>VOLUME</stp>
        <stp>.SPX250926C5820</stp>
        <tr r="Q111" s="2"/>
      </tp>
      <tp t="s">
        <v>N/A</v>
        <stp/>
        <stp>VOLUME</stp>
        <stp>.SPX250822C5860</stp>
        <tr r="O107" s="2"/>
      </tp>
      <tp t="s">
        <v>N/A</v>
        <stp/>
        <stp>VOLUME</stp>
        <stp>.SPX251226C5820</stp>
        <tr r="W111" s="2"/>
      </tp>
      <tp t="s">
        <v>N/A</v>
        <stp/>
        <stp>VOLUME</stp>
        <stp>.SPX251024C5800</stp>
        <tr r="S113" s="2"/>
      </tp>
      <tp t="s">
        <v>N/A</v>
        <stp/>
        <stp>VOLUME</stp>
        <stp>.SPX251226P5820</stp>
        <tr r="W111" s="2"/>
      </tp>
      <tp t="s">
        <v>N/A</v>
        <stp/>
        <stp>VOLUME</stp>
        <stp>.SPX251024P5800</stp>
        <tr r="S113" s="2"/>
      </tp>
      <tp t="s">
        <v>N/A</v>
        <stp/>
        <stp>VOLUME</stp>
        <stp>.SPX250725P5810</stp>
        <tr r="M112" s="2"/>
      </tp>
      <tp>
        <v>6</v>
        <stp/>
        <stp>VOLUME</stp>
        <stp>.SPX250620P5840</stp>
        <tr r="BF108" s="1"/>
        <tr r="BF108" s="1"/>
      </tp>
      <tp t="s">
        <v>N/A</v>
        <stp/>
        <stp>VOLUME</stp>
        <stp>.SPX250627P5830</stp>
        <tr r="K110" s="2"/>
      </tp>
      <tp t="s">
        <v>N/A</v>
        <stp/>
        <stp>VOLUME</stp>
        <stp>.SPX250926P5820</stp>
        <tr r="Q111" s="2"/>
      </tp>
      <tp t="s">
        <v>N/A</v>
        <stp/>
        <stp>VOLUME</stp>
        <stp>.SPX250822P5860</stp>
        <tr r="O107" s="2"/>
      </tp>
      <tp t="s">
        <v>N/A</v>
        <stp/>
        <stp>VOLUME</stp>
        <stp>.SPX250725C5800</stp>
        <tr r="M113" s="2"/>
      </tp>
      <tp>
        <v>101</v>
        <stp/>
        <stp>VOLUME</stp>
        <stp>.SPX250620C5850</stp>
        <tr r="BE107" s="1"/>
        <tr r="BE107" s="1"/>
      </tp>
      <tp t="s">
        <v>N/A</v>
        <stp/>
        <stp>VOLUME</stp>
        <stp>.SPX250627C5820</stp>
        <tr r="K111" s="2"/>
      </tp>
      <tp t="s">
        <v>N/A</v>
        <stp/>
        <stp>VOLUME</stp>
        <stp>.SPX250926C5830</stp>
        <tr r="Q110" s="2"/>
      </tp>
      <tp t="s">
        <v>N/A</v>
        <stp/>
        <stp>VOLUME</stp>
        <stp>.SPX250822C5870</stp>
        <tr r="O106" s="2"/>
      </tp>
      <tp t="s">
        <v>N/A</v>
        <stp/>
        <stp>VOLUME</stp>
        <stp>.SPX251226C5830</stp>
        <tr r="W110" s="2"/>
      </tp>
      <tp t="s">
        <v>N/A</v>
        <stp/>
        <stp>VOLUME</stp>
        <stp>.SPX251024C5810</stp>
        <tr r="S112" s="2"/>
      </tp>
      <tp t="s">
        <v>N/A</v>
        <stp/>
        <stp>VOLUME</stp>
        <stp>.SPX251226P5830</stp>
        <tr r="W110" s="2"/>
      </tp>
      <tp t="s">
        <v>N/A</v>
        <stp/>
        <stp>VOLUME</stp>
        <stp>.SPX251024P5810</stp>
        <tr r="S112" s="2"/>
      </tp>
      <tp t="s">
        <v>N/A</v>
        <stp/>
        <stp>VOLUME</stp>
        <stp>.SPX250725P5800</stp>
        <tr r="M113" s="2"/>
      </tp>
      <tp>
        <v>1633</v>
        <stp/>
        <stp>VOLUME</stp>
        <stp>.SPX250620P5850</stp>
        <tr r="BF107" s="1"/>
        <tr r="BF107" s="1"/>
      </tp>
      <tp t="s">
        <v>N/A</v>
        <stp/>
        <stp>VOLUME</stp>
        <stp>.SPX250627P5820</stp>
        <tr r="K111" s="2"/>
      </tp>
      <tp t="s">
        <v>N/A</v>
        <stp/>
        <stp>VOLUME</stp>
        <stp>.SPX250926P5830</stp>
        <tr r="Q110" s="2"/>
      </tp>
      <tp t="s">
        <v>N/A</v>
        <stp/>
        <stp>VOLUME</stp>
        <stp>.SPX250822P5870</stp>
        <tr r="O106" s="2"/>
      </tp>
      <tp t="s">
        <v>N/A</v>
        <stp/>
        <stp>VOLUME</stp>
        <stp>.SPX250725C5870</stp>
        <tr r="M106" s="2"/>
      </tp>
      <tp t="s">
        <v>N/A</v>
        <stp/>
        <stp>VOLUME</stp>
        <stp>.SPX250620C5820</stp>
        <tr r="BE110" s="1"/>
      </tp>
      <tp t="s">
        <v>N/A</v>
        <stp/>
        <stp>VOLUME</stp>
        <stp>.SPX250627C5850</stp>
        <tr r="K108" s="2"/>
      </tp>
      <tp t="s">
        <v>N/A</v>
        <stp/>
        <stp>VOLUME</stp>
        <stp>.SPX250926C5840</stp>
        <tr r="Q109" s="2"/>
      </tp>
      <tp t="s">
        <v>N/A</v>
        <stp/>
        <stp>VOLUME</stp>
        <stp>.SPX250822C5800</stp>
        <tr r="O113" s="2"/>
      </tp>
      <tp t="s">
        <v>N/A</v>
        <stp/>
        <stp>VOLUME</stp>
        <stp>.SPX251226C5840</stp>
        <tr r="W109" s="2"/>
      </tp>
      <tp t="s">
        <v>N/A</v>
        <stp/>
        <stp>VOLUME</stp>
        <stp>.SPX251024C5860</stp>
        <tr r="S107" s="2"/>
      </tp>
      <tp t="s">
        <v>N/A</v>
        <stp/>
        <stp>VOLUME</stp>
        <stp>.SPX251226P5840</stp>
        <tr r="W109" s="2"/>
      </tp>
      <tp t="s">
        <v>N/A</v>
        <stp/>
        <stp>VOLUME</stp>
        <stp>.SPX251024P5860</stp>
        <tr r="S107" s="2"/>
      </tp>
      <tp t="s">
        <v>N/A</v>
        <stp/>
        <stp>VOLUME</stp>
        <stp>.SPX250725P5870</stp>
        <tr r="M106" s="2"/>
      </tp>
      <tp>
        <v>4</v>
        <stp/>
        <stp>VOLUME</stp>
        <stp>.SPX250620P5820</stp>
        <tr r="BF110" s="1"/>
        <tr r="BF110" s="1"/>
      </tp>
      <tp t="s">
        <v>N/A</v>
        <stp/>
        <stp>VOLUME</stp>
        <stp>.SPX250627P5850</stp>
        <tr r="K108" s="2"/>
      </tp>
      <tp t="s">
        <v>N/A</v>
        <stp/>
        <stp>VOLUME</stp>
        <stp>.SPX250926P5840</stp>
        <tr r="Q109" s="2"/>
      </tp>
      <tp t="s">
        <v>N/A</v>
        <stp/>
        <stp>VOLUME</stp>
        <stp>.SPX250822P5800</stp>
        <tr r="O113" s="2"/>
      </tp>
      <tp t="s">
        <v>N/A</v>
        <stp/>
        <stp>VOLUME</stp>
        <stp>.SPX250725C5860</stp>
        <tr r="M107" s="2"/>
      </tp>
      <tp t="s">
        <v>N/A</v>
        <stp/>
        <stp>VOLUME</stp>
        <stp>.SPX250620C5830</stp>
        <tr r="BE109" s="1"/>
      </tp>
      <tp t="s">
        <v>N/A</v>
        <stp/>
        <stp>VOLUME</stp>
        <stp>.SPX250627C5840</stp>
        <tr r="K109" s="2"/>
      </tp>
      <tp t="s">
        <v>N/A</v>
        <stp/>
        <stp>VOLUME</stp>
        <stp>.SPX250926C5850</stp>
        <tr r="Q108" s="2"/>
      </tp>
      <tp t="s">
        <v>N/A</v>
        <stp/>
        <stp>VOLUME</stp>
        <stp>.SPX250822C5810</stp>
        <tr r="O112" s="2"/>
      </tp>
      <tp t="s">
        <v>N/A</v>
        <stp/>
        <stp>VOLUME</stp>
        <stp>.SPX251226C5850</stp>
        <tr r="W108" s="2"/>
      </tp>
      <tp t="s">
        <v>N/A</v>
        <stp/>
        <stp>VOLUME</stp>
        <stp>.SPX251024C5870</stp>
        <tr r="S106" s="2"/>
      </tp>
      <tp t="s">
        <v>N/A</v>
        <stp/>
        <stp>VOLUME</stp>
        <stp>.SPX251226P5850</stp>
        <tr r="W108" s="2"/>
      </tp>
      <tp t="s">
        <v>N/A</v>
        <stp/>
        <stp>VOLUME</stp>
        <stp>.SPX251024P5870</stp>
        <tr r="S106" s="2"/>
      </tp>
      <tp t="s">
        <v>N/A</v>
        <stp/>
        <stp>VOLUME</stp>
        <stp>.SPX250725P5860</stp>
        <tr r="M107" s="2"/>
      </tp>
      <tp>
        <v>11</v>
        <stp/>
        <stp>VOLUME</stp>
        <stp>.SPX250620P5830</stp>
        <tr r="BF109" s="1"/>
        <tr r="BF109" s="1"/>
      </tp>
      <tp t="s">
        <v>N/A</v>
        <stp/>
        <stp>VOLUME</stp>
        <stp>.SPX250627P5840</stp>
        <tr r="K109" s="2"/>
      </tp>
      <tp t="s">
        <v>N/A</v>
        <stp/>
        <stp>VOLUME</stp>
        <stp>.SPX250926P5850</stp>
        <tr r="Q108" s="2"/>
      </tp>
      <tp t="s">
        <v>N/A</v>
        <stp/>
        <stp>VOLUME</stp>
        <stp>.SPX250822P5810</stp>
        <tr r="O112" s="2"/>
      </tp>
      <tp t="s">
        <v>N/A</v>
        <stp/>
        <stp>VOLUME</stp>
        <stp>.SPX250725C5850</stp>
        <tr r="M108" s="2"/>
      </tp>
      <tp>
        <v>142</v>
        <stp/>
        <stp>VOLUME</stp>
        <stp>.SPX250620C5800</stp>
        <tr r="BE112" s="1"/>
        <tr r="BE112" s="1"/>
      </tp>
      <tp t="s">
        <v>N/A</v>
        <stp/>
        <stp>VOLUME</stp>
        <stp>.SPX250627C5870</stp>
        <tr r="K106" s="2"/>
      </tp>
      <tp t="s">
        <v>N/A</v>
        <stp/>
        <stp>VOLUME</stp>
        <stp>.SPX250926C5860</stp>
        <tr r="Q107" s="2"/>
      </tp>
      <tp t="s">
        <v>N/A</v>
        <stp/>
        <stp>VOLUME</stp>
        <stp>.SPX250822C5820</stp>
        <tr r="O111" s="2"/>
      </tp>
      <tp t="s">
        <v>N/A</v>
        <stp/>
        <stp>VOLUME</stp>
        <stp>.SPX251226C5860</stp>
        <tr r="W107" s="2"/>
      </tp>
      <tp t="s">
        <v>N/A</v>
        <stp/>
        <stp>VOLUME</stp>
        <stp>.SPX251128C5880</stp>
        <tr r="U105" s="2"/>
      </tp>
      <tp t="s">
        <v>N/A</v>
        <stp/>
        <stp>VOLUME</stp>
        <stp>.SPX251024C5840</stp>
        <tr r="S109" s="2"/>
      </tp>
      <tp t="s">
        <v>N/A</v>
        <stp/>
        <stp>VOLUME</stp>
        <stp>.SPX251226P5860</stp>
        <tr r="W107" s="2"/>
      </tp>
      <tp t="s">
        <v>N/A</v>
        <stp/>
        <stp>VOLUME</stp>
        <stp>.SPX251128P5880</stp>
        <tr r="U105" s="2"/>
      </tp>
      <tp t="s">
        <v>N/A</v>
        <stp/>
        <stp>VOLUME</stp>
        <stp>.SPX251024P5840</stp>
        <tr r="S109" s="2"/>
      </tp>
      <tp t="s">
        <v>N/A</v>
        <stp/>
        <stp>VOLUME</stp>
        <stp>.SPX250725P5850</stp>
        <tr r="M108" s="2"/>
      </tp>
      <tp>
        <v>3401</v>
        <stp/>
        <stp>VOLUME</stp>
        <stp>.SPX250620P5800</stp>
        <tr r="BF112" s="1"/>
        <tr r="BF112" s="1"/>
      </tp>
      <tp t="s">
        <v>N/A</v>
        <stp/>
        <stp>VOLUME</stp>
        <stp>.SPX250627P5870</stp>
        <tr r="K106" s="2"/>
      </tp>
      <tp t="s">
        <v>N/A</v>
        <stp/>
        <stp>VOLUME</stp>
        <stp>.SPX250926P5860</stp>
        <tr r="Q107" s="2"/>
      </tp>
      <tp t="s">
        <v>N/A</v>
        <stp/>
        <stp>VOLUME</stp>
        <stp>.SPX250822P5820</stp>
        <tr r="O111" s="2"/>
      </tp>
      <tp t="s">
        <v>N/A</v>
        <stp/>
        <stp>VOLUME</stp>
        <stp>.SPX250725C5840</stp>
        <tr r="M109" s="2"/>
      </tp>
      <tp>
        <v>30</v>
        <stp/>
        <stp>VOLUME</stp>
        <stp>.SPX250620C5810</stp>
        <tr r="BE111" s="1"/>
        <tr r="BE111" s="1"/>
      </tp>
      <tp t="s">
        <v>N/A</v>
        <stp/>
        <stp>VOLUME</stp>
        <stp>.SPX250627C5860</stp>
        <tr r="K107" s="2"/>
      </tp>
      <tp t="s">
        <v>N/A</v>
        <stp/>
        <stp>VOLUME</stp>
        <stp>.SPX250926C5870</stp>
        <tr r="Q106" s="2"/>
      </tp>
      <tp t="s">
        <v>N/A</v>
        <stp/>
        <stp>VOLUME</stp>
        <stp>.SPX250822C5830</stp>
        <tr r="O110" s="2"/>
      </tp>
      <tp t="s">
        <v>N/A</v>
        <stp/>
        <stp>VOLUME</stp>
        <stp>.SPX251226C5870</stp>
        <tr r="W106" s="2"/>
      </tp>
      <tp t="s">
        <v>N/A</v>
        <stp/>
        <stp>VOLUME</stp>
        <stp>.SPX251128C5890</stp>
        <tr r="U104" s="2"/>
      </tp>
      <tp t="s">
        <v>N/A</v>
        <stp/>
        <stp>VOLUME</stp>
        <stp>.SPX251024C5850</stp>
        <tr r="S108" s="2"/>
      </tp>
      <tp t="s">
        <v>N/A</v>
        <stp/>
        <stp>VOLUME</stp>
        <stp>.SPX251226P5870</stp>
        <tr r="W106" s="2"/>
      </tp>
      <tp t="s">
        <v>N/A</v>
        <stp/>
        <stp>VOLUME</stp>
        <stp>.SPX251128P5890</stp>
        <tr r="U104" s="2"/>
      </tp>
      <tp t="s">
        <v>N/A</v>
        <stp/>
        <stp>VOLUME</stp>
        <stp>.SPX251024P5850</stp>
        <tr r="S108" s="2"/>
      </tp>
      <tp t="s">
        <v>N/A</v>
        <stp/>
        <stp>VOLUME</stp>
        <stp>.SPX250725P5840</stp>
        <tr r="M109" s="2"/>
      </tp>
      <tp>
        <v>13</v>
        <stp/>
        <stp>VOLUME</stp>
        <stp>.SPX250620P5810</stp>
        <tr r="BF111" s="1"/>
        <tr r="BF111" s="1"/>
      </tp>
      <tp t="s">
        <v>N/A</v>
        <stp/>
        <stp>VOLUME</stp>
        <stp>.SPX250627P5860</stp>
        <tr r="K107" s="2"/>
      </tp>
      <tp t="s">
        <v>N/A</v>
        <stp/>
        <stp>VOLUME</stp>
        <stp>.SPX250926P5870</stp>
        <tr r="Q106" s="2"/>
      </tp>
      <tp t="s">
        <v>N/A</v>
        <stp/>
        <stp>VOLUME</stp>
        <stp>.SPX250822P5830</stp>
        <tr r="O110" s="2"/>
      </tp>
      <tp t="s">
        <v>N/A</v>
        <stp/>
        <stp>VOLUME</stp>
        <stp>.SPX250627C5890</stp>
        <tr r="K104" s="2"/>
      </tp>
      <tp t="s">
        <v>N/A</v>
        <stp/>
        <stp>VOLUME</stp>
        <stp>.SPX250926C5880</stp>
        <tr r="Q105" s="2"/>
      </tp>
      <tp t="s">
        <v>N/A</v>
        <stp/>
        <stp>VOLUME</stp>
        <stp>.SPX251226C5880</stp>
        <tr r="W105" s="2"/>
      </tp>
      <tp t="s">
        <v>N/A</v>
        <stp/>
        <stp>VOLUME</stp>
        <stp>.SPX251128C5860</stp>
        <tr r="U107" s="2"/>
      </tp>
      <tp t="s">
        <v>N/A</v>
        <stp/>
        <stp>VOLUME</stp>
        <stp>.SPX251226P5880</stp>
        <tr r="W105" s="2"/>
      </tp>
      <tp t="s">
        <v>N/A</v>
        <stp/>
        <stp>VOLUME</stp>
        <stp>.SPX251128P5860</stp>
        <tr r="U107" s="2"/>
      </tp>
      <tp t="s">
        <v>N/A</v>
        <stp/>
        <stp>VOLUME</stp>
        <stp>.SPX250627P5890</stp>
        <tr r="K104" s="2"/>
      </tp>
      <tp t="s">
        <v>N/A</v>
        <stp/>
        <stp>VOLUME</stp>
        <stp>.SPX250926P5880</stp>
        <tr r="Q105" s="2"/>
      </tp>
      <tp t="s">
        <v>N/A</v>
        <stp/>
        <stp>VOLUME</stp>
        <stp>.SPX250627C5880</stp>
        <tr r="K105" s="2"/>
      </tp>
      <tp t="s">
        <v>N/A</v>
        <stp/>
        <stp>VOLUME</stp>
        <stp>.SPX250926C5890</stp>
        <tr r="Q104" s="2"/>
      </tp>
      <tp t="s">
        <v>N/A</v>
        <stp/>
        <stp>VOLUME</stp>
        <stp>.SPX251226C5890</stp>
        <tr r="W104" s="2"/>
      </tp>
      <tp t="s">
        <v>N/A</v>
        <stp/>
        <stp>VOLUME</stp>
        <stp>.SPX251128C5870</stp>
        <tr r="U106" s="2"/>
      </tp>
      <tp t="s">
        <v>N/A</v>
        <stp/>
        <stp>VOLUME</stp>
        <stp>.SPX251226P5890</stp>
        <tr r="W104" s="2"/>
      </tp>
      <tp t="s">
        <v>N/A</v>
        <stp/>
        <stp>VOLUME</stp>
        <stp>.SPX251128P5870</stp>
        <tr r="U106" s="2"/>
      </tp>
      <tp t="s">
        <v>N/A</v>
        <stp/>
        <stp>VOLUME</stp>
        <stp>.SPX250627P5880</stp>
        <tr r="K105" s="2"/>
      </tp>
      <tp t="s">
        <v>N/A</v>
        <stp/>
        <stp>VOLUME</stp>
        <stp>.SPX250926P5890</stp>
        <tr r="Q104" s="2"/>
      </tp>
      <tp t="s">
        <v>N/A</v>
        <stp/>
        <stp>VOLUME</stp>
        <stp>.SPX250725C5890</stp>
        <tr r="M104" s="2"/>
      </tp>
      <tp t="s">
        <v>N/A</v>
        <stp/>
        <stp>VOLUME</stp>
        <stp>.SPX251128C5840</stp>
        <tr r="U109" s="2"/>
      </tp>
      <tp t="s">
        <v>N/A</v>
        <stp/>
        <stp>VOLUME</stp>
        <stp>.SPX251024C5880</stp>
        <tr r="S105" s="2"/>
      </tp>
      <tp t="s">
        <v>N/A</v>
        <stp/>
        <stp>VOLUME</stp>
        <stp>.SPX251128P5840</stp>
        <tr r="U109" s="2"/>
      </tp>
      <tp t="s">
        <v>N/A</v>
        <stp/>
        <stp>VOLUME</stp>
        <stp>.SPX251024P5880</stp>
        <tr r="S105" s="2"/>
      </tp>
      <tp t="s">
        <v>N/A</v>
        <stp/>
        <stp>VOLUME</stp>
        <stp>.SPX250725P5890</stp>
        <tr r="M104" s="2"/>
      </tp>
      <tp t="s">
        <v>N/A</v>
        <stp/>
        <stp>VOLUME</stp>
        <stp>.SPX250725C5880</stp>
        <tr r="M105" s="2"/>
      </tp>
      <tp t="s">
        <v>N/A</v>
        <stp/>
        <stp>VOLUME</stp>
        <stp>.SPX251128C5850</stp>
        <tr r="U108" s="2"/>
      </tp>
      <tp t="s">
        <v>N/A</v>
        <stp/>
        <stp>VOLUME</stp>
        <stp>.SPX251024C5890</stp>
        <tr r="S104" s="2"/>
      </tp>
      <tp t="s">
        <v>N/A</v>
        <stp/>
        <stp>VOLUME</stp>
        <stp>.SPX251128P5850</stp>
        <tr r="U108" s="2"/>
      </tp>
      <tp t="s">
        <v>N/A</v>
        <stp/>
        <stp>VOLUME</stp>
        <stp>.SPX251024P5890</stp>
        <tr r="S104" s="2"/>
      </tp>
      <tp t="s">
        <v>N/A</v>
        <stp/>
        <stp>VOLUME</stp>
        <stp>.SPX250725P5880</stp>
        <tr r="M105" s="2"/>
      </tp>
      <tp t="s">
        <v>N/A</v>
        <stp/>
        <stp>VOLUME</stp>
        <stp>.SPX250822C5880</stp>
        <tr r="O105" s="2"/>
      </tp>
      <tp t="s">
        <v>N/A</v>
        <stp/>
        <stp>VOLUME</stp>
        <stp>.SPX251128C5820</stp>
        <tr r="U111" s="2"/>
      </tp>
      <tp t="s">
        <v>N/A</v>
        <stp/>
        <stp>VOLUME</stp>
        <stp>.SPX251128P5820</stp>
        <tr r="U111" s="2"/>
      </tp>
      <tp t="s">
        <v>N/A</v>
        <stp/>
        <stp>VOLUME</stp>
        <stp>.SPX250822P5880</stp>
        <tr r="O105" s="2"/>
      </tp>
      <tp t="s">
        <v>N/A</v>
        <stp/>
        <stp>VOLUME</stp>
        <stp>.SPX250822C5890</stp>
        <tr r="O104" s="2"/>
      </tp>
      <tp t="s">
        <v>N/A</v>
        <stp/>
        <stp>VOLUME</stp>
        <stp>.SPX251128C5830</stp>
        <tr r="U110" s="2"/>
      </tp>
      <tp t="s">
        <v>N/A</v>
        <stp/>
        <stp>VOLUME</stp>
        <stp>.SPX251128P5830</stp>
        <tr r="U110" s="2"/>
      </tp>
      <tp t="s">
        <v>N/A</v>
        <stp/>
        <stp>VOLUME</stp>
        <stp>.SPX250822P5890</stp>
        <tr r="O104" s="2"/>
      </tp>
      <tp>
        <v>1</v>
        <stp/>
        <stp>VOLUME</stp>
        <stp>.SPX250620C5880</stp>
        <tr r="BE104" s="1"/>
        <tr r="BE104" s="1"/>
      </tp>
      <tp t="s">
        <v>N/A</v>
        <stp/>
        <stp>VOLUME</stp>
        <stp>.SPX251128C5800</stp>
        <tr r="U113" s="2"/>
      </tp>
      <tp t="s">
        <v>N/A</v>
        <stp/>
        <stp>VOLUME</stp>
        <stp>.SPX251128P5800</stp>
        <tr r="U113" s="2"/>
      </tp>
      <tp>
        <v>18</v>
        <stp/>
        <stp>VOLUME</stp>
        <stp>.SPX250620P5880</stp>
        <tr r="BF104" s="1"/>
        <tr r="BF104" s="1"/>
      </tp>
      <tp>
        <v>84</v>
        <stp/>
        <stp>VOLUME</stp>
        <stp>.SPX250620C5890</stp>
        <tr r="BE103" s="1"/>
        <tr r="BE103" s="1"/>
      </tp>
      <tp t="s">
        <v>N/A</v>
        <stp/>
        <stp>VOLUME</stp>
        <stp>.SPX251128C5810</stp>
        <tr r="U112" s="2"/>
      </tp>
      <tp t="s">
        <v>N/A</v>
        <stp/>
        <stp>VOLUME</stp>
        <stp>.SPX251128P5810</stp>
        <tr r="U112" s="2"/>
      </tp>
      <tp>
        <v>208</v>
        <stp/>
        <stp>VOLUME</stp>
        <stp>.SPX250620P5890</stp>
        <tr r="BF103" s="1"/>
        <tr r="BF103" s="1"/>
      </tp>
      <tp t="s">
        <v>19.74%</v>
        <stp/>
        <stp>IMPL_VOL</stp>
        <stp>.NDX250620C20900</stp>
        <tr r="EP163" s="1"/>
      </tp>
      <tp t="s">
        <v>19.69%</v>
        <stp/>
        <stp>IMPL_VOL</stp>
        <stp>.NDX250620C20925</stp>
        <tr r="EP162" s="1"/>
      </tp>
      <tp t="s">
        <v>19.62%</v>
        <stp/>
        <stp>IMPL_VOL</stp>
        <stp>.NDX250620C20950</stp>
        <tr r="EP161" s="1"/>
      </tp>
      <tp t="s">
        <v>19.55%</v>
        <stp/>
        <stp>IMPL_VOL</stp>
        <stp>.NDX250620C20975</stp>
        <tr r="EP160" s="1"/>
      </tp>
      <tp t="s">
        <v>21.67%</v>
        <stp/>
        <stp>IMPL_VOL</stp>
        <stp>.NDX250620P20925</stp>
        <tr r="EQ162" s="1"/>
      </tp>
      <tp t="s">
        <v>21.76%</v>
        <stp/>
        <stp>IMPL_VOL</stp>
        <stp>.NDX250620P20900</stp>
        <tr r="EQ163" s="1"/>
      </tp>
      <tp t="s">
        <v>21.50%</v>
        <stp/>
        <stp>IMPL_VOL</stp>
        <stp>.NDX250620P20975</stp>
        <tr r="EQ160" s="1"/>
      </tp>
      <tp t="s">
        <v>21.59%</v>
        <stp/>
        <stp>IMPL_VOL</stp>
        <stp>.NDX250620P20950</stp>
        <tr r="EQ161" s="1"/>
      </tp>
      <tp t="s">
        <v>20.27%</v>
        <stp/>
        <stp>IMPL_VOL</stp>
        <stp>.NDX250620C20800</stp>
        <tr r="EP167" s="1"/>
      </tp>
      <tp t="s">
        <v>20.08%</v>
        <stp/>
        <stp>IMPL_VOL</stp>
        <stp>.NDX250620C20825</stp>
        <tr r="EP166" s="1"/>
      </tp>
      <tp t="s">
        <v>19.87%</v>
        <stp/>
        <stp>IMPL_VOL</stp>
        <stp>.NDX250620C20850</stp>
        <tr r="EP165" s="1"/>
      </tp>
      <tp t="s">
        <v>19.81%</v>
        <stp/>
        <stp>IMPL_VOL</stp>
        <stp>.NDX250620C20875</stp>
        <tr r="EP164" s="1"/>
      </tp>
      <tp t="s">
        <v>22.02%</v>
        <stp/>
        <stp>IMPL_VOL</stp>
        <stp>.NDX250620P20825</stp>
        <tr r="EQ166" s="1"/>
      </tp>
      <tp t="s">
        <v>22.11%</v>
        <stp/>
        <stp>IMPL_VOL</stp>
        <stp>.NDX250620P20800</stp>
        <tr r="EQ167" s="1"/>
      </tp>
      <tp t="s">
        <v>21.85%</v>
        <stp/>
        <stp>IMPL_VOL</stp>
        <stp>.NDX250620P20875</stp>
        <tr r="EQ164" s="1"/>
      </tp>
      <tp t="s">
        <v>21.93%</v>
        <stp/>
        <stp>IMPL_VOL</stp>
        <stp>.NDX250620P20850</stp>
        <tr r="EQ165" s="1"/>
      </tp>
      <tp>
        <v>326</v>
        <stp/>
        <stp>OPEN_INT</stp>
        <stp>.SPXW250520C5710</stp>
        <tr r="AS121" s="1"/>
        <tr r="AS121" s="1"/>
      </tp>
      <tp>
        <v>111</v>
        <stp/>
        <stp>OPEN_INT</stp>
        <stp>.SPXW250523C5720</stp>
        <tr r="AU120" s="1"/>
        <tr r="AU120" s="1"/>
      </tp>
      <tp>
        <v>430</v>
        <stp/>
        <stp>OPEN_INT</stp>
        <stp>.SPXW250520P5710</stp>
        <tr r="AT121" s="1"/>
        <tr r="AT121" s="1"/>
      </tp>
      <tp>
        <v>787</v>
        <stp/>
        <stp>OPEN_INT</stp>
        <stp>.SPXW250523P5720</stp>
        <tr r="AV120" s="1"/>
        <tr r="AV120" s="1"/>
      </tp>
      <tp>
        <v>910</v>
        <stp/>
        <stp>OPEN_INT</stp>
        <stp>.SPXW250520C5700</stp>
        <tr r="AS122" s="1"/>
        <tr r="AS122" s="1"/>
      </tp>
      <tp>
        <v>73</v>
        <stp/>
        <stp>OPEN_INT</stp>
        <stp>.SPXW250523C5730</stp>
        <tr r="AU119" s="1"/>
        <tr r="AU119" s="1"/>
      </tp>
      <tp>
        <v>2611</v>
        <stp/>
        <stp>OPEN_INT</stp>
        <stp>.SPXW250520P5700</stp>
        <tr r="AT122" s="1"/>
        <tr r="AT122" s="1"/>
      </tp>
      <tp>
        <v>513</v>
        <stp/>
        <stp>OPEN_INT</stp>
        <stp>.SPXW250523P5730</stp>
        <tr r="AV119" s="1"/>
        <tr r="AV119" s="1"/>
      </tp>
      <tp>
        <v>57</v>
        <stp/>
        <stp>OPEN_INT</stp>
        <stp>.SPXW250520C5730</stp>
        <tr r="AS119" s="1"/>
        <tr r="AS119" s="1"/>
      </tp>
      <tp>
        <v>2226</v>
        <stp/>
        <stp>OPEN_INT</stp>
        <stp>.SPXW250523C5700</stp>
        <tr r="AU122" s="1"/>
        <tr r="AU122" s="1"/>
      </tp>
      <tp>
        <v>2832</v>
        <stp/>
        <stp>OPEN_INT</stp>
        <stp>.SPXW250520P5730</stp>
        <tr r="AT119" s="1"/>
        <tr r="AT119" s="1"/>
      </tp>
      <tp>
        <v>3039</v>
        <stp/>
        <stp>OPEN_INT</stp>
        <stp>.SPXW250523P5700</stp>
        <tr r="AV122" s="1"/>
        <tr r="AV122" s="1"/>
      </tp>
      <tp>
        <v>138</v>
        <stp/>
        <stp>OPEN_INT</stp>
        <stp>.SPXW250520C5720</stp>
        <tr r="AS120" s="1"/>
        <tr r="AS120" s="1"/>
      </tp>
      <tp>
        <v>276</v>
        <stp/>
        <stp>OPEN_INT</stp>
        <stp>.SPXW250523C5710</stp>
        <tr r="AU121" s="1"/>
        <tr r="AU121" s="1"/>
      </tp>
      <tp>
        <v>2031</v>
        <stp/>
        <stp>OPEN_INT</stp>
        <stp>.SPXW250520P5720</stp>
        <tr r="AT120" s="1"/>
        <tr r="AT120" s="1"/>
      </tp>
      <tp>
        <v>643</v>
        <stp/>
        <stp>OPEN_INT</stp>
        <stp>.SPXW250523P5710</stp>
        <tr r="AV121" s="1"/>
        <tr r="AV121" s="1"/>
      </tp>
      <tp>
        <v>157</v>
        <stp/>
        <stp>OPEN_INT</stp>
        <stp>.SPXW250520C5750</stp>
        <tr r="AS117" s="1"/>
        <tr r="AS117" s="1"/>
      </tp>
      <tp>
        <v>102</v>
        <stp/>
        <stp>OPEN_INT</stp>
        <stp>.SPXW250523C5760</stp>
        <tr r="AU116" s="1"/>
        <tr r="AU116" s="1"/>
      </tp>
      <tp>
        <v>3875</v>
        <stp/>
        <stp>OPEN_INT</stp>
        <stp>.SPXW250520P5750</stp>
        <tr r="AT117" s="1"/>
        <tr r="AT117" s="1"/>
      </tp>
      <tp>
        <v>326</v>
        <stp/>
        <stp>OPEN_INT</stp>
        <stp>.SPXW250523P5760</stp>
        <tr r="AV116" s="1"/>
        <tr r="AV116" s="1"/>
      </tp>
      <tp>
        <v>219</v>
        <stp/>
        <stp>OPEN_INT</stp>
        <stp>.SPXW250520C5740</stp>
        <tr r="AS118" s="1"/>
        <tr r="AS118" s="1"/>
      </tp>
      <tp>
        <v>1435</v>
        <stp/>
        <stp>OPEN_INT</stp>
        <stp>.SPXW250523C5770</stp>
        <tr r="AU115" s="1"/>
        <tr r="AU115" s="1"/>
      </tp>
      <tp>
        <v>388</v>
        <stp/>
        <stp>OPEN_INT</stp>
        <stp>.SPXW250520P5740</stp>
        <tr r="AT118" s="1"/>
        <tr r="AT118" s="1"/>
      </tp>
      <tp>
        <v>584</v>
        <stp/>
        <stp>OPEN_INT</stp>
        <stp>.SPXW250523P5770</stp>
        <tr r="AV115" s="1"/>
        <tr r="AV115" s="1"/>
      </tp>
      <tp>
        <v>25</v>
        <stp/>
        <stp>OPEN_INT</stp>
        <stp>.SPXW250520C5770</stp>
        <tr r="AS115" s="1"/>
        <tr r="AS115" s="1"/>
      </tp>
      <tp>
        <v>160</v>
        <stp/>
        <stp>OPEN_INT</stp>
        <stp>.SPXW250523C5740</stp>
        <tr r="AU118" s="1"/>
        <tr r="AU118" s="1"/>
      </tp>
      <tp>
        <v>424</v>
        <stp/>
        <stp>OPEN_INT</stp>
        <stp>.SPXW250520P5770</stp>
        <tr r="AT115" s="1"/>
        <tr r="AT115" s="1"/>
      </tp>
      <tp>
        <v>589</v>
        <stp/>
        <stp>OPEN_INT</stp>
        <stp>.SPXW250523P5740</stp>
        <tr r="AV118" s="1"/>
        <tr r="AV118" s="1"/>
      </tp>
      <tp>
        <v>27</v>
        <stp/>
        <stp>OPEN_INT</stp>
        <stp>.SPXW250520C5760</stp>
        <tr r="AS116" s="1"/>
        <tr r="AS116" s="1"/>
      </tp>
      <tp>
        <v>1594</v>
        <stp/>
        <stp>OPEN_INT</stp>
        <stp>.SPXW250523C5750</stp>
        <tr r="AU117" s="1"/>
        <tr r="AU117" s="1"/>
      </tp>
      <tp>
        <v>509</v>
        <stp/>
        <stp>OPEN_INT</stp>
        <stp>.SPXW250520P5760</stp>
        <tr r="AT116" s="1"/>
        <tr r="AT116" s="1"/>
      </tp>
      <tp>
        <v>2786</v>
        <stp/>
        <stp>OPEN_INT</stp>
        <stp>.SPXW250523P5750</stp>
        <tr r="AV117" s="1"/>
        <tr r="AV117" s="1"/>
      </tp>
      <tp>
        <v>224</v>
        <stp/>
        <stp>OPEN_INT</stp>
        <stp>.SPXW250520C5790</stp>
        <tr r="AS113" s="1"/>
        <tr r="AS113" s="1"/>
      </tp>
      <tp>
        <v>664</v>
        <stp/>
        <stp>OPEN_INT</stp>
        <stp>.SPXW250520P5790</stp>
        <tr r="AT113" s="1"/>
        <tr r="AT113" s="1"/>
      </tp>
      <tp>
        <v>75</v>
        <stp/>
        <stp>OPEN_INT</stp>
        <stp>.SPXW250520C5780</stp>
        <tr r="AS114" s="1"/>
        <tr r="AS114" s="1"/>
      </tp>
      <tp>
        <v>541</v>
        <stp/>
        <stp>OPEN_INT</stp>
        <stp>.SPXW250520P5780</stp>
        <tr r="AT114" s="1"/>
        <tr r="AT114" s="1"/>
      </tp>
      <tp>
        <v>347</v>
        <stp/>
        <stp>OPEN_INT</stp>
        <stp>.SPXW250523C5780</stp>
        <tr r="AU114" s="1"/>
        <tr r="AU114" s="1"/>
      </tp>
      <tp>
        <v>356</v>
        <stp/>
        <stp>OPEN_INT</stp>
        <stp>.SPXW250523P5780</stp>
        <tr r="AV114" s="1"/>
        <tr r="AV114" s="1"/>
      </tp>
      <tp>
        <v>291</v>
        <stp/>
        <stp>OPEN_INT</stp>
        <stp>.SPXW250523C5790</stp>
        <tr r="AU113" s="1"/>
        <tr r="AU113" s="1"/>
      </tp>
      <tp>
        <v>628</v>
        <stp/>
        <stp>OPEN_INT</stp>
        <stp>.SPXW250523P5790</stp>
        <tr r="AV113" s="1"/>
        <tr r="AV113" s="1"/>
      </tp>
      <tp>
        <v>218</v>
        <stp/>
        <stp>OPEN_INT</stp>
        <stp>.SPXW250523C5620</stp>
        <tr r="AU130" s="1"/>
        <tr r="AU130" s="1"/>
      </tp>
      <tp>
        <v>794</v>
        <stp/>
        <stp>OPEN_INT</stp>
        <stp>.SPXW250523P5620</stp>
        <tr r="AV130" s="1"/>
        <tr r="AV130" s="1"/>
      </tp>
      <tp t="s">
        <v>N/A</v>
        <stp/>
        <stp>OPEN_INT</stp>
        <stp>.SPXW250523C5630</stp>
        <tr r="AU129" s="1"/>
      </tp>
      <tp t="s">
        <v>N/A</v>
        <stp/>
        <stp>OPEN_INT</stp>
        <stp>.SPXW250523P5630</stp>
        <tr r="AV129" s="1"/>
      </tp>
      <tp>
        <v>79</v>
        <stp/>
        <stp>OPEN_INT</stp>
        <stp>.SPXW250520C5630</stp>
        <tr r="AS129" s="1"/>
        <tr r="AS129" s="1"/>
      </tp>
      <tp>
        <v>2651</v>
        <stp/>
        <stp>OPEN_INT</stp>
        <stp>.SPXW250520P5630</stp>
        <tr r="AT129" s="1"/>
        <tr r="AT129" s="1"/>
      </tp>
      <tp>
        <v>72</v>
        <stp/>
        <stp>OPEN_INT</stp>
        <stp>.SPXW250520C5620</stp>
        <tr r="AS130" s="1"/>
        <tr r="AS130" s="1"/>
      </tp>
      <tp>
        <v>282</v>
        <stp/>
        <stp>OPEN_INT</stp>
        <stp>.SPXW250520P5620</stp>
        <tr r="AT130" s="1"/>
        <tr r="AT130" s="1"/>
      </tp>
      <tp>
        <v>56</v>
        <stp/>
        <stp>OPEN_INT</stp>
        <stp>.SPXW250520C5650</stp>
        <tr r="AS127" s="1"/>
        <tr r="AS127" s="1"/>
      </tp>
      <tp t="s">
        <v>N/A</v>
        <stp/>
        <stp>OPEN_INT</stp>
        <stp>.SPXW250523C5660</stp>
        <tr r="AU126" s="1"/>
      </tp>
      <tp>
        <v>377</v>
        <stp/>
        <stp>OPEN_INT</stp>
        <stp>.SPXW250520P5650</stp>
        <tr r="AT127" s="1"/>
        <tr r="AT127" s="1"/>
      </tp>
      <tp t="s">
        <v>N/A</v>
        <stp/>
        <stp>OPEN_INT</stp>
        <stp>.SPXW250523P5660</stp>
        <tr r="AV126" s="1"/>
      </tp>
      <tp>
        <v>47</v>
        <stp/>
        <stp>OPEN_INT</stp>
        <stp>.SPXW250520C5640</stp>
        <tr r="AS128" s="1"/>
        <tr r="AS128" s="1"/>
      </tp>
      <tp>
        <v>437</v>
        <stp/>
        <stp>OPEN_INT</stp>
        <stp>.SPXW250523C5670</stp>
        <tr r="AU125" s="1"/>
        <tr r="AU125" s="1"/>
      </tp>
      <tp>
        <v>167</v>
        <stp/>
        <stp>OPEN_INT</stp>
        <stp>.SPXW250520P5640</stp>
        <tr r="AT128" s="1"/>
        <tr r="AT128" s="1"/>
      </tp>
      <tp>
        <v>515</v>
        <stp/>
        <stp>OPEN_INT</stp>
        <stp>.SPXW250523P5670</stp>
        <tr r="AV125" s="1"/>
        <tr r="AV125" s="1"/>
      </tp>
      <tp>
        <v>40</v>
        <stp/>
        <stp>OPEN_INT</stp>
        <stp>.SPXW250520C5670</stp>
        <tr r="AS125" s="1"/>
        <tr r="AS125" s="1"/>
      </tp>
      <tp>
        <v>163</v>
        <stp/>
        <stp>OPEN_INT</stp>
        <stp>.SPXW250523C5640</stp>
        <tr r="AU128" s="1"/>
        <tr r="AU128" s="1"/>
      </tp>
      <tp>
        <v>436</v>
        <stp/>
        <stp>OPEN_INT</stp>
        <stp>.SPXW250520P5670</stp>
        <tr r="AT125" s="1"/>
        <tr r="AT125" s="1"/>
      </tp>
      <tp>
        <v>3083</v>
        <stp/>
        <stp>OPEN_INT</stp>
        <stp>.SPXW250523P5640</stp>
        <tr r="AV128" s="1"/>
        <tr r="AV128" s="1"/>
      </tp>
      <tp>
        <v>77</v>
        <stp/>
        <stp>OPEN_INT</stp>
        <stp>.SPXW250520C5660</stp>
        <tr r="AS126" s="1"/>
        <tr r="AS126" s="1"/>
      </tp>
      <tp>
        <v>1814</v>
        <stp/>
        <stp>OPEN_INT</stp>
        <stp>.SPXW250523C5650</stp>
        <tr r="AU127" s="1"/>
        <tr r="AU127" s="1"/>
      </tp>
      <tp>
        <v>111</v>
        <stp/>
        <stp>OPEN_INT</stp>
        <stp>.SPXW250520P5660</stp>
        <tr r="AT126" s="1"/>
        <tr r="AT126" s="1"/>
      </tp>
      <tp>
        <v>2759</v>
        <stp/>
        <stp>OPEN_INT</stp>
        <stp>.SPXW250523P5650</stp>
        <tr r="AV127" s="1"/>
        <tr r="AV127" s="1"/>
      </tp>
      <tp>
        <v>49</v>
        <stp/>
        <stp>OPEN_INT</stp>
        <stp>.SPXW250520C5690</stp>
        <tr r="AS123" s="1"/>
        <tr r="AS123" s="1"/>
      </tp>
      <tp>
        <v>233</v>
        <stp/>
        <stp>OPEN_INT</stp>
        <stp>.SPXW250520P5690</stp>
        <tr r="AT123" s="1"/>
        <tr r="AT123" s="1"/>
      </tp>
      <tp>
        <v>11</v>
        <stp/>
        <stp>OPEN_INT</stp>
        <stp>.SPXW250520C5680</stp>
        <tr r="AS124" s="1"/>
        <tr r="AS124" s="1"/>
      </tp>
      <tp>
        <v>123</v>
        <stp/>
        <stp>OPEN_INT</stp>
        <stp>.SPXW250520P5680</stp>
        <tr r="AT124" s="1"/>
        <tr r="AT124" s="1"/>
      </tp>
      <tp>
        <v>118</v>
        <stp/>
        <stp>OPEN_INT</stp>
        <stp>.SPXW250523C5680</stp>
        <tr r="AU124" s="1"/>
        <tr r="AU124" s="1"/>
      </tp>
      <tp>
        <v>820</v>
        <stp/>
        <stp>OPEN_INT</stp>
        <stp>.SPXW250523P5680</stp>
        <tr r="AV124" s="1"/>
        <tr r="AV124" s="1"/>
      </tp>
      <tp>
        <v>129</v>
        <stp/>
        <stp>OPEN_INT</stp>
        <stp>.SPXW250523C5690</stp>
        <tr r="AU123" s="1"/>
        <tr r="AU123" s="1"/>
      </tp>
      <tp>
        <v>340</v>
        <stp/>
        <stp>OPEN_INT</stp>
        <stp>.SPXW250523P5690</stp>
        <tr r="AV123" s="1"/>
        <tr r="AV123" s="1"/>
      </tp>
      <tp t="s">
        <v>21.26%</v>
        <stp/>
        <stp>IMPL_VOL</stp>
        <stp>.NDX250620C20500</stp>
        <tr r="EP179" s="1"/>
      </tp>
      <tp t="s">
        <v>18.08%</v>
        <stp/>
        <stp>IMPL_VOL</stp>
        <stp>.NDX250620C21500</stp>
        <tr r="EP139" s="1"/>
      </tp>
      <tp t="s">
        <v>21.19%</v>
        <stp/>
        <stp>IMPL_VOL</stp>
        <stp>.NDX250620C20525</stp>
        <tr r="EP178" s="1"/>
      </tp>
      <tp t="s">
        <v>18.02%</v>
        <stp/>
        <stp>IMPL_VOL</stp>
        <stp>.NDX250620C21525</stp>
        <tr r="EP138" s="1"/>
      </tp>
      <tp t="s">
        <v>21.12%</v>
        <stp/>
        <stp>IMPL_VOL</stp>
        <stp>.NDX250620C20550</stp>
        <tr r="EP177" s="1"/>
      </tp>
      <tp t="s">
        <v>17.96%</v>
        <stp/>
        <stp>IMPL_VOL</stp>
        <stp>.NDX250620C21550</stp>
        <tr r="EP137" s="1"/>
      </tp>
      <tp t="s">
        <v>21.04%</v>
        <stp/>
        <stp>IMPL_VOL</stp>
        <stp>.NDX250620C20575</stp>
        <tr r="EP176" s="1"/>
      </tp>
      <tp t="s">
        <v>23.10%</v>
        <stp/>
        <stp>IMPL_VOL</stp>
        <stp>.NDX250620P20525</stp>
        <tr r="EQ178" s="1"/>
      </tp>
      <tp t="s">
        <v>19.88%</v>
        <stp/>
        <stp>IMPL_VOL</stp>
        <stp>.NDX250620P21525</stp>
        <tr r="EQ138" s="1"/>
      </tp>
      <tp t="s">
        <v>23.19%</v>
        <stp/>
        <stp>IMPL_VOL</stp>
        <stp>.NDX250620P20500</stp>
        <tr r="EQ179" s="1"/>
      </tp>
      <tp t="s">
        <v>19.94%</v>
        <stp/>
        <stp>IMPL_VOL</stp>
        <stp>.NDX250620P21500</stp>
        <tr r="EQ139" s="1"/>
      </tp>
      <tp t="s">
        <v>22.90%</v>
        <stp/>
        <stp>IMPL_VOL</stp>
        <stp>.NDX250620P20575</stp>
        <tr r="EQ176" s="1"/>
      </tp>
      <tp t="s">
        <v>23.01%</v>
        <stp/>
        <stp>IMPL_VOL</stp>
        <stp>.NDX250620P20550</stp>
        <tr r="EQ177" s="1"/>
      </tp>
      <tp t="s">
        <v>19.82%</v>
        <stp/>
        <stp>IMPL_VOL</stp>
        <stp>.NDX250620P21550</stp>
        <tr r="EQ137" s="1"/>
      </tp>
      <tp>
        <v>307</v>
        <stp/>
        <stp>OPEN_INT</stp>
        <stp>.SPXW250520C5910</stp>
        <tr r="AS101" s="1"/>
        <tr r="AS101" s="1"/>
      </tp>
      <tp>
        <v>628</v>
        <stp/>
        <stp>OPEN_INT</stp>
        <stp>.SPXW250523C5920</stp>
        <tr r="AU100" s="1"/>
        <tr r="AU100" s="1"/>
      </tp>
      <tp>
        <v>1712</v>
        <stp/>
        <stp>OPEN_INT</stp>
        <stp>.SPXW250520P5910</stp>
        <tr r="AT101" s="1"/>
        <tr r="AT101" s="1"/>
      </tp>
      <tp>
        <v>1058</v>
        <stp/>
        <stp>OPEN_INT</stp>
        <stp>.SPXW250523P5920</stp>
        <tr r="AV100" s="1"/>
        <tr r="AV100" s="1"/>
      </tp>
      <tp>
        <v>1690</v>
        <stp/>
        <stp>OPEN_INT</stp>
        <stp>.SPXW250520C5900</stp>
        <tr r="AS102" s="1"/>
        <tr r="AS102" s="1"/>
      </tp>
      <tp>
        <v>529</v>
        <stp/>
        <stp>OPEN_INT</stp>
        <stp>.SPXW250523C5930</stp>
        <tr r="AU99" s="1"/>
        <tr r="AU99" s="1"/>
      </tp>
      <tp>
        <v>4124</v>
        <stp/>
        <stp>OPEN_INT</stp>
        <stp>.SPXW250520P5900</stp>
        <tr r="AT102" s="1"/>
        <tr r="AT102" s="1"/>
      </tp>
      <tp>
        <v>593</v>
        <stp/>
        <stp>OPEN_INT</stp>
        <stp>.SPXW250523P5930</stp>
        <tr r="AV99" s="1"/>
        <tr r="AV99" s="1"/>
      </tp>
      <tp>
        <v>327</v>
        <stp/>
        <stp>OPEN_INT</stp>
        <stp>.SPXW250520C5930</stp>
        <tr r="AS99" s="1"/>
        <tr r="AS99" s="1"/>
      </tp>
      <tp>
        <v>3920</v>
        <stp/>
        <stp>OPEN_INT</stp>
        <stp>.SPXW250523C5900</stp>
        <tr r="AU102" s="1"/>
        <tr r="AU102" s="1"/>
      </tp>
      <tp>
        <v>2254</v>
        <stp/>
        <stp>OPEN_INT</stp>
        <stp>.SPXW250520P5930</stp>
        <tr r="AT99" s="1"/>
        <tr r="AT99" s="1"/>
      </tp>
      <tp>
        <v>16634</v>
        <stp/>
        <stp>OPEN_INT</stp>
        <stp>.SPXW250523P5900</stp>
        <tr r="AV102" s="1"/>
        <tr r="AV102" s="1"/>
      </tp>
      <tp>
        <v>507</v>
        <stp/>
        <stp>OPEN_INT</stp>
        <stp>.SPXW250520C5920</stp>
        <tr r="AS100" s="1"/>
        <tr r="AS100" s="1"/>
      </tp>
      <tp>
        <v>1312</v>
        <stp/>
        <stp>OPEN_INT</stp>
        <stp>.SPXW250523C5910</stp>
        <tr r="AU101" s="1"/>
        <tr r="AU101" s="1"/>
      </tp>
      <tp>
        <v>1019</v>
        <stp/>
        <stp>OPEN_INT</stp>
        <stp>.SPXW250520P5920</stp>
        <tr r="AT100" s="1"/>
        <tr r="AT100" s="1"/>
      </tp>
      <tp>
        <v>1539</v>
        <stp/>
        <stp>OPEN_INT</stp>
        <stp>.SPXW250523P5910</stp>
        <tr r="AV101" s="1"/>
        <tr r="AV101" s="1"/>
      </tp>
      <tp>
        <v>2313</v>
        <stp/>
        <stp>OPEN_INT</stp>
        <stp>.SPXW250520C5950</stp>
        <tr r="AS97" s="1"/>
        <tr r="AS97" s="1"/>
      </tp>
      <tp>
        <v>1440</v>
        <stp/>
        <stp>OPEN_INT</stp>
        <stp>.SPXW250523C5960</stp>
        <tr r="AU96" s="1"/>
        <tr r="AU96" s="1"/>
      </tp>
      <tp>
        <v>2407</v>
        <stp/>
        <stp>OPEN_INT</stp>
        <stp>.SPXW250520P5950</stp>
        <tr r="AT97" s="1"/>
        <tr r="AT97" s="1"/>
      </tp>
      <tp>
        <v>458</v>
        <stp/>
        <stp>OPEN_INT</stp>
        <stp>.SPXW250523P5960</stp>
        <tr r="AV96" s="1"/>
        <tr r="AV96" s="1"/>
      </tp>
      <tp>
        <v>627</v>
        <stp/>
        <stp>OPEN_INT</stp>
        <stp>.SPXW250520C5940</stp>
        <tr r="AS98" s="1"/>
        <tr r="AS98" s="1"/>
      </tp>
      <tp>
        <v>1150</v>
        <stp/>
        <stp>OPEN_INT</stp>
        <stp>.SPXW250523C5970</stp>
        <tr r="AU95" s="1"/>
        <tr r="AU95" s="1"/>
      </tp>
      <tp>
        <v>1433</v>
        <stp/>
        <stp>OPEN_INT</stp>
        <stp>.SPXW250520P5940</stp>
        <tr r="AT98" s="1"/>
        <tr r="AT98" s="1"/>
      </tp>
      <tp>
        <v>99</v>
        <stp/>
        <stp>OPEN_INT</stp>
        <stp>.SPXW250523P5970</stp>
        <tr r="AV95" s="1"/>
        <tr r="AV95" s="1"/>
      </tp>
      <tp>
        <v>798</v>
        <stp/>
        <stp>OPEN_INT</stp>
        <stp>.SPXW250520C5970</stp>
        <tr r="AS95" s="1"/>
        <tr r="AS95" s="1"/>
      </tp>
      <tp>
        <v>771</v>
        <stp/>
        <stp>OPEN_INT</stp>
        <stp>.SPXW250523C5940</stp>
        <tr r="AU98" s="1"/>
        <tr r="AU98" s="1"/>
      </tp>
      <tp>
        <v>232</v>
        <stp/>
        <stp>OPEN_INT</stp>
        <stp>.SPXW250520P5970</stp>
        <tr r="AT95" s="1"/>
        <tr r="AT95" s="1"/>
      </tp>
      <tp>
        <v>484</v>
        <stp/>
        <stp>OPEN_INT</stp>
        <stp>.SPXW250523P5940</stp>
        <tr r="AV98" s="1"/>
        <tr r="AV98" s="1"/>
      </tp>
      <tp>
        <v>1685</v>
        <stp/>
        <stp>OPEN_INT</stp>
        <stp>.SPXW250520C5960</stp>
        <tr r="AS96" s="1"/>
        <tr r="AS96" s="1"/>
      </tp>
      <tp>
        <v>5979</v>
        <stp/>
        <stp>OPEN_INT</stp>
        <stp>.SPXW250523C5950</stp>
        <tr r="AU97" s="1"/>
        <tr r="AU97" s="1"/>
      </tp>
      <tp>
        <v>852</v>
        <stp/>
        <stp>OPEN_INT</stp>
        <stp>.SPXW250520P5960</stp>
        <tr r="AT96" s="1"/>
        <tr r="AT96" s="1"/>
      </tp>
      <tp>
        <v>5019</v>
        <stp/>
        <stp>OPEN_INT</stp>
        <stp>.SPXW250523P5950</stp>
        <tr r="AV97" s="1"/>
        <tr r="AV97" s="1"/>
      </tp>
      <tp>
        <v>1662</v>
        <stp/>
        <stp>OPEN_INT</stp>
        <stp>.SPXW250520C5990</stp>
        <tr r="AS93" s="1"/>
        <tr r="AS93" s="1"/>
      </tp>
      <tp>
        <v>65</v>
        <stp/>
        <stp>OPEN_INT</stp>
        <stp>.SPXW250520P5990</stp>
        <tr r="AT93" s="1"/>
        <tr r="AT93" s="1"/>
      </tp>
      <tp>
        <v>836</v>
        <stp/>
        <stp>OPEN_INT</stp>
        <stp>.SPXW250520C5980</stp>
        <tr r="AS94" s="1"/>
        <tr r="AS94" s="1"/>
      </tp>
      <tp>
        <v>217</v>
        <stp/>
        <stp>OPEN_INT</stp>
        <stp>.SPXW250520P5980</stp>
        <tr r="AT94" s="1"/>
        <tr r="AT94" s="1"/>
      </tp>
      <tp>
        <v>2055</v>
        <stp/>
        <stp>OPEN_INT</stp>
        <stp>.SPXW250523C5980</stp>
        <tr r="AU94" s="1"/>
        <tr r="AU94" s="1"/>
      </tp>
      <tp>
        <v>100</v>
        <stp/>
        <stp>OPEN_INT</stp>
        <stp>.SPXW250523P5980</stp>
        <tr r="AV94" s="1"/>
        <tr r="AV94" s="1"/>
      </tp>
      <tp>
        <v>1014</v>
        <stp/>
        <stp>OPEN_INT</stp>
        <stp>.SPXW250523C5990</stp>
        <tr r="AU93" s="1"/>
        <tr r="AU93" s="1"/>
      </tp>
      <tp>
        <v>71</v>
        <stp/>
        <stp>OPEN_INT</stp>
        <stp>.SPXW250523P5990</stp>
        <tr r="AV93" s="1"/>
        <tr r="AV93" s="1"/>
      </tp>
      <tp t="s">
        <v>21.57%</v>
        <stp/>
        <stp>IMPL_VOL</stp>
        <stp>.NDX250620C20400</stp>
        <tr r="EP183" s="1"/>
      </tp>
      <tp t="s">
        <v>18.32%</v>
        <stp/>
        <stp>IMPL_VOL</stp>
        <stp>.NDX250620C21400</stp>
        <tr r="EP143" s="1"/>
      </tp>
      <tp t="s">
        <v>21.51%</v>
        <stp/>
        <stp>IMPL_VOL</stp>
        <stp>.NDX250620C20425</stp>
        <tr r="EP182" s="1"/>
      </tp>
      <tp t="s">
        <v>18.27%</v>
        <stp/>
        <stp>IMPL_VOL</stp>
        <stp>.NDX250620C21425</stp>
        <tr r="EP142" s="1"/>
      </tp>
      <tp t="s">
        <v>21.45%</v>
        <stp/>
        <stp>IMPL_VOL</stp>
        <stp>.NDX250620C20450</stp>
        <tr r="EP181" s="1"/>
      </tp>
      <tp t="s">
        <v>18.21%</v>
        <stp/>
        <stp>IMPL_VOL</stp>
        <stp>.NDX250620C21450</stp>
        <tr r="EP141" s="1"/>
      </tp>
      <tp t="s">
        <v>21.38%</v>
        <stp/>
        <stp>IMPL_VOL</stp>
        <stp>.NDX250620C20475</stp>
        <tr r="EP180" s="1"/>
      </tp>
      <tp t="s">
        <v>18.15%</v>
        <stp/>
        <stp>IMPL_VOL</stp>
        <stp>.NDX250620C21475</stp>
        <tr r="EP140" s="1"/>
      </tp>
      <tp t="s">
        <v>23.47%</v>
        <stp/>
        <stp>IMPL_VOL</stp>
        <stp>.NDX250620P20425</stp>
        <tr r="EQ182" s="1"/>
      </tp>
      <tp t="s">
        <v>20.15%</v>
        <stp/>
        <stp>IMPL_VOL</stp>
        <stp>.NDX250620P21425</stp>
        <tr r="EQ142" s="1"/>
      </tp>
      <tp t="s">
        <v>23.57%</v>
        <stp/>
        <stp>IMPL_VOL</stp>
        <stp>.NDX250620P20400</stp>
        <tr r="EQ183" s="1"/>
      </tp>
      <tp t="s">
        <v>20.22%</v>
        <stp/>
        <stp>IMPL_VOL</stp>
        <stp>.NDX250620P21400</stp>
        <tr r="EQ143" s="1"/>
      </tp>
      <tp t="s">
        <v>23.25%</v>
        <stp/>
        <stp>IMPL_VOL</stp>
        <stp>.NDX250620P20475</stp>
        <tr r="EQ180" s="1"/>
      </tp>
      <tp t="s">
        <v>20.01%</v>
        <stp/>
        <stp>IMPL_VOL</stp>
        <stp>.NDX250620P21475</stp>
        <tr r="EQ140" s="1"/>
      </tp>
      <tp t="s">
        <v>23.27%</v>
        <stp/>
        <stp>IMPL_VOL</stp>
        <stp>.NDX250620P20450</stp>
        <tr r="EQ181" s="1"/>
      </tp>
      <tp t="s">
        <v>20.08%</v>
        <stp/>
        <stp>IMPL_VOL</stp>
        <stp>.NDX250620P21450</stp>
        <tr r="EQ141" s="1"/>
      </tp>
      <tp t="s">
        <v>N/A</v>
        <stp/>
        <stp>VOLUME</stp>
        <stp>.SPX250606C6000</stp>
        <tr r="H93" s="2"/>
      </tp>
      <tp t="s">
        <v>N/A</v>
        <stp/>
        <stp>VOLUME</stp>
        <stp>.SPX250606P6000</stp>
        <tr r="H93" s="2"/>
      </tp>
      <tp t="s">
        <v>N/A</v>
        <stp/>
        <stp>VOLUME</stp>
        <stp>.SPX250606C6010</stp>
        <tr r="H92" s="2"/>
      </tp>
      <tp t="s">
        <v>N/A</v>
        <stp/>
        <stp>VOLUME</stp>
        <stp>.SPX250606P6010</stp>
        <tr r="H92" s="2"/>
      </tp>
      <tp t="s">
        <v>N/A</v>
        <stp/>
        <stp>VOLUME</stp>
        <stp>.SPX250606C6020</stp>
        <tr r="H91" s="2"/>
      </tp>
      <tp t="s">
        <v>N/A</v>
        <stp/>
        <stp>VOLUME</stp>
        <stp>.SPX250606P6020</stp>
        <tr r="H91" s="2"/>
      </tp>
      <tp t="s">
        <v>N/A</v>
        <stp/>
        <stp>VOLUME</stp>
        <stp>.SPX250606C6030</stp>
        <tr r="H90" s="2"/>
      </tp>
      <tp t="s">
        <v>N/A</v>
        <stp/>
        <stp>VOLUME</stp>
        <stp>.SPX250606P6030</stp>
        <tr r="H90" s="2"/>
      </tp>
      <tp t="s">
        <v>N/A</v>
        <stp/>
        <stp>VOLUME</stp>
        <stp>.SPX250606C6040</stp>
        <tr r="H89" s="2"/>
      </tp>
      <tp t="s">
        <v>N/A</v>
        <stp/>
        <stp>VOLUME</stp>
        <stp>.SPX250606P6040</stp>
        <tr r="H89" s="2"/>
      </tp>
      <tp t="s">
        <v>N/A</v>
        <stp/>
        <stp>VOLUME</stp>
        <stp>.SPX250606C6050</stp>
        <tr r="H88" s="2"/>
      </tp>
      <tp t="s">
        <v>N/A</v>
        <stp/>
        <stp>VOLUME</stp>
        <stp>.SPX250606P6050</stp>
        <tr r="H88" s="2"/>
      </tp>
      <tp t="s">
        <v>N/A</v>
        <stp/>
        <stp>VOLUME</stp>
        <stp>.SPX250606C6060</stp>
        <tr r="H87" s="2"/>
      </tp>
      <tp t="s">
        <v>N/A</v>
        <stp/>
        <stp>VOLUME</stp>
        <stp>.SPX250606P6060</stp>
        <tr r="H87" s="2"/>
      </tp>
      <tp t="s">
        <v>N/A</v>
        <stp/>
        <stp>VOLUME</stp>
        <stp>.SPX250606C6070</stp>
        <tr r="H86" s="2"/>
      </tp>
      <tp t="s">
        <v>N/A</v>
        <stp/>
        <stp>VOLUME</stp>
        <stp>.SPX250606P6070</stp>
        <tr r="H86" s="2"/>
      </tp>
      <tp>
        <v>587</v>
        <stp/>
        <stp>OPEN_INT</stp>
        <stp>.SPXW250520C5810</stp>
        <tr r="AS111" s="1"/>
        <tr r="AS111" s="1"/>
      </tp>
      <tp t="s">
        <v>N/A</v>
        <stp/>
        <stp>OPEN_INT</stp>
        <stp>.SPXW250523C5820</stp>
        <tr r="AU110" s="1"/>
      </tp>
      <tp>
        <v>2020</v>
        <stp/>
        <stp>OPEN_INT</stp>
        <stp>.SPXW250520P5810</stp>
        <tr r="AT111" s="1"/>
        <tr r="AT111" s="1"/>
      </tp>
      <tp t="s">
        <v>N/A</v>
        <stp/>
        <stp>OPEN_INT</stp>
        <stp>.SPXW250523P5820</stp>
        <tr r="AV110" s="1"/>
      </tp>
      <tp>
        <v>1471</v>
        <stp/>
        <stp>OPEN_INT</stp>
        <stp>.SPXW250520C5800</stp>
        <tr r="AS112" s="1"/>
        <tr r="AS112" s="1"/>
      </tp>
      <tp>
        <v>372</v>
        <stp/>
        <stp>OPEN_INT</stp>
        <stp>.SPXW250523C5830</stp>
        <tr r="AU109" s="1"/>
        <tr r="AU109" s="1"/>
      </tp>
      <tp>
        <v>3626</v>
        <stp/>
        <stp>OPEN_INT</stp>
        <stp>.SPXW250520P5800</stp>
        <tr r="AT112" s="1"/>
        <tr r="AT112" s="1"/>
      </tp>
      <tp>
        <v>537</v>
        <stp/>
        <stp>OPEN_INT</stp>
        <stp>.SPXW250523P5830</stp>
        <tr r="AV109" s="1"/>
        <tr r="AV109" s="1"/>
      </tp>
      <tp>
        <v>87</v>
        <stp/>
        <stp>OPEN_INT</stp>
        <stp>.SPXW250520C5830</stp>
        <tr r="AS109" s="1"/>
        <tr r="AS109" s="1"/>
      </tp>
      <tp>
        <v>5463</v>
        <stp/>
        <stp>OPEN_INT</stp>
        <stp>.SPXW250523C5800</stp>
        <tr r="AU112" s="1"/>
        <tr r="AU112" s="1"/>
      </tp>
      <tp>
        <v>707</v>
        <stp/>
        <stp>OPEN_INT</stp>
        <stp>.SPXW250520P5830</stp>
        <tr r="AT109" s="1"/>
        <tr r="AT109" s="1"/>
      </tp>
      <tp>
        <v>10084</v>
        <stp/>
        <stp>OPEN_INT</stp>
        <stp>.SPXW250523P5800</stp>
        <tr r="AV112" s="1"/>
        <tr r="AV112" s="1"/>
      </tp>
      <tp>
        <v>103</v>
        <stp/>
        <stp>OPEN_INT</stp>
        <stp>.SPXW250520C5820</stp>
        <tr r="AS110" s="1"/>
        <tr r="AS110" s="1"/>
      </tp>
      <tp>
        <v>248</v>
        <stp/>
        <stp>OPEN_INT</stp>
        <stp>.SPXW250523C5810</stp>
        <tr r="AU111" s="1"/>
        <tr r="AU111" s="1"/>
      </tp>
      <tp>
        <v>844</v>
        <stp/>
        <stp>OPEN_INT</stp>
        <stp>.SPXW250520P5820</stp>
        <tr r="AT110" s="1"/>
        <tr r="AT110" s="1"/>
      </tp>
      <tp>
        <v>375</v>
        <stp/>
        <stp>OPEN_INT</stp>
        <stp>.SPXW250523P5810</stp>
        <tr r="AV111" s="1"/>
        <tr r="AV111" s="1"/>
      </tp>
      <tp>
        <v>328</v>
        <stp/>
        <stp>OPEN_INT</stp>
        <stp>.SPXW250520C5850</stp>
        <tr r="AS107" s="1"/>
        <tr r="AS107" s="1"/>
      </tp>
      <tp>
        <v>388</v>
        <stp/>
        <stp>OPEN_INT</stp>
        <stp>.SPXW250523C5860</stp>
        <tr r="AU106" s="1"/>
        <tr r="AU106" s="1"/>
      </tp>
      <tp>
        <v>3578</v>
        <stp/>
        <stp>OPEN_INT</stp>
        <stp>.SPXW250520P5850</stp>
        <tr r="AT107" s="1"/>
        <tr r="AT107" s="1"/>
      </tp>
      <tp>
        <v>478</v>
        <stp/>
        <stp>OPEN_INT</stp>
        <stp>.SPXW250523P5860</stp>
        <tr r="AV106" s="1"/>
        <tr r="AV106" s="1"/>
      </tp>
      <tp>
        <v>263</v>
        <stp/>
        <stp>OPEN_INT</stp>
        <stp>.SPXW250520C5840</stp>
        <tr r="AS108" s="1"/>
        <tr r="AS108" s="1"/>
      </tp>
      <tp>
        <v>428</v>
        <stp/>
        <stp>OPEN_INT</stp>
        <stp>.SPXW250523C5870</stp>
        <tr r="AU105" s="1"/>
        <tr r="AU105" s="1"/>
      </tp>
      <tp>
        <v>968</v>
        <stp/>
        <stp>OPEN_INT</stp>
        <stp>.SPXW250520P5840</stp>
        <tr r="AT108" s="1"/>
        <tr r="AT108" s="1"/>
      </tp>
      <tp>
        <v>574</v>
        <stp/>
        <stp>OPEN_INT</stp>
        <stp>.SPXW250523P5870</stp>
        <tr r="AV105" s="1"/>
        <tr r="AV105" s="1"/>
      </tp>
      <tp>
        <v>125</v>
        <stp/>
        <stp>OPEN_INT</stp>
        <stp>.SPXW250520C5870</stp>
        <tr r="AS105" s="1"/>
        <tr r="AS105" s="1"/>
      </tp>
      <tp t="s">
        <v>N/A</v>
        <stp/>
        <stp>OPEN_INT</stp>
        <stp>.SPXW250523C5840</stp>
        <tr r="AU108" s="1"/>
      </tp>
      <tp>
        <v>884</v>
        <stp/>
        <stp>OPEN_INT</stp>
        <stp>.SPXW250520P5870</stp>
        <tr r="AT105" s="1"/>
        <tr r="AT105" s="1"/>
      </tp>
      <tp t="s">
        <v>N/A</v>
        <stp/>
        <stp>OPEN_INT</stp>
        <stp>.SPXW250523P5840</stp>
        <tr r="AV108" s="1"/>
      </tp>
      <tp>
        <v>66</v>
        <stp/>
        <stp>OPEN_INT</stp>
        <stp>.SPXW250520C5860</stp>
        <tr r="AS106" s="1"/>
        <tr r="AS106" s="1"/>
      </tp>
      <tp>
        <v>2225</v>
        <stp/>
        <stp>OPEN_INT</stp>
        <stp>.SPXW250523C5850</stp>
        <tr r="AU107" s="1"/>
        <tr r="AU107" s="1"/>
      </tp>
      <tp>
        <v>2134</v>
        <stp/>
        <stp>OPEN_INT</stp>
        <stp>.SPXW250520P5860</stp>
        <tr r="AT106" s="1"/>
        <tr r="AT106" s="1"/>
      </tp>
      <tp>
        <v>5444</v>
        <stp/>
        <stp>OPEN_INT</stp>
        <stp>.SPXW250523P5850</stp>
        <tr r="AV107" s="1"/>
        <tr r="AV107" s="1"/>
      </tp>
      <tp>
        <v>199</v>
        <stp/>
        <stp>OPEN_INT</stp>
        <stp>.SPXW250520C5890</stp>
        <tr r="AS103" s="1"/>
        <tr r="AS103" s="1"/>
      </tp>
      <tp>
        <v>915</v>
        <stp/>
        <stp>OPEN_INT</stp>
        <stp>.SPXW250520P5890</stp>
        <tr r="AT103" s="1"/>
        <tr r="AT103" s="1"/>
      </tp>
      <tp>
        <v>687</v>
        <stp/>
        <stp>OPEN_INT</stp>
        <stp>.SPXW250520C5880</stp>
        <tr r="AS104" s="1"/>
        <tr r="AS104" s="1"/>
      </tp>
      <tp>
        <v>1414</v>
        <stp/>
        <stp>OPEN_INT</stp>
        <stp>.SPXW250520P5880</stp>
        <tr r="AT104" s="1"/>
        <tr r="AT104" s="1"/>
      </tp>
      <tp>
        <v>740</v>
        <stp/>
        <stp>OPEN_INT</stp>
        <stp>.SPXW250523C5880</stp>
        <tr r="AU104" s="1"/>
        <tr r="AU104" s="1"/>
      </tp>
      <tp>
        <v>3144</v>
        <stp/>
        <stp>OPEN_INT</stp>
        <stp>.SPXW250523P5880</stp>
        <tr r="AV104" s="1"/>
        <tr r="AV104" s="1"/>
      </tp>
      <tp>
        <v>2066</v>
        <stp/>
        <stp>OPEN_INT</stp>
        <stp>.SPXW250523C5890</stp>
        <tr r="AU103" s="1"/>
        <tr r="AU103" s="1"/>
      </tp>
      <tp>
        <v>910</v>
        <stp/>
        <stp>OPEN_INT</stp>
        <stp>.SPXW250523P5890</stp>
        <tr r="AV103" s="1"/>
        <tr r="AV103" s="1"/>
      </tp>
      <tp t="s">
        <v>20.72%</v>
        <stp/>
        <stp>IMPL_VOL</stp>
        <stp>.NDX250620C20700</stp>
        <tr r="EP171" s="1"/>
      </tp>
      <tp t="s">
        <v>20.61%</v>
        <stp/>
        <stp>IMPL_VOL</stp>
        <stp>.NDX250620C20725</stp>
        <tr r="EP170" s="1"/>
      </tp>
      <tp t="s">
        <v>19.90%</v>
        <stp/>
        <stp>IMPL_VOL</stp>
        <stp>.NDX250620C20750</stp>
        <tr r="EP169" s="1"/>
      </tp>
      <tp t="s">
        <v>20.65%</v>
        <stp/>
        <stp>IMPL_VOL</stp>
        <stp>.NDX250620C20775</stp>
        <tr r="EP168" s="1"/>
      </tp>
      <tp t="s">
        <v>22.37%</v>
        <stp/>
        <stp>IMPL_VOL</stp>
        <stp>.NDX250620P20725</stp>
        <tr r="EQ170" s="1"/>
      </tp>
      <tp t="s">
        <v>22.46%</v>
        <stp/>
        <stp>IMPL_VOL</stp>
        <stp>.NDX250620P20700</stp>
        <tr r="EQ171" s="1"/>
      </tp>
      <tp t="s">
        <v>22.19%</v>
        <stp/>
        <stp>IMPL_VOL</stp>
        <stp>.NDX250620P20775</stp>
        <tr r="EQ168" s="1"/>
      </tp>
      <tp t="s">
        <v>22.28%</v>
        <stp/>
        <stp>IMPL_VOL</stp>
        <stp>.NDX250620P20750</stp>
        <tr r="EQ169" s="1"/>
      </tp>
      <tp t="s">
        <v>21.01%</v>
        <stp/>
        <stp>IMPL_VOL</stp>
        <stp>.NDX250620C20600</stp>
        <tr r="EP175" s="1"/>
      </tp>
      <tp t="s">
        <v>20.93%</v>
        <stp/>
        <stp>IMPL_VOL</stp>
        <stp>.NDX250620C20625</stp>
        <tr r="EP174" s="1"/>
      </tp>
      <tp t="s">
        <v>20.84%</v>
        <stp/>
        <stp>IMPL_VOL</stp>
        <stp>.NDX250620C20650</stp>
        <tr r="EP173" s="1"/>
      </tp>
      <tp t="s">
        <v>20.75%</v>
        <stp/>
        <stp>IMPL_VOL</stp>
        <stp>.NDX250620C20675</stp>
        <tr r="EP172" s="1"/>
      </tp>
      <tp t="s">
        <v>22.73%</v>
        <stp/>
        <stp>IMPL_VOL</stp>
        <stp>.NDX250620P20625</stp>
        <tr r="EQ174" s="1"/>
      </tp>
      <tp t="s">
        <v>22.82%</v>
        <stp/>
        <stp>IMPL_VOL</stp>
        <stp>.NDX250620P20600</stp>
        <tr r="EQ175" s="1"/>
      </tp>
      <tp t="s">
        <v>22.55%</v>
        <stp/>
        <stp>IMPL_VOL</stp>
        <stp>.NDX250620P20675</stp>
        <tr r="EQ172" s="1"/>
      </tp>
      <tp t="s">
        <v>22.64%</v>
        <stp/>
        <stp>IMPL_VOL</stp>
        <stp>.NDX250620P20650</stp>
        <tr r="EQ173" s="1"/>
      </tp>
      <tp>
        <v>22</v>
        <stp/>
        <stp>VOLUME</stp>
        <stp>.SPX250620C6060</stp>
        <tr r="BE86" s="1"/>
        <tr r="BE86" s="1"/>
      </tp>
      <tp t="s">
        <v>N/A</v>
        <stp/>
        <stp>VOLUME</stp>
        <stp>.SPX250627C6010</stp>
        <tr r="K92" s="2"/>
      </tp>
      <tp t="s">
        <v>N/A</v>
        <stp/>
        <stp>VOLUME</stp>
        <stp>.SPX250725C6030</stp>
        <tr r="M90" s="2"/>
      </tp>
      <tp t="s">
        <v>N/A</v>
        <stp/>
        <stp>VOLUME</stp>
        <stp>.SPX250822C6040</stp>
        <tr r="O89" s="2"/>
      </tp>
      <tp t="s">
        <v>N/A</v>
        <stp/>
        <stp>VOLUME</stp>
        <stp>.SPX250926C6000</stp>
        <tr r="Q93" s="2"/>
      </tp>
      <tp t="s">
        <v>N/A</v>
        <stp/>
        <stp>VOLUME</stp>
        <stp>.SPX251024C6020</stp>
        <tr r="S91" s="2"/>
      </tp>
      <tp t="s">
        <v>N/A</v>
        <stp/>
        <stp>VOLUME</stp>
        <stp>.SPX251226C6000</stp>
        <tr r="W93" s="2"/>
      </tp>
      <tp t="s">
        <v>N/A</v>
        <stp/>
        <stp>VOLUME</stp>
        <stp>.SPX251024P6020</stp>
        <tr r="S91" s="2"/>
      </tp>
      <tp t="s">
        <v>N/A</v>
        <stp/>
        <stp>VOLUME</stp>
        <stp>.SPX251226P6000</stp>
        <tr r="W93" s="2"/>
      </tp>
      <tp t="s">
        <v>N/A</v>
        <stp/>
        <stp>VOLUME</stp>
        <stp>.SPX250620P6060</stp>
        <tr r="BF86" s="1"/>
      </tp>
      <tp t="s">
        <v>N/A</v>
        <stp/>
        <stp>VOLUME</stp>
        <stp>.SPX250627P6010</stp>
        <tr r="K92" s="2"/>
      </tp>
      <tp t="s">
        <v>N/A</v>
        <stp/>
        <stp>VOLUME</stp>
        <stp>.SPX250725P6030</stp>
        <tr r="M90" s="2"/>
      </tp>
      <tp t="s">
        <v>N/A</v>
        <stp/>
        <stp>VOLUME</stp>
        <stp>.SPX250822P6040</stp>
        <tr r="O89" s="2"/>
      </tp>
      <tp t="s">
        <v>N/A</v>
        <stp/>
        <stp>VOLUME</stp>
        <stp>.SPX250926P6000</stp>
        <tr r="Q93" s="2"/>
      </tp>
      <tp>
        <v>39</v>
        <stp/>
        <stp>VOLUME</stp>
        <stp>.SPX250620C6070</stp>
        <tr r="BE85" s="1"/>
        <tr r="BE85" s="1"/>
      </tp>
      <tp t="s">
        <v>N/A</v>
        <stp/>
        <stp>VOLUME</stp>
        <stp>.SPX250627C6000</stp>
        <tr r="K93" s="2"/>
      </tp>
      <tp t="s">
        <v>N/A</v>
        <stp/>
        <stp>VOLUME</stp>
        <stp>.SPX250725C6020</stp>
        <tr r="M91" s="2"/>
      </tp>
      <tp t="s">
        <v>N/A</v>
        <stp/>
        <stp>VOLUME</stp>
        <stp>.SPX250822C6050</stp>
        <tr r="O88" s="2"/>
      </tp>
      <tp t="s">
        <v>N/A</v>
        <stp/>
        <stp>VOLUME</stp>
        <stp>.SPX250926C6010</stp>
        <tr r="Q92" s="2"/>
      </tp>
      <tp t="s">
        <v>N/A</v>
        <stp/>
        <stp>VOLUME</stp>
        <stp>.SPX251024C6030</stp>
        <tr r="S90" s="2"/>
      </tp>
      <tp t="s">
        <v>N/A</v>
        <stp/>
        <stp>VOLUME</stp>
        <stp>.SPX251226C6010</stp>
        <tr r="W92" s="2"/>
      </tp>
      <tp t="s">
        <v>N/A</v>
        <stp/>
        <stp>VOLUME</stp>
        <stp>.SPX251024P6030</stp>
        <tr r="S90" s="2"/>
      </tp>
      <tp t="s">
        <v>N/A</v>
        <stp/>
        <stp>VOLUME</stp>
        <stp>.SPX251226P6010</stp>
        <tr r="W92" s="2"/>
      </tp>
      <tp t="s">
        <v>N/A</v>
        <stp/>
        <stp>VOLUME</stp>
        <stp>.SPX250620P6070</stp>
        <tr r="BF85" s="1"/>
      </tp>
      <tp t="s">
        <v>N/A</v>
        <stp/>
        <stp>VOLUME</stp>
        <stp>.SPX250627P6000</stp>
        <tr r="K93" s="2"/>
      </tp>
      <tp t="s">
        <v>N/A</v>
        <stp/>
        <stp>VOLUME</stp>
        <stp>.SPX250725P6020</stp>
        <tr r="M91" s="2"/>
      </tp>
      <tp t="s">
        <v>N/A</v>
        <stp/>
        <stp>VOLUME</stp>
        <stp>.SPX250822P6050</stp>
        <tr r="O88" s="2"/>
      </tp>
      <tp t="s">
        <v>N/A</v>
        <stp/>
        <stp>VOLUME</stp>
        <stp>.SPX250926P6010</stp>
        <tr r="Q92" s="2"/>
      </tp>
      <tp>
        <v>26</v>
        <stp/>
        <stp>VOLUME</stp>
        <stp>.SPX250620C6040</stp>
        <tr r="BE88" s="1"/>
        <tr r="BE88" s="1"/>
      </tp>
      <tp t="s">
        <v>N/A</v>
        <stp/>
        <stp>VOLUME</stp>
        <stp>.SPX250627C6030</stp>
        <tr r="K90" s="2"/>
      </tp>
      <tp t="s">
        <v>N/A</v>
        <stp/>
        <stp>VOLUME</stp>
        <stp>.SPX250725C6010</stp>
        <tr r="M92" s="2"/>
      </tp>
      <tp t="s">
        <v>N/A</v>
        <stp/>
        <stp>VOLUME</stp>
        <stp>.SPX250822C6060</stp>
        <tr r="O87" s="2"/>
      </tp>
      <tp t="s">
        <v>N/A</v>
        <stp/>
        <stp>VOLUME</stp>
        <stp>.SPX250926C6020</stp>
        <tr r="Q91" s="2"/>
      </tp>
      <tp t="s">
        <v>N/A</v>
        <stp/>
        <stp>VOLUME</stp>
        <stp>.SPX251024C6000</stp>
        <tr r="S93" s="2"/>
      </tp>
      <tp t="s">
        <v>N/A</v>
        <stp/>
        <stp>VOLUME</stp>
        <stp>.SPX251226C6020</stp>
        <tr r="W91" s="2"/>
      </tp>
      <tp t="s">
        <v>N/A</v>
        <stp/>
        <stp>VOLUME</stp>
        <stp>.SPX251024P6000</stp>
        <tr r="S93" s="2"/>
      </tp>
      <tp t="s">
        <v>N/A</v>
        <stp/>
        <stp>VOLUME</stp>
        <stp>.SPX251226P6020</stp>
        <tr r="W91" s="2"/>
      </tp>
      <tp>
        <v>1</v>
        <stp/>
        <stp>VOLUME</stp>
        <stp>.SPX250620P6040</stp>
        <tr r="BF88" s="1"/>
        <tr r="BF88" s="1"/>
      </tp>
      <tp t="s">
        <v>N/A</v>
        <stp/>
        <stp>VOLUME</stp>
        <stp>.SPX250627P6030</stp>
        <tr r="K90" s="2"/>
      </tp>
      <tp t="s">
        <v>N/A</v>
        <stp/>
        <stp>VOLUME</stp>
        <stp>.SPX250725P6010</stp>
        <tr r="M92" s="2"/>
      </tp>
      <tp t="s">
        <v>N/A</v>
        <stp/>
        <stp>VOLUME</stp>
        <stp>.SPX250822P6060</stp>
        <tr r="O87" s="2"/>
      </tp>
      <tp t="s">
        <v>N/A</v>
        <stp/>
        <stp>VOLUME</stp>
        <stp>.SPX250926P6020</stp>
        <tr r="Q91" s="2"/>
      </tp>
      <tp>
        <v>838</v>
        <stp/>
        <stp>VOLUME</stp>
        <stp>.SPX250620C6050</stp>
        <tr r="BE87" s="1"/>
        <tr r="BE87" s="1"/>
      </tp>
      <tp t="s">
        <v>N/A</v>
        <stp/>
        <stp>VOLUME</stp>
        <stp>.SPX250627C6020</stp>
        <tr r="K91" s="2"/>
      </tp>
      <tp t="s">
        <v>N/A</v>
        <stp/>
        <stp>VOLUME</stp>
        <stp>.SPX250725C6000</stp>
        <tr r="M93" s="2"/>
      </tp>
      <tp t="s">
        <v>N/A</v>
        <stp/>
        <stp>VOLUME</stp>
        <stp>.SPX250822C6070</stp>
        <tr r="O86" s="2"/>
      </tp>
      <tp t="s">
        <v>N/A</v>
        <stp/>
        <stp>VOLUME</stp>
        <stp>.SPX250926C6030</stp>
        <tr r="Q90" s="2"/>
      </tp>
      <tp t="s">
        <v>N/A</v>
        <stp/>
        <stp>VOLUME</stp>
        <stp>.SPX251024C6010</stp>
        <tr r="S92" s="2"/>
      </tp>
      <tp t="s">
        <v>N/A</v>
        <stp/>
        <stp>VOLUME</stp>
        <stp>.SPX251226C6030</stp>
        <tr r="W90" s="2"/>
      </tp>
      <tp t="s">
        <v>N/A</v>
        <stp/>
        <stp>VOLUME</stp>
        <stp>.SPX251024P6010</stp>
        <tr r="S92" s="2"/>
      </tp>
      <tp t="s">
        <v>N/A</v>
        <stp/>
        <stp>VOLUME</stp>
        <stp>.SPX251226P6030</stp>
        <tr r="W90" s="2"/>
      </tp>
      <tp>
        <v>122</v>
        <stp/>
        <stp>VOLUME</stp>
        <stp>.SPX250620P6050</stp>
        <tr r="BF87" s="1"/>
        <tr r="BF87" s="1"/>
      </tp>
      <tp t="s">
        <v>N/A</v>
        <stp/>
        <stp>VOLUME</stp>
        <stp>.SPX250627P6020</stp>
        <tr r="K91" s="2"/>
      </tp>
      <tp t="s">
        <v>N/A</v>
        <stp/>
        <stp>VOLUME</stp>
        <stp>.SPX250725P6000</stp>
        <tr r="M93" s="2"/>
      </tp>
      <tp t="s">
        <v>N/A</v>
        <stp/>
        <stp>VOLUME</stp>
        <stp>.SPX250822P6070</stp>
        <tr r="O86" s="2"/>
      </tp>
      <tp t="s">
        <v>N/A</v>
        <stp/>
        <stp>VOLUME</stp>
        <stp>.SPX250926P6030</stp>
        <tr r="Q90" s="2"/>
      </tp>
      <tp>
        <v>25</v>
        <stp/>
        <stp>VOLUME</stp>
        <stp>.SPX250620C6020</stp>
        <tr r="BE90" s="1"/>
        <tr r="BE90" s="1"/>
      </tp>
      <tp t="s">
        <v>N/A</v>
        <stp/>
        <stp>VOLUME</stp>
        <stp>.SPX250627C6050</stp>
        <tr r="K88" s="2"/>
      </tp>
      <tp t="s">
        <v>N/A</v>
        <stp/>
        <stp>VOLUME</stp>
        <stp>.SPX250725C6070</stp>
        <tr r="M86" s="2"/>
      </tp>
      <tp t="s">
        <v>N/A</v>
        <stp/>
        <stp>VOLUME</stp>
        <stp>.SPX250822C6000</stp>
        <tr r="O93" s="2"/>
      </tp>
      <tp t="s">
        <v>N/A</v>
        <stp/>
        <stp>VOLUME</stp>
        <stp>.SPX250926C6040</stp>
        <tr r="Q89" s="2"/>
      </tp>
      <tp t="s">
        <v>N/A</v>
        <stp/>
        <stp>VOLUME</stp>
        <stp>.SPX251024C6060</stp>
        <tr r="S87" s="2"/>
      </tp>
      <tp t="s">
        <v>N/A</v>
        <stp/>
        <stp>VOLUME</stp>
        <stp>.SPX251226C6040</stp>
        <tr r="W89" s="2"/>
      </tp>
      <tp t="s">
        <v>N/A</v>
        <stp/>
        <stp>VOLUME</stp>
        <stp>.SPX251024P6060</stp>
        <tr r="S87" s="2"/>
      </tp>
      <tp t="s">
        <v>N/A</v>
        <stp/>
        <stp>VOLUME</stp>
        <stp>.SPX251226P6040</stp>
        <tr r="W89" s="2"/>
      </tp>
      <tp t="s">
        <v>N/A</v>
        <stp/>
        <stp>VOLUME</stp>
        <stp>.SPX250620P6020</stp>
        <tr r="BF90" s="1"/>
      </tp>
      <tp t="s">
        <v>N/A</v>
        <stp/>
        <stp>VOLUME</stp>
        <stp>.SPX250627P6050</stp>
        <tr r="K88" s="2"/>
      </tp>
      <tp t="s">
        <v>N/A</v>
        <stp/>
        <stp>VOLUME</stp>
        <stp>.SPX250725P6070</stp>
        <tr r="M86" s="2"/>
      </tp>
      <tp t="s">
        <v>N/A</v>
        <stp/>
        <stp>VOLUME</stp>
        <stp>.SPX250822P6000</stp>
        <tr r="O93" s="2"/>
      </tp>
      <tp t="s">
        <v>N/A</v>
        <stp/>
        <stp>VOLUME</stp>
        <stp>.SPX250926P6040</stp>
        <tr r="Q89" s="2"/>
      </tp>
      <tp>
        <v>18</v>
        <stp/>
        <stp>VOLUME</stp>
        <stp>.SPX250620C6030</stp>
        <tr r="BE89" s="1"/>
        <tr r="BE89" s="1"/>
      </tp>
      <tp t="s">
        <v>N/A</v>
        <stp/>
        <stp>VOLUME</stp>
        <stp>.SPX250627C6040</stp>
        <tr r="K89" s="2"/>
      </tp>
      <tp t="s">
        <v>N/A</v>
        <stp/>
        <stp>VOLUME</stp>
        <stp>.SPX250725C6060</stp>
        <tr r="M87" s="2"/>
      </tp>
      <tp t="s">
        <v>N/A</v>
        <stp/>
        <stp>VOLUME</stp>
        <stp>.SPX250822C6010</stp>
        <tr r="O92" s="2"/>
      </tp>
      <tp t="s">
        <v>N/A</v>
        <stp/>
        <stp>VOLUME</stp>
        <stp>.SPX250926C6050</stp>
        <tr r="Q88" s="2"/>
      </tp>
      <tp t="s">
        <v>N/A</v>
        <stp/>
        <stp>VOLUME</stp>
        <stp>.SPX251024C6070</stp>
        <tr r="S86" s="2"/>
      </tp>
      <tp t="s">
        <v>N/A</v>
        <stp/>
        <stp>VOLUME</stp>
        <stp>.SPX251226C6050</stp>
        <tr r="W88" s="2"/>
      </tp>
      <tp t="s">
        <v>N/A</v>
        <stp/>
        <stp>VOLUME</stp>
        <stp>.SPX251024P6070</stp>
        <tr r="S86" s="2"/>
      </tp>
      <tp t="s">
        <v>N/A</v>
        <stp/>
        <stp>VOLUME</stp>
        <stp>.SPX251226P6050</stp>
        <tr r="W88" s="2"/>
      </tp>
      <tp t="s">
        <v>N/A</v>
        <stp/>
        <stp>VOLUME</stp>
        <stp>.SPX250620P6030</stp>
        <tr r="BF89" s="1"/>
      </tp>
      <tp t="s">
        <v>N/A</v>
        <stp/>
        <stp>VOLUME</stp>
        <stp>.SPX250627P6040</stp>
        <tr r="K89" s="2"/>
      </tp>
      <tp t="s">
        <v>N/A</v>
        <stp/>
        <stp>VOLUME</stp>
        <stp>.SPX250725P6060</stp>
        <tr r="M87" s="2"/>
      </tp>
      <tp t="s">
        <v>N/A</v>
        <stp/>
        <stp>VOLUME</stp>
        <stp>.SPX250822P6010</stp>
        <tr r="O92" s="2"/>
      </tp>
      <tp t="s">
        <v>N/A</v>
        <stp/>
        <stp>VOLUME</stp>
        <stp>.SPX250926P6050</stp>
        <tr r="Q88" s="2"/>
      </tp>
      <tp>
        <v>13033</v>
        <stp/>
        <stp>VOLUME</stp>
        <stp>.SPX250620C6000</stp>
        <tr r="BE92" s="1"/>
        <tr r="BE92" s="1"/>
      </tp>
      <tp t="s">
        <v>N/A</v>
        <stp/>
        <stp>VOLUME</stp>
        <stp>.SPX250627C6070</stp>
        <tr r="K86" s="2"/>
      </tp>
      <tp t="s">
        <v>N/A</v>
        <stp/>
        <stp>VOLUME</stp>
        <stp>.SPX250725C6050</stp>
        <tr r="M88" s="2"/>
      </tp>
      <tp t="s">
        <v>N/A</v>
        <stp/>
        <stp>VOLUME</stp>
        <stp>.SPX250822C6020</stp>
        <tr r="O91" s="2"/>
      </tp>
      <tp t="s">
        <v>N/A</v>
        <stp/>
        <stp>VOLUME</stp>
        <stp>.SPX250926C6060</stp>
        <tr r="Q87" s="2"/>
      </tp>
      <tp t="s">
        <v>N/A</v>
        <stp/>
        <stp>VOLUME</stp>
        <stp>.SPX251024C6040</stp>
        <tr r="S89" s="2"/>
      </tp>
      <tp t="s">
        <v>N/A</v>
        <stp/>
        <stp>VOLUME</stp>
        <stp>.SPX251226C6060</stp>
        <tr r="W87" s="2"/>
      </tp>
      <tp t="s">
        <v>N/A</v>
        <stp/>
        <stp>VOLUME</stp>
        <stp>.SPX251024P6040</stp>
        <tr r="S89" s="2"/>
      </tp>
      <tp t="s">
        <v>N/A</v>
        <stp/>
        <stp>VOLUME</stp>
        <stp>.SPX251226P6060</stp>
        <tr r="W87" s="2"/>
      </tp>
      <tp>
        <v>11816</v>
        <stp/>
        <stp>VOLUME</stp>
        <stp>.SPX250620P6000</stp>
        <tr r="BF92" s="1"/>
        <tr r="BF92" s="1"/>
      </tp>
      <tp t="s">
        <v>N/A</v>
        <stp/>
        <stp>VOLUME</stp>
        <stp>.SPX250627P6070</stp>
        <tr r="K86" s="2"/>
      </tp>
      <tp t="s">
        <v>N/A</v>
        <stp/>
        <stp>VOLUME</stp>
        <stp>.SPX250725P6050</stp>
        <tr r="M88" s="2"/>
      </tp>
      <tp t="s">
        <v>N/A</v>
        <stp/>
        <stp>VOLUME</stp>
        <stp>.SPX250822P6020</stp>
        <tr r="O91" s="2"/>
      </tp>
      <tp t="s">
        <v>N/A</v>
        <stp/>
        <stp>VOLUME</stp>
        <stp>.SPX250926P6060</stp>
        <tr r="Q87" s="2"/>
      </tp>
      <tp>
        <v>5</v>
        <stp/>
        <stp>VOLUME</stp>
        <stp>.SPX250620C6010</stp>
        <tr r="BE91" s="1"/>
        <tr r="BE91" s="1"/>
      </tp>
      <tp t="s">
        <v>N/A</v>
        <stp/>
        <stp>VOLUME</stp>
        <stp>.SPX250627C6060</stp>
        <tr r="K87" s="2"/>
      </tp>
      <tp t="s">
        <v>N/A</v>
        <stp/>
        <stp>VOLUME</stp>
        <stp>.SPX250725C6040</stp>
        <tr r="M89" s="2"/>
      </tp>
      <tp t="s">
        <v>N/A</v>
        <stp/>
        <stp>VOLUME</stp>
        <stp>.SPX250822C6030</stp>
        <tr r="O90" s="2"/>
      </tp>
      <tp t="s">
        <v>N/A</v>
        <stp/>
        <stp>VOLUME</stp>
        <stp>.SPX250926C6070</stp>
        <tr r="Q86" s="2"/>
      </tp>
      <tp t="s">
        <v>N/A</v>
        <stp/>
        <stp>VOLUME</stp>
        <stp>.SPX251024C6050</stp>
        <tr r="S88" s="2"/>
      </tp>
      <tp t="s">
        <v>N/A</v>
        <stp/>
        <stp>VOLUME</stp>
        <stp>.SPX251226C6070</stp>
        <tr r="W86" s="2"/>
      </tp>
      <tp t="s">
        <v>N/A</v>
        <stp/>
        <stp>VOLUME</stp>
        <stp>.SPX251024P6050</stp>
        <tr r="S88" s="2"/>
      </tp>
      <tp t="s">
        <v>N/A</v>
        <stp/>
        <stp>VOLUME</stp>
        <stp>.SPX251226P6070</stp>
        <tr r="W86" s="2"/>
      </tp>
      <tp>
        <v>4</v>
        <stp/>
        <stp>VOLUME</stp>
        <stp>.SPX250620P6010</stp>
        <tr r="BF91" s="1"/>
        <tr r="BF91" s="1"/>
      </tp>
      <tp t="s">
        <v>N/A</v>
        <stp/>
        <stp>VOLUME</stp>
        <stp>.SPX250627P6060</stp>
        <tr r="K87" s="2"/>
      </tp>
      <tp t="s">
        <v>N/A</v>
        <stp/>
        <stp>VOLUME</stp>
        <stp>.SPX250725P6040</stp>
        <tr r="M89" s="2"/>
      </tp>
      <tp t="s">
        <v>N/A</v>
        <stp/>
        <stp>VOLUME</stp>
        <stp>.SPX250822P6030</stp>
        <tr r="O90" s="2"/>
      </tp>
      <tp t="s">
        <v>N/A</v>
        <stp/>
        <stp>VOLUME</stp>
        <stp>.SPX250926P6070</stp>
        <tr r="Q86" s="2"/>
      </tp>
      <tp t="s">
        <v>N/A</v>
        <stp/>
        <stp>VOLUME</stp>
        <stp>.SPX251128C6060</stp>
        <tr r="U87" s="2"/>
      </tp>
      <tp t="s">
        <v>N/A</v>
        <stp/>
        <stp>VOLUME</stp>
        <stp>.SPX251128P6060</stp>
        <tr r="U87" s="2"/>
      </tp>
      <tp t="s">
        <v>N/A</v>
        <stp/>
        <stp>VOLUME</stp>
        <stp>.SPX251128C6070</stp>
        <tr r="U86" s="2"/>
      </tp>
      <tp t="s">
        <v>N/A</v>
        <stp/>
        <stp>VOLUME</stp>
        <stp>.SPX251128P6070</stp>
        <tr r="U86" s="2"/>
      </tp>
      <tp t="s">
        <v>N/A</v>
        <stp/>
        <stp>VOLUME</stp>
        <stp>.SPX251128C6040</stp>
        <tr r="U89" s="2"/>
      </tp>
      <tp t="s">
        <v>N/A</v>
        <stp/>
        <stp>VOLUME</stp>
        <stp>.SPX251128P6040</stp>
        <tr r="U89" s="2"/>
      </tp>
      <tp t="s">
        <v>N/A</v>
        <stp/>
        <stp>VOLUME</stp>
        <stp>.SPX251128C6050</stp>
        <tr r="U88" s="2"/>
      </tp>
      <tp t="s">
        <v>N/A</v>
        <stp/>
        <stp>VOLUME</stp>
        <stp>.SPX251128P6050</stp>
        <tr r="U88" s="2"/>
      </tp>
      <tp t="s">
        <v>N/A</v>
        <stp/>
        <stp>VOLUME</stp>
        <stp>.SPX251128C6020</stp>
        <tr r="U91" s="2"/>
      </tp>
      <tp t="s">
        <v>N/A</v>
        <stp/>
        <stp>VOLUME</stp>
        <stp>.SPX251128P6020</stp>
        <tr r="U91" s="2"/>
      </tp>
      <tp t="s">
        <v>N/A</v>
        <stp/>
        <stp>VOLUME</stp>
        <stp>.SPX251128C6030</stp>
        <tr r="U90" s="2"/>
      </tp>
      <tp t="s">
        <v>N/A</v>
        <stp/>
        <stp>VOLUME</stp>
        <stp>.SPX251128P6030</stp>
        <tr r="U90" s="2"/>
      </tp>
      <tp t="s">
        <v>N/A</v>
        <stp/>
        <stp>VOLUME</stp>
        <stp>.SPX251128C6000</stp>
        <tr r="U93" s="2"/>
      </tp>
      <tp t="s">
        <v>N/A</v>
        <stp/>
        <stp>VOLUME</stp>
        <stp>.SPX251128P6000</stp>
        <tr r="U93" s="2"/>
      </tp>
      <tp t="s">
        <v>N/A</v>
        <stp/>
        <stp>VOLUME</stp>
        <stp>.SPX251128C6010</stp>
        <tr r="U92" s="2"/>
      </tp>
      <tp t="s">
        <v>N/A</v>
        <stp/>
        <stp>VOLUME</stp>
        <stp>.SPX251128P6010</stp>
        <tr r="U92" s="2"/>
      </tp>
      <tp t="s">
        <v>19.07%</v>
        <stp/>
        <stp>IMPL_VOL</stp>
        <stp>.NDX250620C21100</stp>
        <tr r="EP155" s="1"/>
      </tp>
      <tp t="s">
        <v>19.00%</v>
        <stp/>
        <stp>IMPL_VOL</stp>
        <stp>.NDX250620C21125</stp>
        <tr r="EP154" s="1"/>
      </tp>
      <tp t="s">
        <v>18.93%</v>
        <stp/>
        <stp>IMPL_VOL</stp>
        <stp>.NDX250620C21150</stp>
        <tr r="EP153" s="1"/>
      </tp>
      <tp t="s">
        <v>18.86%</v>
        <stp/>
        <stp>IMPL_VOL</stp>
        <stp>.NDX250620C21175</stp>
        <tr r="EP152" s="1"/>
      </tp>
      <tp t="s">
        <v>21.02%</v>
        <stp/>
        <stp>IMPL_VOL</stp>
        <stp>.NDX250620P21125</stp>
        <tr r="EQ154" s="1"/>
      </tp>
      <tp t="s">
        <v>21.10%</v>
        <stp/>
        <stp>IMPL_VOL</stp>
        <stp>.NDX250620P21100</stp>
        <tr r="EQ155" s="1"/>
      </tp>
      <tp t="s">
        <v>20.86%</v>
        <stp/>
        <stp>IMPL_VOL</stp>
        <stp>.NDX250620P21175</stp>
        <tr r="EQ152" s="1"/>
      </tp>
      <tp t="s">
        <v>20.94%</v>
        <stp/>
        <stp>IMPL_VOL</stp>
        <stp>.NDX250620P21150</stp>
        <tr r="EQ153" s="1"/>
      </tp>
      <tp t="s">
        <v>N/A</v>
        <stp/>
        <stp>VOLUME</stp>
        <stp>.SPX250725C5730</stp>
        <tr r="M120" s="2"/>
      </tp>
      <tp>
        <v>5</v>
        <stp/>
        <stp>VOLUME</stp>
        <stp>.SPX250620C5760</stp>
        <tr r="BE116" s="1"/>
        <tr r="BE116" s="1"/>
      </tp>
      <tp t="s">
        <v>N/A</v>
        <stp/>
        <stp>VOLUME</stp>
        <stp>.SPX250627C5710</stp>
        <tr r="K122" s="2"/>
      </tp>
      <tp t="s">
        <v>N/A</v>
        <stp/>
        <stp>VOLUME</stp>
        <stp>.SPX250926C5700</stp>
        <tr r="Q123" s="2"/>
      </tp>
      <tp t="s">
        <v>N/A</v>
        <stp/>
        <stp>VOLUME</stp>
        <stp>.SPX250822C5740</stp>
        <tr r="O119" s="2"/>
      </tp>
      <tp t="s">
        <v>N/A</v>
        <stp/>
        <stp>VOLUME</stp>
        <stp>.SPX251226C5700</stp>
        <tr r="W123" s="2"/>
      </tp>
      <tp t="s">
        <v>N/A</v>
        <stp/>
        <stp>VOLUME</stp>
        <stp>.SPX251024C5720</stp>
        <tr r="S121" s="2"/>
      </tp>
      <tp t="s">
        <v>N/A</v>
        <stp/>
        <stp>VOLUME</stp>
        <stp>.SPX251226P5700</stp>
        <tr r="W123" s="2"/>
      </tp>
      <tp t="s">
        <v>N/A</v>
        <stp/>
        <stp>VOLUME</stp>
        <stp>.SPX251024P5720</stp>
        <tr r="S121" s="2"/>
      </tp>
      <tp t="s">
        <v>N/A</v>
        <stp/>
        <stp>VOLUME</stp>
        <stp>.SPX250725P5730</stp>
        <tr r="M120" s="2"/>
      </tp>
      <tp>
        <v>27</v>
        <stp/>
        <stp>VOLUME</stp>
        <stp>.SPX250620P5760</stp>
        <tr r="BF116" s="1"/>
        <tr r="BF116" s="1"/>
      </tp>
      <tp t="s">
        <v>N/A</v>
        <stp/>
        <stp>VOLUME</stp>
        <stp>.SPX250627P5710</stp>
        <tr r="K122" s="2"/>
      </tp>
      <tp t="s">
        <v>N/A</v>
        <stp/>
        <stp>VOLUME</stp>
        <stp>.SPX250926P5700</stp>
        <tr r="Q123" s="2"/>
      </tp>
      <tp t="s">
        <v>N/A</v>
        <stp/>
        <stp>VOLUME</stp>
        <stp>.SPX250822P5740</stp>
        <tr r="O119" s="2"/>
      </tp>
      <tp t="s">
        <v>N/A</v>
        <stp/>
        <stp>VOLUME</stp>
        <stp>.SPX250725C5720</stp>
        <tr r="M121" s="2"/>
      </tp>
      <tp>
        <v>10</v>
        <stp/>
        <stp>VOLUME</stp>
        <stp>.SPX250620C5770</stp>
        <tr r="BE115" s="1"/>
        <tr r="BE115" s="1"/>
      </tp>
      <tp t="s">
        <v>N/A</v>
        <stp/>
        <stp>VOLUME</stp>
        <stp>.SPX250627C5700</stp>
        <tr r="K123" s="2"/>
      </tp>
      <tp t="s">
        <v>N/A</v>
        <stp/>
        <stp>VOLUME</stp>
        <stp>.SPX250926C5710</stp>
        <tr r="Q122" s="2"/>
      </tp>
      <tp t="s">
        <v>N/A</v>
        <stp/>
        <stp>VOLUME</stp>
        <stp>.SPX250822C5750</stp>
        <tr r="O118" s="2"/>
      </tp>
      <tp t="s">
        <v>N/A</v>
        <stp/>
        <stp>VOLUME</stp>
        <stp>.SPX251226C5710</stp>
        <tr r="W122" s="2"/>
      </tp>
      <tp t="s">
        <v>N/A</v>
        <stp/>
        <stp>VOLUME</stp>
        <stp>.SPX251024C5730</stp>
        <tr r="S120" s="2"/>
      </tp>
      <tp t="s">
        <v>N/A</v>
        <stp/>
        <stp>VOLUME</stp>
        <stp>.SPX251226P5710</stp>
        <tr r="W122" s="2"/>
      </tp>
      <tp t="s">
        <v>N/A</v>
        <stp/>
        <stp>VOLUME</stp>
        <stp>.SPX251024P5730</stp>
        <tr r="S120" s="2"/>
      </tp>
      <tp t="s">
        <v>N/A</v>
        <stp/>
        <stp>VOLUME</stp>
        <stp>.SPX250725P5720</stp>
        <tr r="M121" s="2"/>
      </tp>
      <tp>
        <v>6</v>
        <stp/>
        <stp>VOLUME</stp>
        <stp>.SPX250620P5770</stp>
        <tr r="BF115" s="1"/>
        <tr r="BF115" s="1"/>
      </tp>
      <tp t="s">
        <v>N/A</v>
        <stp/>
        <stp>VOLUME</stp>
        <stp>.SPX250627P5700</stp>
        <tr r="K123" s="2"/>
      </tp>
      <tp t="s">
        <v>N/A</v>
        <stp/>
        <stp>VOLUME</stp>
        <stp>.SPX250926P5710</stp>
        <tr r="Q122" s="2"/>
      </tp>
      <tp t="s">
        <v>N/A</v>
        <stp/>
        <stp>VOLUME</stp>
        <stp>.SPX250822P5750</stp>
        <tr r="O118" s="2"/>
      </tp>
      <tp t="s">
        <v>N/A</v>
        <stp/>
        <stp>VOLUME</stp>
        <stp>.SPX250725C5710</stp>
        <tr r="M122" s="2"/>
      </tp>
      <tp>
        <v>24</v>
        <stp/>
        <stp>VOLUME</stp>
        <stp>.SPX250620C5740</stp>
        <tr r="BE118" s="1"/>
        <tr r="BE118" s="1"/>
      </tp>
      <tp t="s">
        <v>N/A</v>
        <stp/>
        <stp>VOLUME</stp>
        <stp>.SPX250627C5730</stp>
        <tr r="K120" s="2"/>
      </tp>
      <tp t="s">
        <v>N/A</v>
        <stp/>
        <stp>VOLUME</stp>
        <stp>.SPX250926C5720</stp>
        <tr r="Q121" s="2"/>
      </tp>
      <tp t="s">
        <v>N/A</v>
        <stp/>
        <stp>VOLUME</stp>
        <stp>.SPX250822C5760</stp>
        <tr r="O117" s="2"/>
      </tp>
      <tp t="s">
        <v>N/A</v>
        <stp/>
        <stp>VOLUME</stp>
        <stp>.SPX251226C5720</stp>
        <tr r="W121" s="2"/>
      </tp>
      <tp t="s">
        <v>N/A</v>
        <stp/>
        <stp>VOLUME</stp>
        <stp>.SPX251024C5700</stp>
        <tr r="S123" s="2"/>
      </tp>
      <tp t="s">
        <v>N/A</v>
        <stp/>
        <stp>VOLUME</stp>
        <stp>.SPX251226P5720</stp>
        <tr r="W121" s="2"/>
      </tp>
      <tp t="s">
        <v>N/A</v>
        <stp/>
        <stp>VOLUME</stp>
        <stp>.SPX251024P5700</stp>
        <tr r="S123" s="2"/>
      </tp>
      <tp t="s">
        <v>N/A</v>
        <stp/>
        <stp>VOLUME</stp>
        <stp>.SPX250725P5710</stp>
        <tr r="M122" s="2"/>
      </tp>
      <tp>
        <v>4</v>
        <stp/>
        <stp>VOLUME</stp>
        <stp>.SPX250620P5740</stp>
        <tr r="BF118" s="1"/>
        <tr r="BF118" s="1"/>
      </tp>
      <tp t="s">
        <v>N/A</v>
        <stp/>
        <stp>VOLUME</stp>
        <stp>.SPX250627P5730</stp>
        <tr r="K120" s="2"/>
      </tp>
      <tp t="s">
        <v>N/A</v>
        <stp/>
        <stp>VOLUME</stp>
        <stp>.SPX250926P5720</stp>
        <tr r="Q121" s="2"/>
      </tp>
      <tp t="s">
        <v>N/A</v>
        <stp/>
        <stp>VOLUME</stp>
        <stp>.SPX250822P5760</stp>
        <tr r="O117" s="2"/>
      </tp>
      <tp t="s">
        <v>N/A</v>
        <stp/>
        <stp>VOLUME</stp>
        <stp>.SPX250725C5700</stp>
        <tr r="M123" s="2"/>
      </tp>
      <tp>
        <v>10</v>
        <stp/>
        <stp>VOLUME</stp>
        <stp>.SPX250620C5750</stp>
        <tr r="BE117" s="1"/>
        <tr r="BE117" s="1"/>
      </tp>
      <tp t="s">
        <v>N/A</v>
        <stp/>
        <stp>VOLUME</stp>
        <stp>.SPX250627C5720</stp>
        <tr r="K121" s="2"/>
      </tp>
      <tp t="s">
        <v>N/A</v>
        <stp/>
        <stp>VOLUME</stp>
        <stp>.SPX250926C5730</stp>
        <tr r="Q120" s="2"/>
      </tp>
      <tp t="s">
        <v>N/A</v>
        <stp/>
        <stp>VOLUME</stp>
        <stp>.SPX250822C5770</stp>
        <tr r="O116" s="2"/>
      </tp>
      <tp t="s">
        <v>N/A</v>
        <stp/>
        <stp>VOLUME</stp>
        <stp>.SPX251226C5730</stp>
        <tr r="W120" s="2"/>
      </tp>
      <tp t="s">
        <v>N/A</v>
        <stp/>
        <stp>VOLUME</stp>
        <stp>.SPX251024C5710</stp>
        <tr r="S122" s="2"/>
      </tp>
      <tp t="s">
        <v>N/A</v>
        <stp/>
        <stp>VOLUME</stp>
        <stp>.SPX251226P5730</stp>
        <tr r="W120" s="2"/>
      </tp>
      <tp t="s">
        <v>N/A</v>
        <stp/>
        <stp>VOLUME</stp>
        <stp>.SPX251024P5710</stp>
        <tr r="S122" s="2"/>
      </tp>
      <tp t="s">
        <v>N/A</v>
        <stp/>
        <stp>VOLUME</stp>
        <stp>.SPX250725P5700</stp>
        <tr r="M123" s="2"/>
      </tp>
      <tp>
        <v>2432</v>
        <stp/>
        <stp>VOLUME</stp>
        <stp>.SPX250620P5750</stp>
        <tr r="BF117" s="1"/>
        <tr r="BF117" s="1"/>
      </tp>
      <tp t="s">
        <v>N/A</v>
        <stp/>
        <stp>VOLUME</stp>
        <stp>.SPX250627P5720</stp>
        <tr r="K121" s="2"/>
      </tp>
      <tp t="s">
        <v>N/A</v>
        <stp/>
        <stp>VOLUME</stp>
        <stp>.SPX250926P5730</stp>
        <tr r="Q120" s="2"/>
      </tp>
      <tp t="s">
        <v>N/A</v>
        <stp/>
        <stp>VOLUME</stp>
        <stp>.SPX250822P5770</stp>
        <tr r="O116" s="2"/>
      </tp>
      <tp t="s">
        <v>N/A</v>
        <stp/>
        <stp>VOLUME</stp>
        <stp>.SPX250725C5770</stp>
        <tr r="M116" s="2"/>
      </tp>
      <tp t="s">
        <v>N/A</v>
        <stp/>
        <stp>VOLUME</stp>
        <stp>.SPX250620C5720</stp>
        <tr r="BE120" s="1"/>
      </tp>
      <tp t="s">
        <v>N/A</v>
        <stp/>
        <stp>VOLUME</stp>
        <stp>.SPX250627C5750</stp>
        <tr r="K118" s="2"/>
      </tp>
      <tp t="s">
        <v>N/A</v>
        <stp/>
        <stp>VOLUME</stp>
        <stp>.SPX250926C5740</stp>
        <tr r="Q119" s="2"/>
      </tp>
      <tp t="s">
        <v>N/A</v>
        <stp/>
        <stp>VOLUME</stp>
        <stp>.SPX250822C5700</stp>
        <tr r="O123" s="2"/>
      </tp>
      <tp t="s">
        <v>N/A</v>
        <stp/>
        <stp>VOLUME</stp>
        <stp>.SPX251226C5740</stp>
        <tr r="W119" s="2"/>
      </tp>
      <tp t="s">
        <v>N/A</v>
        <stp/>
        <stp>VOLUME</stp>
        <stp>.SPX251024C5760</stp>
        <tr r="S117" s="2"/>
      </tp>
      <tp t="s">
        <v>N/A</v>
        <stp/>
        <stp>VOLUME</stp>
        <stp>.SPX251226P5740</stp>
        <tr r="W119" s="2"/>
      </tp>
      <tp t="s">
        <v>N/A</v>
        <stp/>
        <stp>VOLUME</stp>
        <stp>.SPX251024P5760</stp>
        <tr r="S117" s="2"/>
      </tp>
      <tp t="s">
        <v>N/A</v>
        <stp/>
        <stp>VOLUME</stp>
        <stp>.SPX250725P5770</stp>
        <tr r="M116" s="2"/>
      </tp>
      <tp>
        <v>23</v>
        <stp/>
        <stp>VOLUME</stp>
        <stp>.SPX250620P5720</stp>
        <tr r="BF120" s="1"/>
        <tr r="BF120" s="1"/>
      </tp>
      <tp t="s">
        <v>N/A</v>
        <stp/>
        <stp>VOLUME</stp>
        <stp>.SPX250627P5750</stp>
        <tr r="K118" s="2"/>
      </tp>
      <tp t="s">
        <v>N/A</v>
        <stp/>
        <stp>VOLUME</stp>
        <stp>.SPX250926P5740</stp>
        <tr r="Q119" s="2"/>
      </tp>
      <tp t="s">
        <v>N/A</v>
        <stp/>
        <stp>VOLUME</stp>
        <stp>.SPX250822P5700</stp>
        <tr r="O123" s="2"/>
      </tp>
      <tp t="s">
        <v>N/A</v>
        <stp/>
        <stp>VOLUME</stp>
        <stp>.SPX250725C5760</stp>
        <tr r="M117" s="2"/>
      </tp>
      <tp t="s">
        <v>N/A</v>
        <stp/>
        <stp>VOLUME</stp>
        <stp>.SPX250620C5730</stp>
        <tr r="BE119" s="1"/>
      </tp>
      <tp t="s">
        <v>N/A</v>
        <stp/>
        <stp>VOLUME</stp>
        <stp>.SPX250627C5740</stp>
        <tr r="K119" s="2"/>
      </tp>
      <tp t="s">
        <v>N/A</v>
        <stp/>
        <stp>VOLUME</stp>
        <stp>.SPX250926C5750</stp>
        <tr r="Q118" s="2"/>
      </tp>
      <tp t="s">
        <v>N/A</v>
        <stp/>
        <stp>VOLUME</stp>
        <stp>.SPX250822C5710</stp>
        <tr r="O122" s="2"/>
      </tp>
      <tp t="s">
        <v>N/A</v>
        <stp/>
        <stp>VOLUME</stp>
        <stp>.SPX251226C5750</stp>
        <tr r="W118" s="2"/>
      </tp>
      <tp t="s">
        <v>N/A</v>
        <stp/>
        <stp>VOLUME</stp>
        <stp>.SPX251024C5770</stp>
        <tr r="S116" s="2"/>
      </tp>
      <tp t="s">
        <v>N/A</v>
        <stp/>
        <stp>VOLUME</stp>
        <stp>.SPX251226P5750</stp>
        <tr r="W118" s="2"/>
      </tp>
      <tp t="s">
        <v>N/A</v>
        <stp/>
        <stp>VOLUME</stp>
        <stp>.SPX251024P5770</stp>
        <tr r="S116" s="2"/>
      </tp>
      <tp t="s">
        <v>N/A</v>
        <stp/>
        <stp>VOLUME</stp>
        <stp>.SPX250725P5760</stp>
        <tr r="M117" s="2"/>
      </tp>
      <tp>
        <v>17</v>
        <stp/>
        <stp>VOLUME</stp>
        <stp>.SPX250620P5730</stp>
        <tr r="BF119" s="1"/>
        <tr r="BF119" s="1"/>
      </tp>
      <tp t="s">
        <v>N/A</v>
        <stp/>
        <stp>VOLUME</stp>
        <stp>.SPX250627P5740</stp>
        <tr r="K119" s="2"/>
      </tp>
      <tp t="s">
        <v>N/A</v>
        <stp/>
        <stp>VOLUME</stp>
        <stp>.SPX250926P5750</stp>
        <tr r="Q118" s="2"/>
      </tp>
      <tp t="s">
        <v>N/A</v>
        <stp/>
        <stp>VOLUME</stp>
        <stp>.SPX250822P5710</stp>
        <tr r="O122" s="2"/>
      </tp>
      <tp t="s">
        <v>N/A</v>
        <stp/>
        <stp>VOLUME</stp>
        <stp>.SPX250725C5750</stp>
        <tr r="M118" s="2"/>
      </tp>
      <tp>
        <v>78</v>
        <stp/>
        <stp>VOLUME</stp>
        <stp>.SPX250620C5700</stp>
        <tr r="BE122" s="1"/>
        <tr r="BE122" s="1"/>
      </tp>
      <tp t="s">
        <v>N/A</v>
        <stp/>
        <stp>VOLUME</stp>
        <stp>.SPX250627C5770</stp>
        <tr r="K116" s="2"/>
      </tp>
      <tp t="s">
        <v>N/A</v>
        <stp/>
        <stp>VOLUME</stp>
        <stp>.SPX250926C5760</stp>
        <tr r="Q117" s="2"/>
      </tp>
      <tp t="s">
        <v>N/A</v>
        <stp/>
        <stp>VOLUME</stp>
        <stp>.SPX250822C5720</stp>
        <tr r="O121" s="2"/>
      </tp>
      <tp t="s">
        <v>N/A</v>
        <stp/>
        <stp>VOLUME</stp>
        <stp>.SPX251226C5760</stp>
        <tr r="W117" s="2"/>
      </tp>
      <tp t="s">
        <v>N/A</v>
        <stp/>
        <stp>VOLUME</stp>
        <stp>.SPX251128C5780</stp>
        <tr r="U115" s="2"/>
      </tp>
      <tp t="s">
        <v>N/A</v>
        <stp/>
        <stp>VOLUME</stp>
        <stp>.SPX251024C5740</stp>
        <tr r="S119" s="2"/>
      </tp>
      <tp t="s">
        <v>N/A</v>
        <stp/>
        <stp>VOLUME</stp>
        <stp>.SPX251226P5760</stp>
        <tr r="W117" s="2"/>
      </tp>
      <tp t="s">
        <v>N/A</v>
        <stp/>
        <stp>VOLUME</stp>
        <stp>.SPX251128P5780</stp>
        <tr r="U115" s="2"/>
      </tp>
      <tp t="s">
        <v>N/A</v>
        <stp/>
        <stp>VOLUME</stp>
        <stp>.SPX251024P5740</stp>
        <tr r="S119" s="2"/>
      </tp>
      <tp t="s">
        <v>N/A</v>
        <stp/>
        <stp>VOLUME</stp>
        <stp>.SPX250725P5750</stp>
        <tr r="M118" s="2"/>
      </tp>
      <tp>
        <v>1128</v>
        <stp/>
        <stp>VOLUME</stp>
        <stp>.SPX250620P5700</stp>
        <tr r="BF122" s="1"/>
        <tr r="BF122" s="1"/>
      </tp>
      <tp t="s">
        <v>N/A</v>
        <stp/>
        <stp>VOLUME</stp>
        <stp>.SPX250627P5770</stp>
        <tr r="K116" s="2"/>
      </tp>
      <tp t="s">
        <v>N/A</v>
        <stp/>
        <stp>VOLUME</stp>
        <stp>.SPX250926P5760</stp>
        <tr r="Q117" s="2"/>
      </tp>
      <tp t="s">
        <v>N/A</v>
        <stp/>
        <stp>VOLUME</stp>
        <stp>.SPX250822P5720</stp>
        <tr r="O121" s="2"/>
      </tp>
      <tp t="s">
        <v>N/A</v>
        <stp/>
        <stp>VOLUME</stp>
        <stp>.SPX250725C5740</stp>
        <tr r="M119" s="2"/>
      </tp>
      <tp>
        <v>1</v>
        <stp/>
        <stp>VOLUME</stp>
        <stp>.SPX250620C5710</stp>
        <tr r="BE121" s="1"/>
        <tr r="BE121" s="1"/>
      </tp>
      <tp t="s">
        <v>N/A</v>
        <stp/>
        <stp>VOLUME</stp>
        <stp>.SPX250627C5760</stp>
        <tr r="K117" s="2"/>
      </tp>
      <tp t="s">
        <v>N/A</v>
        <stp/>
        <stp>VOLUME</stp>
        <stp>.SPX250926C5770</stp>
        <tr r="Q116" s="2"/>
      </tp>
      <tp t="s">
        <v>N/A</v>
        <stp/>
        <stp>VOLUME</stp>
        <stp>.SPX250822C5730</stp>
        <tr r="O120" s="2"/>
      </tp>
      <tp t="s">
        <v>N/A</v>
        <stp/>
        <stp>VOLUME</stp>
        <stp>.SPX251226C5770</stp>
        <tr r="W116" s="2"/>
      </tp>
      <tp t="s">
        <v>N/A</v>
        <stp/>
        <stp>VOLUME</stp>
        <stp>.SPX251128C5790</stp>
        <tr r="U114" s="2"/>
      </tp>
      <tp t="s">
        <v>N/A</v>
        <stp/>
        <stp>VOLUME</stp>
        <stp>.SPX251024C5750</stp>
        <tr r="S118" s="2"/>
      </tp>
      <tp t="s">
        <v>N/A</v>
        <stp/>
        <stp>VOLUME</stp>
        <stp>.SPX251226P5770</stp>
        <tr r="W116" s="2"/>
      </tp>
      <tp t="s">
        <v>N/A</v>
        <stp/>
        <stp>VOLUME</stp>
        <stp>.SPX251128P5790</stp>
        <tr r="U114" s="2"/>
      </tp>
      <tp t="s">
        <v>N/A</v>
        <stp/>
        <stp>VOLUME</stp>
        <stp>.SPX251024P5750</stp>
        <tr r="S118" s="2"/>
      </tp>
      <tp t="s">
        <v>N/A</v>
        <stp/>
        <stp>VOLUME</stp>
        <stp>.SPX250725P5740</stp>
        <tr r="M119" s="2"/>
      </tp>
      <tp>
        <v>66</v>
        <stp/>
        <stp>VOLUME</stp>
        <stp>.SPX250620P5710</stp>
        <tr r="BF121" s="1"/>
        <tr r="BF121" s="1"/>
      </tp>
      <tp t="s">
        <v>N/A</v>
        <stp/>
        <stp>VOLUME</stp>
        <stp>.SPX250627P5760</stp>
        <tr r="K117" s="2"/>
      </tp>
      <tp t="s">
        <v>N/A</v>
        <stp/>
        <stp>VOLUME</stp>
        <stp>.SPX250926P5770</stp>
        <tr r="Q116" s="2"/>
      </tp>
      <tp t="s">
        <v>N/A</v>
        <stp/>
        <stp>VOLUME</stp>
        <stp>.SPX250822P5730</stp>
        <tr r="O120" s="2"/>
      </tp>
      <tp t="s">
        <v>N/A</v>
        <stp/>
        <stp>VOLUME</stp>
        <stp>.SPX250627C5790</stp>
        <tr r="K114" s="2"/>
      </tp>
      <tp t="s">
        <v>N/A</v>
        <stp/>
        <stp>VOLUME</stp>
        <stp>.SPX250926C5780</stp>
        <tr r="Q115" s="2"/>
      </tp>
      <tp t="s">
        <v>N/A</v>
        <stp/>
        <stp>VOLUME</stp>
        <stp>.SPX251226C5780</stp>
        <tr r="W115" s="2"/>
      </tp>
      <tp t="s">
        <v>N/A</v>
        <stp/>
        <stp>VOLUME</stp>
        <stp>.SPX251128C5760</stp>
        <tr r="U117" s="2"/>
      </tp>
      <tp t="s">
        <v>N/A</v>
        <stp/>
        <stp>VOLUME</stp>
        <stp>.SPX251226P5780</stp>
        <tr r="W115" s="2"/>
      </tp>
      <tp t="s">
        <v>N/A</v>
        <stp/>
        <stp>VOLUME</stp>
        <stp>.SPX251128P5760</stp>
        <tr r="U117" s="2"/>
      </tp>
      <tp t="s">
        <v>N/A</v>
        <stp/>
        <stp>VOLUME</stp>
        <stp>.SPX250627P5790</stp>
        <tr r="K114" s="2"/>
      </tp>
      <tp t="s">
        <v>N/A</v>
        <stp/>
        <stp>VOLUME</stp>
        <stp>.SPX250926P5780</stp>
        <tr r="Q115" s="2"/>
      </tp>
      <tp t="s">
        <v>N/A</v>
        <stp/>
        <stp>VOLUME</stp>
        <stp>.SPX250627C5780</stp>
        <tr r="K115" s="2"/>
      </tp>
      <tp t="s">
        <v>N/A</v>
        <stp/>
        <stp>VOLUME</stp>
        <stp>.SPX250926C5790</stp>
        <tr r="Q114" s="2"/>
      </tp>
      <tp t="s">
        <v>N/A</v>
        <stp/>
        <stp>VOLUME</stp>
        <stp>.SPX251226C5790</stp>
        <tr r="W114" s="2"/>
      </tp>
      <tp t="s">
        <v>N/A</v>
        <stp/>
        <stp>VOLUME</stp>
        <stp>.SPX251128C5770</stp>
        <tr r="U116" s="2"/>
      </tp>
      <tp t="s">
        <v>N/A</v>
        <stp/>
        <stp>VOLUME</stp>
        <stp>.SPX251226P5790</stp>
        <tr r="W114" s="2"/>
      </tp>
      <tp t="s">
        <v>N/A</v>
        <stp/>
        <stp>VOLUME</stp>
        <stp>.SPX251128P5770</stp>
        <tr r="U116" s="2"/>
      </tp>
      <tp t="s">
        <v>N/A</v>
        <stp/>
        <stp>VOLUME</stp>
        <stp>.SPX250627P5780</stp>
        <tr r="K115" s="2"/>
      </tp>
      <tp t="s">
        <v>N/A</v>
        <stp/>
        <stp>VOLUME</stp>
        <stp>.SPX250926P5790</stp>
        <tr r="Q114" s="2"/>
      </tp>
      <tp t="s">
        <v>N/A</v>
        <stp/>
        <stp>VOLUME</stp>
        <stp>.SPX250725C5790</stp>
        <tr r="M114" s="2"/>
      </tp>
      <tp t="s">
        <v>N/A</v>
        <stp/>
        <stp>VOLUME</stp>
        <stp>.SPX251128C5740</stp>
        <tr r="U119" s="2"/>
      </tp>
      <tp t="s">
        <v>N/A</v>
        <stp/>
        <stp>VOLUME</stp>
        <stp>.SPX251024C5780</stp>
        <tr r="S115" s="2"/>
      </tp>
      <tp t="s">
        <v>N/A</v>
        <stp/>
        <stp>VOLUME</stp>
        <stp>.SPX251128P5740</stp>
        <tr r="U119" s="2"/>
      </tp>
      <tp t="s">
        <v>N/A</v>
        <stp/>
        <stp>VOLUME</stp>
        <stp>.SPX251024P5780</stp>
        <tr r="S115" s="2"/>
      </tp>
      <tp t="s">
        <v>N/A</v>
        <stp/>
        <stp>VOLUME</stp>
        <stp>.SPX250725P5790</stp>
        <tr r="M114" s="2"/>
      </tp>
      <tp t="s">
        <v>N/A</v>
        <stp/>
        <stp>VOLUME</stp>
        <stp>.SPX250725C5780</stp>
        <tr r="M115" s="2"/>
      </tp>
      <tp t="s">
        <v>N/A</v>
        <stp/>
        <stp>VOLUME</stp>
        <stp>.SPX251128C5750</stp>
        <tr r="U118" s="2"/>
      </tp>
      <tp t="s">
        <v>N/A</v>
        <stp/>
        <stp>VOLUME</stp>
        <stp>.SPX251024C5790</stp>
        <tr r="S114" s="2"/>
      </tp>
      <tp t="s">
        <v>N/A</v>
        <stp/>
        <stp>VOLUME</stp>
        <stp>.SPX251128P5750</stp>
        <tr r="U118" s="2"/>
      </tp>
      <tp t="s">
        <v>N/A</v>
        <stp/>
        <stp>VOLUME</stp>
        <stp>.SPX251024P5790</stp>
        <tr r="S114" s="2"/>
      </tp>
      <tp t="s">
        <v>N/A</v>
        <stp/>
        <stp>VOLUME</stp>
        <stp>.SPX250725P5780</stp>
        <tr r="M115" s="2"/>
      </tp>
      <tp t="s">
        <v>N/A</v>
        <stp/>
        <stp>VOLUME</stp>
        <stp>.SPX250822C5780</stp>
        <tr r="O115" s="2"/>
      </tp>
      <tp t="s">
        <v>N/A</v>
        <stp/>
        <stp>VOLUME</stp>
        <stp>.SPX251128C5720</stp>
        <tr r="U121" s="2"/>
      </tp>
      <tp t="s">
        <v>N/A</v>
        <stp/>
        <stp>VOLUME</stp>
        <stp>.SPX251128P5720</stp>
        <tr r="U121" s="2"/>
      </tp>
      <tp t="s">
        <v>N/A</v>
        <stp/>
        <stp>VOLUME</stp>
        <stp>.SPX250822P5780</stp>
        <tr r="O115" s="2"/>
      </tp>
      <tp t="s">
        <v>N/A</v>
        <stp/>
        <stp>VOLUME</stp>
        <stp>.SPX250822C5790</stp>
        <tr r="O114" s="2"/>
      </tp>
      <tp t="s">
        <v>N/A</v>
        <stp/>
        <stp>VOLUME</stp>
        <stp>.SPX251128C5730</stp>
        <tr r="U120" s="2"/>
      </tp>
      <tp t="s">
        <v>N/A</v>
        <stp/>
        <stp>VOLUME</stp>
        <stp>.SPX251128P5730</stp>
        <tr r="U120" s="2"/>
      </tp>
      <tp t="s">
        <v>N/A</v>
        <stp/>
        <stp>VOLUME</stp>
        <stp>.SPX250822P5790</stp>
        <tr r="O114" s="2"/>
      </tp>
      <tp t="s">
        <v>N/A</v>
        <stp/>
        <stp>VOLUME</stp>
        <stp>.SPX250620C5780</stp>
        <tr r="BE114" s="1"/>
      </tp>
      <tp t="s">
        <v>N/A</v>
        <stp/>
        <stp>VOLUME</stp>
        <stp>.SPX251128C5700</stp>
        <tr r="U123" s="2"/>
      </tp>
      <tp t="s">
        <v>N/A</v>
        <stp/>
        <stp>VOLUME</stp>
        <stp>.SPX251128P5700</stp>
        <tr r="U123" s="2"/>
      </tp>
      <tp>
        <v>45</v>
        <stp/>
        <stp>VOLUME</stp>
        <stp>.SPX250620P5780</stp>
        <tr r="BF114" s="1"/>
        <tr r="BF114" s="1"/>
      </tp>
      <tp t="s">
        <v>N/A</v>
        <stp/>
        <stp>VOLUME</stp>
        <stp>.SPX250620C5790</stp>
        <tr r="BE113" s="1"/>
      </tp>
      <tp t="s">
        <v>N/A</v>
        <stp/>
        <stp>VOLUME</stp>
        <stp>.SPX251128C5710</stp>
        <tr r="U122" s="2"/>
      </tp>
      <tp t="s">
        <v>N/A</v>
        <stp/>
        <stp>VOLUME</stp>
        <stp>.SPX251128P5710</stp>
        <tr r="U122" s="2"/>
      </tp>
      <tp>
        <v>6</v>
        <stp/>
        <stp>VOLUME</stp>
        <stp>.SPX250620P5790</stp>
        <tr r="BF113" s="1"/>
        <tr r="BF113" s="1"/>
      </tp>
      <tp t="s">
        <v>19.54%</v>
        <stp/>
        <stp>IMPL_VOL</stp>
        <stp>.NDX250620C21000</stp>
        <tr r="EP159" s="1"/>
      </tp>
      <tp t="s">
        <v>19.45%</v>
        <stp/>
        <stp>IMPL_VOL</stp>
        <stp>.NDX250620C21025</stp>
        <tr r="EP158" s="1"/>
      </tp>
      <tp t="s">
        <v>19.36%</v>
        <stp/>
        <stp>IMPL_VOL</stp>
        <stp>.NDX250620C21050</stp>
        <tr r="EP157" s="1"/>
      </tp>
      <tp t="s">
        <v>19.14%</v>
        <stp/>
        <stp>IMPL_VOL</stp>
        <stp>.NDX250620C21075</stp>
        <tr r="EP156" s="1"/>
      </tp>
      <tp t="s">
        <v>21.34%</v>
        <stp/>
        <stp>IMPL_VOL</stp>
        <stp>.NDX250620P21025</stp>
        <tr r="EQ158" s="1"/>
      </tp>
      <tp t="s">
        <v>21.42%</v>
        <stp/>
        <stp>IMPL_VOL</stp>
        <stp>.NDX250620P21000</stp>
        <tr r="EQ159" s="1"/>
      </tp>
      <tp t="s">
        <v>21.18%</v>
        <stp/>
        <stp>IMPL_VOL</stp>
        <stp>.NDX250620P21075</stp>
        <tr r="EQ156" s="1"/>
      </tp>
      <tp t="s">
        <v>21.26%</v>
        <stp/>
        <stp>IMPL_VOL</stp>
        <stp>.NDX250620P21050</stp>
        <tr r="EQ157" s="1"/>
      </tp>
      <tp t="s">
        <v>N/A</v>
        <stp/>
        <stp>VOLUME</stp>
        <stp>.SPX250725C5630</stp>
        <tr r="M130" s="2"/>
      </tp>
      <tp t="s">
        <v>N/A</v>
        <stp/>
        <stp>VOLUME</stp>
        <stp>.SPX250620C5660</stp>
        <tr r="BE126" s="1"/>
      </tp>
      <tp t="s">
        <v>N/A</v>
        <stp/>
        <stp>VOLUME</stp>
        <stp>.SPX250822C5640</stp>
        <tr r="O129" s="2"/>
      </tp>
      <tp t="s">
        <v>N/A</v>
        <stp/>
        <stp>VOLUME</stp>
        <stp>.SPX251024C5620</stp>
        <tr r="S131" s="2"/>
      </tp>
      <tp t="s">
        <v>N/A</v>
        <stp/>
        <stp>VOLUME</stp>
        <stp>.SPX251024P5620</stp>
        <tr r="S131" s="2"/>
      </tp>
      <tp t="s">
        <v>N/A</v>
        <stp/>
        <stp>VOLUME</stp>
        <stp>.SPX250725P5630</stp>
        <tr r="M130" s="2"/>
      </tp>
      <tp>
        <v>30</v>
        <stp/>
        <stp>VOLUME</stp>
        <stp>.SPX250620P5660</stp>
        <tr r="BF126" s="1"/>
        <tr r="BF126" s="1"/>
      </tp>
      <tp t="s">
        <v>N/A</v>
        <stp/>
        <stp>VOLUME</stp>
        <stp>.SPX250822P5640</stp>
        <tr r="O129" s="2"/>
      </tp>
      <tp t="s">
        <v>N/A</v>
        <stp/>
        <stp>VOLUME</stp>
        <stp>.SPX250725C5620</stp>
        <tr r="M131" s="2"/>
      </tp>
      <tp t="s">
        <v>N/A</v>
        <stp/>
        <stp>VOLUME</stp>
        <stp>.SPX250620C5670</stp>
        <tr r="BE125" s="1"/>
      </tp>
      <tp t="s">
        <v>N/A</v>
        <stp/>
        <stp>VOLUME</stp>
        <stp>.SPX250822C5650</stp>
        <tr r="O128" s="2"/>
      </tp>
      <tp t="s">
        <v>N/A</v>
        <stp/>
        <stp>VOLUME</stp>
        <stp>.SPX251024C5630</stp>
        <tr r="S130" s="2"/>
      </tp>
      <tp t="s">
        <v>N/A</v>
        <stp/>
        <stp>VOLUME</stp>
        <stp>.SPX251024P5630</stp>
        <tr r="S130" s="2"/>
      </tp>
      <tp t="s">
        <v>N/A</v>
        <stp/>
        <stp>VOLUME</stp>
        <stp>.SPX250725P5620</stp>
        <tr r="M131" s="2"/>
      </tp>
      <tp>
        <v>14</v>
        <stp/>
        <stp>VOLUME</stp>
        <stp>.SPX250620P5670</stp>
        <tr r="BF125" s="1"/>
        <tr r="BF125" s="1"/>
      </tp>
      <tp t="s">
        <v>N/A</v>
        <stp/>
        <stp>VOLUME</stp>
        <stp>.SPX250822P5650</stp>
        <tr r="O128" s="2"/>
      </tp>
      <tp t="s">
        <v>N/A</v>
        <stp/>
        <stp>VOLUME</stp>
        <stp>.SPX250620C5640</stp>
        <tr r="BE128" s="1"/>
      </tp>
      <tp t="s">
        <v>N/A</v>
        <stp/>
        <stp>VOLUME</stp>
        <stp>.SPX250627C5630</stp>
        <tr r="K130" s="2"/>
      </tp>
      <tp t="s">
        <v>N/A</v>
        <stp/>
        <stp>VOLUME</stp>
        <stp>.SPX250926C5620</stp>
        <tr r="Q131" s="2"/>
      </tp>
      <tp t="s">
        <v>N/A</v>
        <stp/>
        <stp>VOLUME</stp>
        <stp>.SPX250822C5660</stp>
        <tr r="O127" s="2"/>
      </tp>
      <tp t="s">
        <v>N/A</v>
        <stp/>
        <stp>VOLUME</stp>
        <stp>.SPX251226C5620</stp>
        <tr r="W131" s="2"/>
      </tp>
      <tp t="s">
        <v>N/A</v>
        <stp/>
        <stp>VOLUME</stp>
        <stp>.SPX251226P5620</stp>
        <tr r="W131" s="2"/>
      </tp>
      <tp>
        <v>22</v>
        <stp/>
        <stp>VOLUME</stp>
        <stp>.SPX250620P5640</stp>
        <tr r="BF128" s="1"/>
        <tr r="BF128" s="1"/>
      </tp>
      <tp t="s">
        <v>N/A</v>
        <stp/>
        <stp>VOLUME</stp>
        <stp>.SPX250627P5630</stp>
        <tr r="K130" s="2"/>
      </tp>
      <tp t="s">
        <v>N/A</v>
        <stp/>
        <stp>VOLUME</stp>
        <stp>.SPX250926P5620</stp>
        <tr r="Q131" s="2"/>
      </tp>
      <tp t="s">
        <v>N/A</v>
        <stp/>
        <stp>VOLUME</stp>
        <stp>.SPX250822P5660</stp>
        <tr r="O127" s="2"/>
      </tp>
      <tp>
        <v>11</v>
        <stp/>
        <stp>VOLUME</stp>
        <stp>.SPX250620C5650</stp>
        <tr r="BE127" s="1"/>
        <tr r="BE127" s="1"/>
      </tp>
      <tp t="s">
        <v>N/A</v>
        <stp/>
        <stp>VOLUME</stp>
        <stp>.SPX250627C5620</stp>
        <tr r="K131" s="2"/>
      </tp>
      <tp t="s">
        <v>N/A</v>
        <stp/>
        <stp>VOLUME</stp>
        <stp>.SPX250926C5630</stp>
        <tr r="Q130" s="2"/>
      </tp>
      <tp t="s">
        <v>N/A</v>
        <stp/>
        <stp>VOLUME</stp>
        <stp>.SPX250822C5670</stp>
        <tr r="O126" s="2"/>
      </tp>
      <tp t="s">
        <v>N/A</v>
        <stp/>
        <stp>VOLUME</stp>
        <stp>.SPX251226C5630</stp>
        <tr r="W130" s="2"/>
      </tp>
      <tp t="s">
        <v>N/A</v>
        <stp/>
        <stp>VOLUME</stp>
        <stp>.SPX251226P5630</stp>
        <tr r="W130" s="2"/>
      </tp>
      <tp>
        <v>202</v>
        <stp/>
        <stp>VOLUME</stp>
        <stp>.SPX250620P5650</stp>
        <tr r="BF127" s="1"/>
        <tr r="BF127" s="1"/>
      </tp>
      <tp t="s">
        <v>N/A</v>
        <stp/>
        <stp>VOLUME</stp>
        <stp>.SPX250627P5620</stp>
        <tr r="K131" s="2"/>
      </tp>
      <tp t="s">
        <v>N/A</v>
        <stp/>
        <stp>VOLUME</stp>
        <stp>.SPX250926P5630</stp>
        <tr r="Q130" s="2"/>
      </tp>
      <tp t="s">
        <v>N/A</v>
        <stp/>
        <stp>VOLUME</stp>
        <stp>.SPX250822P5670</stp>
        <tr r="O126" s="2"/>
      </tp>
      <tp t="s">
        <v>N/A</v>
        <stp/>
        <stp>VOLUME</stp>
        <stp>.SPX250725C5670</stp>
        <tr r="M126" s="2"/>
      </tp>
      <tp>
        <v>1</v>
        <stp/>
        <stp>VOLUME</stp>
        <stp>.SPX250620C5620</stp>
        <tr r="BE130" s="1"/>
        <tr r="BE130" s="1"/>
      </tp>
      <tp t="s">
        <v>N/A</v>
        <stp/>
        <stp>VOLUME</stp>
        <stp>.SPX250627C5650</stp>
        <tr r="K128" s="2"/>
      </tp>
      <tp t="s">
        <v>N/A</v>
        <stp/>
        <stp>VOLUME</stp>
        <stp>.SPX250926C5640</stp>
        <tr r="Q129" s="2"/>
      </tp>
      <tp t="s">
        <v>N/A</v>
        <stp/>
        <stp>VOLUME</stp>
        <stp>.SPX251226C5640</stp>
        <tr r="W129" s="2"/>
      </tp>
      <tp t="s">
        <v>N/A</v>
        <stp/>
        <stp>VOLUME</stp>
        <stp>.SPX251024C5660</stp>
        <tr r="S127" s="2"/>
      </tp>
      <tp t="s">
        <v>N/A</v>
        <stp/>
        <stp>VOLUME</stp>
        <stp>.SPX251226P5640</stp>
        <tr r="W129" s="2"/>
      </tp>
      <tp t="s">
        <v>N/A</v>
        <stp/>
        <stp>VOLUME</stp>
        <stp>.SPX251024P5660</stp>
        <tr r="S127" s="2"/>
      </tp>
      <tp t="s">
        <v>N/A</v>
        <stp/>
        <stp>VOLUME</stp>
        <stp>.SPX250725P5670</stp>
        <tr r="M126" s="2"/>
      </tp>
      <tp>
        <v>16</v>
        <stp/>
        <stp>VOLUME</stp>
        <stp>.SPX250620P5620</stp>
        <tr r="BF130" s="1"/>
        <tr r="BF130" s="1"/>
      </tp>
      <tp t="s">
        <v>N/A</v>
        <stp/>
        <stp>VOLUME</stp>
        <stp>.SPX250627P5650</stp>
        <tr r="K128" s="2"/>
      </tp>
      <tp t="s">
        <v>N/A</v>
        <stp/>
        <stp>VOLUME</stp>
        <stp>.SPX250926P5640</stp>
        <tr r="Q129" s="2"/>
      </tp>
      <tp t="s">
        <v>N/A</v>
        <stp/>
        <stp>VOLUME</stp>
        <stp>.SPX250725C5660</stp>
        <tr r="M127" s="2"/>
      </tp>
      <tp>
        <v>14</v>
        <stp/>
        <stp>VOLUME</stp>
        <stp>.SPX250620C5630</stp>
        <tr r="BE129" s="1"/>
        <tr r="BE129" s="1"/>
      </tp>
      <tp t="s">
        <v>N/A</v>
        <stp/>
        <stp>VOLUME</stp>
        <stp>.SPX250627C5640</stp>
        <tr r="K129" s="2"/>
      </tp>
      <tp t="s">
        <v>N/A</v>
        <stp/>
        <stp>VOLUME</stp>
        <stp>.SPX250926C5650</stp>
        <tr r="Q128" s="2"/>
      </tp>
      <tp t="s">
        <v>N/A</v>
        <stp/>
        <stp>VOLUME</stp>
        <stp>.SPX251226C5650</stp>
        <tr r="W128" s="2"/>
      </tp>
      <tp t="s">
        <v>N/A</v>
        <stp/>
        <stp>VOLUME</stp>
        <stp>.SPX251024C5670</stp>
        <tr r="S126" s="2"/>
      </tp>
      <tp t="s">
        <v>N/A</v>
        <stp/>
        <stp>VOLUME</stp>
        <stp>.SPX251226P5650</stp>
        <tr r="W128" s="2"/>
      </tp>
      <tp t="s">
        <v>N/A</v>
        <stp/>
        <stp>VOLUME</stp>
        <stp>.SPX251024P5670</stp>
        <tr r="S126" s="2"/>
      </tp>
      <tp t="s">
        <v>N/A</v>
        <stp/>
        <stp>VOLUME</stp>
        <stp>.SPX250725P5660</stp>
        <tr r="M127" s="2"/>
      </tp>
      <tp>
        <v>339</v>
        <stp/>
        <stp>VOLUME</stp>
        <stp>.SPX250620P5630</stp>
        <tr r="BF129" s="1"/>
        <tr r="BF129" s="1"/>
      </tp>
      <tp t="s">
        <v>N/A</v>
        <stp/>
        <stp>VOLUME</stp>
        <stp>.SPX250627P5640</stp>
        <tr r="K129" s="2"/>
      </tp>
      <tp t="s">
        <v>N/A</v>
        <stp/>
        <stp>VOLUME</stp>
        <stp>.SPX250926P5650</stp>
        <tr r="Q128" s="2"/>
      </tp>
      <tp t="s">
        <v>N/A</v>
        <stp/>
        <stp>VOLUME</stp>
        <stp>.SPX250725C5650</stp>
        <tr r="M128" s="2"/>
      </tp>
      <tp t="s">
        <v>N/A</v>
        <stp/>
        <stp>VOLUME</stp>
        <stp>.SPX250627C5670</stp>
        <tr r="K126" s="2"/>
      </tp>
      <tp t="s">
        <v>N/A</v>
        <stp/>
        <stp>VOLUME</stp>
        <stp>.SPX250926C5660</stp>
        <tr r="Q127" s="2"/>
      </tp>
      <tp t="s">
        <v>N/A</v>
        <stp/>
        <stp>VOLUME</stp>
        <stp>.SPX250822C5620</stp>
        <tr r="O131" s="2"/>
      </tp>
      <tp t="s">
        <v>N/A</v>
        <stp/>
        <stp>VOLUME</stp>
        <stp>.SPX251226C5660</stp>
        <tr r="W127" s="2"/>
      </tp>
      <tp t="s">
        <v>N/A</v>
        <stp/>
        <stp>VOLUME</stp>
        <stp>.SPX251128C5680</stp>
        <tr r="U125" s="2"/>
      </tp>
      <tp t="s">
        <v>N/A</v>
        <stp/>
        <stp>VOLUME</stp>
        <stp>.SPX251024C5640</stp>
        <tr r="S129" s="2"/>
      </tp>
      <tp t="s">
        <v>N/A</v>
        <stp/>
        <stp>VOLUME</stp>
        <stp>.SPX251226P5660</stp>
        <tr r="W127" s="2"/>
      </tp>
      <tp t="s">
        <v>N/A</v>
        <stp/>
        <stp>VOLUME</stp>
        <stp>.SPX251128P5680</stp>
        <tr r="U125" s="2"/>
      </tp>
      <tp t="s">
        <v>N/A</v>
        <stp/>
        <stp>VOLUME</stp>
        <stp>.SPX251024P5640</stp>
        <tr r="S129" s="2"/>
      </tp>
      <tp t="s">
        <v>N/A</v>
        <stp/>
        <stp>VOLUME</stp>
        <stp>.SPX250725P5650</stp>
        <tr r="M128" s="2"/>
      </tp>
      <tp t="s">
        <v>N/A</v>
        <stp/>
        <stp>VOLUME</stp>
        <stp>.SPX250627P5670</stp>
        <tr r="K126" s="2"/>
      </tp>
      <tp t="s">
        <v>N/A</v>
        <stp/>
        <stp>VOLUME</stp>
        <stp>.SPX250926P5660</stp>
        <tr r="Q127" s="2"/>
      </tp>
      <tp t="s">
        <v>N/A</v>
        <stp/>
        <stp>VOLUME</stp>
        <stp>.SPX250822P5620</stp>
        <tr r="O131" s="2"/>
      </tp>
      <tp t="s">
        <v>N/A</v>
        <stp/>
        <stp>VOLUME</stp>
        <stp>.SPX250725C5640</stp>
        <tr r="M129" s="2"/>
      </tp>
      <tp t="s">
        <v>N/A</v>
        <stp/>
        <stp>VOLUME</stp>
        <stp>.SPX250627C5660</stp>
        <tr r="K127" s="2"/>
      </tp>
      <tp t="s">
        <v>N/A</v>
        <stp/>
        <stp>VOLUME</stp>
        <stp>.SPX250926C5670</stp>
        <tr r="Q126" s="2"/>
      </tp>
      <tp t="s">
        <v>N/A</v>
        <stp/>
        <stp>VOLUME</stp>
        <stp>.SPX250822C5630</stp>
        <tr r="O130" s="2"/>
      </tp>
      <tp t="s">
        <v>N/A</v>
        <stp/>
        <stp>VOLUME</stp>
        <stp>.SPX251226C5670</stp>
        <tr r="W126" s="2"/>
      </tp>
      <tp t="s">
        <v>N/A</v>
        <stp/>
        <stp>VOLUME</stp>
        <stp>.SPX251128C5690</stp>
        <tr r="U124" s="2"/>
      </tp>
      <tp t="s">
        <v>N/A</v>
        <stp/>
        <stp>VOLUME</stp>
        <stp>.SPX251024C5650</stp>
        <tr r="S128" s="2"/>
      </tp>
      <tp t="s">
        <v>N/A</v>
        <stp/>
        <stp>VOLUME</stp>
        <stp>.SPX251226P5670</stp>
        <tr r="W126" s="2"/>
      </tp>
      <tp t="s">
        <v>N/A</v>
        <stp/>
        <stp>VOLUME</stp>
        <stp>.SPX251128P5690</stp>
        <tr r="U124" s="2"/>
      </tp>
      <tp t="s">
        <v>N/A</v>
        <stp/>
        <stp>VOLUME</stp>
        <stp>.SPX251024P5650</stp>
        <tr r="S128" s="2"/>
      </tp>
      <tp t="s">
        <v>N/A</v>
        <stp/>
        <stp>VOLUME</stp>
        <stp>.SPX250725P5640</stp>
        <tr r="M129" s="2"/>
      </tp>
      <tp t="s">
        <v>N/A</v>
        <stp/>
        <stp>VOLUME</stp>
        <stp>.SPX250627P5660</stp>
        <tr r="K127" s="2"/>
      </tp>
      <tp t="s">
        <v>N/A</v>
        <stp/>
        <stp>VOLUME</stp>
        <stp>.SPX250926P5670</stp>
        <tr r="Q126" s="2"/>
      </tp>
      <tp t="s">
        <v>N/A</v>
        <stp/>
        <stp>VOLUME</stp>
        <stp>.SPX250822P5630</stp>
        <tr r="O130" s="2"/>
      </tp>
      <tp t="s">
        <v>N/A</v>
        <stp/>
        <stp>VOLUME</stp>
        <stp>.SPX250627C5690</stp>
        <tr r="K124" s="2"/>
      </tp>
      <tp t="s">
        <v>N/A</v>
        <stp/>
        <stp>VOLUME</stp>
        <stp>.SPX250926C5680</stp>
        <tr r="Q125" s="2"/>
      </tp>
      <tp t="s">
        <v>N/A</v>
        <stp/>
        <stp>VOLUME</stp>
        <stp>.SPX251226C5680</stp>
        <tr r="W125" s="2"/>
      </tp>
      <tp t="s">
        <v>N/A</v>
        <stp/>
        <stp>VOLUME</stp>
        <stp>.SPX251128C5660</stp>
        <tr r="U127" s="2"/>
      </tp>
      <tp t="s">
        <v>N/A</v>
        <stp/>
        <stp>VOLUME</stp>
        <stp>.SPX251226P5680</stp>
        <tr r="W125" s="2"/>
      </tp>
      <tp t="s">
        <v>N/A</v>
        <stp/>
        <stp>VOLUME</stp>
        <stp>.SPX251128P5660</stp>
        <tr r="U127" s="2"/>
      </tp>
      <tp t="s">
        <v>N/A</v>
        <stp/>
        <stp>VOLUME</stp>
        <stp>.SPX250627P5690</stp>
        <tr r="K124" s="2"/>
      </tp>
      <tp t="s">
        <v>N/A</v>
        <stp/>
        <stp>VOLUME</stp>
        <stp>.SPX250926P5680</stp>
        <tr r="Q125" s="2"/>
      </tp>
      <tp t="s">
        <v>N/A</v>
        <stp/>
        <stp>VOLUME</stp>
        <stp>.SPX250627C5680</stp>
        <tr r="K125" s="2"/>
      </tp>
      <tp t="s">
        <v>N/A</v>
        <stp/>
        <stp>VOLUME</stp>
        <stp>.SPX250926C5690</stp>
        <tr r="Q124" s="2"/>
      </tp>
      <tp t="s">
        <v>N/A</v>
        <stp/>
        <stp>VOLUME</stp>
        <stp>.SPX251226C5690</stp>
        <tr r="W124" s="2"/>
      </tp>
      <tp t="s">
        <v>N/A</v>
        <stp/>
        <stp>VOLUME</stp>
        <stp>.SPX251128C5670</stp>
        <tr r="U126" s="2"/>
      </tp>
      <tp t="s">
        <v>N/A</v>
        <stp/>
        <stp>VOLUME</stp>
        <stp>.SPX251226P5690</stp>
        <tr r="W124" s="2"/>
      </tp>
      <tp t="s">
        <v>N/A</v>
        <stp/>
        <stp>VOLUME</stp>
        <stp>.SPX251128P5670</stp>
        <tr r="U126" s="2"/>
      </tp>
      <tp t="s">
        <v>N/A</v>
        <stp/>
        <stp>VOLUME</stp>
        <stp>.SPX250627P5680</stp>
        <tr r="K125" s="2"/>
      </tp>
      <tp t="s">
        <v>N/A</v>
        <stp/>
        <stp>VOLUME</stp>
        <stp>.SPX250926P5690</stp>
        <tr r="Q124" s="2"/>
      </tp>
      <tp t="s">
        <v>N/A</v>
        <stp/>
        <stp>VOLUME</stp>
        <stp>.SPX250725C5690</stp>
        <tr r="M124" s="2"/>
      </tp>
      <tp t="s">
        <v>N/A</v>
        <stp/>
        <stp>VOLUME</stp>
        <stp>.SPX251128C5640</stp>
        <tr r="U129" s="2"/>
      </tp>
      <tp t="s">
        <v>N/A</v>
        <stp/>
        <stp>VOLUME</stp>
        <stp>.SPX251024C5680</stp>
        <tr r="S125" s="2"/>
      </tp>
      <tp t="s">
        <v>N/A</v>
        <stp/>
        <stp>VOLUME</stp>
        <stp>.SPX251128P5640</stp>
        <tr r="U129" s="2"/>
      </tp>
      <tp t="s">
        <v>N/A</v>
        <stp/>
        <stp>VOLUME</stp>
        <stp>.SPX251024P5680</stp>
        <tr r="S125" s="2"/>
      </tp>
      <tp t="s">
        <v>N/A</v>
        <stp/>
        <stp>VOLUME</stp>
        <stp>.SPX250725P5690</stp>
        <tr r="M124" s="2"/>
      </tp>
      <tp t="s">
        <v>N/A</v>
        <stp/>
        <stp>VOLUME</stp>
        <stp>.SPX250725C5680</stp>
        <tr r="M125" s="2"/>
      </tp>
      <tp t="s">
        <v>N/A</v>
        <stp/>
        <stp>VOLUME</stp>
        <stp>.SPX251128C5650</stp>
        <tr r="U128" s="2"/>
      </tp>
      <tp t="s">
        <v>N/A</v>
        <stp/>
        <stp>VOLUME</stp>
        <stp>.SPX251024C5690</stp>
        <tr r="S124" s="2"/>
      </tp>
      <tp t="s">
        <v>N/A</v>
        <stp/>
        <stp>VOLUME</stp>
        <stp>.SPX251128P5650</stp>
        <tr r="U128" s="2"/>
      </tp>
      <tp t="s">
        <v>N/A</v>
        <stp/>
        <stp>VOLUME</stp>
        <stp>.SPX251024P5690</stp>
        <tr r="S124" s="2"/>
      </tp>
      <tp t="s">
        <v>N/A</v>
        <stp/>
        <stp>VOLUME</stp>
        <stp>.SPX250725P5680</stp>
        <tr r="M125" s="2"/>
      </tp>
      <tp t="s">
        <v>N/A</v>
        <stp/>
        <stp>VOLUME</stp>
        <stp>.SPX250822C5680</stp>
        <tr r="O125" s="2"/>
      </tp>
      <tp t="s">
        <v>N/A</v>
        <stp/>
        <stp>VOLUME</stp>
        <stp>.SPX251128C5620</stp>
        <tr r="U131" s="2"/>
      </tp>
      <tp t="s">
        <v>N/A</v>
        <stp/>
        <stp>VOLUME</stp>
        <stp>.SPX251128P5620</stp>
        <tr r="U131" s="2"/>
      </tp>
      <tp t="s">
        <v>N/A</v>
        <stp/>
        <stp>VOLUME</stp>
        <stp>.SPX250822P5680</stp>
        <tr r="O125" s="2"/>
      </tp>
      <tp t="s">
        <v>N/A</v>
        <stp/>
        <stp>VOLUME</stp>
        <stp>.SPX250822C5690</stp>
        <tr r="O124" s="2"/>
      </tp>
      <tp t="s">
        <v>N/A</v>
        <stp/>
        <stp>VOLUME</stp>
        <stp>.SPX251128C5630</stp>
        <tr r="U130" s="2"/>
      </tp>
      <tp t="s">
        <v>N/A</v>
        <stp/>
        <stp>VOLUME</stp>
        <stp>.SPX251128P5630</stp>
        <tr r="U130" s="2"/>
      </tp>
      <tp t="s">
        <v>N/A</v>
        <stp/>
        <stp>VOLUME</stp>
        <stp>.SPX250822P5690</stp>
        <tr r="O124" s="2"/>
      </tp>
      <tp t="s">
        <v>N/A</v>
        <stp/>
        <stp>VOLUME</stp>
        <stp>.SPX250620C5680</stp>
        <tr r="BE124" s="1"/>
      </tp>
      <tp>
        <v>13</v>
        <stp/>
        <stp>VOLUME</stp>
        <stp>.SPX250620P5680</stp>
        <tr r="BF124" s="1"/>
        <tr r="BF124" s="1"/>
      </tp>
      <tp t="s">
        <v>N/A</v>
        <stp/>
        <stp>VOLUME</stp>
        <stp>.SPX250620C5690</stp>
        <tr r="BE123" s="1"/>
      </tp>
      <tp>
        <v>23</v>
        <stp/>
        <stp>VOLUME</stp>
        <stp>.SPX250620P5690</stp>
        <tr r="BF123" s="1"/>
        <tr r="BF123" s="1"/>
      </tp>
      <tp t="s">
        <v>21.88%</v>
        <stp/>
        <stp>IMPL_VOL</stp>
        <stp>.NDX250620C20300</stp>
        <tr r="EP187" s="1"/>
      </tp>
      <tp t="s">
        <v>18.55%</v>
        <stp/>
        <stp>IMPL_VOL</stp>
        <stp>.NDX250620C21300</stp>
        <tr r="EP147" s="1"/>
      </tp>
      <tp t="s">
        <v>21.78%</v>
        <stp/>
        <stp>IMPL_VOL</stp>
        <stp>.NDX250620C20325</stp>
        <tr r="EP186" s="1"/>
      </tp>
      <tp t="s">
        <v>18.28%</v>
        <stp/>
        <stp>IMPL_VOL</stp>
        <stp>.NDX250620C21325</stp>
        <tr r="EP146" s="1"/>
      </tp>
      <tp t="s">
        <v>21.73%</v>
        <stp/>
        <stp>IMPL_VOL</stp>
        <stp>.NDX250620C20350</stp>
        <tr r="EP185" s="1"/>
      </tp>
      <tp t="s">
        <v>18.03%</v>
        <stp/>
        <stp>IMPL_VOL</stp>
        <stp>.NDX250620C21350</stp>
        <tr r="EP145" s="1"/>
      </tp>
      <tp t="s">
        <v>21.68%</v>
        <stp/>
        <stp>IMPL_VOL</stp>
        <stp>.NDX250620C20375</stp>
        <tr r="EP184" s="1"/>
      </tp>
      <tp t="s">
        <v>18.39%</v>
        <stp/>
        <stp>IMPL_VOL</stp>
        <stp>.NDX250620C21375</stp>
        <tr r="EP144" s="1"/>
      </tp>
      <tp t="s">
        <v>23.85%</v>
        <stp/>
        <stp>IMPL_VOL</stp>
        <stp>.NDX250620P20325</stp>
        <tr r="EQ186" s="1"/>
      </tp>
      <tp t="s">
        <v>20.43%</v>
        <stp/>
        <stp>IMPL_VOL</stp>
        <stp>.NDX250620P21325</stp>
        <tr r="EQ146" s="1"/>
      </tp>
      <tp t="s">
        <v>23.94%</v>
        <stp/>
        <stp>IMPL_VOL</stp>
        <stp>.NDX250620P20300</stp>
        <tr r="EQ187" s="1"/>
      </tp>
      <tp t="s">
        <v>20.50%</v>
        <stp/>
        <stp>IMPL_VOL</stp>
        <stp>.NDX250620P21300</stp>
        <tr r="EQ147" s="1"/>
      </tp>
      <tp t="s">
        <v>23.66%</v>
        <stp/>
        <stp>IMPL_VOL</stp>
        <stp>.NDX250620P20375</stp>
        <tr r="EQ184" s="1"/>
      </tp>
      <tp t="s">
        <v>20.29%</v>
        <stp/>
        <stp>IMPL_VOL</stp>
        <stp>.NDX250620P21375</stp>
        <tr r="EQ144" s="1"/>
      </tp>
      <tp t="s">
        <v>23.75%</v>
        <stp/>
        <stp>IMPL_VOL</stp>
        <stp>.NDX250620P20350</stp>
        <tr r="EQ185" s="1"/>
      </tp>
      <tp t="s">
        <v>20.28%</v>
        <stp/>
        <stp>IMPL_VOL</stp>
        <stp>.NDX250620P21350</stp>
        <tr r="EQ145" s="1"/>
      </tp>
      <tp t="s">
        <v>N/A</v>
        <stp/>
        <stp>VOLUME</stp>
        <stp>.SPX250606C5700</stp>
        <tr r="H123" s="2"/>
      </tp>
      <tp t="s">
        <v>N/A</v>
        <stp/>
        <stp>VOLUME</stp>
        <stp>.SPX250606P5700</stp>
        <tr r="H123" s="2"/>
      </tp>
      <tp t="s">
        <v>N/A</v>
        <stp/>
        <stp>VOLUME</stp>
        <stp>.SPX250606C5710</stp>
        <tr r="H122" s="2"/>
      </tp>
      <tp t="s">
        <v>N/A</v>
        <stp/>
        <stp>VOLUME</stp>
        <stp>.SPX250606P5710</stp>
        <tr r="H122" s="2"/>
      </tp>
      <tp t="s">
        <v>N/A</v>
        <stp/>
        <stp>VOLUME</stp>
        <stp>.SPX250606C5720</stp>
        <tr r="H121" s="2"/>
      </tp>
      <tp t="s">
        <v>N/A</v>
        <stp/>
        <stp>VOLUME</stp>
        <stp>.SPX250606P5720</stp>
        <tr r="H121" s="2"/>
      </tp>
      <tp t="s">
        <v>N/A</v>
        <stp/>
        <stp>VOLUME</stp>
        <stp>.SPX250606C5730</stp>
        <tr r="H120" s="2"/>
      </tp>
      <tp t="s">
        <v>N/A</v>
        <stp/>
        <stp>VOLUME</stp>
        <stp>.SPX250606P5730</stp>
        <tr r="H120" s="2"/>
      </tp>
      <tp t="s">
        <v>N/A</v>
        <stp/>
        <stp>VOLUME</stp>
        <stp>.SPX250606C5740</stp>
        <tr r="H119" s="2"/>
      </tp>
      <tp t="s">
        <v>N/A</v>
        <stp/>
        <stp>VOLUME</stp>
        <stp>.SPX250606P5740</stp>
        <tr r="H119" s="2"/>
      </tp>
      <tp t="s">
        <v>N/A</v>
        <stp/>
        <stp>VOLUME</stp>
        <stp>.SPX250606C5750</stp>
        <tr r="H118" s="2"/>
      </tp>
      <tp t="s">
        <v>N/A</v>
        <stp/>
        <stp>VOLUME</stp>
        <stp>.SPX250606P5750</stp>
        <tr r="H118" s="2"/>
      </tp>
      <tp t="s">
        <v>N/A</v>
        <stp/>
        <stp>VOLUME</stp>
        <stp>.SPX250606C5760</stp>
        <tr r="H117" s="2"/>
      </tp>
      <tp t="s">
        <v>N/A</v>
        <stp/>
        <stp>VOLUME</stp>
        <stp>.SPX250606P5760</stp>
        <tr r="H117" s="2"/>
      </tp>
      <tp t="s">
        <v>N/A</v>
        <stp/>
        <stp>VOLUME</stp>
        <stp>.SPX250606C5770</stp>
        <tr r="H116" s="2"/>
      </tp>
      <tp t="s">
        <v>N/A</v>
        <stp/>
        <stp>VOLUME</stp>
        <stp>.SPX250606P5770</stp>
        <tr r="H116" s="2"/>
      </tp>
      <tp t="s">
        <v>N/A</v>
        <stp/>
        <stp>VOLUME</stp>
        <stp>.SPX250606C5780</stp>
        <tr r="H115" s="2"/>
      </tp>
      <tp t="s">
        <v>N/A</v>
        <stp/>
        <stp>VOLUME</stp>
        <stp>.SPX250606P5780</stp>
        <tr r="H115" s="2"/>
      </tp>
      <tp t="s">
        <v>N/A</v>
        <stp/>
        <stp>VOLUME</stp>
        <stp>.SPX250606C5790</stp>
        <tr r="H114" s="2"/>
      </tp>
      <tp t="s">
        <v>N/A</v>
        <stp/>
        <stp>VOLUME</stp>
        <stp>.SPX250606P5790</stp>
        <tr r="H114" s="2"/>
      </tp>
      <tp t="s">
        <v>18.80%</v>
        <stp/>
        <stp>IMPL_VOL</stp>
        <stp>.NDX250620C21200</stp>
        <tr r="EP151" s="1"/>
      </tp>
      <tp t="s">
        <v>18.74%</v>
        <stp/>
        <stp>IMPL_VOL</stp>
        <stp>.NDX250620C21225</stp>
        <tr r="EP150" s="1"/>
      </tp>
      <tp t="s">
        <v>22.90%</v>
        <stp/>
        <stp>IMPL_VOL</stp>
        <stp>.NDX250620C20250</stp>
        <tr r="EP189" s="1"/>
      </tp>
      <tp t="s">
        <v>18.67%</v>
        <stp/>
        <stp>IMPL_VOL</stp>
        <stp>.NDX250620C21250</stp>
        <tr r="EP149" s="1"/>
      </tp>
      <tp t="s">
        <v>21.93%</v>
        <stp/>
        <stp>IMPL_VOL</stp>
        <stp>.NDX250620C20275</stp>
        <tr r="EP188" s="1"/>
      </tp>
      <tp t="s">
        <v>18.61%</v>
        <stp/>
        <stp>IMPL_VOL</stp>
        <stp>.NDX250620C21275</stp>
        <tr r="EP148" s="1"/>
      </tp>
      <tp t="s">
        <v>20.62%</v>
        <stp/>
        <stp>IMPL_VOL</stp>
        <stp>.NDX250620P21225</stp>
        <tr r="EQ150" s="1"/>
      </tp>
      <tp t="s">
        <v>20.79%</v>
        <stp/>
        <stp>IMPL_VOL</stp>
        <stp>.NDX250620P21200</stp>
        <tr r="EQ151" s="1"/>
      </tp>
      <tp t="s">
        <v>24.11%</v>
        <stp/>
        <stp>IMPL_VOL</stp>
        <stp>.NDX250620P20275</stp>
        <tr r="EQ188" s="1"/>
      </tp>
      <tp t="s">
        <v>20.57%</v>
        <stp/>
        <stp>IMPL_VOL</stp>
        <stp>.NDX250620P21275</stp>
        <tr r="EQ148" s="1"/>
      </tp>
      <tp t="s">
        <v>24.14%</v>
        <stp/>
        <stp>IMPL_VOL</stp>
        <stp>.NDX250620P20250</stp>
        <tr r="EQ189" s="1"/>
      </tp>
      <tp t="s">
        <v>20.55%</v>
        <stp/>
        <stp>IMPL_VOL</stp>
        <stp>.NDX250620P21250</stp>
        <tr r="EQ149" s="1"/>
      </tp>
      <tp t="s">
        <v>N/A</v>
        <stp/>
        <stp>VOLUME</stp>
        <stp>.SPX250606C5620</stp>
        <tr r="H131" s="2"/>
      </tp>
      <tp t="s">
        <v>N/A</v>
        <stp/>
        <stp>VOLUME</stp>
        <stp>.SPX250606P5620</stp>
        <tr r="H131" s="2"/>
      </tp>
      <tp t="s">
        <v>N/A</v>
        <stp/>
        <stp>VOLUME</stp>
        <stp>.SPX250606C5630</stp>
        <tr r="H130" s="2"/>
      </tp>
      <tp t="s">
        <v>N/A</v>
        <stp/>
        <stp>VOLUME</stp>
        <stp>.SPX250606P5630</stp>
        <tr r="H130" s="2"/>
      </tp>
      <tp t="s">
        <v>N/A</v>
        <stp/>
        <stp>VOLUME</stp>
        <stp>.SPX250606C5640</stp>
        <tr r="H129" s="2"/>
      </tp>
      <tp t="s">
        <v>N/A</v>
        <stp/>
        <stp>VOLUME</stp>
        <stp>.SPX250606P5640</stp>
        <tr r="H129" s="2"/>
      </tp>
      <tp t="s">
        <v>N/A</v>
        <stp/>
        <stp>VOLUME</stp>
        <stp>.SPX250606C5650</stp>
        <tr r="H128" s="2"/>
      </tp>
      <tp t="s">
        <v>N/A</v>
        <stp/>
        <stp>VOLUME</stp>
        <stp>.SPX250606P5650</stp>
        <tr r="H128" s="2"/>
      </tp>
      <tp t="s">
        <v>N/A</v>
        <stp/>
        <stp>VOLUME</stp>
        <stp>.SPX250606C5660</stp>
        <tr r="H127" s="2"/>
      </tp>
      <tp t="s">
        <v>N/A</v>
        <stp/>
        <stp>VOLUME</stp>
        <stp>.SPX250606P5660</stp>
        <tr r="H127" s="2"/>
      </tp>
      <tp t="s">
        <v>N/A</v>
        <stp/>
        <stp>VOLUME</stp>
        <stp>.SPX250606C5670</stp>
        <tr r="H126" s="2"/>
      </tp>
      <tp t="s">
        <v>N/A</v>
        <stp/>
        <stp>VOLUME</stp>
        <stp>.SPX250606P5670</stp>
        <tr r="H126" s="2"/>
      </tp>
      <tp t="s">
        <v>N/A</v>
        <stp/>
        <stp>VOLUME</stp>
        <stp>.SPX250606C5680</stp>
        <tr r="H125" s="2"/>
      </tp>
      <tp t="s">
        <v>N/A</v>
        <stp/>
        <stp>VOLUME</stp>
        <stp>.SPX250606P5680</stp>
        <tr r="H125" s="2"/>
      </tp>
      <tp t="s">
        <v>N/A</v>
        <stp/>
        <stp>VOLUME</stp>
        <stp>.SPX250606C5690</stp>
        <tr r="H124" s="2"/>
      </tp>
      <tp t="s">
        <v>N/A</v>
        <stp/>
        <stp>VOLUME</stp>
        <stp>.SPX250606P5690</stp>
        <tr r="H124" s="2"/>
      </tp>
      <tp>
        <v>195</v>
        <stp/>
        <stp>OPEN_INT</stp>
        <stp>.NDX250620P20900</stp>
        <tr r="AX163" s="1"/>
        <tr r="AX163" s="1"/>
      </tp>
      <tp>
        <v>45</v>
        <stp/>
        <stp>OPEN_INT</stp>
        <stp>.NDX250620P20925</stp>
        <tr r="AX162" s="1"/>
        <tr r="AX162" s="1"/>
      </tp>
      <tp>
        <v>15</v>
        <stp/>
        <stp>OPEN_INT</stp>
        <stp>.NDX250620P20950</stp>
        <tr r="AX161" s="1"/>
        <tr r="AX161" s="1"/>
      </tp>
      <tp>
        <v>1</v>
        <stp/>
        <stp>OPEN_INT</stp>
        <stp>.NDX250620P20975</stp>
        <tr r="AX160" s="1"/>
        <tr r="AX160" s="1"/>
      </tp>
      <tp>
        <v>59</v>
        <stp/>
        <stp>OPEN_INT</stp>
        <stp>.NDX250620C20925</stp>
        <tr r="AW162" s="1"/>
        <tr r="AW162" s="1"/>
      </tp>
      <tp>
        <v>104</v>
        <stp/>
        <stp>OPEN_INT</stp>
        <stp>.NDX250620C20900</stp>
        <tr r="AW163" s="1"/>
        <tr r="AW163" s="1"/>
      </tp>
      <tp>
        <v>18</v>
        <stp/>
        <stp>OPEN_INT</stp>
        <stp>.NDX250620C20975</stp>
        <tr r="AW160" s="1"/>
        <tr r="AW160" s="1"/>
      </tp>
      <tp>
        <v>13</v>
        <stp/>
        <stp>OPEN_INT</stp>
        <stp>.NDX250620C20950</stp>
        <tr r="AW161" s="1"/>
        <tr r="AW161" s="1"/>
      </tp>
      <tp t="s">
        <v>23.49%</v>
        <stp/>
        <stp>IMPL_VOL</stp>
        <stp>.QQQ250620C498</stp>
        <tr r="EP79" s="1"/>
      </tp>
      <tp t="s">
        <v>23.19%</v>
        <stp/>
        <stp>IMPL_VOL</stp>
        <stp>.QQQ250620P498</stp>
        <tr r="EQ79" s="1"/>
      </tp>
      <tp t="s">
        <v>23.45%</v>
        <stp/>
        <stp>IMPL_VOL</stp>
        <stp>.QQQ250620C499</stp>
        <tr r="EP78" s="1"/>
      </tp>
      <tp t="s">
        <v>23.03%</v>
        <stp/>
        <stp>IMPL_VOL</stp>
        <stp>.QQQ250620P499</stp>
        <tr r="EQ78" s="1"/>
      </tp>
      <tp>
        <v>254</v>
        <stp/>
        <stp>OPEN_INT</stp>
        <stp>.NDX250620P20800</stp>
        <tr r="AX167" s="1"/>
        <tr r="AX167" s="1"/>
      </tp>
      <tp>
        <v>83</v>
        <stp/>
        <stp>OPEN_INT</stp>
        <stp>.NDX250620P20825</stp>
        <tr r="AX166" s="1"/>
        <tr r="AX166" s="1"/>
      </tp>
      <tp>
        <v>48</v>
        <stp/>
        <stp>OPEN_INT</stp>
        <stp>.NDX250620P20850</stp>
        <tr r="AX165" s="1"/>
        <tr r="AX165" s="1"/>
      </tp>
      <tp>
        <v>6</v>
        <stp/>
        <stp>OPEN_INT</stp>
        <stp>.NDX250620P20875</stp>
        <tr r="AX164" s="1"/>
        <tr r="AX164" s="1"/>
      </tp>
      <tp t="s">
        <v>19.32%</v>
        <stp/>
        <stp>IMPL_VOL</stp>
        <stp>.QQQ250620C522</stp>
        <tr r="EP55" s="1"/>
      </tp>
      <tp t="s">
        <v>20.73%</v>
        <stp/>
        <stp>IMPL_VOL</stp>
        <stp>.QQQ250620P522</stp>
        <tr r="EQ55" s="1"/>
      </tp>
      <tp t="s">
        <v>19.22%</v>
        <stp/>
        <stp>IMPL_VOL</stp>
        <stp>.QQQ250620C523</stp>
        <tr r="EP54" s="1"/>
      </tp>
      <tp t="s">
        <v>19.59%</v>
        <stp/>
        <stp>IMPL_VOL</stp>
        <stp>.QQQ250620P523</stp>
        <tr r="EQ54" s="1"/>
      </tp>
      <tp t="s">
        <v>19.70%</v>
        <stp/>
        <stp>IMPL_VOL</stp>
        <stp>.QQQ250620C520</stp>
        <tr r="EP57" s="1"/>
      </tp>
      <tp t="s">
        <v>19.93%</v>
        <stp/>
        <stp>IMPL_VOL</stp>
        <stp>.QQQ250620P520</stp>
        <tr r="EQ57" s="1"/>
      </tp>
      <tp t="s">
        <v>19.51%</v>
        <stp/>
        <stp>IMPL_VOL</stp>
        <stp>.QQQ250620C521</stp>
        <tr r="EP56" s="1"/>
      </tp>
      <tp t="s">
        <v>20.53%</v>
        <stp/>
        <stp>IMPL_VOL</stp>
        <stp>.QQQ250620P521</stp>
        <tr r="EQ56" s="1"/>
      </tp>
      <tp t="s">
        <v>18.76%</v>
        <stp/>
        <stp>IMPL_VOL</stp>
        <stp>.QQQ250620C526</stp>
        <tr r="EP51" s="1"/>
      </tp>
      <tp t="s">
        <v>19.36%</v>
        <stp/>
        <stp>IMPL_VOL</stp>
        <stp>.QQQ250620P526</stp>
        <tr r="EQ51" s="1"/>
      </tp>
      <tp t="s">
        <v>18.76%</v>
        <stp/>
        <stp>IMPL_VOL</stp>
        <stp>.QQQ250620C527</stp>
        <tr r="EP50" s="1"/>
      </tp>
      <tp t="s">
        <v>19.09%</v>
        <stp/>
        <stp>IMPL_VOL</stp>
        <stp>.QQQ250620P527</stp>
        <tr r="EQ50" s="1"/>
      </tp>
      <tp t="s">
        <v>19.10%</v>
        <stp/>
        <stp>IMPL_VOL</stp>
        <stp>.QQQ250620C524</stp>
        <tr r="EP53" s="1"/>
      </tp>
      <tp t="s">
        <v>19.47%</v>
        <stp/>
        <stp>IMPL_VOL</stp>
        <stp>.QQQ250620P524</stp>
        <tr r="EQ53" s="1"/>
      </tp>
      <tp t="s">
        <v>18.89%</v>
        <stp/>
        <stp>IMPL_VOL</stp>
        <stp>.QQQ250620C525</stp>
        <tr r="EP52" s="1"/>
      </tp>
      <tp t="s">
        <v>19.47%</v>
        <stp/>
        <stp>IMPL_VOL</stp>
        <stp>.QQQ250620P525</stp>
        <tr r="EQ52" s="1"/>
      </tp>
      <tp t="s">
        <v>18.54%</v>
        <stp/>
        <stp>IMPL_VOL</stp>
        <stp>.QQQ250620C528</stp>
        <tr r="EP49" s="1"/>
      </tp>
      <tp t="s">
        <v>19.03%</v>
        <stp/>
        <stp>IMPL_VOL</stp>
        <stp>.QQQ250620P528</stp>
        <tr r="EQ49" s="1"/>
      </tp>
      <tp t="s">
        <v>18.47%</v>
        <stp/>
        <stp>IMPL_VOL</stp>
        <stp>.QQQ250620C529</stp>
        <tr r="EP48" s="1"/>
      </tp>
      <tp t="s">
        <v>18.93%</v>
        <stp/>
        <stp>IMPL_VOL</stp>
        <stp>.QQQ250620P529</stp>
        <tr r="EQ48" s="1"/>
      </tp>
      <tp t="s">
        <v>18.13%</v>
        <stp/>
        <stp>IMPL_VOL</stp>
        <stp>.QQQ250620C532</stp>
        <tr r="EP45" s="1"/>
      </tp>
      <tp t="s">
        <v>18.60%</v>
        <stp/>
        <stp>IMPL_VOL</stp>
        <stp>.QQQ250620P532</stp>
        <tr r="EQ45" s="1"/>
      </tp>
      <tp t="s">
        <v>18.45%</v>
        <stp/>
        <stp>IMPL_VOL</stp>
        <stp>.QQQ250620C530</stp>
        <tr r="EP47" s="1"/>
      </tp>
      <tp t="s">
        <v>19.05%</v>
        <stp/>
        <stp>IMPL_VOL</stp>
        <stp>.QQQ250620P530</stp>
        <tr r="EQ47" s="1"/>
      </tp>
      <tp t="s">
        <v>18.22%</v>
        <stp/>
        <stp>IMPL_VOL</stp>
        <stp>.QQQ250620C531</stp>
        <tr r="EP46" s="1"/>
      </tp>
      <tp t="s">
        <v>18.93%</v>
        <stp/>
        <stp>IMPL_VOL</stp>
        <stp>.QQQ250620P531</stp>
        <tr r="EQ46" s="1"/>
      </tp>
      <tp>
        <v>85</v>
        <stp/>
        <stp>OPEN_INT</stp>
        <stp>.NDX250620C20825</stp>
        <tr r="AW166" s="1"/>
        <tr r="AW166" s="1"/>
      </tp>
      <tp t="s">
        <v>22.93%</v>
        <stp/>
        <stp>IMPL_VOL</stp>
        <stp>.QQQ250620C502</stp>
        <tr r="EP75" s="1"/>
      </tp>
      <tp t="s">
        <v>22.57%</v>
        <stp/>
        <stp>IMPL_VOL</stp>
        <stp>.QQQ250620P502</stp>
        <tr r="EQ75" s="1"/>
      </tp>
      <tp t="s">
        <v>22.57%</v>
        <stp/>
        <stp>IMPL_VOL</stp>
        <stp>.QQQ250620C503</stp>
        <tr r="EP74" s="1"/>
      </tp>
      <tp t="s">
        <v>22.35%</v>
        <stp/>
        <stp>IMPL_VOL</stp>
        <stp>.QQQ250620P503</stp>
        <tr r="EQ74" s="1"/>
      </tp>
      <tp t="s">
        <v>21.96%</v>
        <stp/>
        <stp>IMPL_VOL</stp>
        <stp>.QQQ250620C500</stp>
        <tr r="EP77" s="1"/>
      </tp>
      <tp t="s">
        <v>22.85%</v>
        <stp/>
        <stp>IMPL_VOL</stp>
        <stp>.QQQ250620P500</stp>
        <tr r="EQ77" s="1"/>
      </tp>
      <tp t="s">
        <v>22.83%</v>
        <stp/>
        <stp>IMPL_VOL</stp>
        <stp>.QQQ250620C501</stp>
        <tr r="EP76" s="1"/>
      </tp>
      <tp t="s">
        <v>22.72%</v>
        <stp/>
        <stp>IMPL_VOL</stp>
        <stp>.QQQ250620P501</stp>
        <tr r="EQ76" s="1"/>
      </tp>
      <tp t="s">
        <v>22.49%</v>
        <stp/>
        <stp>IMPL_VOL</stp>
        <stp>.QQQ250620C506</stp>
        <tr r="EP71" s="1"/>
      </tp>
      <tp t="s">
        <v>21.89%</v>
        <stp/>
        <stp>IMPL_VOL</stp>
        <stp>.QQQ250620P506</stp>
        <tr r="EQ71" s="1"/>
      </tp>
      <tp t="s">
        <v>21.95%</v>
        <stp/>
        <stp>IMPL_VOL</stp>
        <stp>.QQQ250620C507</stp>
        <tr r="EP70" s="1"/>
      </tp>
      <tp t="s">
        <v>21.73%</v>
        <stp/>
        <stp>IMPL_VOL</stp>
        <stp>.QQQ250620P507</stp>
        <tr r="EQ70" s="1"/>
      </tp>
      <tp t="s">
        <v>22.59%</v>
        <stp/>
        <stp>IMPL_VOL</stp>
        <stp>.QQQ250620C504</stp>
        <tr r="EP73" s="1"/>
      </tp>
      <tp t="s">
        <v>22.17%</v>
        <stp/>
        <stp>IMPL_VOL</stp>
        <stp>.QQQ250620P504</stp>
        <tr r="EQ73" s="1"/>
      </tp>
      <tp t="s">
        <v>21.40%</v>
        <stp/>
        <stp>IMPL_VOL</stp>
        <stp>.QQQ250620C505</stp>
        <tr r="EP72" s="1"/>
      </tp>
      <tp t="s">
        <v>22.09%</v>
        <stp/>
        <stp>IMPL_VOL</stp>
        <stp>.QQQ250620P505</stp>
        <tr r="EQ72" s="1"/>
      </tp>
      <tp t="s">
        <v>21.92%</v>
        <stp/>
        <stp>IMPL_VOL</stp>
        <stp>.QQQ250620C508</stp>
        <tr r="EP69" s="1"/>
      </tp>
      <tp t="s">
        <v>21.57%</v>
        <stp/>
        <stp>IMPL_VOL</stp>
        <stp>.QQQ250620P508</stp>
        <tr r="EQ69" s="1"/>
      </tp>
      <tp t="s">
        <v>21.65%</v>
        <stp/>
        <stp>IMPL_VOL</stp>
        <stp>.QQQ250620C509</stp>
        <tr r="EP68" s="1"/>
      </tp>
      <tp t="s">
        <v>21.50%</v>
        <stp/>
        <stp>IMPL_VOL</stp>
        <stp>.QQQ250620P509</stp>
        <tr r="EQ68" s="1"/>
      </tp>
      <tp t="s">
        <v>21.39%</v>
        <stp/>
        <stp>IMPL_VOL</stp>
        <stp>.QQQ250620C512</stp>
        <tr r="EP65" s="1"/>
      </tp>
      <tp t="s">
        <v>20.99%</v>
        <stp/>
        <stp>IMPL_VOL</stp>
        <stp>.QQQ250620P512</stp>
        <tr r="EQ65" s="1"/>
      </tp>
      <tp t="s">
        <v>20.50%</v>
        <stp/>
        <stp>IMPL_VOL</stp>
        <stp>.QQQ250620C513</stp>
        <tr r="EP64" s="1"/>
      </tp>
      <tp t="s">
        <v>21.93%</v>
        <stp/>
        <stp>IMPL_VOL</stp>
        <stp>.QQQ250620P513</stp>
        <tr r="EQ64" s="1"/>
      </tp>
      <tp t="s">
        <v>19.64%</v>
        <stp/>
        <stp>IMPL_VOL</stp>
        <stp>.QQQ250620C510</stp>
        <tr r="EP67" s="1"/>
      </tp>
      <tp t="s">
        <v>21.41%</v>
        <stp/>
        <stp>IMPL_VOL</stp>
        <stp>.QQQ250620P510</stp>
        <tr r="EQ67" s="1"/>
      </tp>
      <tp t="s">
        <v>21.46%</v>
        <stp/>
        <stp>IMPL_VOL</stp>
        <stp>.QQQ250620C511</stp>
        <tr r="EP66" s="1"/>
      </tp>
      <tp t="s">
        <v>21.21%</v>
        <stp/>
        <stp>IMPL_VOL</stp>
        <stp>.QQQ250620P511</stp>
        <tr r="EQ66" s="1"/>
      </tp>
      <tp t="s">
        <v>20.08%</v>
        <stp/>
        <stp>IMPL_VOL</stp>
        <stp>.QQQ250620C516</stp>
        <tr r="EP61" s="1"/>
      </tp>
      <tp t="s">
        <v>20.54%</v>
        <stp/>
        <stp>IMPL_VOL</stp>
        <stp>.QQQ250620P516</stp>
        <tr r="EQ61" s="1"/>
      </tp>
      <tp t="s">
        <v>20.66%</v>
        <stp/>
        <stp>IMPL_VOL</stp>
        <stp>.QQQ250620C517</stp>
        <tr r="EP60" s="1"/>
      </tp>
      <tp t="s">
        <v>20.35%</v>
        <stp/>
        <stp>IMPL_VOL</stp>
        <stp>.QQQ250620P517</stp>
        <tr r="EQ60" s="1"/>
      </tp>
      <tp t="s">
        <v>20.37%</v>
        <stp/>
        <stp>IMPL_VOL</stp>
        <stp>.QQQ250620C514</stp>
        <tr r="EP63" s="1"/>
      </tp>
      <tp t="s">
        <v>20.72%</v>
        <stp/>
        <stp>IMPL_VOL</stp>
        <stp>.QQQ250620P514</stp>
        <tr r="EQ63" s="1"/>
      </tp>
      <tp t="s">
        <v>20.25%</v>
        <stp/>
        <stp>IMPL_VOL</stp>
        <stp>.QQQ250620C515</stp>
        <tr r="EP62" s="1"/>
      </tp>
      <tp t="s">
        <v>20.69%</v>
        <stp/>
        <stp>IMPL_VOL</stp>
        <stp>.QQQ250620P515</stp>
        <tr r="EQ62" s="1"/>
      </tp>
      <tp t="s">
        <v>19.85%</v>
        <stp/>
        <stp>IMPL_VOL</stp>
        <stp>.QQQ250620C518</stp>
        <tr r="EP59" s="1"/>
      </tp>
      <tp t="s">
        <v>20.47%</v>
        <stp/>
        <stp>IMPL_VOL</stp>
        <stp>.QQQ250620P518</stp>
        <tr r="EQ59" s="1"/>
      </tp>
      <tp t="s">
        <v>19.76%</v>
        <stp/>
        <stp>IMPL_VOL</stp>
        <stp>.QQQ250620C519</stp>
        <tr r="EP58" s="1"/>
      </tp>
      <tp t="s">
        <v>20.06%</v>
        <stp/>
        <stp>IMPL_VOL</stp>
        <stp>.QQQ250620P519</stp>
        <tr r="EQ58" s="1"/>
      </tp>
      <tp>
        <v>602</v>
        <stp/>
        <stp>OPEN_INT</stp>
        <stp>.NDX250620C20800</stp>
        <tr r="AW167" s="1"/>
        <tr r="AW167" s="1"/>
      </tp>
      <tp>
        <v>17</v>
        <stp/>
        <stp>OPEN_INT</stp>
        <stp>.NDX250620C20875</stp>
        <tr r="AW164" s="1"/>
        <tr r="AW164" s="1"/>
      </tp>
      <tp>
        <v>51</v>
        <stp/>
        <stp>OPEN_INT</stp>
        <stp>.NDX250620C20850</stp>
        <tr r="AW165" s="1"/>
        <tr r="AW165" s="1"/>
      </tp>
      <tp>
        <v>0.01</v>
        <stp/>
        <stp>ASK</stp>
        <stp>.SPY250520C602</stp>
        <tr r="DC4" s="1"/>
        <tr r="DC4" s="1"/>
      </tp>
      <tp>
        <v>10.62</v>
        <stp/>
        <stp>ASK</stp>
        <stp>.SPY250520P602</stp>
        <tr r="DD4" s="1"/>
        <tr r="DD4" s="1"/>
      </tp>
      <tp>
        <v>0.01</v>
        <stp/>
        <stp>ASK</stp>
        <stp>.SPY250520C600</stp>
        <tr r="DC6" s="1"/>
        <tr r="DC6" s="1"/>
      </tp>
      <tp>
        <v>8.6199999999999992</v>
        <stp/>
        <stp>ASK</stp>
        <stp>.SPY250520P600</stp>
        <tr r="DD6" s="1"/>
        <tr r="DD6" s="1"/>
      </tp>
      <tp>
        <v>0.01</v>
        <stp/>
        <stp>ASK</stp>
        <stp>.SPY250520C601</stp>
        <tr r="DC5" s="1"/>
        <tr r="DC5" s="1"/>
      </tp>
      <tp>
        <v>9.6199999999999992</v>
        <stp/>
        <stp>ASK</stp>
        <stp>.SPY250520P601</stp>
        <tr r="DD5" s="1"/>
        <tr r="DD5" s="1"/>
      </tp>
      <tp>
        <v>0</v>
        <stp/>
        <stp>BID</stp>
        <stp>.SPY250520C600</stp>
        <tr r="DE6" s="1"/>
        <tr r="DE6" s="1"/>
      </tp>
      <tp>
        <v>6.9</v>
        <stp/>
        <stp>BID</stp>
        <stp>.SPY250520P600</stp>
        <tr r="DF6" s="1"/>
        <tr r="DF6" s="1"/>
      </tp>
      <tp>
        <v>0</v>
        <stp/>
        <stp>BID</stp>
        <stp>.SPY250520C601</stp>
        <tr r="DE5" s="1"/>
        <tr r="DE5" s="1"/>
      </tp>
      <tp>
        <v>7.9</v>
        <stp/>
        <stp>BID</stp>
        <stp>.SPY250520P601</stp>
        <tr r="DF5" s="1"/>
        <tr r="DF5" s="1"/>
      </tp>
      <tp>
        <v>0</v>
        <stp/>
        <stp>BID</stp>
        <stp>.SPY250520C602</stp>
        <tr r="DE4" s="1"/>
        <tr r="DE4" s="1"/>
      </tp>
      <tp>
        <v>8.83</v>
        <stp/>
        <stp>BID</stp>
        <stp>.SPY250520P602</stp>
        <tr r="DF4" s="1"/>
        <tr r="DF4" s="1"/>
      </tp>
      <tp t="s">
        <v>27.19%</v>
        <stp/>
        <stp>IMPL_VOL</stp>
        <stp>.QQQ250520C522</stp>
        <tr r="EL55" s="1"/>
      </tp>
      <tp t="s">
        <v>20.08%</v>
        <stp/>
        <stp>IMPL_VOL</stp>
        <stp>.QQQ250523C521</stp>
        <tr r="EN56" s="1"/>
      </tp>
      <tp t="s">
        <v>53.52%</v>
        <stp/>
        <stp>IMPL_VOL</stp>
        <stp>.QQQ250520P522</stp>
        <tr r="EM55" s="1"/>
      </tp>
      <tp t="s">
        <v>21.37%</v>
        <stp/>
        <stp>IMPL_VOL</stp>
        <stp>.QQQ250523P521</stp>
        <tr r="EO56" s="1"/>
      </tp>
      <tp t="s">
        <v>36.87%</v>
        <stp/>
        <stp>IMPL_VOL</stp>
        <stp>.QQQ250520C523</stp>
        <tr r="EL54" s="1"/>
      </tp>
      <tp t="s">
        <v>19.89%</v>
        <stp/>
        <stp>IMPL_VOL</stp>
        <stp>.QQQ250523C520</stp>
        <tr r="EN57" s="1"/>
      </tp>
      <tp t="s">
        <v>51.99%</v>
        <stp/>
        <stp>IMPL_VOL</stp>
        <stp>.QQQ250520P523</stp>
        <tr r="EM54" s="1"/>
      </tp>
      <tp t="s">
        <v>21.84%</v>
        <stp/>
        <stp>IMPL_VOL</stp>
        <stp>.QQQ250523P520</stp>
        <tr r="EO57" s="1"/>
      </tp>
      <tp t="s">
        <v>9.84%</v>
        <stp/>
        <stp>IMPL_VOL</stp>
        <stp>.QQQ250520C520</stp>
        <tr r="EL57" s="1"/>
      </tp>
      <tp t="s">
        <v>19.46%</v>
        <stp/>
        <stp>IMPL_VOL</stp>
        <stp>.QQQ250523C523</stp>
        <tr r="EN54" s="1"/>
      </tp>
      <tp t="s">
        <v>107.24%</v>
        <stp/>
        <stp>IMPL_VOL</stp>
        <stp>.QQQ250520P520</stp>
        <tr r="EM57" s="1"/>
      </tp>
      <tp t="s">
        <v>23.48%</v>
        <stp/>
        <stp>IMPL_VOL</stp>
        <stp>.QQQ250523P523</stp>
        <tr r="EO54" s="1"/>
      </tp>
      <tp t="s">
        <v>17.02%</v>
        <stp/>
        <stp>IMPL_VOL</stp>
        <stp>.QQQ250520C521</stp>
        <tr r="EL56" s="1"/>
      </tp>
      <tp t="s">
        <v>19.56%</v>
        <stp/>
        <stp>IMPL_VOL</stp>
        <stp>.QQQ250523C522</stp>
        <tr r="EN55" s="1"/>
      </tp>
      <tp t="s">
        <v>93.11%</v>
        <stp/>
        <stp>IMPL_VOL</stp>
        <stp>.QQQ250520P521</stp>
        <tr r="EM56" s="1"/>
      </tp>
      <tp t="s">
        <v>18.57%</v>
        <stp/>
        <stp>IMPL_VOL</stp>
        <stp>.QQQ250523P522</stp>
        <tr r="EO55" s="1"/>
      </tp>
      <tp t="s">
        <v>64.36%</v>
        <stp/>
        <stp>IMPL_VOL</stp>
        <stp>.QQQ250520C526</stp>
        <tr r="EL51" s="1"/>
      </tp>
      <tp t="s">
        <v>19.19%</v>
        <stp/>
        <stp>IMPL_VOL</stp>
        <stp>.QQQ250523C525</stp>
        <tr r="EN52" s="1"/>
      </tp>
      <tp t="s">
        <v>117.85%</v>
        <stp/>
        <stp>IMPL_VOL</stp>
        <stp>.QQQ250520P526</stp>
        <tr r="EM51" s="1"/>
      </tp>
      <tp t="s">
        <v>18.01%</v>
        <stp/>
        <stp>IMPL_VOL</stp>
        <stp>.QQQ250523P525</stp>
        <tr r="EO52" s="1"/>
      </tp>
      <tp t="s">
        <v>73.19%</v>
        <stp/>
        <stp>IMPL_VOL</stp>
        <stp>.QQQ250520C527</stp>
        <tr r="EL50" s="1"/>
      </tp>
      <tp t="s">
        <v>19.26%</v>
        <stp/>
        <stp>IMPL_VOL</stp>
        <stp>.QQQ250523C524</stp>
        <tr r="EN53" s="1"/>
      </tp>
      <tp t="s">
        <v>131.79%</v>
        <stp/>
        <stp>IMPL_VOL</stp>
        <stp>.QQQ250520P527</stp>
        <tr r="EM50" s="1"/>
      </tp>
      <tp t="s">
        <v>20.82%</v>
        <stp/>
        <stp>IMPL_VOL</stp>
        <stp>.QQQ250523P524</stp>
        <tr r="EO53" s="1"/>
      </tp>
      <tp t="s">
        <v>46.24%</v>
        <stp/>
        <stp>IMPL_VOL</stp>
        <stp>.QQQ250520C524</stp>
        <tr r="EL53" s="1"/>
      </tp>
      <tp t="s">
        <v>19.12%</v>
        <stp/>
        <stp>IMPL_VOL</stp>
        <stp>.QQQ250523C527</stp>
        <tr r="EN50" s="1"/>
      </tp>
      <tp t="s">
        <v>102.04%</v>
        <stp/>
        <stp>IMPL_VOL</stp>
        <stp>.QQQ250520P524</stp>
        <tr r="EM53" s="1"/>
      </tp>
      <tp t="s">
        <v>16.80%</v>
        <stp/>
        <stp>IMPL_VOL</stp>
        <stp>.QQQ250523P527</stp>
        <tr r="EO50" s="1"/>
      </tp>
      <tp t="s">
        <v>55.39%</v>
        <stp/>
        <stp>IMPL_VOL</stp>
        <stp>.QQQ250520C525</stp>
        <tr r="EL52" s="1"/>
      </tp>
      <tp t="s">
        <v>19.21%</v>
        <stp/>
        <stp>IMPL_VOL</stp>
        <stp>.QQQ250523C526</stp>
        <tr r="EN51" s="1"/>
      </tp>
      <tp t="s">
        <v>111.33%</v>
        <stp/>
        <stp>IMPL_VOL</stp>
        <stp>.QQQ250520P525</stp>
        <tr r="EM52" s="1"/>
      </tp>
      <tp t="s">
        <v>21.06%</v>
        <stp/>
        <stp>IMPL_VOL</stp>
        <stp>.QQQ250523P526</stp>
        <tr r="EO51" s="1"/>
      </tp>
      <tp t="s">
        <v>19.05%</v>
        <stp/>
        <stp>IMPL_VOL</stp>
        <stp>.QQQ250523C529</stp>
        <tr r="EN48" s="1"/>
      </tp>
      <tp t="s">
        <v>21.84%</v>
        <stp/>
        <stp>IMPL_VOL</stp>
        <stp>.QQQ250523P529</stp>
        <tr r="EO48" s="1"/>
      </tp>
      <tp t="s">
        <v>19.13%</v>
        <stp/>
        <stp>IMPL_VOL</stp>
        <stp>.QQQ250523C528</stp>
        <tr r="EN49" s="1"/>
      </tp>
      <tp t="s">
        <v>21.55%</v>
        <stp/>
        <stp>IMPL_VOL</stp>
        <stp>.QQQ250523P528</stp>
        <tr r="EO49" s="1"/>
      </tp>
      <tp t="s">
        <v>81.88%</v>
        <stp/>
        <stp>IMPL_VOL</stp>
        <stp>.QQQ250520C528</stp>
        <tr r="EL49" s="1"/>
      </tp>
      <tp t="s">
        <v>143.75%</v>
        <stp/>
        <stp>IMPL_VOL</stp>
        <stp>.QQQ250520P528</stp>
        <tr r="EM49" s="1"/>
      </tp>
      <tp t="s">
        <v>90.47%</v>
        <stp/>
        <stp>IMPL_VOL</stp>
        <stp>.QQQ250520C529</stp>
        <tr r="EL48" s="1"/>
      </tp>
      <tp t="s">
        <v>160.84%</v>
        <stp/>
        <stp>IMPL_VOL</stp>
        <stp>.QQQ250520P529</stp>
        <tr r="EM48" s="1"/>
      </tp>
      <tp t="s">
        <v>115.70%</v>
        <stp/>
        <stp>IMPL_VOL</stp>
        <stp>.QQQ250520C532</stp>
        <tr r="EL45" s="1"/>
      </tp>
      <tp t="s">
        <v>19.03%</v>
        <stp/>
        <stp>IMPL_VOL</stp>
        <stp>.QQQ250523C531</stp>
        <tr r="EN46" s="1"/>
      </tp>
      <tp t="s">
        <v>192.82%</v>
        <stp/>
        <stp>IMPL_VOL</stp>
        <stp>.QQQ250520P532</stp>
        <tr r="EM45" s="1"/>
      </tp>
      <tp t="s">
        <v>22.31%</v>
        <stp/>
        <stp>IMPL_VOL</stp>
        <stp>.QQQ250523P531</stp>
        <tr r="EO46" s="1"/>
      </tp>
      <tp t="s">
        <v>19.01%</v>
        <stp/>
        <stp>IMPL_VOL</stp>
        <stp>.QQQ250523C530</stp>
        <tr r="EN47" s="1"/>
      </tp>
      <tp t="s">
        <v>21.97%</v>
        <stp/>
        <stp>IMPL_VOL</stp>
        <stp>.QQQ250523P530</stp>
        <tr r="EO47" s="1"/>
      </tp>
      <tp t="s">
        <v>98.97%</v>
        <stp/>
        <stp>IMPL_VOL</stp>
        <stp>.QQQ250520C530</stp>
        <tr r="EL47" s="1"/>
      </tp>
      <tp t="s">
        <v>174.30%</v>
        <stp/>
        <stp>IMPL_VOL</stp>
        <stp>.QQQ250520P530</stp>
        <tr r="EM47" s="1"/>
      </tp>
      <tp t="s">
        <v>107.37%</v>
        <stp/>
        <stp>IMPL_VOL</stp>
        <stp>.QQQ250520C531</stp>
        <tr r="EL46" s="1"/>
      </tp>
      <tp t="s">
        <v>19.05%</v>
        <stp/>
        <stp>IMPL_VOL</stp>
        <stp>.QQQ250523C532</stp>
        <tr r="EN45" s="1"/>
      </tp>
      <tp t="s">
        <v>187.64%</v>
        <stp/>
        <stp>IMPL_VOL</stp>
        <stp>.QQQ250520P531</stp>
        <tr r="EM46" s="1"/>
      </tp>
      <tp t="s">
        <v>23.08%</v>
        <stp/>
        <stp>IMPL_VOL</stp>
        <stp>.QQQ250523P532</stp>
        <tr r="EO45" s="1"/>
      </tp>
      <tp t="s">
        <v>--</v>
        <stp/>
        <stp>IMPL_VOL</stp>
        <stp>.QQQ250520C502</stp>
        <tr r="EL75" s="1"/>
      </tp>
      <tp t="s">
        <v>25.81%</v>
        <stp/>
        <stp>IMPL_VOL</stp>
        <stp>.QQQ250523C501</stp>
        <tr r="EN76" s="1"/>
      </tp>
      <tp t="s">
        <v>163.90%</v>
        <stp/>
        <stp>IMPL_VOL</stp>
        <stp>.QQQ250520P502</stp>
        <tr r="EM75" s="1"/>
      </tp>
      <tp t="s">
        <v>26.56%</v>
        <stp/>
        <stp>IMPL_VOL</stp>
        <stp>.QQQ250523P501</stp>
        <tr r="EO76" s="1"/>
      </tp>
      <tp t="s">
        <v>--</v>
        <stp/>
        <stp>IMPL_VOL</stp>
        <stp>.QQQ250520C503</stp>
        <tr r="EL74" s="1"/>
      </tp>
      <tp t="s">
        <v>21.63%</v>
        <stp/>
        <stp>IMPL_VOL</stp>
        <stp>.QQQ250523C500</stp>
        <tr r="EN77" s="1"/>
      </tp>
      <tp t="s">
        <v>155.33%</v>
        <stp/>
        <stp>IMPL_VOL</stp>
        <stp>.QQQ250520P503</stp>
        <tr r="EM74" s="1"/>
      </tp>
      <tp t="s">
        <v>27.04%</v>
        <stp/>
        <stp>IMPL_VOL</stp>
        <stp>.QQQ250523P500</stp>
        <tr r="EO77" s="1"/>
      </tp>
      <tp t="s">
        <v>--</v>
        <stp/>
        <stp>IMPL_VOL</stp>
        <stp>.QQQ250520C500</stp>
        <tr r="EL77" s="1"/>
      </tp>
      <tp t="s">
        <v>28.64%</v>
        <stp/>
        <stp>IMPL_VOL</stp>
        <stp>.QQQ250523C503</stp>
        <tr r="EN74" s="1"/>
      </tp>
      <tp t="s">
        <v>180.98%</v>
        <stp/>
        <stp>IMPL_VOL</stp>
        <stp>.QQQ250520P500</stp>
        <tr r="EM77" s="1"/>
      </tp>
      <tp t="s">
        <v>26.12%</v>
        <stp/>
        <stp>IMPL_VOL</stp>
        <stp>.QQQ250523P503</stp>
        <tr r="EO74" s="1"/>
      </tp>
      <tp t="s">
        <v>--</v>
        <stp/>
        <stp>IMPL_VOL</stp>
        <stp>.QQQ250520C501</stp>
        <tr r="EL76" s="1"/>
      </tp>
      <tp t="s">
        <v>25.05%</v>
        <stp/>
        <stp>IMPL_VOL</stp>
        <stp>.QQQ250523C502</stp>
        <tr r="EN75" s="1"/>
      </tp>
      <tp t="s">
        <v>172.45%</v>
        <stp/>
        <stp>IMPL_VOL</stp>
        <stp>.QQQ250520P501</stp>
        <tr r="EM76" s="1"/>
      </tp>
      <tp t="s">
        <v>26.41%</v>
        <stp/>
        <stp>IMPL_VOL</stp>
        <stp>.QQQ250523P502</stp>
        <tr r="EO75" s="1"/>
      </tp>
      <tp t="s">
        <v>--</v>
        <stp/>
        <stp>IMPL_VOL</stp>
        <stp>.QQQ250520C506</stp>
        <tr r="EL71" s="1"/>
      </tp>
      <tp t="s">
        <v>31.48%</v>
        <stp/>
        <stp>IMPL_VOL</stp>
        <stp>.QQQ250523C505</stp>
        <tr r="EN72" s="1"/>
      </tp>
      <tp t="s">
        <v>129.46%</v>
        <stp/>
        <stp>IMPL_VOL</stp>
        <stp>.QQQ250520P506</stp>
        <tr r="EM71" s="1"/>
      </tp>
      <tp t="s">
        <v>25.47%</v>
        <stp/>
        <stp>IMPL_VOL</stp>
        <stp>.QQQ250523P505</stp>
        <tr r="EO72" s="1"/>
      </tp>
      <tp t="s">
        <v>--</v>
        <stp/>
        <stp>IMPL_VOL</stp>
        <stp>.QQQ250520C507</stp>
        <tr r="EL70" s="1"/>
      </tp>
      <tp t="s">
        <v>23.96%</v>
        <stp/>
        <stp>IMPL_VOL</stp>
        <stp>.QQQ250523C504</stp>
        <tr r="EN73" s="1"/>
      </tp>
      <tp t="s">
        <v>120.77%</v>
        <stp/>
        <stp>IMPL_VOL</stp>
        <stp>.QQQ250520P507</stp>
        <tr r="EM70" s="1"/>
      </tp>
      <tp t="s">
        <v>25.79%</v>
        <stp/>
        <stp>IMPL_VOL</stp>
        <stp>.QQQ250523P504</stp>
        <tr r="EO73" s="1"/>
      </tp>
      <tp t="s">
        <v>--</v>
        <stp/>
        <stp>IMPL_VOL</stp>
        <stp>.QQQ250520C504</stp>
        <tr r="EL73" s="1"/>
      </tp>
      <tp t="s">
        <v>25.05%</v>
        <stp/>
        <stp>IMPL_VOL</stp>
        <stp>.QQQ250523C507</stp>
        <tr r="EN70" s="1"/>
      </tp>
      <tp t="s">
        <v>146.73%</v>
        <stp/>
        <stp>IMPL_VOL</stp>
        <stp>.QQQ250520P504</stp>
        <tr r="EM73" s="1"/>
      </tp>
      <tp t="s">
        <v>24.89%</v>
        <stp/>
        <stp>IMPL_VOL</stp>
        <stp>.QQQ250523P507</stp>
        <tr r="EO70" s="1"/>
      </tp>
      <tp t="s">
        <v>--</v>
        <stp/>
        <stp>IMPL_VOL</stp>
        <stp>.QQQ250520C505</stp>
        <tr r="EL72" s="1"/>
      </tp>
      <tp t="s">
        <v>26.06%</v>
        <stp/>
        <stp>IMPL_VOL</stp>
        <stp>.QQQ250523C506</stp>
        <tr r="EN71" s="1"/>
      </tp>
      <tp t="s">
        <v>138.11%</v>
        <stp/>
        <stp>IMPL_VOL</stp>
        <stp>.QQQ250520P505</stp>
        <tr r="EM72" s="1"/>
      </tp>
      <tp t="s">
        <v>25.20%</v>
        <stp/>
        <stp>IMPL_VOL</stp>
        <stp>.QQQ250523P506</stp>
        <tr r="EO71" s="1"/>
      </tp>
      <tp t="s">
        <v>25.60%</v>
        <stp/>
        <stp>IMPL_VOL</stp>
        <stp>.QQQ250523C509</stp>
        <tr r="EN68" s="1"/>
      </tp>
      <tp t="s">
        <v>24.31%</v>
        <stp/>
        <stp>IMPL_VOL</stp>
        <stp>.QQQ250523P509</stp>
        <tr r="EO68" s="1"/>
      </tp>
      <tp t="s">
        <v>30.13%</v>
        <stp/>
        <stp>IMPL_VOL</stp>
        <stp>.QQQ250523C508</stp>
        <tr r="EN69" s="1"/>
      </tp>
      <tp t="s">
        <v>24.61%</v>
        <stp/>
        <stp>IMPL_VOL</stp>
        <stp>.QQQ250523P508</stp>
        <tr r="EO69" s="1"/>
      </tp>
      <tp t="s">
        <v>--</v>
        <stp/>
        <stp>IMPL_VOL</stp>
        <stp>.QQQ250520C508</stp>
        <tr r="EL69" s="1"/>
      </tp>
      <tp t="s">
        <v>112.05%</v>
        <stp/>
        <stp>IMPL_VOL</stp>
        <stp>.QQQ250520P508</stp>
        <tr r="EM69" s="1"/>
      </tp>
      <tp t="s">
        <v>--</v>
        <stp/>
        <stp>IMPL_VOL</stp>
        <stp>.QQQ250520C509</stp>
        <tr r="EL68" s="1"/>
      </tp>
      <tp t="s">
        <v>103.27%</v>
        <stp/>
        <stp>IMPL_VOL</stp>
        <stp>.QQQ250520P509</stp>
        <tr r="EM68" s="1"/>
      </tp>
      <tp t="s">
        <v>--</v>
        <stp/>
        <stp>IMPL_VOL</stp>
        <stp>.QQQ250520C512</stp>
        <tr r="EL65" s="1"/>
      </tp>
      <tp t="s">
        <v>23.70%</v>
        <stp/>
        <stp>IMPL_VOL</stp>
        <stp>.QQQ250523C511</stp>
        <tr r="EN66" s="1"/>
      </tp>
      <tp t="s">
        <v>76.60%</v>
        <stp/>
        <stp>IMPL_VOL</stp>
        <stp>.QQQ250520P512</stp>
        <tr r="EM65" s="1"/>
      </tp>
      <tp t="s">
        <v>23.77%</v>
        <stp/>
        <stp>IMPL_VOL</stp>
        <stp>.QQQ250523P511</stp>
        <tr r="EO66" s="1"/>
      </tp>
      <tp t="s">
        <v>142.26%</v>
        <stp/>
        <stp>IMPL_VOL</stp>
        <stp>.QQQ250520C513</stp>
        <tr r="EL64" s="1"/>
      </tp>
      <tp t="s">
        <v>22.51%</v>
        <stp/>
        <stp>IMPL_VOL</stp>
        <stp>.QQQ250523C510</stp>
        <tr r="EN67" s="1"/>
      </tp>
      <tp t="s">
        <v>67.55%</v>
        <stp/>
        <stp>IMPL_VOL</stp>
        <stp>.QQQ250520P513</stp>
        <tr r="EM64" s="1"/>
      </tp>
      <tp t="s">
        <v>24.04%</v>
        <stp/>
        <stp>IMPL_VOL</stp>
        <stp>.QQQ250523P510</stp>
        <tr r="EO67" s="1"/>
      </tp>
      <tp t="s">
        <v>--</v>
        <stp/>
        <stp>IMPL_VOL</stp>
        <stp>.QQQ250520C510</stp>
        <tr r="EL67" s="1"/>
      </tp>
      <tp t="s">
        <v>23.64%</v>
        <stp/>
        <stp>IMPL_VOL</stp>
        <stp>.QQQ250523C513</stp>
        <tr r="EN64" s="1"/>
      </tp>
      <tp t="s">
        <v>94.44%</v>
        <stp/>
        <stp>IMPL_VOL</stp>
        <stp>.QQQ250520P510</stp>
        <tr r="EM67" s="1"/>
      </tp>
      <tp t="s">
        <v>23.25%</v>
        <stp/>
        <stp>IMPL_VOL</stp>
        <stp>.QQQ250523P513</stp>
        <tr r="EO64" s="1"/>
      </tp>
      <tp t="s">
        <v>--</v>
        <stp/>
        <stp>IMPL_VOL</stp>
        <stp>.QQQ250520C511</stp>
        <tr r="EL66" s="1"/>
      </tp>
      <tp t="s">
        <v>24.55%</v>
        <stp/>
        <stp>IMPL_VOL</stp>
        <stp>.QQQ250523C512</stp>
        <tr r="EN65" s="1"/>
      </tp>
      <tp t="s">
        <v>85.56%</v>
        <stp/>
        <stp>IMPL_VOL</stp>
        <stp>.QQQ250520P511</stp>
        <tr r="EM66" s="1"/>
      </tp>
      <tp t="s">
        <v>23.49%</v>
        <stp/>
        <stp>IMPL_VOL</stp>
        <stp>.QQQ250523P512</stp>
        <tr r="EO65" s="1"/>
      </tp>
      <tp t="s">
        <v>--</v>
        <stp/>
        <stp>IMPL_VOL</stp>
        <stp>.QQQ250520C516</stp>
        <tr r="EL61" s="1"/>
      </tp>
      <tp t="s">
        <v>20.85%</v>
        <stp/>
        <stp>IMPL_VOL</stp>
        <stp>.QQQ250523C515</stp>
        <tr r="EN62" s="1"/>
      </tp>
      <tp t="s">
        <v>46.30%</v>
        <stp/>
        <stp>IMPL_VOL</stp>
        <stp>.QQQ250520P516</stp>
        <tr r="EM61" s="1"/>
      </tp>
      <tp t="s">
        <v>22.76%</v>
        <stp/>
        <stp>IMPL_VOL</stp>
        <stp>.QQQ250523P515</stp>
        <tr r="EO62" s="1"/>
      </tp>
      <tp t="s">
        <v>--</v>
        <stp/>
        <stp>IMPL_VOL</stp>
        <stp>.QQQ250520C517</stp>
        <tr r="EL60" s="1"/>
      </tp>
      <tp t="s">
        <v>21.08%</v>
        <stp/>
        <stp>IMPL_VOL</stp>
        <stp>.QQQ250523C514</stp>
        <tr r="EN63" s="1"/>
      </tp>
      <tp t="s">
        <v>35.09%</v>
        <stp/>
        <stp>IMPL_VOL</stp>
        <stp>.QQQ250520P517</stp>
        <tr r="EM60" s="1"/>
      </tp>
      <tp t="s">
        <v>23.03%</v>
        <stp/>
        <stp>IMPL_VOL</stp>
        <stp>.QQQ250523P514</stp>
        <tr r="EO63" s="1"/>
      </tp>
      <tp t="s">
        <v>87.12%</v>
        <stp/>
        <stp>IMPL_VOL</stp>
        <stp>.QQQ250520C514</stp>
        <tr r="EL63" s="1"/>
      </tp>
      <tp t="s">
        <v>20.45%</v>
        <stp/>
        <stp>IMPL_VOL</stp>
        <stp>.QQQ250523C517</stp>
        <tr r="EN60" s="1"/>
      </tp>
      <tp t="s">
        <v>58.39%</v>
        <stp/>
        <stp>IMPL_VOL</stp>
        <stp>.QQQ250520P514</stp>
        <tr r="EM63" s="1"/>
      </tp>
      <tp t="s">
        <v>22.35%</v>
        <stp/>
        <stp>IMPL_VOL</stp>
        <stp>.QQQ250523P517</stp>
        <tr r="EO60" s="1"/>
      </tp>
      <tp t="s">
        <v>--</v>
        <stp/>
        <stp>IMPL_VOL</stp>
        <stp>.QQQ250520C515</stp>
        <tr r="EL62" s="1"/>
      </tp>
      <tp t="s">
        <v>21.92%</v>
        <stp/>
        <stp>IMPL_VOL</stp>
        <stp>.QQQ250523C516</stp>
        <tr r="EN61" s="1"/>
      </tp>
      <tp t="s">
        <v>49.10%</v>
        <stp/>
        <stp>IMPL_VOL</stp>
        <stp>.QQQ250520P515</stp>
        <tr r="EM62" s="1"/>
      </tp>
      <tp t="s">
        <v>22.47%</v>
        <stp/>
        <stp>IMPL_VOL</stp>
        <stp>.QQQ250523P516</stp>
        <tr r="EO61" s="1"/>
      </tp>
      <tp t="s">
        <v>20.13%</v>
        <stp/>
        <stp>IMPL_VOL</stp>
        <stp>.QQQ250523C519</stp>
        <tr r="EN58" s="1"/>
      </tp>
      <tp t="s">
        <v>21.93%</v>
        <stp/>
        <stp>IMPL_VOL</stp>
        <stp>.QQQ250523P519</stp>
        <tr r="EO58" s="1"/>
      </tp>
      <tp t="s">
        <v>20.27%</v>
        <stp/>
        <stp>IMPL_VOL</stp>
        <stp>.QQQ250523C518</stp>
        <tr r="EN59" s="1"/>
      </tp>
      <tp t="s">
        <v>22.09%</v>
        <stp/>
        <stp>IMPL_VOL</stp>
        <stp>.QQQ250523P518</stp>
        <tr r="EO59" s="1"/>
      </tp>
      <tp t="s">
        <v>--</v>
        <stp/>
        <stp>IMPL_VOL</stp>
        <stp>.QQQ250520C518</stp>
        <tr r="EL59" s="1"/>
      </tp>
      <tp t="s">
        <v>26.37%</v>
        <stp/>
        <stp>IMPL_VOL</stp>
        <stp>.QQQ250520P518</stp>
        <tr r="EM59" s="1"/>
      </tp>
      <tp t="s">
        <v>36.41%</v>
        <stp/>
        <stp>IMPL_VOL</stp>
        <stp>.QQQ250520C519</stp>
        <tr r="EL58" s="1"/>
      </tp>
      <tp t="s">
        <v>29.28%</v>
        <stp/>
        <stp>IMPL_VOL</stp>
        <stp>.QQQ250520P519</stp>
        <tr r="EM58" s="1"/>
      </tp>
      <tp>
        <v>13.38</v>
        <stp/>
        <stp>BID</stp>
        <stp>.SPY250520C578</stp>
        <tr r="DE28" s="1"/>
        <tr r="DE28" s="1"/>
      </tp>
      <tp>
        <v>0</v>
        <stp/>
        <stp>BID</stp>
        <stp>.SPY250520P578</stp>
        <tr r="DF28" s="1"/>
        <tr r="DF28" s="1"/>
      </tp>
      <tp>
        <v>12.45</v>
        <stp/>
        <stp>BID</stp>
        <stp>.SPY250520C579</stp>
        <tr r="DE27" s="1"/>
        <tr r="DE27" s="1"/>
      </tp>
      <tp>
        <v>0</v>
        <stp/>
        <stp>BID</stp>
        <stp>.SPY250520P579</stp>
        <tr r="DF27" s="1"/>
        <tr r="DF27" s="1"/>
      </tp>
      <tp>
        <v>21.38</v>
        <stp/>
        <stp>BID</stp>
        <stp>.SPY250520C570</stp>
        <tr r="DE36" s="1"/>
        <tr r="DE36" s="1"/>
      </tp>
      <tp>
        <v>0</v>
        <stp/>
        <stp>BID</stp>
        <stp>.SPY250520P570</stp>
        <tr r="DF36" s="1"/>
        <tr r="DF36" s="1"/>
      </tp>
      <tp>
        <v>20.38</v>
        <stp/>
        <stp>BID</stp>
        <stp>.SPY250520C571</stp>
        <tr r="DE35" s="1"/>
        <tr r="DE35" s="1"/>
      </tp>
      <tp>
        <v>0</v>
        <stp/>
        <stp>BID</stp>
        <stp>.SPY250520P571</stp>
        <tr r="DF35" s="1"/>
        <tr r="DF35" s="1"/>
      </tp>
      <tp>
        <v>19.36</v>
        <stp/>
        <stp>BID</stp>
        <stp>.SPY250520C572</stp>
        <tr r="DE34" s="1"/>
        <tr r="DE34" s="1"/>
      </tp>
      <tp>
        <v>0</v>
        <stp/>
        <stp>BID</stp>
        <stp>.SPY250520P572</stp>
        <tr r="DF34" s="1"/>
        <tr r="DF34" s="1"/>
      </tp>
      <tp>
        <v>18.38</v>
        <stp/>
        <stp>BID</stp>
        <stp>.SPY250520C573</stp>
        <tr r="DE33" s="1"/>
        <tr r="DE33" s="1"/>
      </tp>
      <tp>
        <v>0</v>
        <stp/>
        <stp>BID</stp>
        <stp>.SPY250520P573</stp>
        <tr r="DF33" s="1"/>
        <tr r="DF33" s="1"/>
      </tp>
      <tp>
        <v>17.38</v>
        <stp/>
        <stp>BID</stp>
        <stp>.SPY250520C574</stp>
        <tr r="DE32" s="1"/>
        <tr r="DE32" s="1"/>
      </tp>
      <tp>
        <v>0</v>
        <stp/>
        <stp>BID</stp>
        <stp>.SPY250520P574</stp>
        <tr r="DF32" s="1"/>
        <tr r="DF32" s="1"/>
      </tp>
      <tp>
        <v>16.38</v>
        <stp/>
        <stp>BID</stp>
        <stp>.SPY250520C575</stp>
        <tr r="DE31" s="1"/>
        <tr r="DE31" s="1"/>
      </tp>
      <tp>
        <v>0</v>
        <stp/>
        <stp>BID</stp>
        <stp>.SPY250520P575</stp>
        <tr r="DF31" s="1"/>
        <tr r="DF31" s="1"/>
      </tp>
      <tp>
        <v>15.38</v>
        <stp/>
        <stp>BID</stp>
        <stp>.SPY250520C576</stp>
        <tr r="DE30" s="1"/>
        <tr r="DE30" s="1"/>
      </tp>
      <tp>
        <v>0</v>
        <stp/>
        <stp>BID</stp>
        <stp>.SPY250520P576</stp>
        <tr r="DF30" s="1"/>
        <tr r="DF30" s="1"/>
      </tp>
      <tp>
        <v>14.36</v>
        <stp/>
        <stp>BID</stp>
        <stp>.SPY250520C577</stp>
        <tr r="DE29" s="1"/>
        <tr r="DE29" s="1"/>
      </tp>
      <tp>
        <v>0</v>
        <stp/>
        <stp>BID</stp>
        <stp>.SPY250520P577</stp>
        <tr r="DF29" s="1"/>
        <tr r="DF29" s="1"/>
      </tp>
      <tp>
        <v>23.38</v>
        <stp/>
        <stp>BID</stp>
        <stp>.SPY250520C568</stp>
        <tr r="DE38" s="1"/>
        <tr r="DE38" s="1"/>
      </tp>
      <tp>
        <v>0</v>
        <stp/>
        <stp>BID</stp>
        <stp>.SPY250520P568</stp>
        <tr r="DF38" s="1"/>
        <tr r="DF38" s="1"/>
      </tp>
      <tp>
        <v>22.38</v>
        <stp/>
        <stp>BID</stp>
        <stp>.SPY250520C569</stp>
        <tr r="DE37" s="1"/>
        <tr r="DE37" s="1"/>
      </tp>
      <tp>
        <v>0</v>
        <stp/>
        <stp>BID</stp>
        <stp>.SPY250520P569</stp>
        <tr r="DF37" s="1"/>
        <tr r="DF37" s="1"/>
      </tp>
      <tp>
        <v>25.12</v>
        <stp/>
        <stp>ASK</stp>
        <stp>.SPY250520C568</stp>
        <tr r="DC38" s="1"/>
        <tr r="DC38" s="1"/>
      </tp>
      <tp>
        <v>0.01</v>
        <stp/>
        <stp>ASK</stp>
        <stp>.SPY250520P568</stp>
        <tr r="DD38" s="1"/>
        <tr r="DD38" s="1"/>
      </tp>
      <tp>
        <v>24.11</v>
        <stp/>
        <stp>ASK</stp>
        <stp>.SPY250520C569</stp>
        <tr r="DC37" s="1"/>
        <tr r="DC37" s="1"/>
      </tp>
      <tp>
        <v>0.01</v>
        <stp/>
        <stp>ASK</stp>
        <stp>.SPY250520P569</stp>
        <tr r="DD37" s="1"/>
        <tr r="DD37" s="1"/>
      </tp>
      <tp>
        <v>21.12</v>
        <stp/>
        <stp>ASK</stp>
        <stp>.SPY250520C572</stp>
        <tr r="DC34" s="1"/>
        <tr r="DC34" s="1"/>
      </tp>
      <tp>
        <v>0.01</v>
        <stp/>
        <stp>ASK</stp>
        <stp>.SPY250520P572</stp>
        <tr r="DD34" s="1"/>
        <tr r="DD34" s="1"/>
      </tp>
      <tp>
        <v>20.12</v>
        <stp/>
        <stp>ASK</stp>
        <stp>.SPY250520C573</stp>
        <tr r="DC33" s="1"/>
        <tr r="DC33" s="1"/>
      </tp>
      <tp>
        <v>0.01</v>
        <stp/>
        <stp>ASK</stp>
        <stp>.SPY250520P573</stp>
        <tr r="DD33" s="1"/>
        <tr r="DD33" s="1"/>
      </tp>
      <tp>
        <v>23.12</v>
        <stp/>
        <stp>ASK</stp>
        <stp>.SPY250520C570</stp>
        <tr r="DC36" s="1"/>
        <tr r="DC36" s="1"/>
      </tp>
      <tp>
        <v>0.01</v>
        <stp/>
        <stp>ASK</stp>
        <stp>.SPY250520P570</stp>
        <tr r="DD36" s="1"/>
        <tr r="DD36" s="1"/>
      </tp>
      <tp>
        <v>22.12</v>
        <stp/>
        <stp>ASK</stp>
        <stp>.SPY250520C571</stp>
        <tr r="DC35" s="1"/>
        <tr r="DC35" s="1"/>
      </tp>
      <tp>
        <v>0.01</v>
        <stp/>
        <stp>ASK</stp>
        <stp>.SPY250520P571</stp>
        <tr r="DD35" s="1"/>
        <tr r="DD35" s="1"/>
      </tp>
      <tp>
        <v>17.12</v>
        <stp/>
        <stp>ASK</stp>
        <stp>.SPY250520C576</stp>
        <tr r="DC30" s="1"/>
        <tr r="DC30" s="1"/>
      </tp>
      <tp>
        <v>0.01</v>
        <stp/>
        <stp>ASK</stp>
        <stp>.SPY250520P576</stp>
        <tr r="DD30" s="1"/>
        <tr r="DD30" s="1"/>
      </tp>
      <tp>
        <v>16.12</v>
        <stp/>
        <stp>ASK</stp>
        <stp>.SPY250520C577</stp>
        <tr r="DC29" s="1"/>
        <tr r="DC29" s="1"/>
      </tp>
      <tp>
        <v>0.01</v>
        <stp/>
        <stp>ASK</stp>
        <stp>.SPY250520P577</stp>
        <tr r="DD29" s="1"/>
        <tr r="DD29" s="1"/>
      </tp>
      <tp>
        <v>19.11</v>
        <stp/>
        <stp>ASK</stp>
        <stp>.SPY250520C574</stp>
        <tr r="DC32" s="1"/>
        <tr r="DC32" s="1"/>
      </tp>
      <tp>
        <v>0.01</v>
        <stp/>
        <stp>ASK</stp>
        <stp>.SPY250520P574</stp>
        <tr r="DD32" s="1"/>
        <tr r="DD32" s="1"/>
      </tp>
      <tp>
        <v>18.12</v>
        <stp/>
        <stp>ASK</stp>
        <stp>.SPY250520C575</stp>
        <tr r="DC31" s="1"/>
        <tr r="DC31" s="1"/>
      </tp>
      <tp>
        <v>0.01</v>
        <stp/>
        <stp>ASK</stp>
        <stp>.SPY250520P575</stp>
        <tr r="DD31" s="1"/>
        <tr r="DD31" s="1"/>
      </tp>
      <tp>
        <v>15.12</v>
        <stp/>
        <stp>ASK</stp>
        <stp>.SPY250520C578</stp>
        <tr r="DC28" s="1"/>
        <tr r="DC28" s="1"/>
      </tp>
      <tp>
        <v>0.01</v>
        <stp/>
        <stp>ASK</stp>
        <stp>.SPY250520P578</stp>
        <tr r="DD28" s="1"/>
        <tr r="DD28" s="1"/>
      </tp>
      <tp>
        <v>14.11</v>
        <stp/>
        <stp>ASK</stp>
        <stp>.SPY250520C579</stp>
        <tr r="DC27" s="1"/>
        <tr r="DC27" s="1"/>
      </tp>
      <tp>
        <v>0.01</v>
        <stp/>
        <stp>ASK</stp>
        <stp>.SPY250520P579</stp>
        <tr r="DD27" s="1"/>
        <tr r="DD27" s="1"/>
      </tp>
      <tp>
        <v>11.17</v>
        <stp/>
        <stp>ASK</stp>
        <stp>.SPY250520C582</stp>
        <tr r="DC24" s="1"/>
        <tr r="DC24" s="1"/>
      </tp>
      <tp>
        <v>0.01</v>
        <stp/>
        <stp>ASK</stp>
        <stp>.SPY250520P582</stp>
        <tr r="DD24" s="1"/>
        <tr r="DD24" s="1"/>
      </tp>
      <tp>
        <v>10.08</v>
        <stp/>
        <stp>ASK</stp>
        <stp>.SPY250520C583</stp>
        <tr r="DC23" s="1"/>
        <tr r="DC23" s="1"/>
      </tp>
      <tp>
        <v>0.01</v>
        <stp/>
        <stp>ASK</stp>
        <stp>.SPY250520P583</stp>
        <tr r="DD23" s="1"/>
        <tr r="DD23" s="1"/>
      </tp>
      <tp>
        <v>13.17</v>
        <stp/>
        <stp>ASK</stp>
        <stp>.SPY250520C580</stp>
        <tr r="DC26" s="1"/>
        <tr r="DC26" s="1"/>
      </tp>
      <tp>
        <v>0.01</v>
        <stp/>
        <stp>ASK</stp>
        <stp>.SPY250520P580</stp>
        <tr r="DD26" s="1"/>
        <tr r="DD26" s="1"/>
      </tp>
      <tp>
        <v>12.17</v>
        <stp/>
        <stp>ASK</stp>
        <stp>.SPY250520C581</stp>
        <tr r="DC25" s="1"/>
        <tr r="DC25" s="1"/>
      </tp>
      <tp>
        <v>0.01</v>
        <stp/>
        <stp>ASK</stp>
        <stp>.SPY250520P581</stp>
        <tr r="DD25" s="1"/>
        <tr r="DD25" s="1"/>
      </tp>
      <tp>
        <v>7.09</v>
        <stp/>
        <stp>ASK</stp>
        <stp>.SPY250520C586</stp>
        <tr r="DC20" s="1"/>
        <tr r="DC20" s="1"/>
      </tp>
      <tp>
        <v>0.01</v>
        <stp/>
        <stp>ASK</stp>
        <stp>.SPY250520P586</stp>
        <tr r="DD20" s="1"/>
        <tr r="DD20" s="1"/>
      </tp>
      <tp>
        <v>6.1</v>
        <stp/>
        <stp>ASK</stp>
        <stp>.SPY250520C587</stp>
        <tr r="DC19" s="1"/>
        <tr r="DC19" s="1"/>
      </tp>
      <tp>
        <v>0.01</v>
        <stp/>
        <stp>ASK</stp>
        <stp>.SPY250520P587</stp>
        <tr r="DD19" s="1"/>
        <tr r="DD19" s="1"/>
      </tp>
      <tp>
        <v>9.0500000000000007</v>
        <stp/>
        <stp>ASK</stp>
        <stp>.SPY250520C584</stp>
        <tr r="DC22" s="1"/>
        <tr r="DC22" s="1"/>
      </tp>
      <tp>
        <v>0.01</v>
        <stp/>
        <stp>ASK</stp>
        <stp>.SPY250520P584</stp>
        <tr r="DD22" s="1"/>
        <tr r="DD22" s="1"/>
      </tp>
      <tp>
        <v>8.1</v>
        <stp/>
        <stp>ASK</stp>
        <stp>.SPY250520C585</stp>
        <tr r="DC21" s="1"/>
        <tr r="DC21" s="1"/>
      </tp>
      <tp>
        <v>0.01</v>
        <stp/>
        <stp>ASK</stp>
        <stp>.SPY250520P585</stp>
        <tr r="DD21" s="1"/>
        <tr r="DD21" s="1"/>
      </tp>
      <tp>
        <v>5.0999999999999996</v>
        <stp/>
        <stp>ASK</stp>
        <stp>.SPY250520C588</stp>
        <tr r="DC18" s="1"/>
        <tr r="DC18" s="1"/>
      </tp>
      <tp>
        <v>0.02</v>
        <stp/>
        <stp>ASK</stp>
        <stp>.SPY250520P588</stp>
        <tr r="DD18" s="1"/>
        <tr r="DD18" s="1"/>
      </tp>
      <tp>
        <v>4.0999999999999996</v>
        <stp/>
        <stp>ASK</stp>
        <stp>.SPY250520C589</stp>
        <tr r="DC17" s="1"/>
        <tr r="DC17" s="1"/>
      </tp>
      <tp>
        <v>0.02</v>
        <stp/>
        <stp>ASK</stp>
        <stp>.SPY250520P589</stp>
        <tr r="DD17" s="1"/>
        <tr r="DD17" s="1"/>
      </tp>
      <tp>
        <v>0.22</v>
        <stp/>
        <stp>ASK</stp>
        <stp>.SPY250520C592</stp>
        <tr r="DC14" s="1"/>
        <tr r="DC14" s="1"/>
      </tp>
      <tp>
        <v>0.13</v>
        <stp/>
        <stp>ASK</stp>
        <stp>.SPY250520P592</stp>
        <tr r="DD14" s="1"/>
        <tr r="DD14" s="1"/>
      </tp>
      <tp>
        <v>0.01</v>
        <stp/>
        <stp>ASK</stp>
        <stp>.SPY250520C593</stp>
        <tr r="DC13" s="1"/>
        <tr r="DC13" s="1"/>
      </tp>
      <tp>
        <v>0.98</v>
        <stp/>
        <stp>ASK</stp>
        <stp>.SPY250520P593</stp>
        <tr r="DD13" s="1"/>
        <tr r="DD13" s="1"/>
      </tp>
      <tp>
        <v>2.16</v>
        <stp/>
        <stp>ASK</stp>
        <stp>.SPY250520C590</stp>
        <tr r="DC16" s="1"/>
        <tr r="DC16" s="1"/>
      </tp>
      <tp>
        <v>0.01</v>
        <stp/>
        <stp>ASK</stp>
        <stp>.SPY250520P590</stp>
        <tr r="DD16" s="1"/>
        <tr r="DD16" s="1"/>
      </tp>
      <tp>
        <v>1.1599999999999999</v>
        <stp/>
        <stp>ASK</stp>
        <stp>.SPY250520C591</stp>
        <tr r="DC15" s="1"/>
        <tr r="DC15" s="1"/>
      </tp>
      <tp>
        <v>0.02</v>
        <stp/>
        <stp>ASK</stp>
        <stp>.SPY250520P591</stp>
        <tr r="DD15" s="1"/>
        <tr r="DD15" s="1"/>
      </tp>
      <tp>
        <v>0.01</v>
        <stp/>
        <stp>ASK</stp>
        <stp>.SPY250520C596</stp>
        <tr r="DC10" s="1"/>
        <tr r="DC10" s="1"/>
      </tp>
      <tp>
        <v>4.62</v>
        <stp/>
        <stp>ASK</stp>
        <stp>.SPY250520P596</stp>
        <tr r="DD10" s="1"/>
        <tr r="DD10" s="1"/>
      </tp>
      <tp>
        <v>0.01</v>
        <stp/>
        <stp>ASK</stp>
        <stp>.SPY250520C597</stp>
        <tr r="DC9" s="1"/>
        <tr r="DC9" s="1"/>
      </tp>
      <tp>
        <v>5.15</v>
        <stp/>
        <stp>ASK</stp>
        <stp>.SPY250520P597</stp>
        <tr r="DD9" s="1"/>
        <tr r="DD9" s="1"/>
      </tp>
      <tp>
        <v>0.01</v>
        <stp/>
        <stp>ASK</stp>
        <stp>.SPY250520C594</stp>
        <tr r="DC12" s="1"/>
        <tr r="DC12" s="1"/>
      </tp>
      <tp>
        <v>2</v>
        <stp/>
        <stp>ASK</stp>
        <stp>.SPY250520P594</stp>
        <tr r="DD12" s="1"/>
        <tr r="DD12" s="1"/>
      </tp>
      <tp>
        <v>0.01</v>
        <stp/>
        <stp>ASK</stp>
        <stp>.SPY250520C595</stp>
        <tr r="DC11" s="1"/>
        <tr r="DC11" s="1"/>
      </tp>
      <tp>
        <v>3.02</v>
        <stp/>
        <stp>ASK</stp>
        <stp>.SPY250520P595</stp>
        <tr r="DD11" s="1"/>
        <tr r="DD11" s="1"/>
      </tp>
      <tp>
        <v>0.01</v>
        <stp/>
        <stp>ASK</stp>
        <stp>.SPY250520C598</stp>
        <tr r="DC8" s="1"/>
        <tr r="DC8" s="1"/>
      </tp>
      <tp>
        <v>6.03</v>
        <stp/>
        <stp>ASK</stp>
        <stp>.SPY250520P598</stp>
        <tr r="DD8" s="1"/>
        <tr r="DD8" s="1"/>
      </tp>
      <tp>
        <v>0.01</v>
        <stp/>
        <stp>ASK</stp>
        <stp>.SPY250520C599</stp>
        <tr r="DC7" s="1"/>
        <tr r="DC7" s="1"/>
      </tp>
      <tp>
        <v>7.05</v>
        <stp/>
        <stp>ASK</stp>
        <stp>.SPY250520P599</stp>
        <tr r="DD7" s="1"/>
        <tr r="DD7" s="1"/>
      </tp>
      <tp>
        <v>0</v>
        <stp/>
        <stp>BID</stp>
        <stp>.SPY250520C598</stp>
        <tr r="DE8" s="1"/>
        <tr r="DE8" s="1"/>
      </tp>
      <tp>
        <v>4.9000000000000004</v>
        <stp/>
        <stp>BID</stp>
        <stp>.SPY250520P598</stp>
        <tr r="DF8" s="1"/>
        <tr r="DF8" s="1"/>
      </tp>
      <tp>
        <v>0</v>
        <stp/>
        <stp>BID</stp>
        <stp>.SPY250520C599</stp>
        <tr r="DE7" s="1"/>
        <tr r="DE7" s="1"/>
      </tp>
      <tp>
        <v>5.9</v>
        <stp/>
        <stp>BID</stp>
        <stp>.SPY250520P599</stp>
        <tr r="DF7" s="1"/>
        <tr r="DF7" s="1"/>
      </tp>
      <tp>
        <v>2.0299999999999998</v>
        <stp/>
        <stp>BID</stp>
        <stp>.SPY250520C590</stp>
        <tr r="DE16" s="1"/>
        <tr r="DE16" s="1"/>
      </tp>
      <tp>
        <v>0</v>
        <stp/>
        <stp>BID</stp>
        <stp>.SPY250520P590</stp>
        <tr r="DF16" s="1"/>
        <tr r="DF16" s="1"/>
      </tp>
      <tp>
        <v>1.04</v>
        <stp/>
        <stp>BID</stp>
        <stp>.SPY250520C591</stp>
        <tr r="DE15" s="1"/>
        <tr r="DE15" s="1"/>
      </tp>
      <tp>
        <v>0.01</v>
        <stp/>
        <stp>BID</stp>
        <stp>.SPY250520P591</stp>
        <tr r="DF15" s="1"/>
        <tr r="DF15" s="1"/>
      </tp>
      <tp>
        <v>0.19</v>
        <stp/>
        <stp>BID</stp>
        <stp>.SPY250520C592</stp>
        <tr r="DE14" s="1"/>
        <tr r="DE14" s="1"/>
      </tp>
      <tp>
        <v>0.12</v>
        <stp/>
        <stp>BID</stp>
        <stp>.SPY250520P592</stp>
        <tr r="DF14" s="1"/>
        <tr r="DF14" s="1"/>
      </tp>
      <tp>
        <v>0</v>
        <stp/>
        <stp>BID</stp>
        <stp>.SPY250520C593</stp>
        <tr r="DE13" s="1"/>
        <tr r="DE13" s="1"/>
      </tp>
      <tp>
        <v>0.86</v>
        <stp/>
        <stp>BID</stp>
        <stp>.SPY250520P593</stp>
        <tr r="DF13" s="1"/>
        <tr r="DF13" s="1"/>
      </tp>
      <tp>
        <v>0</v>
        <stp/>
        <stp>BID</stp>
        <stp>.SPY250520C594</stp>
        <tr r="DE12" s="1"/>
        <tr r="DE12" s="1"/>
      </tp>
      <tp>
        <v>1.1000000000000001</v>
        <stp/>
        <stp>BID</stp>
        <stp>.SPY250520P594</stp>
        <tr r="DF12" s="1"/>
        <tr r="DF12" s="1"/>
      </tp>
      <tp>
        <v>0</v>
        <stp/>
        <stp>BID</stp>
        <stp>.SPY250520C595</stp>
        <tr r="DE11" s="1"/>
        <tr r="DE11" s="1"/>
      </tp>
      <tp>
        <v>2</v>
        <stp/>
        <stp>BID</stp>
        <stp>.SPY250520P595</stp>
        <tr r="DF11" s="1"/>
        <tr r="DF11" s="1"/>
      </tp>
      <tp>
        <v>0</v>
        <stp/>
        <stp>BID</stp>
        <stp>.SPY250520C596</stp>
        <tr r="DE10" s="1"/>
        <tr r="DE10" s="1"/>
      </tp>
      <tp>
        <v>2.9</v>
        <stp/>
        <stp>BID</stp>
        <stp>.SPY250520P596</stp>
        <tr r="DF10" s="1"/>
        <tr r="DF10" s="1"/>
      </tp>
      <tp>
        <v>0</v>
        <stp/>
        <stp>BID</stp>
        <stp>.SPY250520C597</stp>
        <tr r="DE9" s="1"/>
        <tr r="DE9" s="1"/>
      </tp>
      <tp>
        <v>3.9</v>
        <stp/>
        <stp>BID</stp>
        <stp>.SPY250520P597</stp>
        <tr r="DF9" s="1"/>
        <tr r="DF9" s="1"/>
      </tp>
      <tp>
        <v>4.05</v>
        <stp/>
        <stp>BID</stp>
        <stp>.SPY250520C588</stp>
        <tr r="DE18" s="1"/>
        <tr r="DE18" s="1"/>
      </tp>
      <tp>
        <v>0.01</v>
        <stp/>
        <stp>BID</stp>
        <stp>.SPY250520P588</stp>
        <tr r="DF18" s="1"/>
        <tr r="DF18" s="1"/>
      </tp>
      <tp>
        <v>2.39</v>
        <stp/>
        <stp>BID</stp>
        <stp>.SPY250520C589</stp>
        <tr r="DE17" s="1"/>
        <tr r="DE17" s="1"/>
      </tp>
      <tp>
        <v>0.01</v>
        <stp/>
        <stp>BID</stp>
        <stp>.SPY250520P589</stp>
        <tr r="DF17" s="1"/>
        <tr r="DF17" s="1"/>
      </tp>
      <tp>
        <v>11.36</v>
        <stp/>
        <stp>BID</stp>
        <stp>.SPY250520C580</stp>
        <tr r="DE26" s="1"/>
        <tr r="DE26" s="1"/>
      </tp>
      <tp>
        <v>0</v>
        <stp/>
        <stp>BID</stp>
        <stp>.SPY250520P580</stp>
        <tr r="DF26" s="1"/>
        <tr r="DF26" s="1"/>
      </tp>
      <tp>
        <v>10.36</v>
        <stp/>
        <stp>BID</stp>
        <stp>.SPY250520C581</stp>
        <tr r="DE25" s="1"/>
        <tr r="DE25" s="1"/>
      </tp>
      <tp>
        <v>0</v>
        <stp/>
        <stp>BID</stp>
        <stp>.SPY250520P581</stp>
        <tr r="DF25" s="1"/>
        <tr r="DF25" s="1"/>
      </tp>
      <tp>
        <v>9.39</v>
        <stp/>
        <stp>BID</stp>
        <stp>.SPY250520C582</stp>
        <tr r="DE24" s="1"/>
        <tr r="DE24" s="1"/>
      </tp>
      <tp>
        <v>0</v>
        <stp/>
        <stp>BID</stp>
        <stp>.SPY250520P582</stp>
        <tr r="DF24" s="1"/>
        <tr r="DF24" s="1"/>
      </tp>
      <tp>
        <v>8.41</v>
        <stp/>
        <stp>BID</stp>
        <stp>.SPY250520C583</stp>
        <tr r="DE23" s="1"/>
        <tr r="DE23" s="1"/>
      </tp>
      <tp>
        <v>0</v>
        <stp/>
        <stp>BID</stp>
        <stp>.SPY250520P583</stp>
        <tr r="DF23" s="1"/>
        <tr r="DF23" s="1"/>
      </tp>
      <tp>
        <v>7.2</v>
        <stp/>
        <stp>BID</stp>
        <stp>.SPY250520C584</stp>
        <tr r="DE22" s="1"/>
        <tr r="DE22" s="1"/>
      </tp>
      <tp>
        <v>0</v>
        <stp/>
        <stp>BID</stp>
        <stp>.SPY250520P584</stp>
        <tr r="DF22" s="1"/>
        <tr r="DF22" s="1"/>
      </tp>
      <tp>
        <v>6.39</v>
        <stp/>
        <stp>BID</stp>
        <stp>.SPY250520C585</stp>
        <tr r="DE21" s="1"/>
        <tr r="DE21" s="1"/>
      </tp>
      <tp>
        <v>0</v>
        <stp/>
        <stp>BID</stp>
        <stp>.SPY250520P585</stp>
        <tr r="DF21" s="1"/>
        <tr r="DF21" s="1"/>
      </tp>
      <tp>
        <v>5.4</v>
        <stp/>
        <stp>BID</stp>
        <stp>.SPY250520C586</stp>
        <tr r="DE20" s="1"/>
        <tr r="DE20" s="1"/>
      </tp>
      <tp>
        <v>0</v>
        <stp/>
        <stp>BID</stp>
        <stp>.SPY250520P586</stp>
        <tr r="DF20" s="1"/>
        <tr r="DF20" s="1"/>
      </tp>
      <tp>
        <v>4.4000000000000004</v>
        <stp/>
        <stp>BID</stp>
        <stp>.SPY250520C587</stp>
        <tr r="DE19" s="1"/>
        <tr r="DE19" s="1"/>
      </tp>
      <tp>
        <v>0</v>
        <stp/>
        <stp>BID</stp>
        <stp>.SPY250520P587</stp>
        <tr r="DF19" s="1"/>
        <tr r="DF19" s="1"/>
      </tp>
      <tp t="s">
        <v>14.39%</v>
        <stp/>
        <stp>IMPL_VOL</stp>
        <stp>.SPXW250523C5780</stp>
        <tr r="EN114" s="1"/>
      </tp>
      <tp t="s">
        <v>20.01%</v>
        <stp/>
        <stp>IMPL_VOL</stp>
        <stp>.SPXW250523P5780</stp>
        <tr r="EO114" s="1"/>
      </tp>
      <tp t="s">
        <v>15.57%</v>
        <stp/>
        <stp>IMPL_VOL</stp>
        <stp>.SPXW250523C5790</stp>
        <tr r="EN113" s="1"/>
      </tp>
      <tp t="s">
        <v>19.81%</v>
        <stp/>
        <stp>IMPL_VOL</stp>
        <stp>.SPXW250523P5790</stp>
        <tr r="EO113" s="1"/>
      </tp>
      <tp t="s">
        <v>--</v>
        <stp/>
        <stp>IMPL_VOL</stp>
        <stp>.SPXW250520C5790</stp>
        <tr r="EL113" s="1"/>
      </tp>
      <tp t="s">
        <v>115.91%</v>
        <stp/>
        <stp>IMPL_VOL</stp>
        <stp>.SPXW250520P5790</stp>
        <tr r="EM113" s="1"/>
      </tp>
      <tp t="s">
        <v>--</v>
        <stp/>
        <stp>IMPL_VOL</stp>
        <stp>.SPXW250520C5780</stp>
        <tr r="EL114" s="1"/>
      </tp>
      <tp t="s">
        <v>123.02%</v>
        <stp/>
        <stp>IMPL_VOL</stp>
        <stp>.SPXW250520P5780</stp>
        <tr r="EM114" s="1"/>
      </tp>
      <tp t="s">
        <v>--</v>
        <stp/>
        <stp>IMPL_VOL</stp>
        <stp>.SPXW250520C5730</stp>
        <tr r="EL119" s="1"/>
      </tp>
      <tp t="s">
        <v>--</v>
        <stp/>
        <stp>IMPL_VOL</stp>
        <stp>.SPXW250523C5700</stp>
        <tr r="EN122" s="1"/>
      </tp>
      <tp t="s">
        <v>158.27%</v>
        <stp/>
        <stp>IMPL_VOL</stp>
        <stp>.SPXW250520P5730</stp>
        <tr r="EM119" s="1"/>
      </tp>
      <tp t="s">
        <v>22.04%</v>
        <stp/>
        <stp>IMPL_VOL</stp>
        <stp>.SPXW250523P5700</stp>
        <tr r="EO122" s="1"/>
      </tp>
      <tp t="s">
        <v>--</v>
        <stp/>
        <stp>IMPL_VOL</stp>
        <stp>.SPXW250520C5720</stp>
        <tr r="EL120" s="1"/>
      </tp>
      <tp t="s">
        <v>--</v>
        <stp/>
        <stp>IMPL_VOL</stp>
        <stp>.SPXW250523C5710</stp>
        <tr r="EN121" s="1"/>
      </tp>
      <tp t="s">
        <v>165.28%</v>
        <stp/>
        <stp>IMPL_VOL</stp>
        <stp>.SPXW250520P5720</stp>
        <tr r="EM120" s="1"/>
      </tp>
      <tp t="s">
        <v>21.73%</v>
        <stp/>
        <stp>IMPL_VOL</stp>
        <stp>.SPXW250523P5710</stp>
        <tr r="EO121" s="1"/>
      </tp>
      <tp t="s">
        <v>--</v>
        <stp/>
        <stp>IMPL_VOL</stp>
        <stp>.SPXW250520C5710</stp>
        <tr r="EL121" s="1"/>
      </tp>
      <tp t="s">
        <v>--</v>
        <stp/>
        <stp>IMPL_VOL</stp>
        <stp>.SPXW250523C5720</stp>
        <tr r="EN120" s="1"/>
      </tp>
      <tp t="s">
        <v>172.28%</v>
        <stp/>
        <stp>IMPL_VOL</stp>
        <stp>.SPXW250520P5710</stp>
        <tr r="EM121" s="1"/>
      </tp>
      <tp t="s">
        <v>21.35%</v>
        <stp/>
        <stp>IMPL_VOL</stp>
        <stp>.SPXW250523P5720</stp>
        <tr r="EO120" s="1"/>
      </tp>
      <tp t="s">
        <v>--</v>
        <stp/>
        <stp>IMPL_VOL</stp>
        <stp>.SPXW250520C5700</stp>
        <tr r="EL122" s="1"/>
      </tp>
      <tp t="s">
        <v>--</v>
        <stp/>
        <stp>IMPL_VOL</stp>
        <stp>.SPXW250523C5730</stp>
        <tr r="EN119" s="1"/>
      </tp>
      <tp t="s">
        <v>179.27%</v>
        <stp/>
        <stp>IMPL_VOL</stp>
        <stp>.SPXW250520P5700</stp>
        <tr r="EM122" s="1"/>
      </tp>
      <tp t="s">
        <v>21.07%</v>
        <stp/>
        <stp>IMPL_VOL</stp>
        <stp>.SPXW250523P5730</stp>
        <tr r="EO119" s="1"/>
      </tp>
      <tp t="s">
        <v>--</v>
        <stp/>
        <stp>IMPL_VOL</stp>
        <stp>.SPXW250520C5770</stp>
        <tr r="EL115" s="1"/>
      </tp>
      <tp t="s">
        <v>--</v>
        <stp/>
        <stp>IMPL_VOL</stp>
        <stp>.SPXW250523C5740</stp>
        <tr r="EN118" s="1"/>
      </tp>
      <tp t="s">
        <v>130.10%</v>
        <stp/>
        <stp>IMPL_VOL</stp>
        <stp>.SPXW250520P5770</stp>
        <tr r="EM115" s="1"/>
      </tp>
      <tp t="s">
        <v>20.83%</v>
        <stp/>
        <stp>IMPL_VOL</stp>
        <stp>.SPXW250523P5740</stp>
        <tr r="EO118" s="1"/>
      </tp>
      <tp t="s">
        <v>--</v>
        <stp/>
        <stp>IMPL_VOL</stp>
        <stp>.SPXW250520C5760</stp>
        <tr r="EL116" s="1"/>
      </tp>
      <tp t="s">
        <v>--</v>
        <stp/>
        <stp>IMPL_VOL</stp>
        <stp>.SPXW250523C5750</stp>
        <tr r="EN117" s="1"/>
      </tp>
      <tp t="s">
        <v>137.16%</v>
        <stp/>
        <stp>IMPL_VOL</stp>
        <stp>.SPXW250520P5760</stp>
        <tr r="EM116" s="1"/>
      </tp>
      <tp t="s">
        <v>20.56%</v>
        <stp/>
        <stp>IMPL_VOL</stp>
        <stp>.SPXW250523P5750</stp>
        <tr r="EO117" s="1"/>
      </tp>
      <tp t="s">
        <v>--</v>
        <stp/>
        <stp>IMPL_VOL</stp>
        <stp>.SPXW250520C5750</stp>
        <tr r="EL117" s="1"/>
      </tp>
      <tp t="s">
        <v>--</v>
        <stp/>
        <stp>IMPL_VOL</stp>
        <stp>.SPXW250523C5760</stp>
        <tr r="EN116" s="1"/>
      </tp>
      <tp t="s">
        <v>144.21%</v>
        <stp/>
        <stp>IMPL_VOL</stp>
        <stp>.SPXW250520P5750</stp>
        <tr r="EM117" s="1"/>
      </tp>
      <tp t="s">
        <v>20.35%</v>
        <stp/>
        <stp>IMPL_VOL</stp>
        <stp>.SPXW250523P5760</stp>
        <tr r="EO116" s="1"/>
      </tp>
      <tp t="s">
        <v>--</v>
        <stp/>
        <stp>IMPL_VOL</stp>
        <stp>.SPXW250520C5740</stp>
        <tr r="EL118" s="1"/>
      </tp>
      <tp t="s">
        <v>10.19%</v>
        <stp/>
        <stp>IMPL_VOL</stp>
        <stp>.SPXW250523C5770</stp>
        <tr r="EN115" s="1"/>
      </tp>
      <tp t="s">
        <v>151.25%</v>
        <stp/>
        <stp>IMPL_VOL</stp>
        <stp>.SPXW250520P5740</stp>
        <tr r="EM118" s="1"/>
      </tp>
      <tp t="s">
        <v>20.20%</v>
        <stp/>
        <stp>IMPL_VOL</stp>
        <stp>.SPXW250523P5770</stp>
        <tr r="EO115" s="1"/>
      </tp>
      <tp t="s">
        <v>27.41%</v>
        <stp/>
        <stp>IMPL_VOL</stp>
        <stp>.QQQ250523C499</stp>
        <tr r="EN78" s="1"/>
      </tp>
      <tp t="s">
        <v>27.32%</v>
        <stp/>
        <stp>IMPL_VOL</stp>
        <stp>.QQQ250523P499</stp>
        <tr r="EO78" s="1"/>
      </tp>
      <tp t="s">
        <v>28.82%</v>
        <stp/>
        <stp>IMPL_VOL</stp>
        <stp>.QQQ250523C498</stp>
        <tr r="EN79" s="1"/>
      </tp>
      <tp t="s">
        <v>27.60%</v>
        <stp/>
        <stp>IMPL_VOL</stp>
        <stp>.QQQ250523P498</stp>
        <tr r="EO79" s="1"/>
      </tp>
      <tp t="s">
        <v>--</v>
        <stp/>
        <stp>IMPL_VOL</stp>
        <stp>.QQQ250520C498</stp>
        <tr r="EL79" s="1"/>
      </tp>
      <tp t="s">
        <v>197.99%</v>
        <stp/>
        <stp>IMPL_VOL</stp>
        <stp>.QQQ250520P498</stp>
        <tr r="EM79" s="1"/>
      </tp>
      <tp t="s">
        <v>--</v>
        <stp/>
        <stp>IMPL_VOL</stp>
        <stp>.QQQ250520C499</stp>
        <tr r="EL78" s="1"/>
      </tp>
      <tp t="s">
        <v>189.49%</v>
        <stp/>
        <stp>IMPL_VOL</stp>
        <stp>.QQQ250520P499</stp>
        <tr r="EM78" s="1"/>
      </tp>
      <tp t="s">
        <v>--</v>
        <stp/>
        <stp>IMPL_VOL</stp>
        <stp>.SPXW250523C5680</stp>
        <tr r="EN124" s="1"/>
      </tp>
      <tp t="s">
        <v>22.90%</v>
        <stp/>
        <stp>IMPL_VOL</stp>
        <stp>.SPXW250523P5680</stp>
        <tr r="EO124" s="1"/>
      </tp>
      <tp t="s">
        <v>--</v>
        <stp/>
        <stp>IMPL_VOL</stp>
        <stp>.SPXW250523C5690</stp>
        <tr r="EN123" s="1"/>
      </tp>
      <tp t="s">
        <v>22.49%</v>
        <stp/>
        <stp>IMPL_VOL</stp>
        <stp>.SPXW250523P5690</stp>
        <tr r="EO123" s="1"/>
      </tp>
      <tp t="s">
        <v>--</v>
        <stp/>
        <stp>IMPL_VOL</stp>
        <stp>.SPXW250520C5690</stp>
        <tr r="EL123" s="1"/>
      </tp>
      <tp t="s">
        <v>186.25%</v>
        <stp/>
        <stp>IMPL_VOL</stp>
        <stp>.SPXW250520P5690</stp>
        <tr r="EM123" s="1"/>
      </tp>
      <tp t="s">
        <v>--</v>
        <stp/>
        <stp>IMPL_VOL</stp>
        <stp>.SPXW250520C5680</stp>
        <tr r="EL124" s="1"/>
      </tp>
      <tp t="s">
        <v>193.23%</v>
        <stp/>
        <stp>IMPL_VOL</stp>
        <stp>.SPXW250520P5680</stp>
        <tr r="EM124" s="1"/>
      </tp>
      <tp t="s">
        <v>--</v>
        <stp/>
        <stp>IMPL_VOL</stp>
        <stp>.SPXW250520C5630</stp>
        <tr r="EL129" s="1"/>
      </tp>
      <tp t="s">
        <v>228.03%</v>
        <stp/>
        <stp>IMPL_VOL</stp>
        <stp>.SPXW250520P5630</stp>
        <tr r="EM129" s="1"/>
      </tp>
      <tp t="s">
        <v>--</v>
        <stp/>
        <stp>IMPL_VOL</stp>
        <stp>.SPXW250520C5620</stp>
        <tr r="EL130" s="1"/>
      </tp>
      <tp t="s">
        <v>234.60%</v>
        <stp/>
        <stp>IMPL_VOL</stp>
        <stp>.SPXW250520P5620</stp>
        <tr r="EM130" s="1"/>
      </tp>
      <tp t="s">
        <v>--</v>
        <stp/>
        <stp>IMPL_VOL</stp>
        <stp>.SPXW250523C5620</stp>
        <tr r="EN130" s="1"/>
      </tp>
      <tp t="s">
        <v>25.76%</v>
        <stp/>
        <stp>IMPL_VOL</stp>
        <stp>.SPXW250523P5620</stp>
        <tr r="EO130" s="1"/>
      </tp>
      <tp t="s">
        <v>N/A</v>
        <stp/>
        <stp>IMPL_VOL</stp>
        <stp>.SPXW250523C5630</stp>
        <tr r="EN129" s="1"/>
      </tp>
      <tp t="s">
        <v>N/A</v>
        <stp/>
        <stp>IMPL_VOL</stp>
        <stp>.SPXW250523P5630</stp>
        <tr r="EO129" s="1"/>
      </tp>
      <tp t="s">
        <v>--</v>
        <stp/>
        <stp>IMPL_VOL</stp>
        <stp>.SPXW250520C5670</stp>
        <tr r="EL125" s="1"/>
      </tp>
      <tp t="s">
        <v>--</v>
        <stp/>
        <stp>IMPL_VOL</stp>
        <stp>.SPXW250523C5640</stp>
        <tr r="EN128" s="1"/>
      </tp>
      <tp t="s">
        <v>200.20%</v>
        <stp/>
        <stp>IMPL_VOL</stp>
        <stp>.SPXW250520P5670</stp>
        <tr r="EM125" s="1"/>
      </tp>
      <tp t="s">
        <v>24.69%</v>
        <stp/>
        <stp>IMPL_VOL</stp>
        <stp>.SPXW250523P5640</stp>
        <tr r="EO128" s="1"/>
      </tp>
      <tp t="s">
        <v>--</v>
        <stp/>
        <stp>IMPL_VOL</stp>
        <stp>.SPXW250520C5660</stp>
        <tr r="EL126" s="1"/>
      </tp>
      <tp t="s">
        <v>--</v>
        <stp/>
        <stp>IMPL_VOL</stp>
        <stp>.SPXW250523C5650</stp>
        <tr r="EN127" s="1"/>
      </tp>
      <tp t="s">
        <v>207.16%</v>
        <stp/>
        <stp>IMPL_VOL</stp>
        <stp>.SPXW250520P5660</stp>
        <tr r="EM126" s="1"/>
      </tp>
      <tp t="s">
        <v>24.30%</v>
        <stp/>
        <stp>IMPL_VOL</stp>
        <stp>.SPXW250523P5650</stp>
        <tr r="EO127" s="1"/>
      </tp>
      <tp t="s">
        <v>--</v>
        <stp/>
        <stp>IMPL_VOL</stp>
        <stp>.SPXW250520C5650</stp>
        <tr r="EL127" s="1"/>
      </tp>
      <tp t="s">
        <v>N/A</v>
        <stp/>
        <stp>IMPL_VOL</stp>
        <stp>.SPXW250523C5660</stp>
        <tr r="EN126" s="1"/>
      </tp>
      <tp t="s">
        <v>214.12%</v>
        <stp/>
        <stp>IMPL_VOL</stp>
        <stp>.SPXW250520P5650</stp>
        <tr r="EM127" s="1"/>
      </tp>
      <tp t="s">
        <v>N/A</v>
        <stp/>
        <stp>IMPL_VOL</stp>
        <stp>.SPXW250523P5660</stp>
        <tr r="EO126" s="1"/>
      </tp>
      <tp t="s">
        <v>--</v>
        <stp/>
        <stp>IMPL_VOL</stp>
        <stp>.SPXW250520C5640</stp>
        <tr r="EL128" s="1"/>
      </tp>
      <tp t="s">
        <v>--</v>
        <stp/>
        <stp>IMPL_VOL</stp>
        <stp>.SPXW250523C5670</stp>
        <tr r="EN125" s="1"/>
      </tp>
      <tp t="s">
        <v>221.08%</v>
        <stp/>
        <stp>IMPL_VOL</stp>
        <stp>.SPXW250520P5640</stp>
        <tr r="EM128" s="1"/>
      </tp>
      <tp t="s">
        <v>23.40%</v>
        <stp/>
        <stp>IMPL_VOL</stp>
        <stp>.SPXW250523P5670</stp>
        <tr r="EO125" s="1"/>
      </tp>
      <tp>
        <v>7151</v>
        <stp/>
        <stp>OPEN_INT</stp>
        <stp>.QQQ250520P506</stp>
        <tr r="AT71" s="1"/>
        <tr r="AT71" s="1"/>
      </tp>
      <tp>
        <v>5750</v>
        <stp/>
        <stp>OPEN_INT</stp>
        <stp>.QQQ250523P505</stp>
        <tr r="AV72" s="1"/>
        <tr r="AV72" s="1"/>
      </tp>
      <tp>
        <v>199</v>
        <stp/>
        <stp>OPEN_INT</stp>
        <stp>.QQQ250520C506</stp>
        <tr r="AS71" s="1"/>
        <tr r="AS71" s="1"/>
      </tp>
      <tp>
        <v>1186</v>
        <stp/>
        <stp>OPEN_INT</stp>
        <stp>.QQQ250523C505</stp>
        <tr r="AU72" s="1"/>
        <tr r="AU72" s="1"/>
      </tp>
      <tp>
        <v>1661</v>
        <stp/>
        <stp>OPEN_INT</stp>
        <stp>.QQQ250520P507</stp>
        <tr r="AT70" s="1"/>
        <tr r="AT70" s="1"/>
      </tp>
      <tp>
        <v>2411</v>
        <stp/>
        <stp>OPEN_INT</stp>
        <stp>.QQQ250523P504</stp>
        <tr r="AV73" s="1"/>
        <tr r="AV73" s="1"/>
      </tp>
      <tp>
        <v>225</v>
        <stp/>
        <stp>OPEN_INT</stp>
        <stp>.QQQ250520C507</stp>
        <tr r="AS70" s="1"/>
        <tr r="AS70" s="1"/>
      </tp>
      <tp>
        <v>418</v>
        <stp/>
        <stp>OPEN_INT</stp>
        <stp>.QQQ250523C504</stp>
        <tr r="AU73" s="1"/>
        <tr r="AU73" s="1"/>
      </tp>
      <tp>
        <v>2394</v>
        <stp/>
        <stp>OPEN_INT</stp>
        <stp>.QQQ250520P504</stp>
        <tr r="AT73" s="1"/>
        <tr r="AT73" s="1"/>
      </tp>
      <tp>
        <v>2325</v>
        <stp/>
        <stp>OPEN_INT</stp>
        <stp>.QQQ250523P507</stp>
        <tr r="AV70" s="1"/>
        <tr r="AV70" s="1"/>
      </tp>
      <tp>
        <v>151</v>
        <stp/>
        <stp>OPEN_INT</stp>
        <stp>.QQQ250520C504</stp>
        <tr r="AS73" s="1"/>
        <tr r="AS73" s="1"/>
      </tp>
      <tp>
        <v>754</v>
        <stp/>
        <stp>OPEN_INT</stp>
        <stp>.QQQ250523C507</stp>
        <tr r="AU70" s="1"/>
        <tr r="AU70" s="1"/>
      </tp>
      <tp>
        <v>2581</v>
        <stp/>
        <stp>OPEN_INT</stp>
        <stp>.QQQ250520P505</stp>
        <tr r="AT72" s="1"/>
        <tr r="AT72" s="1"/>
      </tp>
      <tp>
        <v>1171</v>
        <stp/>
        <stp>OPEN_INT</stp>
        <stp>.QQQ250523P506</stp>
        <tr r="AV71" s="1"/>
        <tr r="AV71" s="1"/>
      </tp>
      <tp>
        <v>175</v>
        <stp/>
        <stp>OPEN_INT</stp>
        <stp>.QQQ250520C505</stp>
        <tr r="AS72" s="1"/>
        <tr r="AS72" s="1"/>
      </tp>
      <tp>
        <v>707</v>
        <stp/>
        <stp>OPEN_INT</stp>
        <stp>.QQQ250523C506</stp>
        <tr r="AU71" s="1"/>
        <tr r="AU71" s="1"/>
      </tp>
      <tp>
        <v>2817</v>
        <stp/>
        <stp>OPEN_INT</stp>
        <stp>.QQQ250520P502</stp>
        <tr r="AT75" s="1"/>
        <tr r="AT75" s="1"/>
      </tp>
      <tp>
        <v>1223</v>
        <stp/>
        <stp>OPEN_INT</stp>
        <stp>.QQQ250523P501</stp>
        <tr r="AV76" s="1"/>
        <tr r="AV76" s="1"/>
      </tp>
      <tp>
        <v>146</v>
        <stp/>
        <stp>OPEN_INT</stp>
        <stp>.QQQ250520C502</stp>
        <tr r="AS75" s="1"/>
        <tr r="AS75" s="1"/>
      </tp>
      <tp>
        <v>81</v>
        <stp/>
        <stp>OPEN_INT</stp>
        <stp>.QQQ250523C501</stp>
        <tr r="AU76" s="1"/>
        <tr r="AU76" s="1"/>
      </tp>
      <tp>
        <v>2407</v>
        <stp/>
        <stp>OPEN_INT</stp>
        <stp>.QQQ250520P503</stp>
        <tr r="AT74" s="1"/>
        <tr r="AT74" s="1"/>
      </tp>
      <tp>
        <v>12485</v>
        <stp/>
        <stp>OPEN_INT</stp>
        <stp>.QQQ250523P500</stp>
        <tr r="AV77" s="1"/>
        <tr r="AV77" s="1"/>
      </tp>
      <tp>
        <v>91</v>
        <stp/>
        <stp>OPEN_INT</stp>
        <stp>.QQQ250520C503</stp>
        <tr r="AS74" s="1"/>
        <tr r="AS74" s="1"/>
      </tp>
      <tp>
        <v>5953</v>
        <stp/>
        <stp>OPEN_INT</stp>
        <stp>.QQQ250523C500</stp>
        <tr r="AU77" s="1"/>
        <tr r="AU77" s="1"/>
      </tp>
      <tp>
        <v>4489</v>
        <stp/>
        <stp>OPEN_INT</stp>
        <stp>.QQQ250520P500</stp>
        <tr r="AT77" s="1"/>
        <tr r="AT77" s="1"/>
      </tp>
      <tp>
        <v>2190</v>
        <stp/>
        <stp>OPEN_INT</stp>
        <stp>.QQQ250523P503</stp>
        <tr r="AV74" s="1"/>
        <tr r="AV74" s="1"/>
      </tp>
      <tp>
        <v>510</v>
        <stp/>
        <stp>OPEN_INT</stp>
        <stp>.QQQ250520C500</stp>
        <tr r="AS77" s="1"/>
        <tr r="AS77" s="1"/>
      </tp>
      <tp>
        <v>94</v>
        <stp/>
        <stp>OPEN_INT</stp>
        <stp>.QQQ250523C503</stp>
        <tr r="AU74" s="1"/>
        <tr r="AU74" s="1"/>
      </tp>
      <tp>
        <v>1534</v>
        <stp/>
        <stp>OPEN_INT</stp>
        <stp>.QQQ250520P501</stp>
        <tr r="AT76" s="1"/>
        <tr r="AT76" s="1"/>
      </tp>
      <tp>
        <v>2703</v>
        <stp/>
        <stp>OPEN_INT</stp>
        <stp>.QQQ250523P502</stp>
        <tr r="AV75" s="1"/>
        <tr r="AV75" s="1"/>
      </tp>
      <tp>
        <v>186</v>
        <stp/>
        <stp>OPEN_INT</stp>
        <stp>.QQQ250520C501</stp>
        <tr r="AS76" s="1"/>
        <tr r="AS76" s="1"/>
      </tp>
      <tp>
        <v>256</v>
        <stp/>
        <stp>OPEN_INT</stp>
        <stp>.QQQ250523C502</stp>
        <tr r="AU75" s="1"/>
        <tr r="AU75" s="1"/>
      </tp>
      <tp>
        <v>976</v>
        <stp/>
        <stp>OPEN_INT</stp>
        <stp>.QQQ250523P509</stp>
        <tr r="AV68" s="1"/>
        <tr r="AV68" s="1"/>
      </tp>
      <tp>
        <v>310</v>
        <stp/>
        <stp>OPEN_INT</stp>
        <stp>.QQQ250523C509</stp>
        <tr r="AU68" s="1"/>
        <tr r="AU68" s="1"/>
      </tp>
      <tp>
        <v>2548</v>
        <stp/>
        <stp>OPEN_INT</stp>
        <stp>.QQQ250523P508</stp>
        <tr r="AV69" s="1"/>
        <tr r="AV69" s="1"/>
      </tp>
      <tp>
        <v>489</v>
        <stp/>
        <stp>OPEN_INT</stp>
        <stp>.QQQ250523C508</stp>
        <tr r="AU69" s="1"/>
        <tr r="AU69" s="1"/>
      </tp>
      <tp>
        <v>3072</v>
        <stp/>
        <stp>OPEN_INT</stp>
        <stp>.QQQ250520P508</stp>
        <tr r="AT69" s="1"/>
        <tr r="AT69" s="1"/>
      </tp>
      <tp>
        <v>232</v>
        <stp/>
        <stp>OPEN_INT</stp>
        <stp>.QQQ250520C508</stp>
        <tr r="AS69" s="1"/>
        <tr r="AS69" s="1"/>
      </tp>
      <tp>
        <v>2885</v>
        <stp/>
        <stp>OPEN_INT</stp>
        <stp>.QQQ250520P509</stp>
        <tr r="AT68" s="1"/>
        <tr r="AT68" s="1"/>
      </tp>
      <tp>
        <v>409</v>
        <stp/>
        <stp>OPEN_INT</stp>
        <stp>.QQQ250520C509</stp>
        <tr r="AS68" s="1"/>
        <tr r="AS68" s="1"/>
      </tp>
      <tp>
        <v>2610</v>
        <stp/>
        <stp>OPEN_INT</stp>
        <stp>.QQQ250520P516</stp>
        <tr r="AT61" s="1"/>
        <tr r="AT61" s="1"/>
      </tp>
      <tp>
        <v>8314</v>
        <stp/>
        <stp>OPEN_INT</stp>
        <stp>.QQQ250523P515</stp>
        <tr r="AV62" s="1"/>
        <tr r="AV62" s="1"/>
      </tp>
      <tp>
        <v>873</v>
        <stp/>
        <stp>OPEN_INT</stp>
        <stp>.QQQ250520C516</stp>
        <tr r="AS61" s="1"/>
        <tr r="AS61" s="1"/>
      </tp>
      <tp>
        <v>7093</v>
        <stp/>
        <stp>OPEN_INT</stp>
        <stp>.QQQ250523C515</stp>
        <tr r="AU62" s="1"/>
        <tr r="AU62" s="1"/>
      </tp>
      <tp>
        <v>4439</v>
        <stp/>
        <stp>OPEN_INT</stp>
        <stp>.QQQ250520P517</stp>
        <tr r="AT60" s="1"/>
        <tr r="AT60" s="1"/>
      </tp>
      <tp>
        <v>6608</v>
        <stp/>
        <stp>OPEN_INT</stp>
        <stp>.QQQ250523P514</stp>
        <tr r="AV63" s="1"/>
        <tr r="AV63" s="1"/>
      </tp>
      <tp>
        <v>1824</v>
        <stp/>
        <stp>OPEN_INT</stp>
        <stp>.QQQ250520C517</stp>
        <tr r="AS60" s="1"/>
        <tr r="AS60" s="1"/>
      </tp>
      <tp>
        <v>302</v>
        <stp/>
        <stp>OPEN_INT</stp>
        <stp>.QQQ250523C514</stp>
        <tr r="AU63" s="1"/>
        <tr r="AU63" s="1"/>
      </tp>
      <tp>
        <v>2844</v>
        <stp/>
        <stp>OPEN_INT</stp>
        <stp>.QQQ250520P514</stp>
        <tr r="AT63" s="1"/>
        <tr r="AT63" s="1"/>
      </tp>
      <tp>
        <v>1584</v>
        <stp/>
        <stp>OPEN_INT</stp>
        <stp>.QQQ250523P517</stp>
        <tr r="AV60" s="1"/>
        <tr r="AV60" s="1"/>
      </tp>
      <tp>
        <v>1309</v>
        <stp/>
        <stp>OPEN_INT</stp>
        <stp>.QQQ250520C514</stp>
        <tr r="AS63" s="1"/>
        <tr r="AS63" s="1"/>
      </tp>
      <tp>
        <v>1917</v>
        <stp/>
        <stp>OPEN_INT</stp>
        <stp>.QQQ250523C517</stp>
        <tr r="AU60" s="1"/>
        <tr r="AU60" s="1"/>
      </tp>
      <tp>
        <v>6956</v>
        <stp/>
        <stp>OPEN_INT</stp>
        <stp>.QQQ250520P515</stp>
        <tr r="AT62" s="1"/>
        <tr r="AT62" s="1"/>
      </tp>
      <tp>
        <v>2115</v>
        <stp/>
        <stp>OPEN_INT</stp>
        <stp>.QQQ250523P516</stp>
        <tr r="AV61" s="1"/>
        <tr r="AV61" s="1"/>
      </tp>
      <tp>
        <v>1208</v>
        <stp/>
        <stp>OPEN_INT</stp>
        <stp>.QQQ250520C515</stp>
        <tr r="AS62" s="1"/>
        <tr r="AS62" s="1"/>
      </tp>
      <tp>
        <v>1914</v>
        <stp/>
        <stp>OPEN_INT</stp>
        <stp>.QQQ250523C516</stp>
        <tr r="AU61" s="1"/>
        <tr r="AU61" s="1"/>
      </tp>
      <tp>
        <v>2074</v>
        <stp/>
        <stp>OPEN_INT</stp>
        <stp>.QQQ250520P512</stp>
        <tr r="AT65" s="1"/>
        <tr r="AT65" s="1"/>
      </tp>
      <tp>
        <v>2860</v>
        <stp/>
        <stp>OPEN_INT</stp>
        <stp>.QQQ250523P511</stp>
        <tr r="AV66" s="1"/>
        <tr r="AV66" s="1"/>
      </tp>
      <tp>
        <v>553</v>
        <stp/>
        <stp>OPEN_INT</stp>
        <stp>.QQQ250520C512</stp>
        <tr r="AS65" s="1"/>
        <tr r="AS65" s="1"/>
      </tp>
      <tp>
        <v>591</v>
        <stp/>
        <stp>OPEN_INT</stp>
        <stp>.QQQ250523C511</stp>
        <tr r="AU66" s="1"/>
        <tr r="AU66" s="1"/>
      </tp>
      <tp>
        <v>2090</v>
        <stp/>
        <stp>OPEN_INT</stp>
        <stp>.QQQ250520P513</stp>
        <tr r="AT64" s="1"/>
        <tr r="AT64" s="1"/>
      </tp>
      <tp>
        <v>17638</v>
        <stp/>
        <stp>OPEN_INT</stp>
        <stp>.QQQ250523P510</stp>
        <tr r="AV67" s="1"/>
        <tr r="AV67" s="1"/>
      </tp>
      <tp>
        <v>364</v>
        <stp/>
        <stp>OPEN_INT</stp>
        <stp>.QQQ250520C513</stp>
        <tr r="AS64" s="1"/>
        <tr r="AS64" s="1"/>
      </tp>
      <tp>
        <v>4369</v>
        <stp/>
        <stp>OPEN_INT</stp>
        <stp>.QQQ250523C510</stp>
        <tr r="AU67" s="1"/>
        <tr r="AU67" s="1"/>
      </tp>
      <tp>
        <v>6251</v>
        <stp/>
        <stp>OPEN_INT</stp>
        <stp>.QQQ250520P510</stp>
        <tr r="AT67" s="1"/>
        <tr r="AT67" s="1"/>
      </tp>
      <tp>
        <v>1159</v>
        <stp/>
        <stp>OPEN_INT</stp>
        <stp>.QQQ250523P513</stp>
        <tr r="AV64" s="1"/>
        <tr r="AV64" s="1"/>
      </tp>
      <tp>
        <v>1098</v>
        <stp/>
        <stp>OPEN_INT</stp>
        <stp>.QQQ250520C510</stp>
        <tr r="AS67" s="1"/>
        <tr r="AS67" s="1"/>
      </tp>
      <tp>
        <v>340</v>
        <stp/>
        <stp>OPEN_INT</stp>
        <stp>.QQQ250523C513</stp>
        <tr r="AU64" s="1"/>
        <tr r="AU64" s="1"/>
      </tp>
      <tp>
        <v>2195</v>
        <stp/>
        <stp>OPEN_INT</stp>
        <stp>.QQQ250520P511</stp>
        <tr r="AT66" s="1"/>
        <tr r="AT66" s="1"/>
      </tp>
      <tp>
        <v>1619</v>
        <stp/>
        <stp>OPEN_INT</stp>
        <stp>.QQQ250523P512</stp>
        <tr r="AV65" s="1"/>
        <tr r="AV65" s="1"/>
      </tp>
      <tp>
        <v>289</v>
        <stp/>
        <stp>OPEN_INT</stp>
        <stp>.QQQ250520C511</stp>
        <tr r="AS66" s="1"/>
        <tr r="AS66" s="1"/>
      </tp>
      <tp>
        <v>191</v>
        <stp/>
        <stp>OPEN_INT</stp>
        <stp>.QQQ250523C512</stp>
        <tr r="AU65" s="1"/>
        <tr r="AU65" s="1"/>
      </tp>
      <tp>
        <v>3723</v>
        <stp/>
        <stp>OPEN_INT</stp>
        <stp>.QQQ250523P519</stp>
        <tr r="AV58" s="1"/>
        <tr r="AV58" s="1"/>
      </tp>
      <tp>
        <v>7383</v>
        <stp/>
        <stp>OPEN_INT</stp>
        <stp>.QQQ250523P518</stp>
        <tr r="AV59" s="1"/>
        <tr r="AV59" s="1"/>
      </tp>
      <tp>
        <v>1042</v>
        <stp/>
        <stp>OPEN_INT</stp>
        <stp>.QQQ250523C518</stp>
        <tr r="AU59" s="1"/>
        <tr r="AU59" s="1"/>
      </tp>
      <tp>
        <v>4523</v>
        <stp/>
        <stp>OPEN_INT</stp>
        <stp>.QQQ250520P518</stp>
        <tr r="AT59" s="1"/>
        <tr r="AT59" s="1"/>
      </tp>
      <tp>
        <v>1166</v>
        <stp/>
        <stp>OPEN_INT</stp>
        <stp>.QQQ250520C518</stp>
        <tr r="AS59" s="1"/>
        <tr r="AS59" s="1"/>
      </tp>
      <tp>
        <v>3585</v>
        <stp/>
        <stp>OPEN_INT</stp>
        <stp>.QQQ250520P519</stp>
        <tr r="AT58" s="1"/>
        <tr r="AT58" s="1"/>
      </tp>
      <tp>
        <v>2134</v>
        <stp/>
        <stp>OPEN_INT</stp>
        <stp>.QQQ250520C519</stp>
        <tr r="AS58" s="1"/>
        <tr r="AS58" s="1"/>
      </tp>
      <tp>
        <v>151</v>
        <stp/>
        <stp>OPEN_INT</stp>
        <stp>.QQQ250520P526</stp>
        <tr r="AT51" s="1"/>
        <tr r="AT51" s="1"/>
      </tp>
      <tp>
        <v>1150</v>
        <stp/>
        <stp>OPEN_INT</stp>
        <stp>.QQQ250523P525</stp>
        <tr r="AV52" s="1"/>
        <tr r="AV52" s="1"/>
      </tp>
      <tp>
        <v>6340</v>
        <stp/>
        <stp>OPEN_INT</stp>
        <stp>.QQQ250520C526</stp>
        <tr r="AS51" s="1"/>
        <tr r="AS51" s="1"/>
      </tp>
      <tp>
        <v>5668</v>
        <stp/>
        <stp>OPEN_INT</stp>
        <stp>.QQQ250523C525</stp>
        <tr r="AU52" s="1"/>
        <tr r="AU52" s="1"/>
      </tp>
      <tp>
        <v>76</v>
        <stp/>
        <stp>OPEN_INT</stp>
        <stp>.QQQ250520P527</stp>
        <tr r="AT50" s="1"/>
        <tr r="AT50" s="1"/>
      </tp>
      <tp>
        <v>86</v>
        <stp/>
        <stp>OPEN_INT</stp>
        <stp>.QQQ250523P524</stp>
        <tr r="AV53" s="1"/>
        <tr r="AV53" s="1"/>
      </tp>
      <tp>
        <v>4693</v>
        <stp/>
        <stp>OPEN_INT</stp>
        <stp>.QQQ250520C527</stp>
        <tr r="AS50" s="1"/>
        <tr r="AS50" s="1"/>
      </tp>
      <tp>
        <v>1501</v>
        <stp/>
        <stp>OPEN_INT</stp>
        <stp>.QQQ250523C524</stp>
        <tr r="AU53" s="1"/>
        <tr r="AU53" s="1"/>
      </tp>
      <tp>
        <v>306</v>
        <stp/>
        <stp>OPEN_INT</stp>
        <stp>.QQQ250520P524</stp>
        <tr r="AT53" s="1"/>
        <tr r="AT53" s="1"/>
      </tp>
      <tp>
        <v>81</v>
        <stp/>
        <stp>OPEN_INT</stp>
        <stp>.QQQ250523P527</stp>
        <tr r="AV50" s="1"/>
        <tr r="AV50" s="1"/>
      </tp>
      <tp>
        <v>2723</v>
        <stp/>
        <stp>OPEN_INT</stp>
        <stp>.QQQ250520C524</stp>
        <tr r="AS53" s="1"/>
        <tr r="AS53" s="1"/>
      </tp>
      <tp>
        <v>1017</v>
        <stp/>
        <stp>OPEN_INT</stp>
        <stp>.QQQ250523C527</stp>
        <tr r="AU50" s="1"/>
        <tr r="AU50" s="1"/>
      </tp>
      <tp>
        <v>316</v>
        <stp/>
        <stp>OPEN_INT</stp>
        <stp>.QQQ250520P525</stp>
        <tr r="AT52" s="1"/>
        <tr r="AT52" s="1"/>
      </tp>
      <tp>
        <v>268</v>
        <stp/>
        <stp>OPEN_INT</stp>
        <stp>.QQQ250523P526</stp>
        <tr r="AV51" s="1"/>
        <tr r="AV51" s="1"/>
      </tp>
      <tp>
        <v>5689</v>
        <stp/>
        <stp>OPEN_INT</stp>
        <stp>.QQQ250520C525</stp>
        <tr r="AS52" s="1"/>
        <tr r="AS52" s="1"/>
      </tp>
      <tp>
        <v>1074</v>
        <stp/>
        <stp>OPEN_INT</stp>
        <stp>.QQQ250523C526</stp>
        <tr r="AU51" s="1"/>
        <tr r="AU51" s="1"/>
      </tp>
      <tp>
        <v>2084</v>
        <stp/>
        <stp>OPEN_INT</stp>
        <stp>.QQQ250520P522</stp>
        <tr r="AT55" s="1"/>
        <tr r="AT55" s="1"/>
      </tp>
      <tp>
        <v>1511</v>
        <stp/>
        <stp>OPEN_INT</stp>
        <stp>.QQQ250523P521</stp>
        <tr r="AV56" s="1"/>
        <tr r="AV56" s="1"/>
      </tp>
      <tp>
        <v>4382</v>
        <stp/>
        <stp>OPEN_INT</stp>
        <stp>.QQQ250520C522</stp>
        <tr r="AS55" s="1"/>
        <tr r="AS55" s="1"/>
      </tp>
      <tp>
        <v>2375</v>
        <stp/>
        <stp>OPEN_INT</stp>
        <stp>.QQQ250523C521</stp>
        <tr r="AU56" s="1"/>
        <tr r="AU56" s="1"/>
      </tp>
      <tp>
        <v>706</v>
        <stp/>
        <stp>OPEN_INT</stp>
        <stp>.QQQ250520P523</stp>
        <tr r="AT54" s="1"/>
        <tr r="AT54" s="1"/>
      </tp>
      <tp>
        <v>5209</v>
        <stp/>
        <stp>OPEN_INT</stp>
        <stp>.QQQ250523P520</stp>
        <tr r="AV57" s="1"/>
        <tr r="AV57" s="1"/>
      </tp>
      <tp>
        <v>3078</v>
        <stp/>
        <stp>OPEN_INT</stp>
        <stp>.QQQ250520C523</stp>
        <tr r="AS54" s="1"/>
        <tr r="AS54" s="1"/>
      </tp>
      <tp>
        <v>10611</v>
        <stp/>
        <stp>OPEN_INT</stp>
        <stp>.QQQ250523C520</stp>
        <tr r="AU57" s="1"/>
        <tr r="AU57" s="1"/>
      </tp>
      <tp>
        <v>5434</v>
        <stp/>
        <stp>OPEN_INT</stp>
        <stp>.QQQ250520P520</stp>
        <tr r="AT57" s="1"/>
        <tr r="AT57" s="1"/>
      </tp>
      <tp>
        <v>328</v>
        <stp/>
        <stp>OPEN_INT</stp>
        <stp>.QQQ250523P523</stp>
        <tr r="AV54" s="1"/>
        <tr r="AV54" s="1"/>
      </tp>
      <tp>
        <v>4818</v>
        <stp/>
        <stp>OPEN_INT</stp>
        <stp>.QQQ250520C520</stp>
        <tr r="AS57" s="1"/>
        <tr r="AS57" s="1"/>
      </tp>
      <tp>
        <v>1653</v>
        <stp/>
        <stp>OPEN_INT</stp>
        <stp>.QQQ250523C523</stp>
        <tr r="AU54" s="1"/>
        <tr r="AU54" s="1"/>
      </tp>
      <tp>
        <v>3418</v>
        <stp/>
        <stp>OPEN_INT</stp>
        <stp>.QQQ250520P521</stp>
        <tr r="AT56" s="1"/>
        <tr r="AT56" s="1"/>
      </tp>
      <tp>
        <v>1140</v>
        <stp/>
        <stp>OPEN_INT</stp>
        <stp>.QQQ250523P522</stp>
        <tr r="AV55" s="1"/>
        <tr r="AV55" s="1"/>
      </tp>
      <tp>
        <v>4504</v>
        <stp/>
        <stp>OPEN_INT</stp>
        <stp>.QQQ250520C521</stp>
        <tr r="AS56" s="1"/>
        <tr r="AS56" s="1"/>
      </tp>
      <tp>
        <v>2998</v>
        <stp/>
        <stp>OPEN_INT</stp>
        <stp>.QQQ250523C522</stp>
        <tr r="AU55" s="1"/>
        <tr r="AU55" s="1"/>
      </tp>
      <tp>
        <v>31</v>
        <stp/>
        <stp>OPEN_INT</stp>
        <stp>.QQQ250523P529</stp>
        <tr r="AV48" s="1"/>
        <tr r="AV48" s="1"/>
      </tp>
      <tp>
        <v>992</v>
        <stp/>
        <stp>OPEN_INT</stp>
        <stp>.QQQ250523C529</stp>
        <tr r="AU48" s="1"/>
        <tr r="AU48" s="1"/>
      </tp>
      <tp>
        <v>58</v>
        <stp/>
        <stp>OPEN_INT</stp>
        <stp>.QQQ250523P528</stp>
        <tr r="AV49" s="1"/>
        <tr r="AV49" s="1"/>
      </tp>
      <tp>
        <v>2392</v>
        <stp/>
        <stp>OPEN_INT</stp>
        <stp>.QQQ250523C528</stp>
        <tr r="AU49" s="1"/>
        <tr r="AU49" s="1"/>
      </tp>
      <tp>
        <v>65</v>
        <stp/>
        <stp>OPEN_INT</stp>
        <stp>.QQQ250520P528</stp>
        <tr r="AT49" s="1"/>
        <tr r="AT49" s="1"/>
      </tp>
      <tp>
        <v>2008</v>
        <stp/>
        <stp>OPEN_INT</stp>
        <stp>.QQQ250520C528</stp>
        <tr r="AS49" s="1"/>
        <tr r="AS49" s="1"/>
      </tp>
      <tp>
        <v>33</v>
        <stp/>
        <stp>OPEN_INT</stp>
        <stp>.QQQ250520P529</stp>
        <tr r="AT48" s="1"/>
        <tr r="AT48" s="1"/>
      </tp>
      <tp>
        <v>1827</v>
        <stp/>
        <stp>OPEN_INT</stp>
        <stp>.QQQ250520C529</stp>
        <tr r="AS48" s="1"/>
        <tr r="AS48" s="1"/>
      </tp>
      <tp>
        <v>15</v>
        <stp/>
        <stp>OPEN_INT</stp>
        <stp>.QQQ250520P532</stp>
        <tr r="AT45" s="1"/>
        <tr r="AT45" s="1"/>
      </tp>
      <tp>
        <v>19</v>
        <stp/>
        <stp>OPEN_INT</stp>
        <stp>.QQQ250523P531</stp>
        <tr r="AV46" s="1"/>
        <tr r="AV46" s="1"/>
      </tp>
      <tp>
        <v>1537</v>
        <stp/>
        <stp>OPEN_INT</stp>
        <stp>.QQQ250520C532</stp>
        <tr r="AS45" s="1"/>
        <tr r="AS45" s="1"/>
      </tp>
      <tp>
        <v>1869</v>
        <stp/>
        <stp>OPEN_INT</stp>
        <stp>.QQQ250523C531</stp>
        <tr r="AU46" s="1"/>
        <tr r="AU46" s="1"/>
      </tp>
      <tp>
        <v>378</v>
        <stp/>
        <stp>OPEN_INT</stp>
        <stp>.QQQ250523P530</stp>
        <tr r="AV47" s="1"/>
        <tr r="AV47" s="1"/>
      </tp>
      <tp>
        <v>6442</v>
        <stp/>
        <stp>OPEN_INT</stp>
        <stp>.QQQ250523C530</stp>
        <tr r="AU47" s="1"/>
        <tr r="AU47" s="1"/>
      </tp>
      <tp>
        <v>95</v>
        <stp/>
        <stp>OPEN_INT</stp>
        <stp>.QQQ250520P530</stp>
        <tr r="AT47" s="1"/>
        <tr r="AT47" s="1"/>
      </tp>
      <tp>
        <v>3821</v>
        <stp/>
        <stp>OPEN_INT</stp>
        <stp>.QQQ250520C530</stp>
        <tr r="AS47" s="1"/>
        <tr r="AS47" s="1"/>
      </tp>
      <tp>
        <v>11</v>
        <stp/>
        <stp>OPEN_INT</stp>
        <stp>.QQQ250520P531</stp>
        <tr r="AT46" s="1"/>
        <tr r="AT46" s="1"/>
      </tp>
      <tp>
        <v>72</v>
        <stp/>
        <stp>OPEN_INT</stp>
        <stp>.QQQ250523P532</stp>
        <tr r="AV45" s="1"/>
        <tr r="AV45" s="1"/>
      </tp>
      <tp>
        <v>1723</v>
        <stp/>
        <stp>OPEN_INT</stp>
        <stp>.QQQ250520C531</stp>
        <tr r="AS46" s="1"/>
        <tr r="AS46" s="1"/>
      </tp>
      <tp>
        <v>2077</v>
        <stp/>
        <stp>OPEN_INT</stp>
        <stp>.QQQ250523C532</stp>
        <tr r="AU45" s="1"/>
        <tr r="AU45" s="1"/>
      </tp>
      <tp>
        <v>830</v>
        <stp/>
        <stp>OPEN_INT</stp>
        <stp>.QQQ250523P499</stp>
        <tr r="AV78" s="1"/>
        <tr r="AV78" s="1"/>
      </tp>
      <tp>
        <v>111</v>
        <stp/>
        <stp>OPEN_INT</stp>
        <stp>.QQQ250523C499</stp>
        <tr r="AU78" s="1"/>
        <tr r="AU78" s="1"/>
      </tp>
      <tp>
        <v>872</v>
        <stp/>
        <stp>OPEN_INT</stp>
        <stp>.QQQ250523P498</stp>
        <tr r="AV79" s="1"/>
        <tr r="AV79" s="1"/>
      </tp>
      <tp>
        <v>105</v>
        <stp/>
        <stp>OPEN_INT</stp>
        <stp>.QQQ250523C498</stp>
        <tr r="AU79" s="1"/>
        <tr r="AU79" s="1"/>
      </tp>
      <tp>
        <v>997</v>
        <stp/>
        <stp>OPEN_INT</stp>
        <stp>.QQQ250520P498</stp>
        <tr r="AT79" s="1"/>
        <tr r="AT79" s="1"/>
      </tp>
      <tp>
        <v>149</v>
        <stp/>
        <stp>OPEN_INT</stp>
        <stp>.QQQ250520C498</stp>
        <tr r="AS79" s="1"/>
        <tr r="AS79" s="1"/>
      </tp>
      <tp>
        <v>736</v>
        <stp/>
        <stp>OPEN_INT</stp>
        <stp>.QQQ250520P499</stp>
        <tr r="AT78" s="1"/>
        <tr r="AT78" s="1"/>
      </tp>
      <tp>
        <v>150</v>
        <stp/>
        <stp>OPEN_INT</stp>
        <stp>.QQQ250520C499</stp>
        <tr r="AS78" s="1"/>
        <tr r="AS78" s="1"/>
      </tp>
      <tp t="s">
        <v>70.92%</v>
        <stp/>
        <stp>IMPL_VOL</stp>
        <stp>.SPXW250520C6030</stp>
        <tr r="EL89" s="1"/>
      </tp>
      <tp t="s">
        <v>14.49%</v>
        <stp/>
        <stp>IMPL_VOL</stp>
        <stp>.SPXW250523C6000</stp>
        <tr r="EN92" s="1"/>
      </tp>
      <tp t="s">
        <v>111.82%</v>
        <stp/>
        <stp>IMPL_VOL</stp>
        <stp>.SPXW250520P6030</stp>
        <tr r="EM89" s="1"/>
      </tp>
      <tp t="s">
        <v>15.89%</v>
        <stp/>
        <stp>IMPL_VOL</stp>
        <stp>.SPXW250523P6000</stp>
        <tr r="EO92" s="1"/>
      </tp>
      <tp t="s">
        <v>63.88%</v>
        <stp/>
        <stp>IMPL_VOL</stp>
        <stp>.SPXW250520C6020</stp>
        <tr r="EL90" s="1"/>
      </tp>
      <tp t="s">
        <v>14.36%</v>
        <stp/>
        <stp>IMPL_VOL</stp>
        <stp>.SPXW250523C6010</stp>
        <tr r="EN91" s="1"/>
      </tp>
      <tp t="s">
        <v>101.64%</v>
        <stp/>
        <stp>IMPL_VOL</stp>
        <stp>.SPXW250520P6020</stp>
        <tr r="EM90" s="1"/>
      </tp>
      <tp t="s">
        <v>15.91%</v>
        <stp/>
        <stp>IMPL_VOL</stp>
        <stp>.SPXW250523P6010</stp>
        <tr r="EO91" s="1"/>
      </tp>
      <tp t="s">
        <v>56.60%</v>
        <stp/>
        <stp>IMPL_VOL</stp>
        <stp>.SPXW250520C6010</stp>
        <tr r="EL91" s="1"/>
      </tp>
      <tp t="s">
        <v>14.28%</v>
        <stp/>
        <stp>IMPL_VOL</stp>
        <stp>.SPXW250523C6020</stp>
        <tr r="EN90" s="1"/>
      </tp>
      <tp t="s">
        <v>91.27%</v>
        <stp/>
        <stp>IMPL_VOL</stp>
        <stp>.SPXW250520P6010</stp>
        <tr r="EM91" s="1"/>
      </tp>
      <tp t="s">
        <v>15.97%</v>
        <stp/>
        <stp>IMPL_VOL</stp>
        <stp>.SPXW250523P6020</stp>
        <tr r="EO90" s="1"/>
      </tp>
      <tp t="s">
        <v>49.25%</v>
        <stp/>
        <stp>IMPL_VOL</stp>
        <stp>.SPXW250520C6000</stp>
        <tr r="EL92" s="1"/>
      </tp>
      <tp t="s">
        <v>14.17%</v>
        <stp/>
        <stp>IMPL_VOL</stp>
        <stp>.SPXW250523C6030</stp>
        <tr r="EN89" s="1"/>
      </tp>
      <tp t="s">
        <v>80.67%</v>
        <stp/>
        <stp>IMPL_VOL</stp>
        <stp>.SPXW250520P6000</stp>
        <tr r="EM92" s="1"/>
      </tp>
      <tp t="s">
        <v>16.12%</v>
        <stp/>
        <stp>IMPL_VOL</stp>
        <stp>.SPXW250523P6030</stp>
        <tr r="EO89" s="1"/>
      </tp>
      <tp t="s">
        <v>98.62%</v>
        <stp/>
        <stp>IMPL_VOL</stp>
        <stp>.SPXW250520C6070</stp>
        <tr r="EL85" s="1"/>
      </tp>
      <tp t="s">
        <v>14.11%</v>
        <stp/>
        <stp>IMPL_VOL</stp>
        <stp>.SPXW250523C6040</stp>
        <tr r="EN88" s="1"/>
      </tp>
      <tp t="s">
        <v>151.05%</v>
        <stp/>
        <stp>IMPL_VOL</stp>
        <stp>.SPXW250520P6070</stp>
        <tr r="EM85" s="1"/>
      </tp>
      <tp t="s">
        <v>16.32%</v>
        <stp/>
        <stp>IMPL_VOL</stp>
        <stp>.SPXW250523P6040</stp>
        <tr r="EO88" s="1"/>
      </tp>
      <tp t="s">
        <v>91.77%</v>
        <stp/>
        <stp>IMPL_VOL</stp>
        <stp>.SPXW250520C6060</stp>
        <tr r="EL86" s="1"/>
      </tp>
      <tp t="s">
        <v>14.07%</v>
        <stp/>
        <stp>IMPL_VOL</stp>
        <stp>.SPXW250523C6050</stp>
        <tr r="EN87" s="1"/>
      </tp>
      <tp t="s">
        <v>141.44%</v>
        <stp/>
        <stp>IMPL_VOL</stp>
        <stp>.SPXW250520P6060</stp>
        <tr r="EM86" s="1"/>
      </tp>
      <tp t="s">
        <v>16.54%</v>
        <stp/>
        <stp>IMPL_VOL</stp>
        <stp>.SPXW250523P6050</stp>
        <tr r="EO87" s="1"/>
      </tp>
      <tp t="s">
        <v>84.87%</v>
        <stp/>
        <stp>IMPL_VOL</stp>
        <stp>.SPXW250520C6050</stp>
        <tr r="EL87" s="1"/>
      </tp>
      <tp t="s">
        <v>14.04%</v>
        <stp/>
        <stp>IMPL_VOL</stp>
        <stp>.SPXW250523C6060</stp>
        <tr r="EN86" s="1"/>
      </tp>
      <tp t="s">
        <v>131.70%</v>
        <stp/>
        <stp>IMPL_VOL</stp>
        <stp>.SPXW250520P6050</stp>
        <tr r="EM87" s="1"/>
      </tp>
      <tp t="s">
        <v>16.91%</v>
        <stp/>
        <stp>IMPL_VOL</stp>
        <stp>.SPXW250523P6060</stp>
        <tr r="EO86" s="1"/>
      </tp>
      <tp t="s">
        <v>77.89%</v>
        <stp/>
        <stp>IMPL_VOL</stp>
        <stp>.SPXW250520C6040</stp>
        <tr r="EL88" s="1"/>
      </tp>
      <tp t="s">
        <v>14.02%</v>
        <stp/>
        <stp>IMPL_VOL</stp>
        <stp>.SPXW250523C6070</stp>
        <tr r="EN85" s="1"/>
      </tp>
      <tp t="s">
        <v>121.83%</v>
        <stp/>
        <stp>IMPL_VOL</stp>
        <stp>.SPXW250520P6040</stp>
        <tr r="EM88" s="1"/>
      </tp>
      <tp t="s">
        <v>17.28%</v>
        <stp/>
        <stp>IMPL_VOL</stp>
        <stp>.SPXW250523P6070</stp>
        <tr r="EO85" s="1"/>
      </tp>
      <tp>
        <v>275</v>
        <stp/>
        <stp>OPEN_INT</stp>
        <stp>.QQQ250620P498</stp>
        <tr r="AX79" s="1"/>
        <tr r="AX79" s="1"/>
      </tp>
      <tp>
        <v>7</v>
        <stp/>
        <stp>OPEN_INT</stp>
        <stp>.QQQ250620C498</stp>
        <tr r="AW79" s="1"/>
        <tr r="AW79" s="1"/>
      </tp>
      <tp>
        <v>82</v>
        <stp/>
        <stp>OPEN_INT</stp>
        <stp>.QQQ250620P499</stp>
        <tr r="AX78" s="1"/>
        <tr r="AX78" s="1"/>
      </tp>
      <tp>
        <v>8</v>
        <stp/>
        <stp>OPEN_INT</stp>
        <stp>.QQQ250620C499</stp>
        <tr r="AW78" s="1"/>
        <tr r="AW78" s="1"/>
      </tp>
      <tp>
        <v>82</v>
        <stp/>
        <stp>OPEN_INT</stp>
        <stp>.QQQ250620P506</stp>
        <tr r="AX71" s="1"/>
        <tr r="AX71" s="1"/>
      </tp>
      <tp>
        <v>2</v>
        <stp/>
        <stp>OPEN_INT</stp>
        <stp>.QQQ250620C506</stp>
        <tr r="AW71" s="1"/>
        <tr r="AW71" s="1"/>
      </tp>
      <tp>
        <v>258</v>
        <stp/>
        <stp>OPEN_INT</stp>
        <stp>.QQQ250620P507</stp>
        <tr r="AX70" s="1"/>
        <tr r="AX70" s="1"/>
      </tp>
      <tp>
        <v>8</v>
        <stp/>
        <stp>OPEN_INT</stp>
        <stp>.QQQ250620C507</stp>
        <tr r="AW70" s="1"/>
        <tr r="AW70" s="1"/>
      </tp>
      <tp>
        <v>146</v>
        <stp/>
        <stp>OPEN_INT</stp>
        <stp>.QQQ250620P504</stp>
        <tr r="AX73" s="1"/>
        <tr r="AX73" s="1"/>
      </tp>
      <tp>
        <v>14</v>
        <stp/>
        <stp>OPEN_INT</stp>
        <stp>.QQQ250620C504</stp>
        <tr r="AW73" s="1"/>
        <tr r="AW73" s="1"/>
      </tp>
      <tp>
        <v>14376</v>
        <stp/>
        <stp>OPEN_INT</stp>
        <stp>.QQQ250620P505</stp>
        <tr r="AX72" s="1"/>
        <tr r="AX72" s="1"/>
      </tp>
      <tp>
        <v>2922</v>
        <stp/>
        <stp>OPEN_INT</stp>
        <stp>.QQQ250620C505</stp>
        <tr r="AW72" s="1"/>
        <tr r="AW72" s="1"/>
      </tp>
      <tp>
        <v>71</v>
        <stp/>
        <stp>OPEN_INT</stp>
        <stp>.QQQ250620P502</stp>
        <tr r="AX75" s="1"/>
        <tr r="AX75" s="1"/>
      </tp>
      <tp>
        <v>9</v>
        <stp/>
        <stp>OPEN_INT</stp>
        <stp>.QQQ250620C502</stp>
        <tr r="AW75" s="1"/>
        <tr r="AW75" s="1"/>
      </tp>
      <tp>
        <v>154</v>
        <stp/>
        <stp>OPEN_INT</stp>
        <stp>.QQQ250620P503</stp>
        <tr r="AX74" s="1"/>
        <tr r="AX74" s="1"/>
      </tp>
      <tp>
        <v>3</v>
        <stp/>
        <stp>OPEN_INT</stp>
        <stp>.QQQ250620C503</stp>
        <tr r="AW74" s="1"/>
        <tr r="AW74" s="1"/>
      </tp>
      <tp>
        <v>60621</v>
        <stp/>
        <stp>OPEN_INT</stp>
        <stp>.QQQ250620P500</stp>
        <tr r="AX77" s="1"/>
        <tr r="AX77" s="1"/>
      </tp>
      <tp>
        <v>67602</v>
        <stp/>
        <stp>OPEN_INT</stp>
        <stp>.QQQ250620C500</stp>
        <tr r="AW77" s="1"/>
        <tr r="AW77" s="1"/>
      </tp>
      <tp>
        <v>92</v>
        <stp/>
        <stp>OPEN_INT</stp>
        <stp>.QQQ250620P501</stp>
        <tr r="AX76" s="1"/>
        <tr r="AX76" s="1"/>
      </tp>
      <tp>
        <v>10</v>
        <stp/>
        <stp>OPEN_INT</stp>
        <stp>.QQQ250620C501</stp>
        <tr r="AW76" s="1"/>
        <tr r="AW76" s="1"/>
      </tp>
      <tp>
        <v>64</v>
        <stp/>
        <stp>OPEN_INT</stp>
        <stp>.QQQ250620P508</stp>
        <tr r="AX69" s="1"/>
        <tr r="AX69" s="1"/>
      </tp>
      <tp>
        <v>1</v>
        <stp/>
        <stp>OPEN_INT</stp>
        <stp>.QQQ250620C508</stp>
        <tr r="AW69" s="1"/>
        <tr r="AW69" s="1"/>
      </tp>
      <tp>
        <v>58</v>
        <stp/>
        <stp>OPEN_INT</stp>
        <stp>.QQQ250620P509</stp>
        <tr r="AX68" s="1"/>
        <tr r="AX68" s="1"/>
      </tp>
      <tp>
        <v>1</v>
        <stp/>
        <stp>OPEN_INT</stp>
        <stp>.QQQ250620C509</stp>
        <tr r="AW68" s="1"/>
        <tr r="AW68" s="1"/>
      </tp>
      <tp>
        <v>308</v>
        <stp/>
        <stp>OPEN_INT</stp>
        <stp>.QQQ250620P516</stp>
        <tr r="AX61" s="1"/>
        <tr r="AX61" s="1"/>
      </tp>
      <tp>
        <v>30</v>
        <stp/>
        <stp>OPEN_INT</stp>
        <stp>.QQQ250620C516</stp>
        <tr r="AW61" s="1"/>
        <tr r="AW61" s="1"/>
      </tp>
      <tp>
        <v>79</v>
        <stp/>
        <stp>OPEN_INT</stp>
        <stp>.QQQ250620P517</stp>
        <tr r="AX60" s="1"/>
        <tr r="AX60" s="1"/>
      </tp>
      <tp>
        <v>96</v>
        <stp/>
        <stp>OPEN_INT</stp>
        <stp>.QQQ250620C517</stp>
        <tr r="AW60" s="1"/>
        <tr r="AW60" s="1"/>
      </tp>
      <tp>
        <v>64</v>
        <stp/>
        <stp>OPEN_INT</stp>
        <stp>.QQQ250620P514</stp>
        <tr r="AX63" s="1"/>
        <tr r="AX63" s="1"/>
      </tp>
      <tp>
        <v>4</v>
        <stp/>
        <stp>OPEN_INT</stp>
        <stp>.QQQ250620C514</stp>
        <tr r="AW63" s="1"/>
        <tr r="AW63" s="1"/>
      </tp>
      <tp>
        <v>15410</v>
        <stp/>
        <stp>OPEN_INT</stp>
        <stp>.QQQ250620P515</stp>
        <tr r="AX62" s="1"/>
        <tr r="AX62" s="1"/>
      </tp>
      <tp>
        <v>11746</v>
        <stp/>
        <stp>OPEN_INT</stp>
        <stp>.QQQ250620C515</stp>
        <tr r="AW62" s="1"/>
        <tr r="AW62" s="1"/>
      </tp>
      <tp>
        <v>97</v>
        <stp/>
        <stp>OPEN_INT</stp>
        <stp>.QQQ250620P512</stp>
        <tr r="AX65" s="1"/>
        <tr r="AX65" s="1"/>
      </tp>
      <tp>
        <v>21</v>
        <stp/>
        <stp>OPEN_INT</stp>
        <stp>.QQQ250620C512</stp>
        <tr r="AW65" s="1"/>
        <tr r="AW65" s="1"/>
      </tp>
      <tp>
        <v>36</v>
        <stp/>
        <stp>OPEN_INT</stp>
        <stp>.QQQ250620P513</stp>
        <tr r="AX64" s="1"/>
        <tr r="AX64" s="1"/>
      </tp>
      <tp>
        <v>32</v>
        <stp/>
        <stp>OPEN_INT</stp>
        <stp>.QQQ250620C513</stp>
        <tr r="AW64" s="1"/>
        <tr r="AW64" s="1"/>
      </tp>
      <tp>
        <v>37233</v>
        <stp/>
        <stp>OPEN_INT</stp>
        <stp>.QQQ250620P510</stp>
        <tr r="AX67" s="1"/>
        <tr r="AX67" s="1"/>
      </tp>
      <tp>
        <v>32390</v>
        <stp/>
        <stp>OPEN_INT</stp>
        <stp>.QQQ250620C510</stp>
        <tr r="AW67" s="1"/>
        <tr r="AW67" s="1"/>
      </tp>
      <tp>
        <v>65</v>
        <stp/>
        <stp>OPEN_INT</stp>
        <stp>.QQQ250620P511</stp>
        <tr r="AX66" s="1"/>
        <tr r="AX66" s="1"/>
      </tp>
      <tp>
        <v>3</v>
        <stp/>
        <stp>OPEN_INT</stp>
        <stp>.QQQ250620C511</stp>
        <tr r="AW66" s="1"/>
        <tr r="AW66" s="1"/>
      </tp>
      <tp>
        <v>135</v>
        <stp/>
        <stp>OPEN_INT</stp>
        <stp>.QQQ250620P518</stp>
        <tr r="AX59" s="1"/>
        <tr r="AX59" s="1"/>
      </tp>
      <tp>
        <v>56</v>
        <stp/>
        <stp>OPEN_INT</stp>
        <stp>.QQQ250620C518</stp>
        <tr r="AW59" s="1"/>
        <tr r="AW59" s="1"/>
      </tp>
      <tp>
        <v>167</v>
        <stp/>
        <stp>OPEN_INT</stp>
        <stp>.QQQ250620P519</stp>
        <tr r="AX58" s="1"/>
        <tr r="AX58" s="1"/>
      </tp>
      <tp>
        <v>135</v>
        <stp/>
        <stp>OPEN_INT</stp>
        <stp>.QQQ250620C519</stp>
        <tr r="AW58" s="1"/>
        <tr r="AW58" s="1"/>
      </tp>
      <tp>
        <v>5</v>
        <stp/>
        <stp>OPEN_INT</stp>
        <stp>.QQQ250620P526</stp>
        <tr r="AX51" s="1"/>
        <tr r="AX51" s="1"/>
      </tp>
      <tp>
        <v>457</v>
        <stp/>
        <stp>OPEN_INT</stp>
        <stp>.QQQ250620C526</stp>
        <tr r="AW51" s="1"/>
        <tr r="AW51" s="1"/>
      </tp>
      <tp>
        <v>0</v>
        <stp/>
        <stp>OPEN_INT</stp>
        <stp>.QQQ250620P527</stp>
        <tr r="AX50" s="1"/>
        <tr r="AX50" s="1"/>
      </tp>
      <tp>
        <v>201</v>
        <stp/>
        <stp>OPEN_INT</stp>
        <stp>.QQQ250620C527</stp>
        <tr r="AW50" s="1"/>
        <tr r="AW50" s="1"/>
      </tp>
      <tp>
        <v>39</v>
        <stp/>
        <stp>OPEN_INT</stp>
        <stp>.QQQ250620P524</stp>
        <tr r="AX53" s="1"/>
        <tr r="AX53" s="1"/>
      </tp>
      <tp>
        <v>67</v>
        <stp/>
        <stp>OPEN_INT</stp>
        <stp>.QQQ250620C524</stp>
        <tr r="AW53" s="1"/>
        <tr r="AW53" s="1"/>
      </tp>
      <tp>
        <v>1584</v>
        <stp/>
        <stp>OPEN_INT</stp>
        <stp>.QQQ250620P525</stp>
        <tr r="AX52" s="1"/>
        <tr r="AX52" s="1"/>
      </tp>
      <tp>
        <v>18004</v>
        <stp/>
        <stp>OPEN_INT</stp>
        <stp>.QQQ250620C525</stp>
        <tr r="AW52" s="1"/>
        <tr r="AW52" s="1"/>
      </tp>
      <tp>
        <v>78</v>
        <stp/>
        <stp>OPEN_INT</stp>
        <stp>.QQQ250620P522</stp>
        <tr r="AX55" s="1"/>
        <tr r="AX55" s="1"/>
      </tp>
      <tp>
        <v>208</v>
        <stp/>
        <stp>OPEN_INT</stp>
        <stp>.QQQ250620C522</stp>
        <tr r="AW55" s="1"/>
        <tr r="AW55" s="1"/>
      </tp>
      <tp>
        <v>35</v>
        <stp/>
        <stp>OPEN_INT</stp>
        <stp>.QQQ250620P523</stp>
        <tr r="AX54" s="1"/>
        <tr r="AX54" s="1"/>
      </tp>
      <tp>
        <v>64</v>
        <stp/>
        <stp>OPEN_INT</stp>
        <stp>.QQQ250620C523</stp>
        <tr r="AW54" s="1"/>
        <tr r="AW54" s="1"/>
      </tp>
      <tp>
        <v>9749</v>
        <stp/>
        <stp>OPEN_INT</stp>
        <stp>.QQQ250620P520</stp>
        <tr r="AX57" s="1"/>
        <tr r="AX57" s="1"/>
      </tp>
      <tp>
        <v>16322</v>
        <stp/>
        <stp>OPEN_INT</stp>
        <stp>.QQQ250620C520</stp>
        <tr r="AW57" s="1"/>
        <tr r="AW57" s="1"/>
      </tp>
      <tp>
        <v>175</v>
        <stp/>
        <stp>OPEN_INT</stp>
        <stp>.QQQ250620P521</stp>
        <tr r="AX56" s="1"/>
        <tr r="AX56" s="1"/>
      </tp>
      <tp>
        <v>143</v>
        <stp/>
        <stp>OPEN_INT</stp>
        <stp>.QQQ250620C521</stp>
        <tr r="AW56" s="1"/>
        <tr r="AW56" s="1"/>
      </tp>
      <tp>
        <v>89</v>
        <stp/>
        <stp>OPEN_INT</stp>
        <stp>.QQQ250620P528</stp>
        <tr r="AX49" s="1"/>
        <tr r="AX49" s="1"/>
      </tp>
      <tp>
        <v>273</v>
        <stp/>
        <stp>OPEN_INT</stp>
        <stp>.QQQ250620C528</stp>
        <tr r="AW49" s="1"/>
        <tr r="AW49" s="1"/>
      </tp>
      <tp>
        <v>6</v>
        <stp/>
        <stp>OPEN_INT</stp>
        <stp>.QQQ250620P529</stp>
        <tr r="AX48" s="1"/>
        <tr r="AX48" s="1"/>
      </tp>
      <tp>
        <v>82</v>
        <stp/>
        <stp>OPEN_INT</stp>
        <stp>.QQQ250620C529</stp>
        <tr r="AW48" s="1"/>
        <tr r="AW48" s="1"/>
      </tp>
      <tp>
        <v>0</v>
        <stp/>
        <stp>OPEN_INT</stp>
        <stp>.QQQ250620P532</stp>
        <tr r="AX45" s="1"/>
        <tr r="AX45" s="1"/>
      </tp>
      <tp>
        <v>76</v>
        <stp/>
        <stp>OPEN_INT</stp>
        <stp>.QQQ250620C532</stp>
        <tr r="AW45" s="1"/>
        <tr r="AW45" s="1"/>
      </tp>
      <tp>
        <v>1607</v>
        <stp/>
        <stp>OPEN_INT</stp>
        <stp>.QQQ250620P530</stp>
        <tr r="AX47" s="1"/>
        <tr r="AX47" s="1"/>
      </tp>
      <tp>
        <v>10852</v>
        <stp/>
        <stp>OPEN_INT</stp>
        <stp>.QQQ250620C530</stp>
        <tr r="AW47" s="1"/>
        <tr r="AW47" s="1"/>
      </tp>
      <tp>
        <v>1</v>
        <stp/>
        <stp>OPEN_INT</stp>
        <stp>.QQQ250620P531</stp>
        <tr r="AX46" s="1"/>
        <tr r="AX46" s="1"/>
      </tp>
      <tp>
        <v>142</v>
        <stp/>
        <stp>OPEN_INT</stp>
        <stp>.QQQ250620C531</stp>
        <tr r="AW46" s="1"/>
        <tr r="AW46" s="1"/>
      </tp>
      <tp>
        <v>108</v>
        <stp/>
        <stp>OPEN_INT</stp>
        <stp>.NDX250620P21100</stp>
        <tr r="AX155" s="1"/>
        <tr r="AX155" s="1"/>
      </tp>
      <tp>
        <v>6</v>
        <stp/>
        <stp>OPEN_INT</stp>
        <stp>.NDX250620P21125</stp>
        <tr r="AX154" s="1"/>
        <tr r="AX154" s="1"/>
      </tp>
      <tp>
        <v>34</v>
        <stp/>
        <stp>OPEN_INT</stp>
        <stp>.NDX250620P21150</stp>
        <tr r="AX153" s="1"/>
        <tr r="AX153" s="1"/>
      </tp>
      <tp>
        <v>4</v>
        <stp/>
        <stp>OPEN_INT</stp>
        <stp>.NDX250620P21175</stp>
        <tr r="AX152" s="1"/>
        <tr r="AX152" s="1"/>
      </tp>
      <tp>
        <v>5</v>
        <stp/>
        <stp>OPEN_INT</stp>
        <stp>.NDX250620C21125</stp>
        <tr r="AW154" s="1"/>
        <tr r="AW154" s="1"/>
      </tp>
      <tp>
        <v>179</v>
        <stp/>
        <stp>OPEN_INT</stp>
        <stp>.NDX250620C21100</stp>
        <tr r="AW155" s="1"/>
        <tr r="AW155" s="1"/>
      </tp>
      <tp>
        <v>9</v>
        <stp/>
        <stp>OPEN_INT</stp>
        <stp>.NDX250620C21175</stp>
        <tr r="AW152" s="1"/>
        <tr r="AW152" s="1"/>
      </tp>
      <tp>
        <v>29</v>
        <stp/>
        <stp>OPEN_INT</stp>
        <stp>.NDX250620C21150</stp>
        <tr r="AW153" s="1"/>
        <tr r="AW153" s="1"/>
      </tp>
      <tp>
        <v>398</v>
        <stp/>
        <stp>OPEN_INT</stp>
        <stp>.NDX250620P21000</stp>
        <tr r="AX159" s="1"/>
        <tr r="AX159" s="1"/>
      </tp>
      <tp>
        <v>3</v>
        <stp/>
        <stp>OPEN_INT</stp>
        <stp>.NDX250620P21025</stp>
        <tr r="AX158" s="1"/>
        <tr r="AX158" s="1"/>
      </tp>
      <tp>
        <v>21</v>
        <stp/>
        <stp>OPEN_INT</stp>
        <stp>.NDX250620P21050</stp>
        <tr r="AX157" s="1"/>
        <tr r="AX157" s="1"/>
      </tp>
      <tp>
        <v>0</v>
        <stp/>
        <stp>OPEN_INT</stp>
        <stp>.NDX250620P21075</stp>
        <tr r="AX156" s="1"/>
        <tr r="AX156" s="1"/>
      </tp>
      <tp>
        <v>6</v>
        <stp/>
        <stp>OPEN_INT</stp>
        <stp>.NDX250620C21025</stp>
        <tr r="AW158" s="1"/>
        <tr r="AW158" s="1"/>
      </tp>
      <tp t="s">
        <v>65.94%</v>
        <stp/>
        <stp>IMPL_VOL</stp>
        <stp>.SPY250520C600</stp>
        <tr r="EL6" s="1"/>
      </tp>
      <tp t="s">
        <v>117.60%</v>
        <stp/>
        <stp>IMPL_VOL</stp>
        <stp>.SPY250520P600</stp>
        <tr r="EM6" s="1"/>
      </tp>
      <tp t="s">
        <v>73.56%</v>
        <stp/>
        <stp>IMPL_VOL</stp>
        <stp>.SPY250520C601</stp>
        <tr r="EL5" s="1"/>
      </tp>
      <tp t="s">
        <v>14.61%</v>
        <stp/>
        <stp>IMPL_VOL</stp>
        <stp>.SPY250523C602</stp>
        <tr r="EN4" s="1"/>
      </tp>
      <tp t="s">
        <v>129.58%</v>
        <stp/>
        <stp>IMPL_VOL</stp>
        <stp>.SPY250520P601</stp>
        <tr r="EM5" s="1"/>
      </tp>
      <tp t="s">
        <v>16.84%</v>
        <stp/>
        <stp>IMPL_VOL</stp>
        <stp>.SPY250523P602</stp>
        <tr r="EO4" s="1"/>
      </tp>
      <tp t="s">
        <v>81.09%</v>
        <stp/>
        <stp>IMPL_VOL</stp>
        <stp>.SPY250520C602</stp>
        <tr r="EL4" s="1"/>
      </tp>
      <tp t="s">
        <v>14.71%</v>
        <stp/>
        <stp>IMPL_VOL</stp>
        <stp>.SPY250523C601</stp>
        <tr r="EN5" s="1"/>
      </tp>
      <tp t="s">
        <v>135.52%</v>
        <stp/>
        <stp>IMPL_VOL</stp>
        <stp>.SPY250520P602</stp>
        <tr r="EM4" s="1"/>
      </tp>
      <tp t="s">
        <v>16.53%</v>
        <stp/>
        <stp>IMPL_VOL</stp>
        <stp>.SPY250523P601</stp>
        <tr r="EO5" s="1"/>
      </tp>
      <tp t="s">
        <v>14.80%</v>
        <stp/>
        <stp>IMPL_VOL</stp>
        <stp>.SPY250523C600</stp>
        <tr r="EN6" s="1"/>
      </tp>
      <tp t="s">
        <v>16.36%</v>
        <stp/>
        <stp>IMPL_VOL</stp>
        <stp>.SPY250523P600</stp>
        <tr r="EO6" s="1"/>
      </tp>
      <tp>
        <v>693</v>
        <stp/>
        <stp>OPEN_INT</stp>
        <stp>.NDX250620C21000</stp>
        <tr r="AW159" s="1"/>
        <tr r="AW159" s="1"/>
      </tp>
      <tp t="s">
        <v>19.33%</v>
        <stp/>
        <stp>IMPL_VOL</stp>
        <stp>.SPY250620C568</stp>
        <tr r="EP38" s="1"/>
      </tp>
      <tp t="s">
        <v>19.71%</v>
        <stp/>
        <stp>IMPL_VOL</stp>
        <stp>.SPY250620P568</stp>
        <tr r="EQ38" s="1"/>
      </tp>
      <tp t="s">
        <v>19.08%</v>
        <stp/>
        <stp>IMPL_VOL</stp>
        <stp>.SPY250620C569</stp>
        <tr r="EP37" s="1"/>
      </tp>
      <tp t="s">
        <v>19.56%</v>
        <stp/>
        <stp>IMPL_VOL</stp>
        <stp>.SPY250620P569</stp>
        <tr r="EQ37" s="1"/>
      </tp>
      <tp>
        <v>5</v>
        <stp/>
        <stp>OPEN_INT</stp>
        <stp>.NDX250620C21075</stp>
        <tr r="AW156" s="1"/>
        <tr r="AW156" s="1"/>
      </tp>
      <tp t="s">
        <v>18.94%</v>
        <stp/>
        <stp>IMPL_VOL</stp>
        <stp>.SPY250620C570</stp>
        <tr r="EP36" s="1"/>
      </tp>
      <tp t="s">
        <v>19.41%</v>
        <stp/>
        <stp>IMPL_VOL</stp>
        <stp>.SPY250620P570</stp>
        <tr r="EQ36" s="1"/>
      </tp>
      <tp t="s">
        <v>18.81%</v>
        <stp/>
        <stp>IMPL_VOL</stp>
        <stp>.SPY250620C571</stp>
        <tr r="EP35" s="1"/>
      </tp>
      <tp t="s">
        <v>19.25%</v>
        <stp/>
        <stp>IMPL_VOL</stp>
        <stp>.SPY250620P571</stp>
        <tr r="EQ35" s="1"/>
      </tp>
      <tp t="s">
        <v>18.62%</v>
        <stp/>
        <stp>IMPL_VOL</stp>
        <stp>.SPY250620C572</stp>
        <tr r="EP34" s="1"/>
      </tp>
      <tp t="s">
        <v>19.10%</v>
        <stp/>
        <stp>IMPL_VOL</stp>
        <stp>.SPY250620P572</stp>
        <tr r="EQ34" s="1"/>
      </tp>
      <tp t="s">
        <v>18.48%</v>
        <stp/>
        <stp>IMPL_VOL</stp>
        <stp>.SPY250620C573</stp>
        <tr r="EP33" s="1"/>
      </tp>
      <tp t="s">
        <v>18.94%</v>
        <stp/>
        <stp>IMPL_VOL</stp>
        <stp>.SPY250620P573</stp>
        <tr r="EQ33" s="1"/>
      </tp>
      <tp t="s">
        <v>18.31%</v>
        <stp/>
        <stp>IMPL_VOL</stp>
        <stp>.SPY250620C574</stp>
        <tr r="EP32" s="1"/>
      </tp>
      <tp t="s">
        <v>18.79%</v>
        <stp/>
        <stp>IMPL_VOL</stp>
        <stp>.SPY250620P574</stp>
        <tr r="EQ32" s="1"/>
      </tp>
      <tp t="s">
        <v>18.07%</v>
        <stp/>
        <stp>IMPL_VOL</stp>
        <stp>.SPY250620C575</stp>
        <tr r="EP31" s="1"/>
      </tp>
      <tp t="s">
        <v>18.65%</v>
        <stp/>
        <stp>IMPL_VOL</stp>
        <stp>.SPY250620P575</stp>
        <tr r="EQ31" s="1"/>
      </tp>
      <tp t="s">
        <v>17.86%</v>
        <stp/>
        <stp>IMPL_VOL</stp>
        <stp>.SPY250620C576</stp>
        <tr r="EP30" s="1"/>
      </tp>
      <tp t="s">
        <v>18.48%</v>
        <stp/>
        <stp>IMPL_VOL</stp>
        <stp>.SPY250620P576</stp>
        <tr r="EQ30" s="1"/>
      </tp>
      <tp t="s">
        <v>17.78%</v>
        <stp/>
        <stp>IMPL_VOL</stp>
        <stp>.SPY250620C577</stp>
        <tr r="EP29" s="1"/>
      </tp>
      <tp t="s">
        <v>18.31%</v>
        <stp/>
        <stp>IMPL_VOL</stp>
        <stp>.SPY250620P577</stp>
        <tr r="EQ29" s="1"/>
      </tp>
      <tp t="s">
        <v>17.63%</v>
        <stp/>
        <stp>IMPL_VOL</stp>
        <stp>.SPY250620C578</stp>
        <tr r="EP28" s="1"/>
      </tp>
      <tp t="s">
        <v>18.16%</v>
        <stp/>
        <stp>IMPL_VOL</stp>
        <stp>.SPY250620P578</stp>
        <tr r="EQ28" s="1"/>
      </tp>
      <tp t="s">
        <v>17.43%</v>
        <stp/>
        <stp>IMPL_VOL</stp>
        <stp>.SPY250620C579</stp>
        <tr r="EP27" s="1"/>
      </tp>
      <tp t="s">
        <v>18.00%</v>
        <stp/>
        <stp>IMPL_VOL</stp>
        <stp>.SPY250620P579</stp>
        <tr r="EQ27" s="1"/>
      </tp>
      <tp>
        <v>21</v>
        <stp/>
        <stp>OPEN_INT</stp>
        <stp>.NDX250620C21050</stp>
        <tr r="AW157" s="1"/>
        <tr r="AW157" s="1"/>
      </tp>
      <tp t="s">
        <v>17.09%</v>
        <stp/>
        <stp>IMPL_VOL</stp>
        <stp>.SPY250620C580</stp>
        <tr r="EP26" s="1"/>
      </tp>
      <tp t="s">
        <v>17.86%</v>
        <stp/>
        <stp>IMPL_VOL</stp>
        <stp>.SPY250620P580</stp>
        <tr r="EQ26" s="1"/>
      </tp>
      <tp t="s">
        <v>16.93%</v>
        <stp/>
        <stp>IMPL_VOL</stp>
        <stp>.SPY250620C581</stp>
        <tr r="EP25" s="1"/>
      </tp>
      <tp t="s">
        <v>17.70%</v>
        <stp/>
        <stp>IMPL_VOL</stp>
        <stp>.SPY250620P581</stp>
        <tr r="EQ25" s="1"/>
      </tp>
      <tp t="s">
        <v>16.87%</v>
        <stp/>
        <stp>IMPL_VOL</stp>
        <stp>.SPY250620C582</stp>
        <tr r="EP24" s="1"/>
      </tp>
      <tp t="s">
        <v>17.55%</v>
        <stp/>
        <stp>IMPL_VOL</stp>
        <stp>.SPY250620P582</stp>
        <tr r="EQ24" s="1"/>
      </tp>
      <tp t="s">
        <v>16.71%</v>
        <stp/>
        <stp>IMPL_VOL</stp>
        <stp>.SPY250620C583</stp>
        <tr r="EP23" s="1"/>
      </tp>
      <tp t="s">
        <v>17.39%</v>
        <stp/>
        <stp>IMPL_VOL</stp>
        <stp>.SPY250620P583</stp>
        <tr r="EQ23" s="1"/>
      </tp>
      <tp t="s">
        <v>16.54%</v>
        <stp/>
        <stp>IMPL_VOL</stp>
        <stp>.SPY250620C584</stp>
        <tr r="EP22" s="1"/>
      </tp>
      <tp t="s">
        <v>17.25%</v>
        <stp/>
        <stp>IMPL_VOL</stp>
        <stp>.SPY250620P584</stp>
        <tr r="EQ22" s="1"/>
      </tp>
      <tp t="s">
        <v>16.37%</v>
        <stp/>
        <stp>IMPL_VOL</stp>
        <stp>.SPY250620C585</stp>
        <tr r="EP21" s="1"/>
      </tp>
      <tp t="s">
        <v>17.10%</v>
        <stp/>
        <stp>IMPL_VOL</stp>
        <stp>.SPY250620P585</stp>
        <tr r="EQ21" s="1"/>
      </tp>
      <tp t="s">
        <v>16.22%</v>
        <stp/>
        <stp>IMPL_VOL</stp>
        <stp>.SPY250620C586</stp>
        <tr r="EP20" s="1"/>
      </tp>
      <tp t="s">
        <v>16.95%</v>
        <stp/>
        <stp>IMPL_VOL</stp>
        <stp>.SPY250620P586</stp>
        <tr r="EQ20" s="1"/>
      </tp>
      <tp t="s">
        <v>16.05%</v>
        <stp/>
        <stp>IMPL_VOL</stp>
        <stp>.SPY250620C587</stp>
        <tr r="EP19" s="1"/>
      </tp>
      <tp t="s">
        <v>16.81%</v>
        <stp/>
        <stp>IMPL_VOL</stp>
        <stp>.SPY250620P587</stp>
        <tr r="EQ19" s="1"/>
      </tp>
      <tp t="s">
        <v>15.89%</v>
        <stp/>
        <stp>IMPL_VOL</stp>
        <stp>.SPY250620C588</stp>
        <tr r="EP18" s="1"/>
      </tp>
      <tp t="s">
        <v>16.67%</v>
        <stp/>
        <stp>IMPL_VOL</stp>
        <stp>.SPY250620P588</stp>
        <tr r="EQ18" s="1"/>
      </tp>
      <tp t="s">
        <v>15.73%</v>
        <stp/>
        <stp>IMPL_VOL</stp>
        <stp>.SPY250620C589</stp>
        <tr r="EP17" s="1"/>
      </tp>
      <tp t="s">
        <v>16.53%</v>
        <stp/>
        <stp>IMPL_VOL</stp>
        <stp>.SPY250620P589</stp>
        <tr r="EQ17" s="1"/>
      </tp>
      <tp t="s">
        <v>15.57%</v>
        <stp/>
        <stp>IMPL_VOL</stp>
        <stp>.SPY250620C590</stp>
        <tr r="EP16" s="1"/>
      </tp>
      <tp t="s">
        <v>16.40%</v>
        <stp/>
        <stp>IMPL_VOL</stp>
        <stp>.SPY250620P590</stp>
        <tr r="EQ16" s="1"/>
      </tp>
      <tp t="s">
        <v>15.42%</v>
        <stp/>
        <stp>IMPL_VOL</stp>
        <stp>.SPY250620C591</stp>
        <tr r="EP15" s="1"/>
      </tp>
      <tp t="s">
        <v>16.27%</v>
        <stp/>
        <stp>IMPL_VOL</stp>
        <stp>.SPY250620P591</stp>
        <tr r="EQ15" s="1"/>
      </tp>
      <tp t="s">
        <v>15.26%</v>
        <stp/>
        <stp>IMPL_VOL</stp>
        <stp>.SPY250620C592</stp>
        <tr r="EP14" s="1"/>
      </tp>
      <tp t="s">
        <v>16.15%</v>
        <stp/>
        <stp>IMPL_VOL</stp>
        <stp>.SPY250620P592</stp>
        <tr r="EQ14" s="1"/>
      </tp>
      <tp t="s">
        <v>15.10%</v>
        <stp/>
        <stp>IMPL_VOL</stp>
        <stp>.SPY250620C593</stp>
        <tr r="EP13" s="1"/>
      </tp>
      <tp t="s">
        <v>16.01%</v>
        <stp/>
        <stp>IMPL_VOL</stp>
        <stp>.SPY250620P593</stp>
        <tr r="EQ13" s="1"/>
      </tp>
      <tp t="s">
        <v>14.96%</v>
        <stp/>
        <stp>IMPL_VOL</stp>
        <stp>.SPY250620C594</stp>
        <tr r="EP12" s="1"/>
      </tp>
      <tp t="s">
        <v>15.90%</v>
        <stp/>
        <stp>IMPL_VOL</stp>
        <stp>.SPY250620P594</stp>
        <tr r="EQ12" s="1"/>
      </tp>
      <tp t="s">
        <v>14.82%</v>
        <stp/>
        <stp>IMPL_VOL</stp>
        <stp>.SPY250620C595</stp>
        <tr r="EP11" s="1"/>
      </tp>
      <tp t="s">
        <v>15.78%</v>
        <stp/>
        <stp>IMPL_VOL</stp>
        <stp>.SPY250620P595</stp>
        <tr r="EQ11" s="1"/>
      </tp>
      <tp t="s">
        <v>14.69%</v>
        <stp/>
        <stp>IMPL_VOL</stp>
        <stp>.SPY250620C596</stp>
        <tr r="EP10" s="1"/>
      </tp>
      <tp t="s">
        <v>15.67%</v>
        <stp/>
        <stp>IMPL_VOL</stp>
        <stp>.SPY250620P596</stp>
        <tr r="EQ10" s="1"/>
      </tp>
      <tp t="s">
        <v>14.56%</v>
        <stp/>
        <stp>IMPL_VOL</stp>
        <stp>.SPY250620C597</stp>
        <tr r="EP9" s="1"/>
      </tp>
      <tp t="s">
        <v>15.57%</v>
        <stp/>
        <stp>IMPL_VOL</stp>
        <stp>.SPY250620P597</stp>
        <tr r="EQ9" s="1"/>
      </tp>
      <tp t="s">
        <v>14.43%</v>
        <stp/>
        <stp>IMPL_VOL</stp>
        <stp>.SPY250620C598</stp>
        <tr r="EP8" s="1"/>
      </tp>
      <tp t="s">
        <v>15.48%</v>
        <stp/>
        <stp>IMPL_VOL</stp>
        <stp>.SPY250620P598</stp>
        <tr r="EQ8" s="1"/>
      </tp>
      <tp t="s">
        <v>14.30%</v>
        <stp/>
        <stp>IMPL_VOL</stp>
        <stp>.SPY250620C599</stp>
        <tr r="EP7" s="1"/>
      </tp>
      <tp t="s">
        <v>15.37%</v>
        <stp/>
        <stp>IMPL_VOL</stp>
        <stp>.SPY250620P599</stp>
        <tr r="EQ7" s="1"/>
      </tp>
      <tp>
        <v>160</v>
        <stp/>
        <stp>OPEN_INT</stp>
        <stp>.NDX250620P20300</stp>
        <tr r="AX187" s="1"/>
        <tr r="AX187" s="1"/>
      </tp>
      <tp>
        <v>110</v>
        <stp/>
        <stp>OPEN_INT</stp>
        <stp>.NDX250620P21300</stp>
        <tr r="AX147" s="1"/>
        <tr r="AX147" s="1"/>
      </tp>
      <tp>
        <v>38</v>
        <stp/>
        <stp>OPEN_INT</stp>
        <stp>.NDX250620P20325</stp>
        <tr r="AX186" s="1"/>
        <tr r="AX186" s="1"/>
      </tp>
      <tp>
        <v>100</v>
        <stp/>
        <stp>OPEN_INT</stp>
        <stp>.NDX250620P21325</stp>
        <tr r="AX146" s="1"/>
        <tr r="AX146" s="1"/>
      </tp>
      <tp>
        <v>64</v>
        <stp/>
        <stp>OPEN_INT</stp>
        <stp>.NDX250620P20350</stp>
        <tr r="AX185" s="1"/>
        <tr r="AX185" s="1"/>
      </tp>
      <tp>
        <v>53</v>
        <stp/>
        <stp>OPEN_INT</stp>
        <stp>.NDX250620P21350</stp>
        <tr r="AX145" s="1"/>
        <tr r="AX145" s="1"/>
      </tp>
      <tp>
        <v>67</v>
        <stp/>
        <stp>OPEN_INT</stp>
        <stp>.NDX250620P20375</stp>
        <tr r="AX184" s="1"/>
        <tr r="AX184" s="1"/>
      </tp>
      <tp>
        <v>33</v>
        <stp/>
        <stp>OPEN_INT</stp>
        <stp>.NDX250620P21375</stp>
        <tr r="AX144" s="1"/>
        <tr r="AX144" s="1"/>
      </tp>
      <tp>
        <v>33</v>
        <stp/>
        <stp>OPEN_INT</stp>
        <stp>.NDX250620C20325</stp>
        <tr r="AW186" s="1"/>
        <tr r="AW186" s="1"/>
      </tp>
      <tp>
        <v>4748</v>
        <stp/>
        <stp>OPEN_INT</stp>
        <stp>.NDX250620C21325</stp>
        <tr r="AW146" s="1"/>
        <tr r="AW146" s="1"/>
      </tp>
      <tp t="s">
        <v>14.19%</v>
        <stp/>
        <stp>IMPL_VOL</stp>
        <stp>.SPY250620C600</stp>
        <tr r="EP6" s="1"/>
      </tp>
      <tp t="s">
        <v>15.28%</v>
        <stp/>
        <stp>IMPL_VOL</stp>
        <stp>.SPY250620P600</stp>
        <tr r="EQ6" s="1"/>
      </tp>
      <tp t="s">
        <v>14.07%</v>
        <stp/>
        <stp>IMPL_VOL</stp>
        <stp>.SPY250620C601</stp>
        <tr r="EP5" s="1"/>
      </tp>
      <tp t="s">
        <v>15.19%</v>
        <stp/>
        <stp>IMPL_VOL</stp>
        <stp>.SPY250620P601</stp>
        <tr r="EQ5" s="1"/>
      </tp>
      <tp t="s">
        <v>13.95%</v>
        <stp/>
        <stp>IMPL_VOL</stp>
        <stp>.SPY250620C602</stp>
        <tr r="EP4" s="1"/>
      </tp>
      <tp t="s">
        <v>15.04%</v>
        <stp/>
        <stp>IMPL_VOL</stp>
        <stp>.SPY250620P602</stp>
        <tr r="EQ4" s="1"/>
      </tp>
      <tp>
        <v>111</v>
        <stp/>
        <stp>OPEN_INT</stp>
        <stp>.NDX250620C20300</stp>
        <tr r="AW187" s="1"/>
        <tr r="AW187" s="1"/>
      </tp>
      <tp>
        <v>112</v>
        <stp/>
        <stp>OPEN_INT</stp>
        <stp>.NDX250620C21300</stp>
        <tr r="AW147" s="1"/>
        <tr r="AW147" s="1"/>
      </tp>
      <tp t="s">
        <v>--</v>
        <stp/>
        <stp>IMPL_VOL</stp>
        <stp>.SPY250520C568</stp>
        <tr r="EL38" s="1"/>
      </tp>
      <tp t="s">
        <v>193.75%</v>
        <stp/>
        <stp>IMPL_VOL</stp>
        <stp>.SPY250520P568</stp>
        <tr r="EM38" s="1"/>
      </tp>
      <tp t="s">
        <v>--</v>
        <stp/>
        <stp>IMPL_VOL</stp>
        <stp>.SPY250520C569</stp>
        <tr r="EL37" s="1"/>
      </tp>
      <tp t="s">
        <v>186.37%</v>
        <stp/>
        <stp>IMPL_VOL</stp>
        <stp>.SPY250520P569</stp>
        <tr r="EM37" s="1"/>
      </tp>
      <tp t="s">
        <v>0.11%</v>
        <stp/>
        <stp>IMPL_VOL</stp>
        <stp>.SPY250523C569</stp>
        <tr r="EN37" s="1"/>
      </tp>
      <tp t="s">
        <v>22.58%</v>
        <stp/>
        <stp>IMPL_VOL</stp>
        <stp>.SPY250523P569</stp>
        <tr r="EO37" s="1"/>
      </tp>
      <tp t="s">
        <v>0.11%</v>
        <stp/>
        <stp>IMPL_VOL</stp>
        <stp>.SPY250523C568</stp>
        <tr r="EN38" s="1"/>
      </tp>
      <tp t="s">
        <v>22.65%</v>
        <stp/>
        <stp>IMPL_VOL</stp>
        <stp>.SPY250523P568</stp>
        <tr r="EO38" s="1"/>
      </tp>
      <tp>
        <v>19</v>
        <stp/>
        <stp>OPEN_INT</stp>
        <stp>.NDX250620C20375</stp>
        <tr r="AW184" s="1"/>
        <tr r="AW184" s="1"/>
      </tp>
      <tp>
        <v>38</v>
        <stp/>
        <stp>OPEN_INT</stp>
        <stp>.NDX250620C21375</stp>
        <tr r="AW144" s="1"/>
        <tr r="AW144" s="1"/>
      </tp>
      <tp t="s">
        <v>--</v>
        <stp/>
        <stp>IMPL_VOL</stp>
        <stp>.SPY250520C570</stp>
        <tr r="EL36" s="1"/>
      </tp>
      <tp t="s">
        <v>17.61%</v>
        <stp/>
        <stp>IMPL_VOL</stp>
        <stp>.SPY250523C573</stp>
        <tr r="EN33" s="1"/>
      </tp>
      <tp t="s">
        <v>178.98%</v>
        <stp/>
        <stp>IMPL_VOL</stp>
        <stp>.SPY250520P570</stp>
        <tr r="EM36" s="1"/>
      </tp>
      <tp t="s">
        <v>21.27%</v>
        <stp/>
        <stp>IMPL_VOL</stp>
        <stp>.SPY250523P573</stp>
        <tr r="EO33" s="1"/>
      </tp>
      <tp t="s">
        <v>--</v>
        <stp/>
        <stp>IMPL_VOL</stp>
        <stp>.SPY250520C571</stp>
        <tr r="EL35" s="1"/>
      </tp>
      <tp t="s">
        <v>17.37%</v>
        <stp/>
        <stp>IMPL_VOL</stp>
        <stp>.SPY250523C572</stp>
        <tr r="EN34" s="1"/>
      </tp>
      <tp t="s">
        <v>171.58%</v>
        <stp/>
        <stp>IMPL_VOL</stp>
        <stp>.SPY250520P571</stp>
        <tr r="EM35" s="1"/>
      </tp>
      <tp t="s">
        <v>21.48%</v>
        <stp/>
        <stp>IMPL_VOL</stp>
        <stp>.SPY250523P572</stp>
        <tr r="EO34" s="1"/>
      </tp>
      <tp t="s">
        <v>--</v>
        <stp/>
        <stp>IMPL_VOL</stp>
        <stp>.SPY250520C572</stp>
        <tr r="EL34" s="1"/>
      </tp>
      <tp t="s">
        <v>16.10%</v>
        <stp/>
        <stp>IMPL_VOL</stp>
        <stp>.SPY250523C571</stp>
        <tr r="EN35" s="1"/>
      </tp>
      <tp t="s">
        <v>164.16%</v>
        <stp/>
        <stp>IMPL_VOL</stp>
        <stp>.SPY250520P572</stp>
        <tr r="EM34" s="1"/>
      </tp>
      <tp t="s">
        <v>21.82%</v>
        <stp/>
        <stp>IMPL_VOL</stp>
        <stp>.SPY250523P571</stp>
        <tr r="EO35" s="1"/>
      </tp>
      <tp t="s">
        <v>--</v>
        <stp/>
        <stp>IMPL_VOL</stp>
        <stp>.SPY250520C573</stp>
        <tr r="EL33" s="1"/>
      </tp>
      <tp t="s">
        <v>0.11%</v>
        <stp/>
        <stp>IMPL_VOL</stp>
        <stp>.SPY250523C570</stp>
        <tr r="EN36" s="1"/>
      </tp>
      <tp t="s">
        <v>156.73%</v>
        <stp/>
        <stp>IMPL_VOL</stp>
        <stp>.SPY250520P573</stp>
        <tr r="EM33" s="1"/>
      </tp>
      <tp t="s">
        <v>22.08%</v>
        <stp/>
        <stp>IMPL_VOL</stp>
        <stp>.SPY250523P570</stp>
        <tr r="EO36" s="1"/>
      </tp>
      <tp t="s">
        <v>--</v>
        <stp/>
        <stp>IMPL_VOL</stp>
        <stp>.SPY250520C574</stp>
        <tr r="EL32" s="1"/>
      </tp>
      <tp t="s">
        <v>18.49%</v>
        <stp/>
        <stp>IMPL_VOL</stp>
        <stp>.SPY250523C577</stp>
        <tr r="EN29" s="1"/>
      </tp>
      <tp t="s">
        <v>149.28%</v>
        <stp/>
        <stp>IMPL_VOL</stp>
        <stp>.SPY250520P574</stp>
        <tr r="EM32" s="1"/>
      </tp>
      <tp t="s">
        <v>20.25%</v>
        <stp/>
        <stp>IMPL_VOL</stp>
        <stp>.SPY250523P577</stp>
        <tr r="EO29" s="1"/>
      </tp>
      <tp t="s">
        <v>--</v>
        <stp/>
        <stp>IMPL_VOL</stp>
        <stp>.SPY250520C575</stp>
        <tr r="EL31" s="1"/>
      </tp>
      <tp t="s">
        <v>18.43%</v>
        <stp/>
        <stp>IMPL_VOL</stp>
        <stp>.SPY250523C576</stp>
        <tr r="EN30" s="1"/>
      </tp>
      <tp t="s">
        <v>141.81%</v>
        <stp/>
        <stp>IMPL_VOL</stp>
        <stp>.SPY250520P575</stp>
        <tr r="EM31" s="1"/>
      </tp>
      <tp t="s">
        <v>20.53%</v>
        <stp/>
        <stp>IMPL_VOL</stp>
        <stp>.SPY250523P576</stp>
        <tr r="EO30" s="1"/>
      </tp>
      <tp t="s">
        <v>--</v>
        <stp/>
        <stp>IMPL_VOL</stp>
        <stp>.SPY250520C576</stp>
        <tr r="EL30" s="1"/>
      </tp>
      <tp t="s">
        <v>18.32%</v>
        <stp/>
        <stp>IMPL_VOL</stp>
        <stp>.SPY250523C575</stp>
        <tr r="EN31" s="1"/>
      </tp>
      <tp t="s">
        <v>134.32%</v>
        <stp/>
        <stp>IMPL_VOL</stp>
        <stp>.SPY250520P576</stp>
        <tr r="EM30" s="1"/>
      </tp>
      <tp t="s">
        <v>20.77%</v>
        <stp/>
        <stp>IMPL_VOL</stp>
        <stp>.SPY250523P575</stp>
        <tr r="EO31" s="1"/>
      </tp>
      <tp t="s">
        <v>--</v>
        <stp/>
        <stp>IMPL_VOL</stp>
        <stp>.SPY250520C577</stp>
        <tr r="EL29" s="1"/>
      </tp>
      <tp t="s">
        <v>18.23%</v>
        <stp/>
        <stp>IMPL_VOL</stp>
        <stp>.SPY250523C574</stp>
        <tr r="EN32" s="1"/>
      </tp>
      <tp t="s">
        <v>126.81%</v>
        <stp/>
        <stp>IMPL_VOL</stp>
        <stp>.SPY250520P577</stp>
        <tr r="EM29" s="1"/>
      </tp>
      <tp t="s">
        <v>20.99%</v>
        <stp/>
        <stp>IMPL_VOL</stp>
        <stp>.SPY250523P574</stp>
        <tr r="EO32" s="1"/>
      </tp>
      <tp t="s">
        <v>--</v>
        <stp/>
        <stp>IMPL_VOL</stp>
        <stp>.SPY250520C578</stp>
        <tr r="EL28" s="1"/>
      </tp>
      <tp t="s">
        <v>119.27%</v>
        <stp/>
        <stp>IMPL_VOL</stp>
        <stp>.SPY250520P578</stp>
        <tr r="EM28" s="1"/>
      </tp>
      <tp t="s">
        <v>--</v>
        <stp/>
        <stp>IMPL_VOL</stp>
        <stp>.SPY250520C579</stp>
        <tr r="EL27" s="1"/>
      </tp>
      <tp t="s">
        <v>111.70%</v>
        <stp/>
        <stp>IMPL_VOL</stp>
        <stp>.SPY250520P579</stp>
        <tr r="EM27" s="1"/>
      </tp>
      <tp t="s">
        <v>18.48%</v>
        <stp/>
        <stp>IMPL_VOL</stp>
        <stp>.SPY250523C579</stp>
        <tr r="EN27" s="1"/>
      </tp>
      <tp t="s">
        <v>19.84%</v>
        <stp/>
        <stp>IMPL_VOL</stp>
        <stp>.SPY250523P579</stp>
        <tr r="EO27" s="1"/>
      </tp>
      <tp t="s">
        <v>18.58%</v>
        <stp/>
        <stp>IMPL_VOL</stp>
        <stp>.SPY250523C578</stp>
        <tr r="EN28" s="1"/>
      </tp>
      <tp t="s">
        <v>20.05%</v>
        <stp/>
        <stp>IMPL_VOL</stp>
        <stp>.SPY250523P578</stp>
        <tr r="EO28" s="1"/>
      </tp>
      <tp>
        <v>67</v>
        <stp/>
        <stp>OPEN_INT</stp>
        <stp>.NDX250620C20350</stp>
        <tr r="AW185" s="1"/>
        <tr r="AW185" s="1"/>
      </tp>
      <tp>
        <v>70</v>
        <stp/>
        <stp>OPEN_INT</stp>
        <stp>.NDX250620C21350</stp>
        <tr r="AW145" s="1"/>
        <tr r="AW145" s="1"/>
      </tp>
      <tp t="s">
        <v>--</v>
        <stp/>
        <stp>IMPL_VOL</stp>
        <stp>.SPY250520C580</stp>
        <tr r="EL26" s="1"/>
      </tp>
      <tp t="s">
        <v>18.05%</v>
        <stp/>
        <stp>IMPL_VOL</stp>
        <stp>.SPY250523C583</stp>
        <tr r="EN23" s="1"/>
      </tp>
      <tp t="s">
        <v>104.10%</v>
        <stp/>
        <stp>IMPL_VOL</stp>
        <stp>.SPY250520P580</stp>
        <tr r="EM26" s="1"/>
      </tp>
      <tp t="s">
        <v>18.98%</v>
        <stp/>
        <stp>IMPL_VOL</stp>
        <stp>.SPY250523P583</stp>
        <tr r="EO23" s="1"/>
      </tp>
      <tp t="s">
        <v>--</v>
        <stp/>
        <stp>IMPL_VOL</stp>
        <stp>.SPY250520C581</stp>
        <tr r="EL25" s="1"/>
      </tp>
      <tp t="s">
        <v>18.25%</v>
        <stp/>
        <stp>IMPL_VOL</stp>
        <stp>.SPY250523C582</stp>
        <tr r="EN24" s="1"/>
      </tp>
      <tp t="s">
        <v>96.46%</v>
        <stp/>
        <stp>IMPL_VOL</stp>
        <stp>.SPY250520P581</stp>
        <tr r="EM25" s="1"/>
      </tp>
      <tp t="s">
        <v>19.20%</v>
        <stp/>
        <stp>IMPL_VOL</stp>
        <stp>.SPY250523P582</stp>
        <tr r="EO24" s="1"/>
      </tp>
      <tp t="s">
        <v>--</v>
        <stp/>
        <stp>IMPL_VOL</stp>
        <stp>.SPY250520C582</stp>
        <tr r="EL24" s="1"/>
      </tp>
      <tp t="s">
        <v>18.34%</v>
        <stp/>
        <stp>IMPL_VOL</stp>
        <stp>.SPY250523C581</stp>
        <tr r="EN25" s="1"/>
      </tp>
      <tp t="s">
        <v>88.78%</v>
        <stp/>
        <stp>IMPL_VOL</stp>
        <stp>.SPY250520P582</stp>
        <tr r="EM24" s="1"/>
      </tp>
      <tp t="s">
        <v>19.43%</v>
        <stp/>
        <stp>IMPL_VOL</stp>
        <stp>.SPY250523P581</stp>
        <tr r="EO25" s="1"/>
      </tp>
      <tp t="s">
        <v>--</v>
        <stp/>
        <stp>IMPL_VOL</stp>
        <stp>.SPY250520C583</stp>
        <tr r="EL23" s="1"/>
      </tp>
      <tp t="s">
        <v>18.45%</v>
        <stp/>
        <stp>IMPL_VOL</stp>
        <stp>.SPY250523C580</stp>
        <tr r="EN26" s="1"/>
      </tp>
      <tp t="s">
        <v>81.04%</v>
        <stp/>
        <stp>IMPL_VOL</stp>
        <stp>.SPY250520P583</stp>
        <tr r="EM23" s="1"/>
      </tp>
      <tp t="s">
        <v>19.61%</v>
        <stp/>
        <stp>IMPL_VOL</stp>
        <stp>.SPY250523P580</stp>
        <tr r="EO26" s="1"/>
      </tp>
      <tp t="s">
        <v>--</v>
        <stp/>
        <stp>IMPL_VOL</stp>
        <stp>.SPY250520C584</stp>
        <tr r="EL22" s="1"/>
      </tp>
      <tp t="s">
        <v>17.29%</v>
        <stp/>
        <stp>IMPL_VOL</stp>
        <stp>.SPY250523C587</stp>
        <tr r="EN19" s="1"/>
      </tp>
      <tp t="s">
        <v>73.25%</v>
        <stp/>
        <stp>IMPL_VOL</stp>
        <stp>.SPY250520P584</stp>
        <tr r="EM22" s="1"/>
      </tp>
      <tp t="s">
        <v>17.94%</v>
        <stp/>
        <stp>IMPL_VOL</stp>
        <stp>.SPY250523P587</stp>
        <tr r="EO19" s="1"/>
      </tp>
      <tp t="s">
        <v>--</v>
        <stp/>
        <stp>IMPL_VOL</stp>
        <stp>.SPY250520C585</stp>
        <tr r="EL21" s="1"/>
      </tp>
      <tp t="s">
        <v>17.49%</v>
        <stp/>
        <stp>IMPL_VOL</stp>
        <stp>.SPY250523C586</stp>
        <tr r="EN20" s="1"/>
      </tp>
      <tp t="s">
        <v>65.39%</v>
        <stp/>
        <stp>IMPL_VOL</stp>
        <stp>.SPY250520P585</stp>
        <tr r="EM21" s="1"/>
      </tp>
      <tp t="s">
        <v>18.18%</v>
        <stp/>
        <stp>IMPL_VOL</stp>
        <stp>.SPY250523P586</stp>
        <tr r="EO20" s="1"/>
      </tp>
      <tp t="s">
        <v>--</v>
        <stp/>
        <stp>IMPL_VOL</stp>
        <stp>.SPY250520C586</stp>
        <tr r="EL20" s="1"/>
      </tp>
      <tp t="s">
        <v>17.70%</v>
        <stp/>
        <stp>IMPL_VOL</stp>
        <stp>.SPY250523C585</stp>
        <tr r="EN21" s="1"/>
      </tp>
      <tp t="s">
        <v>57.45%</v>
        <stp/>
        <stp>IMPL_VOL</stp>
        <stp>.SPY250520P586</stp>
        <tr r="EM20" s="1"/>
      </tp>
      <tp t="s">
        <v>18.47%</v>
        <stp/>
        <stp>IMPL_VOL</stp>
        <stp>.SPY250523P585</stp>
        <tr r="EO21" s="1"/>
      </tp>
      <tp t="s">
        <v>--</v>
        <stp/>
        <stp>IMPL_VOL</stp>
        <stp>.SPY250520C587</stp>
        <tr r="EL19" s="1"/>
      </tp>
      <tp t="s">
        <v>17.83%</v>
        <stp/>
        <stp>IMPL_VOL</stp>
        <stp>.SPY250523C584</stp>
        <tr r="EN22" s="1"/>
      </tp>
      <tp t="s">
        <v>49.40%</v>
        <stp/>
        <stp>IMPL_VOL</stp>
        <stp>.SPY250520P587</stp>
        <tr r="EM19" s="1"/>
      </tp>
      <tp t="s">
        <v>18.70%</v>
        <stp/>
        <stp>IMPL_VOL</stp>
        <stp>.SPY250523P584</stp>
        <tr r="EO22" s="1"/>
      </tp>
      <tp t="s">
        <v>77.39%</v>
        <stp/>
        <stp>IMPL_VOL</stp>
        <stp>.SPY250520C588</stp>
        <tr r="EL18" s="1"/>
      </tp>
      <tp t="s">
        <v>47.95%</v>
        <stp/>
        <stp>IMPL_VOL</stp>
        <stp>.SPY250520P588</stp>
        <tr r="EM18" s="1"/>
      </tp>
      <tp t="s">
        <v>--</v>
        <stp/>
        <stp>IMPL_VOL</stp>
        <stp>.SPY250520C589</stp>
        <tr r="EL17" s="1"/>
      </tp>
      <tp t="s">
        <v>38.50%</v>
        <stp/>
        <stp>IMPL_VOL</stp>
        <stp>.SPY250520P589</stp>
        <tr r="EM17" s="1"/>
      </tp>
      <tp t="s">
        <v>16.82%</v>
        <stp/>
        <stp>IMPL_VOL</stp>
        <stp>.SPY250523C589</stp>
        <tr r="EN17" s="1"/>
      </tp>
      <tp t="s">
        <v>17.46%</v>
        <stp/>
        <stp>IMPL_VOL</stp>
        <stp>.SPY250523P589</stp>
        <tr r="EO17" s="1"/>
      </tp>
      <tp t="s">
        <v>17.00%</v>
        <stp/>
        <stp>IMPL_VOL</stp>
        <stp>.SPY250523C588</stp>
        <tr r="EN18" s="1"/>
      </tp>
      <tp t="s">
        <v>17.69%</v>
        <stp/>
        <stp>IMPL_VOL</stp>
        <stp>.SPY250523P588</stp>
        <tr r="EO18" s="1"/>
      </tp>
      <tp t="s">
        <v>--</v>
        <stp/>
        <stp>IMPL_VOL</stp>
        <stp>.SPY250520C590</stp>
        <tr r="EL16" s="1"/>
      </tp>
      <tp t="s">
        <v>15.95%</v>
        <stp/>
        <stp>IMPL_VOL</stp>
        <stp>.SPY250523C593</stp>
        <tr r="EN13" s="1"/>
      </tp>
      <tp t="s">
        <v>24.32%</v>
        <stp/>
        <stp>IMPL_VOL</stp>
        <stp>.SPY250520P590</stp>
        <tr r="EM16" s="1"/>
      </tp>
      <tp t="s">
        <v>16.63%</v>
        <stp/>
        <stp>IMPL_VOL</stp>
        <stp>.SPY250523P593</stp>
        <tr r="EO13" s="1"/>
      </tp>
      <tp t="s">
        <v>--</v>
        <stp/>
        <stp>IMPL_VOL</stp>
        <stp>.SPY250520C591</stp>
        <tr r="EL15" s="1"/>
      </tp>
      <tp t="s">
        <v>16.11%</v>
        <stp/>
        <stp>IMPL_VOL</stp>
        <stp>.SPY250523C592</stp>
        <tr r="EN14" s="1"/>
      </tp>
      <tp t="s">
        <v>18.64%</v>
        <stp/>
        <stp>IMPL_VOL</stp>
        <stp>.SPY250520P591</stp>
        <tr r="EM15" s="1"/>
      </tp>
      <tp t="s">
        <v>16.81%</v>
        <stp/>
        <stp>IMPL_VOL</stp>
        <stp>.SPY250523P592</stp>
        <tr r="EO14" s="1"/>
      </tp>
      <tp t="s">
        <v>--</v>
        <stp/>
        <stp>IMPL_VOL</stp>
        <stp>.SPY250520C592</stp>
        <tr r="EL14" s="1"/>
      </tp>
      <tp t="s">
        <v>16.39%</v>
        <stp/>
        <stp>IMPL_VOL</stp>
        <stp>.SPY250523C591</stp>
        <tr r="EN15" s="1"/>
      </tp>
      <tp t="s">
        <v>15.95%</v>
        <stp/>
        <stp>IMPL_VOL</stp>
        <stp>.SPY250520P592</stp>
        <tr r="EM14" s="1"/>
      </tp>
      <tp t="s">
        <v>17.01%</v>
        <stp/>
        <stp>IMPL_VOL</stp>
        <stp>.SPY250523P591</stp>
        <tr r="EO15" s="1"/>
      </tp>
      <tp t="s">
        <v>7.40%</v>
        <stp/>
        <stp>IMPL_VOL</stp>
        <stp>.SPY250520C593</stp>
        <tr r="EL13" s="1"/>
      </tp>
      <tp t="s">
        <v>16.58%</v>
        <stp/>
        <stp>IMPL_VOL</stp>
        <stp>.SPY250523C590</stp>
        <tr r="EN16" s="1"/>
      </tp>
      <tp t="s">
        <v>32.40%</v>
        <stp/>
        <stp>IMPL_VOL</stp>
        <stp>.SPY250520P593</stp>
        <tr r="EM13" s="1"/>
      </tp>
      <tp t="s">
        <v>17.22%</v>
        <stp/>
        <stp>IMPL_VOL</stp>
        <stp>.SPY250523P590</stp>
        <tr r="EO16" s="1"/>
      </tp>
      <tp t="s">
        <v>16.94%</v>
        <stp/>
        <stp>IMPL_VOL</stp>
        <stp>.SPY250520C594</stp>
        <tr r="EL12" s="1"/>
      </tp>
      <tp t="s">
        <v>15.18%</v>
        <stp/>
        <stp>IMPL_VOL</stp>
        <stp>.SPY250523C597</stp>
        <tr r="EN9" s="1"/>
      </tp>
      <tp t="s">
        <v>--</v>
        <stp/>
        <stp>IMPL_VOL</stp>
        <stp>.SPY250520P594</stp>
        <tr r="EM12" s="1"/>
      </tp>
      <tp t="s">
        <v>16.14%</v>
        <stp/>
        <stp>IMPL_VOL</stp>
        <stp>.SPY250523P597</stp>
        <tr r="EO9" s="1"/>
      </tp>
      <tp t="s">
        <v>25.75%</v>
        <stp/>
        <stp>IMPL_VOL</stp>
        <stp>.SPY250520C595</stp>
        <tr r="EL11" s="1"/>
      </tp>
      <tp t="s">
        <v>15.34%</v>
        <stp/>
        <stp>IMPL_VOL</stp>
        <stp>.SPY250523C596</stp>
        <tr r="EN10" s="1"/>
      </tp>
      <tp t="s">
        <v>--</v>
        <stp/>
        <stp>IMPL_VOL</stp>
        <stp>.SPY250520P595</stp>
        <tr r="EM11" s="1"/>
      </tp>
      <tp t="s">
        <v>16.21%</v>
        <stp/>
        <stp>IMPL_VOL</stp>
        <stp>.SPY250523P596</stp>
        <tr r="EO10" s="1"/>
      </tp>
      <tp t="s">
        <v>34.18%</v>
        <stp/>
        <stp>IMPL_VOL</stp>
        <stp>.SPY250520C596</stp>
        <tr r="EL10" s="1"/>
      </tp>
      <tp t="s">
        <v>15.52%</v>
        <stp/>
        <stp>IMPL_VOL</stp>
        <stp>.SPY250523C595</stp>
        <tr r="EN11" s="1"/>
      </tp>
      <tp t="s">
        <v>67.29%</v>
        <stp/>
        <stp>IMPL_VOL</stp>
        <stp>.SPY250520P596</stp>
        <tr r="EM10" s="1"/>
      </tp>
      <tp t="s">
        <v>16.31%</v>
        <stp/>
        <stp>IMPL_VOL</stp>
        <stp>.SPY250523P595</stp>
        <tr r="EO11" s="1"/>
      </tp>
      <tp t="s">
        <v>42.37%</v>
        <stp/>
        <stp>IMPL_VOL</stp>
        <stp>.SPY250520C597</stp>
        <tr r="EL9" s="1"/>
      </tp>
      <tp t="s">
        <v>15.68%</v>
        <stp/>
        <stp>IMPL_VOL</stp>
        <stp>.SPY250523C594</stp>
        <tr r="EN12" s="1"/>
      </tp>
      <tp t="s">
        <v>--</v>
        <stp/>
        <stp>IMPL_VOL</stp>
        <stp>.SPY250520P597</stp>
        <tr r="EM9" s="1"/>
      </tp>
      <tp t="s">
        <v>16.46%</v>
        <stp/>
        <stp>IMPL_VOL</stp>
        <stp>.SPY250523P594</stp>
        <tr r="EO12" s="1"/>
      </tp>
      <tp t="s">
        <v>50.37%</v>
        <stp/>
        <stp>IMPL_VOL</stp>
        <stp>.SPY250520C598</stp>
        <tr r="EL8" s="1"/>
      </tp>
      <tp t="s">
        <v>--</v>
        <stp/>
        <stp>IMPL_VOL</stp>
        <stp>.SPY250520P598</stp>
        <tr r="EM8" s="1"/>
      </tp>
      <tp t="s">
        <v>58.21%</v>
        <stp/>
        <stp>IMPL_VOL</stp>
        <stp>.SPY250520C599</stp>
        <tr r="EL7" s="1"/>
      </tp>
      <tp t="s">
        <v>--</v>
        <stp/>
        <stp>IMPL_VOL</stp>
        <stp>.SPY250520P599</stp>
        <tr r="EM7" s="1"/>
      </tp>
      <tp t="s">
        <v>14.92%</v>
        <stp/>
        <stp>IMPL_VOL</stp>
        <stp>.SPY250523C599</stp>
        <tr r="EN7" s="1"/>
      </tp>
      <tp t="s">
        <v>16.23%</v>
        <stp/>
        <stp>IMPL_VOL</stp>
        <stp>.SPY250523P599</stp>
        <tr r="EO7" s="1"/>
      </tp>
      <tp t="s">
        <v>15.04%</v>
        <stp/>
        <stp>IMPL_VOL</stp>
        <stp>.SPY250523C598</stp>
        <tr r="EN8" s="1"/>
      </tp>
      <tp t="s">
        <v>16.15%</v>
        <stp/>
        <stp>IMPL_VOL</stp>
        <stp>.SPY250523P598</stp>
        <tr r="EO8" s="1"/>
      </tp>
      <tp>
        <v>21.5</v>
        <stp/>
        <stp>ASK</stp>
        <stp>.QQQ250520C500</stp>
        <tr r="DC77" s="1"/>
        <tr r="DC77" s="1"/>
      </tp>
      <tp>
        <v>0.01</v>
        <stp/>
        <stp>ASK</stp>
        <stp>.QQQ250520P500</stp>
        <tr r="DD77" s="1"/>
        <tr r="DD77" s="1"/>
      </tp>
      <tp>
        <v>20.5</v>
        <stp/>
        <stp>ASK</stp>
        <stp>.QQQ250520C501</stp>
        <tr r="DC76" s="1"/>
        <tr r="DC76" s="1"/>
      </tp>
      <tp>
        <v>0.01</v>
        <stp/>
        <stp>ASK</stp>
        <stp>.QQQ250520P501</stp>
        <tr r="DD76" s="1"/>
        <tr r="DD76" s="1"/>
      </tp>
      <tp>
        <v>19.5</v>
        <stp/>
        <stp>ASK</stp>
        <stp>.QQQ250520C502</stp>
        <tr r="DC75" s="1"/>
        <tr r="DC75" s="1"/>
      </tp>
      <tp>
        <v>0.01</v>
        <stp/>
        <stp>ASK</stp>
        <stp>.QQQ250520P502</stp>
        <tr r="DD75" s="1"/>
        <tr r="DD75" s="1"/>
      </tp>
      <tp>
        <v>18.5</v>
        <stp/>
        <stp>ASK</stp>
        <stp>.QQQ250520C503</stp>
        <tr r="DC74" s="1"/>
        <tr r="DC74" s="1"/>
      </tp>
      <tp>
        <v>0.01</v>
        <stp/>
        <stp>ASK</stp>
        <stp>.QQQ250520P503</stp>
        <tr r="DD74" s="1"/>
        <tr r="DD74" s="1"/>
      </tp>
      <tp>
        <v>17.5</v>
        <stp/>
        <stp>ASK</stp>
        <stp>.QQQ250520C504</stp>
        <tr r="DC73" s="1"/>
        <tr r="DC73" s="1"/>
      </tp>
      <tp>
        <v>0.01</v>
        <stp/>
        <stp>ASK</stp>
        <stp>.QQQ250520P504</stp>
        <tr r="DD73" s="1"/>
        <tr r="DD73" s="1"/>
      </tp>
      <tp>
        <v>16.5</v>
        <stp/>
        <stp>ASK</stp>
        <stp>.QQQ250520C505</stp>
        <tr r="DC72" s="1"/>
        <tr r="DC72" s="1"/>
      </tp>
      <tp>
        <v>0.01</v>
        <stp/>
        <stp>ASK</stp>
        <stp>.QQQ250520P505</stp>
        <tr r="DD72" s="1"/>
        <tr r="DD72" s="1"/>
      </tp>
      <tp>
        <v>15.5</v>
        <stp/>
        <stp>ASK</stp>
        <stp>.QQQ250520C506</stp>
        <tr r="DC71" s="1"/>
        <tr r="DC71" s="1"/>
      </tp>
      <tp>
        <v>0.01</v>
        <stp/>
        <stp>ASK</stp>
        <stp>.QQQ250520P506</stp>
        <tr r="DD71" s="1"/>
        <tr r="DD71" s="1"/>
      </tp>
      <tp>
        <v>14.5</v>
        <stp/>
        <stp>ASK</stp>
        <stp>.QQQ250520C507</stp>
        <tr r="DC70" s="1"/>
        <tr r="DC70" s="1"/>
      </tp>
      <tp>
        <v>0.01</v>
        <stp/>
        <stp>ASK</stp>
        <stp>.QQQ250520P507</stp>
        <tr r="DD70" s="1"/>
        <tr r="DD70" s="1"/>
      </tp>
      <tp>
        <v>13.5</v>
        <stp/>
        <stp>ASK</stp>
        <stp>.QQQ250520C508</stp>
        <tr r="DC69" s="1"/>
        <tr r="DC69" s="1"/>
      </tp>
      <tp>
        <v>0.01</v>
        <stp/>
        <stp>ASK</stp>
        <stp>.QQQ250520P508</stp>
        <tr r="DD69" s="1"/>
        <tr r="DD69" s="1"/>
      </tp>
      <tp>
        <v>12.5</v>
        <stp/>
        <stp>ASK</stp>
        <stp>.QQQ250520C509</stp>
        <tr r="DC68" s="1"/>
        <tr r="DC68" s="1"/>
      </tp>
      <tp>
        <v>0.01</v>
        <stp/>
        <stp>ASK</stp>
        <stp>.QQQ250520P509</stp>
        <tr r="DD68" s="1"/>
        <tr r="DD68" s="1"/>
      </tp>
      <tp>
        <v>0</v>
        <stp/>
        <stp>BID</stp>
        <stp>.QQQ250520C532</stp>
        <tr r="DE45" s="1"/>
        <tr r="DE45" s="1"/>
      </tp>
      <tp>
        <v>10.5</v>
        <stp/>
        <stp>BID</stp>
        <stp>.QQQ250520P532</stp>
        <tr r="DF45" s="1"/>
        <tr r="DF45" s="1"/>
      </tp>
      <tp>
        <v>0</v>
        <stp/>
        <stp>BID</stp>
        <stp>.QQQ250520C530</stp>
        <tr r="DE47" s="1"/>
        <tr r="DE47" s="1"/>
      </tp>
      <tp>
        <v>8.5</v>
        <stp/>
        <stp>BID</stp>
        <stp>.QQQ250520P530</stp>
        <tr r="DF47" s="1"/>
        <tr r="DF47" s="1"/>
      </tp>
      <tp>
        <v>0</v>
        <stp/>
        <stp>BID</stp>
        <stp>.QQQ250520C531</stp>
        <tr r="DE46" s="1"/>
        <tr r="DE46" s="1"/>
      </tp>
      <tp>
        <v>9.5</v>
        <stp/>
        <stp>BID</stp>
        <stp>.QQQ250520P531</stp>
        <tr r="DF46" s="1"/>
        <tr r="DF46" s="1"/>
      </tp>
      <tp>
        <v>11.5</v>
        <stp/>
        <stp>ASK</stp>
        <stp>.QQQ250520C510</stp>
        <tr r="DC67" s="1"/>
        <tr r="DC67" s="1"/>
      </tp>
      <tp>
        <v>0.01</v>
        <stp/>
        <stp>ASK</stp>
        <stp>.QQQ250520P510</stp>
        <tr r="DD67" s="1"/>
        <tr r="DD67" s="1"/>
      </tp>
      <tp>
        <v>10.5</v>
        <stp/>
        <stp>ASK</stp>
        <stp>.QQQ250520C511</stp>
        <tr r="DC66" s="1"/>
        <tr r="DC66" s="1"/>
      </tp>
      <tp>
        <v>0.01</v>
        <stp/>
        <stp>ASK</stp>
        <stp>.QQQ250520P511</stp>
        <tr r="DD66" s="1"/>
        <tr r="DD66" s="1"/>
      </tp>
      <tp>
        <v>9.5</v>
        <stp/>
        <stp>ASK</stp>
        <stp>.QQQ250520C512</stp>
        <tr r="DC65" s="1"/>
        <tr r="DC65" s="1"/>
      </tp>
      <tp>
        <v>0.01</v>
        <stp/>
        <stp>ASK</stp>
        <stp>.QQQ250520P512</stp>
        <tr r="DD65" s="1"/>
        <tr r="DD65" s="1"/>
      </tp>
      <tp>
        <v>8.5</v>
        <stp/>
        <stp>ASK</stp>
        <stp>.QQQ250520C513</stp>
        <tr r="DC64" s="1"/>
        <tr r="DC64" s="1"/>
      </tp>
      <tp>
        <v>0.01</v>
        <stp/>
        <stp>ASK</stp>
        <stp>.QQQ250520P513</stp>
        <tr r="DD64" s="1"/>
        <tr r="DD64" s="1"/>
      </tp>
      <tp>
        <v>7.5</v>
        <stp/>
        <stp>ASK</stp>
        <stp>.QQQ250520C514</stp>
        <tr r="DC63" s="1"/>
        <tr r="DC63" s="1"/>
      </tp>
      <tp>
        <v>0.01</v>
        <stp/>
        <stp>ASK</stp>
        <stp>.QQQ250520P514</stp>
        <tr r="DD63" s="1"/>
        <tr r="DD63" s="1"/>
      </tp>
      <tp>
        <v>6.34</v>
        <stp/>
        <stp>ASK</stp>
        <stp>.QQQ250520C515</stp>
        <tr r="DC62" s="1"/>
        <tr r="DC62" s="1"/>
      </tp>
      <tp>
        <v>0.01</v>
        <stp/>
        <stp>ASK</stp>
        <stp>.QQQ250520P515</stp>
        <tr r="DD62" s="1"/>
        <tr r="DD62" s="1"/>
      </tp>
      <tp>
        <v>5.5</v>
        <stp/>
        <stp>ASK</stp>
        <stp>.QQQ250520C516</stp>
        <tr r="DC61" s="1"/>
        <tr r="DC61" s="1"/>
      </tp>
      <tp>
        <v>0.02</v>
        <stp/>
        <stp>ASK</stp>
        <stp>.QQQ250520P516</stp>
        <tr r="DD61" s="1"/>
        <tr r="DD61" s="1"/>
      </tp>
      <tp>
        <v>4.4800000000000004</v>
        <stp/>
        <stp>ASK</stp>
        <stp>.QQQ250520C517</stp>
        <tr r="DC60" s="1"/>
        <tr r="DC60" s="1"/>
      </tp>
      <tp>
        <v>0.02</v>
        <stp/>
        <stp>ASK</stp>
        <stp>.QQQ250520P517</stp>
        <tr r="DD60" s="1"/>
        <tr r="DD60" s="1"/>
      </tp>
      <tp>
        <v>1.2</v>
        <stp/>
        <stp>ASK</stp>
        <stp>.QQQ250520C518</stp>
        <tr r="DC59" s="1"/>
        <tr r="DC59" s="1"/>
      </tp>
      <tp>
        <v>0.03</v>
        <stp/>
        <stp>ASK</stp>
        <stp>.QQQ250520P518</stp>
        <tr r="DD59" s="1"/>
        <tr r="DD59" s="1"/>
      </tp>
      <tp>
        <v>1.67</v>
        <stp/>
        <stp>ASK</stp>
        <stp>.QQQ250520C519</stp>
        <tr r="DC58" s="1"/>
        <tr r="DC58" s="1"/>
      </tp>
      <tp>
        <v>0.23</v>
        <stp/>
        <stp>ASK</stp>
        <stp>.QQQ250520P519</stp>
        <tr r="DD58" s="1"/>
        <tr r="DD58" s="1"/>
      </tp>
      <tp>
        <v>0</v>
        <stp/>
        <stp>BID</stp>
        <stp>.QQQ250520C528</stp>
        <tr r="DE49" s="1"/>
        <tr r="DE49" s="1"/>
      </tp>
      <tp>
        <v>6.5</v>
        <stp/>
        <stp>BID</stp>
        <stp>.QQQ250520P528</stp>
        <tr r="DF49" s="1"/>
        <tr r="DF49" s="1"/>
      </tp>
      <tp>
        <v>0</v>
        <stp/>
        <stp>BID</stp>
        <stp>.QQQ250520C529</stp>
        <tr r="DE48" s="1"/>
        <tr r="DE48" s="1"/>
      </tp>
      <tp>
        <v>7.5</v>
        <stp/>
        <stp>BID</stp>
        <stp>.QQQ250520P529</stp>
        <tr r="DF48" s="1"/>
        <tr r="DF48" s="1"/>
      </tp>
      <tp>
        <v>0</v>
        <stp/>
        <stp>BID</stp>
        <stp>.QQQ250520C522</stp>
        <tr r="DE55" s="1"/>
        <tr r="DE55" s="1"/>
      </tp>
      <tp>
        <v>0.5</v>
        <stp/>
        <stp>BID</stp>
        <stp>.QQQ250520P522</stp>
        <tr r="DF55" s="1"/>
        <tr r="DF55" s="1"/>
      </tp>
      <tp>
        <v>0</v>
        <stp/>
        <stp>BID</stp>
        <stp>.QQQ250520C523</stp>
        <tr r="DE54" s="1"/>
        <tr r="DE54" s="1"/>
      </tp>
      <tp>
        <v>1.64</v>
        <stp/>
        <stp>BID</stp>
        <stp>.QQQ250520P523</stp>
        <tr r="DF54" s="1"/>
        <tr r="DF54" s="1"/>
      </tp>
      <tp>
        <v>0.03</v>
        <stp/>
        <stp>BID</stp>
        <stp>.QQQ250520C520</stp>
        <tr r="DE57" s="1"/>
        <tr r="DE57" s="1"/>
      </tp>
      <tp>
        <v>0.75</v>
        <stp/>
        <stp>BID</stp>
        <stp>.QQQ250520P520</stp>
        <tr r="DF57" s="1"/>
        <tr r="DF57" s="1"/>
      </tp>
      <tp>
        <v>0</v>
        <stp/>
        <stp>BID</stp>
        <stp>.QQQ250520C521</stp>
        <tr r="DE56" s="1"/>
        <tr r="DE56" s="1"/>
      </tp>
      <tp>
        <v>1.18</v>
        <stp/>
        <stp>BID</stp>
        <stp>.QQQ250520P521</stp>
        <tr r="DF56" s="1"/>
        <tr r="DF56" s="1"/>
      </tp>
      <tp>
        <v>0</v>
        <stp/>
        <stp>BID</stp>
        <stp>.QQQ250520C526</stp>
        <tr r="DE51" s="1"/>
        <tr r="DE51" s="1"/>
      </tp>
      <tp>
        <v>4.5</v>
        <stp/>
        <stp>BID</stp>
        <stp>.QQQ250520P526</stp>
        <tr r="DF51" s="1"/>
        <tr r="DF51" s="1"/>
      </tp>
      <tp>
        <v>0</v>
        <stp/>
        <stp>BID</stp>
        <stp>.QQQ250520C527</stp>
        <tr r="DE50" s="1"/>
        <tr r="DE50" s="1"/>
      </tp>
      <tp>
        <v>5.5</v>
        <stp/>
        <stp>BID</stp>
        <stp>.QQQ250520P527</stp>
        <tr r="DF50" s="1"/>
        <tr r="DF50" s="1"/>
      </tp>
      <tp>
        <v>0</v>
        <stp/>
        <stp>BID</stp>
        <stp>.QQQ250520C524</stp>
        <tr r="DE53" s="1"/>
        <tr r="DE53" s="1"/>
      </tp>
      <tp>
        <v>2.5</v>
        <stp/>
        <stp>BID</stp>
        <stp>.QQQ250520P524</stp>
        <tr r="DF53" s="1"/>
        <tr r="DF53" s="1"/>
      </tp>
      <tp>
        <v>0</v>
        <stp/>
        <stp>BID</stp>
        <stp>.QQQ250520C525</stp>
        <tr r="DE52" s="1"/>
        <tr r="DE52" s="1"/>
      </tp>
      <tp>
        <v>3.5</v>
        <stp/>
        <stp>BID</stp>
        <stp>.QQQ250520P525</stp>
        <tr r="DF52" s="1"/>
        <tr r="DF52" s="1"/>
      </tp>
      <tp>
        <v>0.04</v>
        <stp/>
        <stp>ASK</stp>
        <stp>.QQQ250520C520</stp>
        <tr r="DC57" s="1"/>
        <tr r="DC57" s="1"/>
      </tp>
      <tp>
        <v>2.99</v>
        <stp/>
        <stp>ASK</stp>
        <stp>.QQQ250520P520</stp>
        <tr r="DD57" s="1"/>
        <tr r="DD57" s="1"/>
      </tp>
      <tp>
        <v>0.01</v>
        <stp/>
        <stp>ASK</stp>
        <stp>.QQQ250520C521</stp>
        <tr r="DC56" s="1"/>
        <tr r="DC56" s="1"/>
      </tp>
      <tp>
        <v>3.31</v>
        <stp/>
        <stp>ASK</stp>
        <stp>.QQQ250520P521</stp>
        <tr r="DD56" s="1"/>
        <tr r="DD56" s="1"/>
      </tp>
      <tp>
        <v>0.01</v>
        <stp/>
        <stp>ASK</stp>
        <stp>.QQQ250520C522</stp>
        <tr r="DC55" s="1"/>
        <tr r="DC55" s="1"/>
      </tp>
      <tp>
        <v>4.51</v>
        <stp/>
        <stp>ASK</stp>
        <stp>.QQQ250520P522</stp>
        <tr r="DD55" s="1"/>
        <tr r="DD55" s="1"/>
      </tp>
      <tp>
        <v>0.01</v>
        <stp/>
        <stp>ASK</stp>
        <stp>.QQQ250520C523</stp>
        <tr r="DC54" s="1"/>
        <tr r="DC54" s="1"/>
      </tp>
      <tp>
        <v>5.17</v>
        <stp/>
        <stp>ASK</stp>
        <stp>.QQQ250520P523</stp>
        <tr r="DD54" s="1"/>
        <tr r="DD54" s="1"/>
      </tp>
      <tp>
        <v>0.01</v>
        <stp/>
        <stp>ASK</stp>
        <stp>.QQQ250520C524</stp>
        <tr r="DC53" s="1"/>
        <tr r="DC53" s="1"/>
      </tp>
      <tp>
        <v>6.8</v>
        <stp/>
        <stp>ASK</stp>
        <stp>.QQQ250520P524</stp>
        <tr r="DD53" s="1"/>
        <tr r="DD53" s="1"/>
      </tp>
      <tp>
        <v>0.01</v>
        <stp/>
        <stp>ASK</stp>
        <stp>.QQQ250520C525</stp>
        <tr r="DC52" s="1"/>
        <tr r="DC52" s="1"/>
      </tp>
      <tp>
        <v>7.7</v>
        <stp/>
        <stp>ASK</stp>
        <stp>.QQQ250520P525</stp>
        <tr r="DD52" s="1"/>
        <tr r="DD52" s="1"/>
      </tp>
      <tp>
        <v>0.01</v>
        <stp/>
        <stp>ASK</stp>
        <stp>.QQQ250520C526</stp>
        <tr r="DC51" s="1"/>
        <tr r="DC51" s="1"/>
      </tp>
      <tp>
        <v>8.59</v>
        <stp/>
        <stp>ASK</stp>
        <stp>.QQQ250520P526</stp>
        <tr r="DD51" s="1"/>
        <tr r="DD51" s="1"/>
      </tp>
      <tp>
        <v>0.01</v>
        <stp/>
        <stp>ASK</stp>
        <stp>.QQQ250520C527</stp>
        <tr r="DC50" s="1"/>
        <tr r="DC50" s="1"/>
      </tp>
      <tp>
        <v>9.59</v>
        <stp/>
        <stp>ASK</stp>
        <stp>.QQQ250520P527</stp>
        <tr r="DD50" s="1"/>
        <tr r="DD50" s="1"/>
      </tp>
      <tp>
        <v>0.01</v>
        <stp/>
        <stp>ASK</stp>
        <stp>.QQQ250520C528</stp>
        <tr r="DC49" s="1"/>
        <tr r="DC49" s="1"/>
      </tp>
      <tp>
        <v>10.57</v>
        <stp/>
        <stp>ASK</stp>
        <stp>.QQQ250520P528</stp>
        <tr r="DD49" s="1"/>
        <tr r="DD49" s="1"/>
      </tp>
      <tp>
        <v>0.01</v>
        <stp/>
        <stp>ASK</stp>
        <stp>.QQQ250520C529</stp>
        <tr r="DC48" s="1"/>
        <tr r="DC48" s="1"/>
      </tp>
      <tp>
        <v>11.61</v>
        <stp/>
        <stp>ASK</stp>
        <stp>.QQQ250520P529</stp>
        <tr r="DD48" s="1"/>
        <tr r="DD48" s="1"/>
      </tp>
      <tp>
        <v>0.8</v>
        <stp/>
        <stp>BID</stp>
        <stp>.QQQ250520C518</stp>
        <tr r="DE59" s="1"/>
        <tr r="DE59" s="1"/>
      </tp>
      <tp>
        <v>0.02</v>
        <stp/>
        <stp>BID</stp>
        <stp>.QQQ250520P518</stp>
        <tr r="DF59" s="1"/>
        <tr r="DF59" s="1"/>
      </tp>
      <tp>
        <v>0.21</v>
        <stp/>
        <stp>BID</stp>
        <stp>.QQQ250520C519</stp>
        <tr r="DE58" s="1"/>
        <tr r="DE58" s="1"/>
      </tp>
      <tp>
        <v>0.19</v>
        <stp/>
        <stp>BID</stp>
        <stp>.QQQ250520P519</stp>
        <tr r="DF58" s="1"/>
        <tr r="DF58" s="1"/>
      </tp>
      <tp>
        <v>5.68</v>
        <stp/>
        <stp>BID</stp>
        <stp>.QQQ250520C512</stp>
        <tr r="DE65" s="1"/>
        <tr r="DE65" s="1"/>
      </tp>
      <tp>
        <v>0</v>
        <stp/>
        <stp>BID</stp>
        <stp>.QQQ250520P512</stp>
        <tr r="DF65" s="1"/>
        <tr r="DF65" s="1"/>
      </tp>
      <tp>
        <v>5.39</v>
        <stp/>
        <stp>BID</stp>
        <stp>.QQQ250520C513</stp>
        <tr r="DE64" s="1"/>
        <tr r="DE64" s="1"/>
      </tp>
      <tp>
        <v>0</v>
        <stp/>
        <stp>BID</stp>
        <stp>.QQQ250520P513</stp>
        <tr r="DF64" s="1"/>
        <tr r="DF64" s="1"/>
      </tp>
      <tp>
        <v>7.69</v>
        <stp/>
        <stp>BID</stp>
        <stp>.QQQ250520C510</stp>
        <tr r="DE67" s="1"/>
        <tr r="DE67" s="1"/>
      </tp>
      <tp>
        <v>0</v>
        <stp/>
        <stp>BID</stp>
        <stp>.QQQ250520P510</stp>
        <tr r="DF67" s="1"/>
        <tr r="DF67" s="1"/>
      </tp>
      <tp>
        <v>6.61</v>
        <stp/>
        <stp>BID</stp>
        <stp>.QQQ250520C511</stp>
        <tr r="DE66" s="1"/>
        <tr r="DE66" s="1"/>
      </tp>
      <tp>
        <v>0</v>
        <stp/>
        <stp>BID</stp>
        <stp>.QQQ250520P511</stp>
        <tr r="DF66" s="1"/>
        <tr r="DF66" s="1"/>
      </tp>
      <tp>
        <v>1.68</v>
        <stp/>
        <stp>BID</stp>
        <stp>.QQQ250520C516</stp>
        <tr r="DE61" s="1"/>
        <tr r="DE61" s="1"/>
      </tp>
      <tp>
        <v>0.01</v>
        <stp/>
        <stp>BID</stp>
        <stp>.QQQ250520P516</stp>
        <tr r="DF61" s="1"/>
        <tr r="DF61" s="1"/>
      </tp>
      <tp>
        <v>0.24</v>
        <stp/>
        <stp>BID</stp>
        <stp>.QQQ250520C517</stp>
        <tr r="DE60" s="1"/>
        <tr r="DE60" s="1"/>
      </tp>
      <tp>
        <v>0.01</v>
        <stp/>
        <stp>BID</stp>
        <stp>.QQQ250520P517</stp>
        <tr r="DF60" s="1"/>
        <tr r="DF60" s="1"/>
      </tp>
      <tp>
        <v>3.9</v>
        <stp/>
        <stp>BID</stp>
        <stp>.QQQ250520C514</stp>
        <tr r="DE63" s="1"/>
        <tr r="DE63" s="1"/>
      </tp>
      <tp>
        <v>0</v>
        <stp/>
        <stp>BID</stp>
        <stp>.QQQ250520P514</stp>
        <tr r="DF63" s="1"/>
        <tr r="DF63" s="1"/>
      </tp>
      <tp>
        <v>2.81</v>
        <stp/>
        <stp>BID</stp>
        <stp>.QQQ250520C515</stp>
        <tr r="DE62" s="1"/>
        <tr r="DE62" s="1"/>
      </tp>
      <tp>
        <v>0</v>
        <stp/>
        <stp>BID</stp>
        <stp>.QQQ250520P515</stp>
        <tr r="DF62" s="1"/>
        <tr r="DF62" s="1"/>
      </tp>
      <tp>
        <v>0.01</v>
        <stp/>
        <stp>ASK</stp>
        <stp>.QQQ250520C530</stp>
        <tr r="DC47" s="1"/>
        <tr r="DC47" s="1"/>
      </tp>
      <tp>
        <v>12.61</v>
        <stp/>
        <stp>ASK</stp>
        <stp>.QQQ250520P530</stp>
        <tr r="DD47" s="1"/>
        <tr r="DD47" s="1"/>
      </tp>
      <tp>
        <v>0.01</v>
        <stp/>
        <stp>ASK</stp>
        <stp>.QQQ250520C531</stp>
        <tr r="DC46" s="1"/>
        <tr r="DC46" s="1"/>
      </tp>
      <tp>
        <v>13.61</v>
        <stp/>
        <stp>ASK</stp>
        <stp>.QQQ250520P531</stp>
        <tr r="DD46" s="1"/>
        <tr r="DD46" s="1"/>
      </tp>
      <tp>
        <v>0.01</v>
        <stp/>
        <stp>ASK</stp>
        <stp>.QQQ250520C532</stp>
        <tr r="DC45" s="1"/>
        <tr r="DC45" s="1"/>
      </tp>
      <tp>
        <v>14.53</v>
        <stp/>
        <stp>ASK</stp>
        <stp>.QQQ250520P532</stp>
        <tr r="DD45" s="1"/>
        <tr r="DD45" s="1"/>
      </tp>
      <tp>
        <v>9.73</v>
        <stp/>
        <stp>BID</stp>
        <stp>.QQQ250520C508</stp>
        <tr r="DE69" s="1"/>
        <tr r="DE69" s="1"/>
      </tp>
      <tp>
        <v>0</v>
        <stp/>
        <stp>BID</stp>
        <stp>.QQQ250520P508</stp>
        <tr r="DF69" s="1"/>
        <tr r="DF69" s="1"/>
      </tp>
      <tp>
        <v>8.7200000000000006</v>
        <stp/>
        <stp>BID</stp>
        <stp>.QQQ250520C509</stp>
        <tr r="DE68" s="1"/>
        <tr r="DE68" s="1"/>
      </tp>
      <tp>
        <v>0</v>
        <stp/>
        <stp>BID</stp>
        <stp>.QQQ250520P509</stp>
        <tr r="DF68" s="1"/>
        <tr r="DF68" s="1"/>
      </tp>
      <tp>
        <v>15.53</v>
        <stp/>
        <stp>BID</stp>
        <stp>.QQQ250520C502</stp>
        <tr r="DE75" s="1"/>
        <tr r="DE75" s="1"/>
      </tp>
      <tp>
        <v>0</v>
        <stp/>
        <stp>BID</stp>
        <stp>.QQQ250520P502</stp>
        <tr r="DF75" s="1"/>
        <tr r="DF75" s="1"/>
      </tp>
      <tp>
        <v>14.4</v>
        <stp/>
        <stp>BID</stp>
        <stp>.QQQ250520C503</stp>
        <tr r="DE74" s="1"/>
        <tr r="DE74" s="1"/>
      </tp>
      <tp>
        <v>0</v>
        <stp/>
        <stp>BID</stp>
        <stp>.QQQ250520P503</stp>
        <tr r="DF74" s="1"/>
        <tr r="DF74" s="1"/>
      </tp>
      <tp>
        <v>17.53</v>
        <stp/>
        <stp>BID</stp>
        <stp>.QQQ250520C500</stp>
        <tr r="DE77" s="1"/>
        <tr r="DE77" s="1"/>
      </tp>
      <tp>
        <v>0</v>
        <stp/>
        <stp>BID</stp>
        <stp>.QQQ250520P500</stp>
        <tr r="DF77" s="1"/>
        <tr r="DF77" s="1"/>
      </tp>
      <tp>
        <v>16.399999999999999</v>
        <stp/>
        <stp>BID</stp>
        <stp>.QQQ250520C501</stp>
        <tr r="DE76" s="1"/>
        <tr r="DE76" s="1"/>
      </tp>
      <tp>
        <v>0</v>
        <stp/>
        <stp>BID</stp>
        <stp>.QQQ250520P501</stp>
        <tr r="DF76" s="1"/>
        <tr r="DF76" s="1"/>
      </tp>
      <tp>
        <v>11.75</v>
        <stp/>
        <stp>BID</stp>
        <stp>.QQQ250520C506</stp>
        <tr r="DE71" s="1"/>
        <tr r="DE71" s="1"/>
      </tp>
      <tp>
        <v>0</v>
        <stp/>
        <stp>BID</stp>
        <stp>.QQQ250520P506</stp>
        <tr r="DF71" s="1"/>
        <tr r="DF71" s="1"/>
      </tp>
      <tp>
        <v>10.73</v>
        <stp/>
        <stp>BID</stp>
        <stp>.QQQ250520C507</stp>
        <tr r="DE70" s="1"/>
        <tr r="DE70" s="1"/>
      </tp>
      <tp>
        <v>0</v>
        <stp/>
        <stp>BID</stp>
        <stp>.QQQ250520P507</stp>
        <tr r="DF70" s="1"/>
        <tr r="DF70" s="1"/>
      </tp>
      <tp>
        <v>13.52</v>
        <stp/>
        <stp>BID</stp>
        <stp>.QQQ250520C504</stp>
        <tr r="DE73" s="1"/>
        <tr r="DE73" s="1"/>
      </tp>
      <tp>
        <v>0</v>
        <stp/>
        <stp>BID</stp>
        <stp>.QQQ250520P504</stp>
        <tr r="DF73" s="1"/>
        <tr r="DF73" s="1"/>
      </tp>
      <tp>
        <v>12.73</v>
        <stp/>
        <stp>BID</stp>
        <stp>.QQQ250520C505</stp>
        <tr r="DE72" s="1"/>
        <tr r="DE72" s="1"/>
      </tp>
      <tp>
        <v>0</v>
        <stp/>
        <stp>BID</stp>
        <stp>.QQQ250520P505</stp>
        <tr r="DF72" s="1"/>
        <tr r="DF72" s="1"/>
      </tp>
      <tp>
        <v>110</v>
        <stp/>
        <stp>OPEN_INT</stp>
        <stp>.NDX250620P21200</stp>
        <tr r="AX151" s="1"/>
        <tr r="AX151" s="1"/>
      </tp>
      <tp>
        <v>24</v>
        <stp/>
        <stp>OPEN_INT</stp>
        <stp>.NDX250620P21225</stp>
        <tr r="AX150" s="1"/>
        <tr r="AX150" s="1"/>
      </tp>
      <tp>
        <v>96</v>
        <stp/>
        <stp>OPEN_INT</stp>
        <stp>.NDX250620P20250</stp>
        <tr r="AX189" s="1"/>
        <tr r="AX189" s="1"/>
      </tp>
      <tp>
        <v>38</v>
        <stp/>
        <stp>OPEN_INT</stp>
        <stp>.NDX250620P21250</stp>
        <tr r="AX149" s="1"/>
        <tr r="AX149" s="1"/>
      </tp>
      <tp>
        <v>14</v>
        <stp/>
        <stp>OPEN_INT</stp>
        <stp>.NDX250620P20275</stp>
        <tr r="AX188" s="1"/>
        <tr r="AX188" s="1"/>
      </tp>
      <tp>
        <v>5</v>
        <stp/>
        <stp>OPEN_INT</stp>
        <stp>.NDX250620P21275</stp>
        <tr r="AX148" s="1"/>
        <tr r="AX148" s="1"/>
      </tp>
      <tp>
        <v>27</v>
        <stp/>
        <stp>OPEN_INT</stp>
        <stp>.NDX250620C21225</stp>
        <tr r="AW150" s="1"/>
        <tr r="AW150" s="1"/>
      </tp>
      <tp>
        <v>107</v>
        <stp/>
        <stp>OPEN_INT</stp>
        <stp>.NDX250620C21200</stp>
        <tr r="AW151" s="1"/>
        <tr r="AW151" s="1"/>
      </tp>
      <tp>
        <v>29</v>
        <stp/>
        <stp>OPEN_INT</stp>
        <stp>.NDX250620C20275</stp>
        <tr r="AW188" s="1"/>
        <tr r="AW188" s="1"/>
      </tp>
      <tp>
        <v>17</v>
        <stp/>
        <stp>OPEN_INT</stp>
        <stp>.NDX250620C21275</stp>
        <tr r="AW148" s="1"/>
        <tr r="AW148" s="1"/>
      </tp>
      <tp>
        <v>17</v>
        <stp/>
        <stp>OPEN_INT</stp>
        <stp>.NDX250620C20250</stp>
        <tr r="AW189" s="1"/>
        <tr r="AW189" s="1"/>
      </tp>
      <tp>
        <v>422</v>
        <stp/>
        <stp>OPEN_INT</stp>
        <stp>.NDX250620C21250</stp>
        <tr r="AW149" s="1"/>
        <tr r="AW149" s="1"/>
      </tp>
      <tp>
        <v>23.5</v>
        <stp/>
        <stp>ASK</stp>
        <stp>.QQQ250520C498</stp>
        <tr r="DC79" s="1"/>
        <tr r="DC79" s="1"/>
      </tp>
      <tp>
        <v>0.01</v>
        <stp/>
        <stp>ASK</stp>
        <stp>.QQQ250520P498</stp>
        <tr r="DD79" s="1"/>
        <tr r="DD79" s="1"/>
      </tp>
      <tp>
        <v>22.5</v>
        <stp/>
        <stp>ASK</stp>
        <stp>.QQQ250520C499</stp>
        <tr r="DC78" s="1"/>
        <tr r="DC78" s="1"/>
      </tp>
      <tp>
        <v>0.01</v>
        <stp/>
        <stp>ASK</stp>
        <stp>.QQQ250520P499</stp>
        <tr r="DD78" s="1"/>
        <tr r="DD78" s="1"/>
      </tp>
      <tp>
        <v>19.52</v>
        <stp/>
        <stp>BID</stp>
        <stp>.QQQ250520C498</stp>
        <tr r="DE79" s="1"/>
        <tr r="DE79" s="1"/>
      </tp>
      <tp>
        <v>0</v>
        <stp/>
        <stp>BID</stp>
        <stp>.QQQ250520P498</stp>
        <tr r="DF79" s="1"/>
        <tr r="DF79" s="1"/>
      </tp>
      <tp>
        <v>18.399999999999999</v>
        <stp/>
        <stp>BID</stp>
        <stp>.QQQ250520C499</stp>
        <tr r="DE78" s="1"/>
        <tr r="DE78" s="1"/>
      </tp>
      <tp>
        <v>0</v>
        <stp/>
        <stp>BID</stp>
        <stp>.QQQ250520P499</stp>
        <tr r="DF78" s="1"/>
        <tr r="DF78" s="1"/>
      </tp>
      <tp>
        <v>167</v>
        <stp/>
        <stp>OPEN_INT</stp>
        <stp>.NDX250620P20500</stp>
        <tr r="AX179" s="1"/>
        <tr r="AX179" s="1"/>
      </tp>
      <tp>
        <v>469</v>
        <stp/>
        <stp>OPEN_INT</stp>
        <stp>.NDX250620P21500</stp>
        <tr r="AX139" s="1"/>
        <tr r="AX139" s="1"/>
      </tp>
      <tp>
        <v>4</v>
        <stp/>
        <stp>OPEN_INT</stp>
        <stp>.NDX250620P20525</stp>
        <tr r="AX178" s="1"/>
        <tr r="AX178" s="1"/>
      </tp>
      <tp>
        <v>16</v>
        <stp/>
        <stp>OPEN_INT</stp>
        <stp>.NDX250620P21525</stp>
        <tr r="AX138" s="1"/>
        <tr r="AX138" s="1"/>
      </tp>
      <tp>
        <v>7</v>
        <stp/>
        <stp>OPEN_INT</stp>
        <stp>.NDX250620P20550</stp>
        <tr r="AX177" s="1"/>
        <tr r="AX177" s="1"/>
      </tp>
      <tp>
        <v>1</v>
        <stp/>
        <stp>OPEN_INT</stp>
        <stp>.NDX250620P21550</stp>
        <tr r="AX137" s="1"/>
        <tr r="AX137" s="1"/>
      </tp>
      <tp>
        <v>5</v>
        <stp/>
        <stp>OPEN_INT</stp>
        <stp>.NDX250620P20575</stp>
        <tr r="AX176" s="1"/>
        <tr r="AX176" s="1"/>
      </tp>
      <tp>
        <v>5148</v>
        <stp/>
        <stp>OPEN_INT</stp>
        <stp>.SPY250620P600</stp>
        <tr r="AX6" s="1"/>
        <tr r="AX6" s="1"/>
      </tp>
      <tp>
        <v>105471</v>
        <stp/>
        <stp>OPEN_INT</stp>
        <stp>.SPY250620C600</stp>
        <tr r="AW6" s="1"/>
        <tr r="AW6" s="1"/>
      </tp>
      <tp>
        <v>32</v>
        <stp/>
        <stp>OPEN_INT</stp>
        <stp>.SPY250620P601</stp>
        <tr r="AX5" s="1"/>
        <tr r="AX5" s="1"/>
      </tp>
      <tp>
        <v>368</v>
        <stp/>
        <stp>OPEN_INT</stp>
        <stp>.SPY250620C601</stp>
        <tr r="AW5" s="1"/>
        <tr r="AW5" s="1"/>
      </tp>
      <tp>
        <v>12</v>
        <stp/>
        <stp>OPEN_INT</stp>
        <stp>.SPY250620P602</stp>
        <tr r="AX4" s="1"/>
        <tr r="AX4" s="1"/>
      </tp>
      <tp>
        <v>729</v>
        <stp/>
        <stp>OPEN_INT</stp>
        <stp>.SPY250620C602</stp>
        <tr r="AW4" s="1"/>
        <tr r="AW4" s="1"/>
      </tp>
      <tp>
        <v>8</v>
        <stp/>
        <stp>OPEN_INT</stp>
        <stp>.NDX250620C20525</stp>
        <tr r="AW178" s="1"/>
        <tr r="AW178" s="1"/>
      </tp>
      <tp>
        <v>24</v>
        <stp/>
        <stp>OPEN_INT</stp>
        <stp>.NDX250620C21525</stp>
        <tr r="AW138" s="1"/>
        <tr r="AW138" s="1"/>
      </tp>
      <tp>
        <v>339</v>
        <stp/>
        <stp>OPEN_INT</stp>
        <stp>.NDX250620C20500</stp>
        <tr r="AW179" s="1"/>
        <tr r="AW179" s="1"/>
      </tp>
      <tp>
        <v>775</v>
        <stp/>
        <stp>OPEN_INT</stp>
        <stp>.NDX250620C21500</stp>
        <tr r="AW139" s="1"/>
        <tr r="AW139" s="1"/>
      </tp>
      <tp>
        <v>10</v>
        <stp/>
        <stp>OPEN_INT</stp>
        <stp>.NDX250620C20575</stp>
        <tr r="AW176" s="1"/>
        <tr r="AW176" s="1"/>
      </tp>
      <tp>
        <v>10065</v>
        <stp/>
        <stp>OPEN_INT</stp>
        <stp>.SPY250520P568</stp>
        <tr r="AT38" s="1"/>
        <tr r="AT38" s="1"/>
      </tp>
      <tp>
        <v>228</v>
        <stp/>
        <stp>OPEN_INT</stp>
        <stp>.SPY250520C568</stp>
        <tr r="AS38" s="1"/>
        <tr r="AS38" s="1"/>
      </tp>
      <tp>
        <v>10789</v>
        <stp/>
        <stp>OPEN_INT</stp>
        <stp>.SPY250520P569</stp>
        <tr r="AT37" s="1"/>
        <tr r="AT37" s="1"/>
      </tp>
      <tp>
        <v>142</v>
        <stp/>
        <stp>OPEN_INT</stp>
        <stp>.SPY250520C569</stp>
        <tr r="AS37" s="1"/>
        <tr r="AS37" s="1"/>
      </tp>
      <tp>
        <v>1674</v>
        <stp/>
        <stp>OPEN_INT</stp>
        <stp>.SPY250523P569</stp>
        <tr r="AV37" s="1"/>
        <tr r="AV37" s="1"/>
      </tp>
      <tp>
        <v>530</v>
        <stp/>
        <stp>OPEN_INT</stp>
        <stp>.SPY250523C569</stp>
        <tr r="AU37" s="1"/>
        <tr r="AU37" s="1"/>
      </tp>
      <tp>
        <v>6716</v>
        <stp/>
        <stp>OPEN_INT</stp>
        <stp>.SPY250523P568</stp>
        <tr r="AV38" s="1"/>
        <tr r="AV38" s="1"/>
      </tp>
      <tp>
        <v>1214</v>
        <stp/>
        <stp>OPEN_INT</stp>
        <stp>.SPY250523C568</stp>
        <tr r="AU38" s="1"/>
        <tr r="AU38" s="1"/>
      </tp>
      <tp>
        <v>20</v>
        <stp/>
        <stp>OPEN_INT</stp>
        <stp>.NDX250620C20550</stp>
        <tr r="AW177" s="1"/>
        <tr r="AW177" s="1"/>
      </tp>
      <tp>
        <v>5</v>
        <stp/>
        <stp>OPEN_INT</stp>
        <stp>.NDX250620C21550</stp>
        <tr r="AW137" s="1"/>
        <tr r="AW137" s="1"/>
      </tp>
      <tp>
        <v>3104</v>
        <stp/>
        <stp>OPEN_INT</stp>
        <stp>.SPY250520P574</stp>
        <tr r="AT32" s="1"/>
        <tr r="AT32" s="1"/>
      </tp>
      <tp>
        <v>1638</v>
        <stp/>
        <stp>OPEN_INT</stp>
        <stp>.SPY250523P577</stp>
        <tr r="AV29" s="1"/>
        <tr r="AV29" s="1"/>
      </tp>
      <tp>
        <v>268</v>
        <stp/>
        <stp>OPEN_INT</stp>
        <stp>.SPY250520C574</stp>
        <tr r="AS32" s="1"/>
        <tr r="AS32" s="1"/>
      </tp>
      <tp>
        <v>390</v>
        <stp/>
        <stp>OPEN_INT</stp>
        <stp>.SPY250523C577</stp>
        <tr r="AU29" s="1"/>
        <tr r="AU29" s="1"/>
      </tp>
      <tp>
        <v>6153</v>
        <stp/>
        <stp>OPEN_INT</stp>
        <stp>.SPY250520P575</stp>
        <tr r="AT31" s="1"/>
        <tr r="AT31" s="1"/>
      </tp>
      <tp>
        <v>2053</v>
        <stp/>
        <stp>OPEN_INT</stp>
        <stp>.SPY250523P576</stp>
        <tr r="AV30" s="1"/>
        <tr r="AV30" s="1"/>
      </tp>
      <tp>
        <v>488</v>
        <stp/>
        <stp>OPEN_INT</stp>
        <stp>.SPY250520C575</stp>
        <tr r="AS31" s="1"/>
        <tr r="AS31" s="1"/>
      </tp>
      <tp>
        <v>402</v>
        <stp/>
        <stp>OPEN_INT</stp>
        <stp>.SPY250523C576</stp>
        <tr r="AU30" s="1"/>
        <tr r="AU30" s="1"/>
      </tp>
      <tp>
        <v>2632</v>
        <stp/>
        <stp>OPEN_INT</stp>
        <stp>.SPY250520P576</stp>
        <tr r="AT30" s="1"/>
        <tr r="AT30" s="1"/>
      </tp>
      <tp>
        <v>14478</v>
        <stp/>
        <stp>OPEN_INT</stp>
        <stp>.SPY250523P575</stp>
        <tr r="AV31" s="1"/>
        <tr r="AV31" s="1"/>
      </tp>
      <tp>
        <v>164</v>
        <stp/>
        <stp>OPEN_INT</stp>
        <stp>.SPY250520C576</stp>
        <tr r="AS30" s="1"/>
        <tr r="AS30" s="1"/>
      </tp>
      <tp>
        <v>2765</v>
        <stp/>
        <stp>OPEN_INT</stp>
        <stp>.SPY250523C575</stp>
        <tr r="AU31" s="1"/>
        <tr r="AU31" s="1"/>
      </tp>
      <tp>
        <v>2087</v>
        <stp/>
        <stp>OPEN_INT</stp>
        <stp>.SPY250520P577</stp>
        <tr r="AT29" s="1"/>
        <tr r="AT29" s="1"/>
      </tp>
      <tp>
        <v>2044</v>
        <stp/>
        <stp>OPEN_INT</stp>
        <stp>.SPY250523P574</stp>
        <tr r="AV32" s="1"/>
        <tr r="AV32" s="1"/>
      </tp>
      <tp>
        <v>149</v>
        <stp/>
        <stp>OPEN_INT</stp>
        <stp>.SPY250520C577</stp>
        <tr r="AS29" s="1"/>
        <tr r="AS29" s="1"/>
      </tp>
      <tp>
        <v>586</v>
        <stp/>
        <stp>OPEN_INT</stp>
        <stp>.SPY250523C574</stp>
        <tr r="AU32" s="1"/>
        <tr r="AU32" s="1"/>
      </tp>
      <tp>
        <v>4717</v>
        <stp/>
        <stp>OPEN_INT</stp>
        <stp>.SPY250520P570</stp>
        <tr r="AT36" s="1"/>
        <tr r="AT36" s="1"/>
      </tp>
      <tp>
        <v>2244</v>
        <stp/>
        <stp>OPEN_INT</stp>
        <stp>.SPY250523P573</stp>
        <tr r="AV33" s="1"/>
        <tr r="AV33" s="1"/>
      </tp>
      <tp>
        <v>484</v>
        <stp/>
        <stp>OPEN_INT</stp>
        <stp>.SPY250520C570</stp>
        <tr r="AS36" s="1"/>
        <tr r="AS36" s="1"/>
      </tp>
      <tp>
        <v>426</v>
        <stp/>
        <stp>OPEN_INT</stp>
        <stp>.SPY250523C573</stp>
        <tr r="AU33" s="1"/>
        <tr r="AU33" s="1"/>
      </tp>
      <tp>
        <v>1327</v>
        <stp/>
        <stp>OPEN_INT</stp>
        <stp>.SPY250520P571</stp>
        <tr r="AT35" s="1"/>
        <tr r="AT35" s="1"/>
      </tp>
      <tp>
        <v>1235</v>
        <stp/>
        <stp>OPEN_INT</stp>
        <stp>.SPY250523P572</stp>
        <tr r="AV34" s="1"/>
        <tr r="AV34" s="1"/>
      </tp>
      <tp>
        <v>342</v>
        <stp/>
        <stp>OPEN_INT</stp>
        <stp>.SPY250520C571</stp>
        <tr r="AS35" s="1"/>
        <tr r="AS35" s="1"/>
      </tp>
      <tp>
        <v>542</v>
        <stp/>
        <stp>OPEN_INT</stp>
        <stp>.SPY250523C572</stp>
        <tr r="AU34" s="1"/>
        <tr r="AU34" s="1"/>
      </tp>
      <tp>
        <v>2483</v>
        <stp/>
        <stp>OPEN_INT</stp>
        <stp>.SPY250520P572</stp>
        <tr r="AT34" s="1"/>
        <tr r="AT34" s="1"/>
      </tp>
      <tp>
        <v>1006</v>
        <stp/>
        <stp>OPEN_INT</stp>
        <stp>.SPY250523P571</stp>
        <tr r="AV35" s="1"/>
        <tr r="AV35" s="1"/>
      </tp>
      <tp>
        <v>226</v>
        <stp/>
        <stp>OPEN_INT</stp>
        <stp>.SPY250520C572</stp>
        <tr r="AS34" s="1"/>
        <tr r="AS34" s="1"/>
      </tp>
      <tp>
        <v>1106</v>
        <stp/>
        <stp>OPEN_INT</stp>
        <stp>.SPY250523C571</stp>
        <tr r="AU35" s="1"/>
        <tr r="AU35" s="1"/>
      </tp>
      <tp>
        <v>1861</v>
        <stp/>
        <stp>OPEN_INT</stp>
        <stp>.SPY250520P573</stp>
        <tr r="AT33" s="1"/>
        <tr r="AT33" s="1"/>
      </tp>
      <tp>
        <v>13959</v>
        <stp/>
        <stp>OPEN_INT</stp>
        <stp>.SPY250523P570</stp>
        <tr r="AV36" s="1"/>
        <tr r="AV36" s="1"/>
      </tp>
      <tp>
        <v>139</v>
        <stp/>
        <stp>OPEN_INT</stp>
        <stp>.SPY250520C573</stp>
        <tr r="AS33" s="1"/>
        <tr r="AS33" s="1"/>
      </tp>
      <tp>
        <v>4346</v>
        <stp/>
        <stp>OPEN_INT</stp>
        <stp>.SPY250523C570</stp>
        <tr r="AU36" s="1"/>
        <tr r="AU36" s="1"/>
      </tp>
      <tp>
        <v>3551</v>
        <stp/>
        <stp>OPEN_INT</stp>
        <stp>.SPY250520P578</stp>
        <tr r="AT28" s="1"/>
        <tr r="AT28" s="1"/>
      </tp>
      <tp>
        <v>923</v>
        <stp/>
        <stp>OPEN_INT</stp>
        <stp>.SPY250520C578</stp>
        <tr r="AS28" s="1"/>
        <tr r="AS28" s="1"/>
      </tp>
      <tp>
        <v>5320</v>
        <stp/>
        <stp>OPEN_INT</stp>
        <stp>.SPY250520P579</stp>
        <tr r="AT27" s="1"/>
        <tr r="AT27" s="1"/>
      </tp>
      <tp>
        <v>357</v>
        <stp/>
        <stp>OPEN_INT</stp>
        <stp>.SPY250520C579</stp>
        <tr r="AS27" s="1"/>
        <tr r="AS27" s="1"/>
      </tp>
      <tp>
        <v>3252</v>
        <stp/>
        <stp>OPEN_INT</stp>
        <stp>.SPY250523P579</stp>
        <tr r="AV27" s="1"/>
        <tr r="AV27" s="1"/>
      </tp>
      <tp>
        <v>775</v>
        <stp/>
        <stp>OPEN_INT</stp>
        <stp>.SPY250523C579</stp>
        <tr r="AU27" s="1"/>
        <tr r="AU27" s="1"/>
      </tp>
      <tp>
        <v>2622</v>
        <stp/>
        <stp>OPEN_INT</stp>
        <stp>.SPY250523P578</stp>
        <tr r="AV28" s="1"/>
        <tr r="AV28" s="1"/>
      </tp>
      <tp>
        <v>688</v>
        <stp/>
        <stp>OPEN_INT</stp>
        <stp>.SPY250523C578</stp>
        <tr r="AU28" s="1"/>
        <tr r="AU28" s="1"/>
      </tp>
      <tp>
        <v>3665</v>
        <stp/>
        <stp>OPEN_INT</stp>
        <stp>.SPY250520P584</stp>
        <tr r="AT22" s="1"/>
        <tr r="AT22" s="1"/>
      </tp>
      <tp>
        <v>5418</v>
        <stp/>
        <stp>OPEN_INT</stp>
        <stp>.SPY250523P587</stp>
        <tr r="AV19" s="1"/>
        <tr r="AV19" s="1"/>
      </tp>
      <tp>
        <v>369</v>
        <stp/>
        <stp>OPEN_INT</stp>
        <stp>.SPY250520C584</stp>
        <tr r="AS22" s="1"/>
        <tr r="AS22" s="1"/>
      </tp>
      <tp>
        <v>1858</v>
        <stp/>
        <stp>OPEN_INT</stp>
        <stp>.SPY250523C587</stp>
        <tr r="AU19" s="1"/>
        <tr r="AU19" s="1"/>
      </tp>
      <tp>
        <v>9362</v>
        <stp/>
        <stp>OPEN_INT</stp>
        <stp>.SPY250520P585</stp>
        <tr r="AT21" s="1"/>
        <tr r="AT21" s="1"/>
      </tp>
      <tp>
        <v>5131</v>
        <stp/>
        <stp>OPEN_INT</stp>
        <stp>.SPY250523P586</stp>
        <tr r="AV20" s="1"/>
        <tr r="AV20" s="1"/>
      </tp>
      <tp>
        <v>1368</v>
        <stp/>
        <stp>OPEN_INT</stp>
        <stp>.SPY250520C585</stp>
        <tr r="AS21" s="1"/>
        <tr r="AS21" s="1"/>
      </tp>
      <tp>
        <v>1886</v>
        <stp/>
        <stp>OPEN_INT</stp>
        <stp>.SPY250523C586</stp>
        <tr r="AU20" s="1"/>
        <tr r="AU20" s="1"/>
      </tp>
      <tp>
        <v>5114</v>
        <stp/>
        <stp>OPEN_INT</stp>
        <stp>.SPY250520P586</stp>
        <tr r="AT20" s="1"/>
        <tr r="AT20" s="1"/>
      </tp>
      <tp>
        <v>17033</v>
        <stp/>
        <stp>OPEN_INT</stp>
        <stp>.SPY250523P585</stp>
        <tr r="AV21" s="1"/>
        <tr r="AV21" s="1"/>
      </tp>
      <tp>
        <v>2482</v>
        <stp/>
        <stp>OPEN_INT</stp>
        <stp>.SPY250520C586</stp>
        <tr r="AS20" s="1"/>
        <tr r="AS20" s="1"/>
      </tp>
      <tp>
        <v>12440</v>
        <stp/>
        <stp>OPEN_INT</stp>
        <stp>.SPY250523C585</stp>
        <tr r="AU21" s="1"/>
        <tr r="AU21" s="1"/>
      </tp>
      <tp>
        <v>4824</v>
        <stp/>
        <stp>OPEN_INT</stp>
        <stp>.SPY250520P587</stp>
        <tr r="AT19" s="1"/>
        <tr r="AT19" s="1"/>
      </tp>
      <tp>
        <v>2492</v>
        <stp/>
        <stp>OPEN_INT</stp>
        <stp>.SPY250523P584</stp>
        <tr r="AV22" s="1"/>
        <tr r="AV22" s="1"/>
      </tp>
      <tp>
        <v>1427</v>
        <stp/>
        <stp>OPEN_INT</stp>
        <stp>.SPY250520C587</stp>
        <tr r="AS19" s="1"/>
        <tr r="AS19" s="1"/>
      </tp>
      <tp>
        <v>1938</v>
        <stp/>
        <stp>OPEN_INT</stp>
        <stp>.SPY250523C584</stp>
        <tr r="AU22" s="1"/>
        <tr r="AU22" s="1"/>
      </tp>
      <tp>
        <v>15055</v>
        <stp/>
        <stp>OPEN_INT</stp>
        <stp>.SPY250520P580</stp>
        <tr r="AT26" s="1"/>
        <tr r="AT26" s="1"/>
      </tp>
      <tp>
        <v>7761</v>
        <stp/>
        <stp>OPEN_INT</stp>
        <stp>.SPY250523P583</stp>
        <tr r="AV23" s="1"/>
        <tr r="AV23" s="1"/>
      </tp>
      <tp>
        <v>3529</v>
        <stp/>
        <stp>OPEN_INT</stp>
        <stp>.SPY250520C580</stp>
        <tr r="AS26" s="1"/>
        <tr r="AS26" s="1"/>
      </tp>
      <tp>
        <v>897</v>
        <stp/>
        <stp>OPEN_INT</stp>
        <stp>.SPY250523C583</stp>
        <tr r="AU23" s="1"/>
        <tr r="AU23" s="1"/>
      </tp>
      <tp>
        <v>2765</v>
        <stp/>
        <stp>OPEN_INT</stp>
        <stp>.SPY250520P581</stp>
        <tr r="AT25" s="1"/>
        <tr r="AT25" s="1"/>
      </tp>
      <tp>
        <v>2696</v>
        <stp/>
        <stp>OPEN_INT</stp>
        <stp>.SPY250523P582</stp>
        <tr r="AV24" s="1"/>
        <tr r="AV24" s="1"/>
      </tp>
      <tp>
        <v>348</v>
        <stp/>
        <stp>OPEN_INT</stp>
        <stp>.SPY250520C581</stp>
        <tr r="AS25" s="1"/>
        <tr r="AS25" s="1"/>
      </tp>
      <tp>
        <v>941</v>
        <stp/>
        <stp>OPEN_INT</stp>
        <stp>.SPY250523C582</stp>
        <tr r="AU24" s="1"/>
        <tr r="AU24" s="1"/>
      </tp>
      <tp>
        <v>2622</v>
        <stp/>
        <stp>OPEN_INT</stp>
        <stp>.SPY250520P582</stp>
        <tr r="AT24" s="1"/>
        <tr r="AT24" s="1"/>
      </tp>
      <tp>
        <v>3133</v>
        <stp/>
        <stp>OPEN_INT</stp>
        <stp>.SPY250523P581</stp>
        <tr r="AV25" s="1"/>
        <tr r="AV25" s="1"/>
      </tp>
      <tp>
        <v>591</v>
        <stp/>
        <stp>OPEN_INT</stp>
        <stp>.SPY250520C582</stp>
        <tr r="AS24" s="1"/>
        <tr r="AS24" s="1"/>
      </tp>
      <tp>
        <v>775</v>
        <stp/>
        <stp>OPEN_INT</stp>
        <stp>.SPY250523C581</stp>
        <tr r="AU25" s="1"/>
        <tr r="AU25" s="1"/>
      </tp>
      <tp>
        <v>4554</v>
        <stp/>
        <stp>OPEN_INT</stp>
        <stp>.SPY250520P583</stp>
        <tr r="AT23" s="1"/>
        <tr r="AT23" s="1"/>
      </tp>
      <tp>
        <v>18722</v>
        <stp/>
        <stp>OPEN_INT</stp>
        <stp>.SPY250523P580</stp>
        <tr r="AV26" s="1"/>
        <tr r="AV26" s="1"/>
      </tp>
      <tp>
        <v>495</v>
        <stp/>
        <stp>OPEN_INT</stp>
        <stp>.SPY250520C583</stp>
        <tr r="AS23" s="1"/>
        <tr r="AS23" s="1"/>
      </tp>
      <tp>
        <v>4564</v>
        <stp/>
        <stp>OPEN_INT</stp>
        <stp>.SPY250523C580</stp>
        <tr r="AU26" s="1"/>
        <tr r="AU26" s="1"/>
      </tp>
      <tp>
        <v>7962</v>
        <stp/>
        <stp>OPEN_INT</stp>
        <stp>.SPY250520P588</stp>
        <tr r="AT18" s="1"/>
        <tr r="AT18" s="1"/>
      </tp>
      <tp>
        <v>2427</v>
        <stp/>
        <stp>OPEN_INT</stp>
        <stp>.SPY250520C588</stp>
        <tr r="AS18" s="1"/>
        <tr r="AS18" s="1"/>
      </tp>
      <tp>
        <v>8508</v>
        <stp/>
        <stp>OPEN_INT</stp>
        <stp>.SPY250520P589</stp>
        <tr r="AT17" s="1"/>
        <tr r="AT17" s="1"/>
      </tp>
      <tp>
        <v>2933</v>
        <stp/>
        <stp>OPEN_INT</stp>
        <stp>.SPY250520C589</stp>
        <tr r="AS17" s="1"/>
        <tr r="AS17" s="1"/>
      </tp>
      <tp>
        <v>6109</v>
        <stp/>
        <stp>OPEN_INT</stp>
        <stp>.SPY250523P589</stp>
        <tr r="AV17" s="1"/>
        <tr r="AV17" s="1"/>
      </tp>
      <tp>
        <v>7316</v>
        <stp/>
        <stp>OPEN_INT</stp>
        <stp>.SPY250523C589</stp>
        <tr r="AU17" s="1"/>
        <tr r="AU17" s="1"/>
      </tp>
      <tp>
        <v>7345</v>
        <stp/>
        <stp>OPEN_INT</stp>
        <stp>.SPY250523P588</stp>
        <tr r="AV18" s="1"/>
        <tr r="AV18" s="1"/>
      </tp>
      <tp>
        <v>2041</v>
        <stp/>
        <stp>OPEN_INT</stp>
        <stp>.SPY250523C588</stp>
        <tr r="AU18" s="1"/>
        <tr r="AU18" s="1"/>
      </tp>
      <tp>
        <v>11478</v>
        <stp/>
        <stp>OPEN_INT</stp>
        <stp>.SPY250520P594</stp>
        <tr r="AT12" s="1"/>
        <tr r="AT12" s="1"/>
      </tp>
      <tp>
        <v>480</v>
        <stp/>
        <stp>OPEN_INT</stp>
        <stp>.SPY250523P597</stp>
        <tr r="AV9" s="1"/>
        <tr r="AV9" s="1"/>
      </tp>
      <tp>
        <v>8794</v>
        <stp/>
        <stp>OPEN_INT</stp>
        <stp>.SPY250520C594</stp>
        <tr r="AS12" s="1"/>
        <tr r="AS12" s="1"/>
      </tp>
      <tp>
        <v>2629</v>
        <stp/>
        <stp>OPEN_INT</stp>
        <stp>.SPY250523C597</stp>
        <tr r="AU9" s="1"/>
        <tr r="AU9" s="1"/>
      </tp>
      <tp>
        <v>5961</v>
        <stp/>
        <stp>OPEN_INT</stp>
        <stp>.SPY250520P595</stp>
        <tr r="AT11" s="1"/>
        <tr r="AT11" s="1"/>
      </tp>
      <tp>
        <v>965</v>
        <stp/>
        <stp>OPEN_INT</stp>
        <stp>.SPY250523P596</stp>
        <tr r="AV10" s="1"/>
        <tr r="AV10" s="1"/>
      </tp>
      <tp>
        <v>11479</v>
        <stp/>
        <stp>OPEN_INT</stp>
        <stp>.SPY250520C595</stp>
        <tr r="AS11" s="1"/>
        <tr r="AS11" s="1"/>
      </tp>
      <tp>
        <v>3134</v>
        <stp/>
        <stp>OPEN_INT</stp>
        <stp>.SPY250523C596</stp>
        <tr r="AU10" s="1"/>
        <tr r="AU10" s="1"/>
      </tp>
      <tp>
        <v>4035</v>
        <stp/>
        <stp>OPEN_INT</stp>
        <stp>.SPY250520P596</stp>
        <tr r="AT10" s="1"/>
        <tr r="AT10" s="1"/>
      </tp>
      <tp>
        <v>3788</v>
        <stp/>
        <stp>OPEN_INT</stp>
        <stp>.SPY250523P595</stp>
        <tr r="AV11" s="1"/>
        <tr r="AV11" s="1"/>
      </tp>
      <tp>
        <v>7858</v>
        <stp/>
        <stp>OPEN_INT</stp>
        <stp>.SPY250520C596</stp>
        <tr r="AS10" s="1"/>
        <tr r="AS10" s="1"/>
      </tp>
      <tp>
        <v>11770</v>
        <stp/>
        <stp>OPEN_INT</stp>
        <stp>.SPY250523C595</stp>
        <tr r="AU11" s="1"/>
        <tr r="AU11" s="1"/>
      </tp>
      <tp>
        <v>703</v>
        <stp/>
        <stp>OPEN_INT</stp>
        <stp>.SPY250520P597</stp>
        <tr r="AT9" s="1"/>
        <tr r="AT9" s="1"/>
      </tp>
      <tp>
        <v>4205</v>
        <stp/>
        <stp>OPEN_INT</stp>
        <stp>.SPY250523P594</stp>
        <tr r="AV12" s="1"/>
        <tr r="AV12" s="1"/>
      </tp>
      <tp>
        <v>6442</v>
        <stp/>
        <stp>OPEN_INT</stp>
        <stp>.SPY250520C597</stp>
        <tr r="AS9" s="1"/>
        <tr r="AS9" s="1"/>
      </tp>
      <tp>
        <v>3362</v>
        <stp/>
        <stp>OPEN_INT</stp>
        <stp>.SPY250523C594</stp>
        <tr r="AU12" s="1"/>
        <tr r="AU12" s="1"/>
      </tp>
      <tp>
        <v>15856</v>
        <stp/>
        <stp>OPEN_INT</stp>
        <stp>.SPY250520P590</stp>
        <tr r="AT16" s="1"/>
        <tr r="AT16" s="1"/>
      </tp>
      <tp>
        <v>2702</v>
        <stp/>
        <stp>OPEN_INT</stp>
        <stp>.SPY250523P593</stp>
        <tr r="AV13" s="1"/>
        <tr r="AV13" s="1"/>
      </tp>
      <tp>
        <v>7012</v>
        <stp/>
        <stp>OPEN_INT</stp>
        <stp>.SPY250520C590</stp>
        <tr r="AS16" s="1"/>
        <tr r="AS16" s="1"/>
      </tp>
      <tp>
        <v>4114</v>
        <stp/>
        <stp>OPEN_INT</stp>
        <stp>.SPY250523C593</stp>
        <tr r="AU13" s="1"/>
        <tr r="AU13" s="1"/>
      </tp>
      <tp>
        <v>6284</v>
        <stp/>
        <stp>OPEN_INT</stp>
        <stp>.SPY250520P591</stp>
        <tr r="AT15" s="1"/>
        <tr r="AT15" s="1"/>
      </tp>
      <tp>
        <v>9643</v>
        <stp/>
        <stp>OPEN_INT</stp>
        <stp>.SPY250523P592</stp>
        <tr r="AV14" s="1"/>
        <tr r="AV14" s="1"/>
      </tp>
      <tp>
        <v>5675</v>
        <stp/>
        <stp>OPEN_INT</stp>
        <stp>.SPY250520C591</stp>
        <tr r="AS15" s="1"/>
        <tr r="AS15" s="1"/>
      </tp>
      <tp>
        <v>2855</v>
        <stp/>
        <stp>OPEN_INT</stp>
        <stp>.SPY250523C592</stp>
        <tr r="AU14" s="1"/>
        <tr r="AU14" s="1"/>
      </tp>
      <tp>
        <v>6894</v>
        <stp/>
        <stp>OPEN_INT</stp>
        <stp>.SPY250520P592</stp>
        <tr r="AT14" s="1"/>
        <tr r="AT14" s="1"/>
      </tp>
      <tp>
        <v>3562</v>
        <stp/>
        <stp>OPEN_INT</stp>
        <stp>.SPY250523P591</stp>
        <tr r="AV15" s="1"/>
        <tr r="AV15" s="1"/>
      </tp>
      <tp>
        <v>5828</v>
        <stp/>
        <stp>OPEN_INT</stp>
        <stp>.SPY250520C592</stp>
        <tr r="AS14" s="1"/>
        <tr r="AS14" s="1"/>
      </tp>
      <tp>
        <v>2882</v>
        <stp/>
        <stp>OPEN_INT</stp>
        <stp>.SPY250523C591</stp>
        <tr r="AU15" s="1"/>
        <tr r="AU15" s="1"/>
      </tp>
      <tp>
        <v>8128</v>
        <stp/>
        <stp>OPEN_INT</stp>
        <stp>.SPY250520P593</stp>
        <tr r="AT13" s="1"/>
        <tr r="AT13" s="1"/>
      </tp>
      <tp>
        <v>23542</v>
        <stp/>
        <stp>OPEN_INT</stp>
        <stp>.SPY250523P590</stp>
        <tr r="AV16" s="1"/>
        <tr r="AV16" s="1"/>
      </tp>
      <tp>
        <v>5895</v>
        <stp/>
        <stp>OPEN_INT</stp>
        <stp>.SPY250520C593</stp>
        <tr r="AS13" s="1"/>
        <tr r="AS13" s="1"/>
      </tp>
      <tp>
        <v>9768</v>
        <stp/>
        <stp>OPEN_INT</stp>
        <stp>.SPY250523C590</stp>
        <tr r="AU16" s="1"/>
        <tr r="AU16" s="1"/>
      </tp>
      <tp>
        <v>397</v>
        <stp/>
        <stp>OPEN_INT</stp>
        <stp>.SPY250520P598</stp>
        <tr r="AT8" s="1"/>
        <tr r="AT8" s="1"/>
      </tp>
      <tp>
        <v>6679</v>
        <stp/>
        <stp>OPEN_INT</stp>
        <stp>.SPY250520C598</stp>
        <tr r="AS8" s="1"/>
        <tr r="AS8" s="1"/>
      </tp>
      <tp>
        <v>125</v>
        <stp/>
        <stp>OPEN_INT</stp>
        <stp>.SPY250520P599</stp>
        <tr r="AT7" s="1"/>
        <tr r="AT7" s="1"/>
      </tp>
      <tp>
        <v>8759</v>
        <stp/>
        <stp>OPEN_INT</stp>
        <stp>.SPY250520C599</stp>
        <tr r="AS7" s="1"/>
        <tr r="AS7" s="1"/>
      </tp>
      <tp>
        <v>150</v>
        <stp/>
        <stp>OPEN_INT</stp>
        <stp>.SPY250523P599</stp>
        <tr r="AV7" s="1"/>
        <tr r="AV7" s="1"/>
      </tp>
      <tp>
        <v>3070</v>
        <stp/>
        <stp>OPEN_INT</stp>
        <stp>.SPY250523C599</stp>
        <tr r="AU7" s="1"/>
        <tr r="AU7" s="1"/>
      </tp>
      <tp>
        <v>423</v>
        <stp/>
        <stp>OPEN_INT</stp>
        <stp>.SPY250523P598</stp>
        <tr r="AV8" s="1"/>
        <tr r="AV8" s="1"/>
      </tp>
      <tp>
        <v>2765</v>
        <stp/>
        <stp>OPEN_INT</stp>
        <stp>.SPY250523C598</stp>
        <tr r="AU8" s="1"/>
        <tr r="AU8" s="1"/>
      </tp>
      <tp t="s">
        <v>14.74%</v>
        <stp/>
        <stp>IMPL_VOL</stp>
        <stp>.SPXW250523C5980</stp>
        <tr r="EN94" s="1"/>
      </tp>
      <tp t="s">
        <v>15.95%</v>
        <stp/>
        <stp>IMPL_VOL</stp>
        <stp>.SPXW250523P5980</stp>
        <tr r="EO94" s="1"/>
      </tp>
      <tp t="s">
        <v>14.60%</v>
        <stp/>
        <stp>IMPL_VOL</stp>
        <stp>.SPXW250523C5990</stp>
        <tr r="EN93" s="1"/>
      </tp>
      <tp t="s">
        <v>15.90%</v>
        <stp/>
        <stp>IMPL_VOL</stp>
        <stp>.SPXW250523P5990</stp>
        <tr r="EO93" s="1"/>
      </tp>
      <tp t="s">
        <v>41.79%</v>
        <stp/>
        <stp>IMPL_VOL</stp>
        <stp>.SPXW250520C5990</stp>
        <tr r="EL93" s="1"/>
      </tp>
      <tp t="s">
        <v>69.80%</v>
        <stp/>
        <stp>IMPL_VOL</stp>
        <stp>.SPXW250520P5990</stp>
        <tr r="EM93" s="1"/>
      </tp>
      <tp t="s">
        <v>34.20%</v>
        <stp/>
        <stp>IMPL_VOL</stp>
        <stp>.SPXW250520C5980</stp>
        <tr r="EL94" s="1"/>
      </tp>
      <tp t="s">
        <v>58.59%</v>
        <stp/>
        <stp>IMPL_VOL</stp>
        <stp>.SPXW250520P5980</stp>
        <tr r="EM94" s="1"/>
      </tp>
      <tp t="s">
        <v>--</v>
        <stp/>
        <stp>IMPL_VOL</stp>
        <stp>.SPXW250520C5930</stp>
        <tr r="EL99" s="1"/>
      </tp>
      <tp t="s">
        <v>16.17%</v>
        <stp/>
        <stp>IMPL_VOL</stp>
        <stp>.SPXW250523C5900</stp>
        <tr r="EN102" s="1"/>
      </tp>
      <tp t="s">
        <v>10.70%</v>
        <stp/>
        <stp>IMPL_VOL</stp>
        <stp>.SPXW250520P5930</stp>
        <tr r="EM99" s="1"/>
      </tp>
      <tp t="s">
        <v>17.36%</v>
        <stp/>
        <stp>IMPL_VOL</stp>
        <stp>.SPXW250523P5900</stp>
        <tr r="EO102" s="1"/>
      </tp>
      <tp t="s">
        <v>--</v>
        <stp/>
        <stp>IMPL_VOL</stp>
        <stp>.SPXW250520C5920</stp>
        <tr r="EL100" s="1"/>
      </tp>
      <tp t="s">
        <v>15.99%</v>
        <stp/>
        <stp>IMPL_VOL</stp>
        <stp>.SPXW250523C5910</stp>
        <tr r="EN101" s="1"/>
      </tp>
      <tp t="s">
        <v>19.25%</v>
        <stp/>
        <stp>IMPL_VOL</stp>
        <stp>.SPXW250520P5920</stp>
        <tr r="EM100" s="1"/>
      </tp>
      <tp t="s">
        <v>17.16%</v>
        <stp/>
        <stp>IMPL_VOL</stp>
        <stp>.SPXW250523P5910</stp>
        <tr r="EO101" s="1"/>
      </tp>
      <tp t="s">
        <v>--</v>
        <stp/>
        <stp>IMPL_VOL</stp>
        <stp>.SPXW250520C5910</stp>
        <tr r="EL101" s="1"/>
      </tp>
      <tp t="s">
        <v>15.81%</v>
        <stp/>
        <stp>IMPL_VOL</stp>
        <stp>.SPXW250523C5920</stp>
        <tr r="EN100" s="1"/>
      </tp>
      <tp t="s">
        <v>27.27%</v>
        <stp/>
        <stp>IMPL_VOL</stp>
        <stp>.SPXW250520P5910</stp>
        <tr r="EM101" s="1"/>
      </tp>
      <tp t="s">
        <v>16.94%</v>
        <stp/>
        <stp>IMPL_VOL</stp>
        <stp>.SPXW250523P5920</stp>
        <tr r="EO100" s="1"/>
      </tp>
      <tp t="s">
        <v>--</v>
        <stp/>
        <stp>IMPL_VOL</stp>
        <stp>.SPXW250520C5900</stp>
        <tr r="EL102" s="1"/>
      </tp>
      <tp t="s">
        <v>15.62%</v>
        <stp/>
        <stp>IMPL_VOL</stp>
        <stp>.SPXW250523C5930</stp>
        <tr r="EN99" s="1"/>
      </tp>
      <tp t="s">
        <v>35.17%</v>
        <stp/>
        <stp>IMPL_VOL</stp>
        <stp>.SPXW250520P5900</stp>
        <tr r="EM102" s="1"/>
      </tp>
      <tp t="s">
        <v>16.73%</v>
        <stp/>
        <stp>IMPL_VOL</stp>
        <stp>.SPXW250523P5930</stp>
        <tr r="EO99" s="1"/>
      </tp>
      <tp t="s">
        <v>26.38%</v>
        <stp/>
        <stp>IMPL_VOL</stp>
        <stp>.SPXW250520C5970</stp>
        <tr r="EL95" s="1"/>
      </tp>
      <tp t="s">
        <v>15.42%</v>
        <stp/>
        <stp>IMPL_VOL</stp>
        <stp>.SPXW250523C5940</stp>
        <tr r="EN98" s="1"/>
      </tp>
      <tp t="s">
        <v>46.92%</v>
        <stp/>
        <stp>IMPL_VOL</stp>
        <stp>.SPXW250520P5970</stp>
        <tr r="EM95" s="1"/>
      </tp>
      <tp t="s">
        <v>16.50%</v>
        <stp/>
        <stp>IMPL_VOL</stp>
        <stp>.SPXW250523P5940</stp>
        <tr r="EO98" s="1"/>
      </tp>
      <tp t="s">
        <v>18.40%</v>
        <stp/>
        <stp>IMPL_VOL</stp>
        <stp>.SPXW250520C5960</stp>
        <tr r="EL96" s="1"/>
      </tp>
      <tp t="s">
        <v>15.24%</v>
        <stp/>
        <stp>IMPL_VOL</stp>
        <stp>.SPXW250523C5950</stp>
        <tr r="EN97" s="1"/>
      </tp>
      <tp t="s">
        <v>28.86%</v>
        <stp/>
        <stp>IMPL_VOL</stp>
        <stp>.SPXW250520P5960</stp>
        <tr r="EM96" s="1"/>
      </tp>
      <tp t="s">
        <v>16.34%</v>
        <stp/>
        <stp>IMPL_VOL</stp>
        <stp>.SPXW250523P5950</stp>
        <tr r="EO97" s="1"/>
      </tp>
      <tp t="s">
        <v>9.85%</v>
        <stp/>
        <stp>IMPL_VOL</stp>
        <stp>.SPXW250520C5950</stp>
        <tr r="EL97" s="1"/>
      </tp>
      <tp t="s">
        <v>15.06%</v>
        <stp/>
        <stp>IMPL_VOL</stp>
        <stp>.SPXW250523C5960</stp>
        <tr r="EN96" s="1"/>
      </tp>
      <tp t="s">
        <v>15.53%</v>
        <stp/>
        <stp>IMPL_VOL</stp>
        <stp>.SPXW250520P5950</stp>
        <tr r="EM97" s="1"/>
      </tp>
      <tp t="s">
        <v>16.16%</v>
        <stp/>
        <stp>IMPL_VOL</stp>
        <stp>.SPXW250523P5960</stp>
        <tr r="EO96" s="1"/>
      </tp>
      <tp t="s">
        <v>2.19%</v>
        <stp/>
        <stp>IMPL_VOL</stp>
        <stp>.SPXW250520C5940</stp>
        <tr r="EL98" s="1"/>
      </tp>
      <tp t="s">
        <v>14.91%</v>
        <stp/>
        <stp>IMPL_VOL</stp>
        <stp>.SPXW250523C5970</stp>
        <tr r="EN95" s="1"/>
      </tp>
      <tp t="s">
        <v>4.13%</v>
        <stp/>
        <stp>IMPL_VOL</stp>
        <stp>.SPXW250520P5940</stp>
        <tr r="EM98" s="1"/>
      </tp>
      <tp t="s">
        <v>16.05%</v>
        <stp/>
        <stp>IMPL_VOL</stp>
        <stp>.SPXW250523P5970</stp>
        <tr r="EO95" s="1"/>
      </tp>
      <tp>
        <v>30</v>
        <stp/>
        <stp>OPEN_INT</stp>
        <stp>.NDX250620P20400</stp>
        <tr r="AX183" s="1"/>
        <tr r="AX183" s="1"/>
      </tp>
      <tp>
        <v>129</v>
        <stp/>
        <stp>OPEN_INT</stp>
        <stp>.NDX250620P21400</stp>
        <tr r="AX143" s="1"/>
        <tr r="AX143" s="1"/>
      </tp>
      <tp>
        <v>13</v>
        <stp/>
        <stp>OPEN_INT</stp>
        <stp>.NDX250620P20425</stp>
        <tr r="AX182" s="1"/>
        <tr r="AX182" s="1"/>
      </tp>
      <tp>
        <v>184</v>
        <stp/>
        <stp>OPEN_INT</stp>
        <stp>.NDX250620P21425</stp>
        <tr r="AX142" s="1"/>
        <tr r="AX142" s="1"/>
      </tp>
      <tp>
        <v>15</v>
        <stp/>
        <stp>OPEN_INT</stp>
        <stp>.NDX250620P20450</stp>
        <tr r="AX181" s="1"/>
        <tr r="AX181" s="1"/>
      </tp>
      <tp>
        <v>69</v>
        <stp/>
        <stp>OPEN_INT</stp>
        <stp>.NDX250620P21450</stp>
        <tr r="AX141" s="1"/>
        <tr r="AX141" s="1"/>
      </tp>
      <tp>
        <v>37</v>
        <stp/>
        <stp>OPEN_INT</stp>
        <stp>.NDX250620P20475</stp>
        <tr r="AX180" s="1"/>
        <tr r="AX180" s="1"/>
      </tp>
      <tp>
        <v>28</v>
        <stp/>
        <stp>OPEN_INT</stp>
        <stp>.NDX250620P21475</stp>
        <tr r="AX140" s="1"/>
        <tr r="AX140" s="1"/>
      </tp>
      <tp>
        <v>23</v>
        <stp/>
        <stp>OPEN_INT</stp>
        <stp>.NDX250620C20425</stp>
        <tr r="AW182" s="1"/>
        <tr r="AW182" s="1"/>
      </tp>
      <tp>
        <v>179</v>
        <stp/>
        <stp>OPEN_INT</stp>
        <stp>.NDX250620C21425</stp>
        <tr r="AW142" s="1"/>
        <tr r="AW142" s="1"/>
      </tp>
      <tp>
        <v>31</v>
        <stp/>
        <stp>OPEN_INT</stp>
        <stp>.NDX250620C20400</stp>
        <tr r="AW183" s="1"/>
        <tr r="AW183" s="1"/>
      </tp>
      <tp>
        <v>139</v>
        <stp/>
        <stp>OPEN_INT</stp>
        <stp>.NDX250620C21400</stp>
        <tr r="AW143" s="1"/>
        <tr r="AW143" s="1"/>
      </tp>
      <tp>
        <v>39</v>
        <stp/>
        <stp>OPEN_INT</stp>
        <stp>.NDX250620C20475</stp>
        <tr r="AW180" s="1"/>
        <tr r="AW180" s="1"/>
      </tp>
      <tp>
        <v>39</v>
        <stp/>
        <stp>OPEN_INT</stp>
        <stp>.NDX250620C21475</stp>
        <tr r="AW140" s="1"/>
        <tr r="AW140" s="1"/>
      </tp>
      <tp>
        <v>225</v>
        <stp/>
        <stp>OPEN_INT</stp>
        <stp>.NDX250620C20450</stp>
        <tr r="AW181" s="1"/>
        <tr r="AW181" s="1"/>
      </tp>
      <tp>
        <v>93</v>
        <stp/>
        <stp>OPEN_INT</stp>
        <stp>.NDX250620C21450</stp>
        <tr r="AW141" s="1"/>
        <tr r="AW141" s="1"/>
      </tp>
      <tp t="s">
        <v>16.53%</v>
        <stp/>
        <stp>IMPL_VOL</stp>
        <stp>.SPXW250523C5880</stp>
        <tr r="EN104" s="1"/>
      </tp>
      <tp t="s">
        <v>17.87%</v>
        <stp/>
        <stp>IMPL_VOL</stp>
        <stp>.SPXW250523P5880</stp>
        <tr r="EO104" s="1"/>
      </tp>
      <tp t="s">
        <v>16.30%</v>
        <stp/>
        <stp>IMPL_VOL</stp>
        <stp>.SPXW250523C5890</stp>
        <tr r="EN103" s="1"/>
      </tp>
      <tp t="s">
        <v>17.62%</v>
        <stp/>
        <stp>IMPL_VOL</stp>
        <stp>.SPXW250523P5890</stp>
        <tr r="EO103" s="1"/>
      </tp>
      <tp t="s">
        <v>--</v>
        <stp/>
        <stp>IMPL_VOL</stp>
        <stp>.SPXW250520C5890</stp>
        <tr r="EL103" s="1"/>
      </tp>
      <tp t="s">
        <v>42.87%</v>
        <stp/>
        <stp>IMPL_VOL</stp>
        <stp>.SPXW250520P5890</stp>
        <tr r="EM103" s="1"/>
      </tp>
      <tp t="s">
        <v>--</v>
        <stp/>
        <stp>IMPL_VOL</stp>
        <stp>.SPXW250520C5880</stp>
        <tr r="EL104" s="1"/>
      </tp>
      <tp t="s">
        <v>50.46%</v>
        <stp/>
        <stp>IMPL_VOL</stp>
        <stp>.SPXW250520P5880</stp>
        <tr r="EM104" s="1"/>
      </tp>
      <tp t="s">
        <v>--</v>
        <stp/>
        <stp>IMPL_VOL</stp>
        <stp>.SPXW250520C5830</stp>
        <tr r="EL109" s="1"/>
      </tp>
      <tp t="s">
        <v>16.19%</v>
        <stp/>
        <stp>IMPL_VOL</stp>
        <stp>.SPXW250523C5800</stp>
        <tr r="EN112" s="1"/>
      </tp>
      <tp t="s">
        <v>87.13%</v>
        <stp/>
        <stp>IMPL_VOL</stp>
        <stp>.SPXW250520P5830</stp>
        <tr r="EM109" s="1"/>
      </tp>
      <tp t="s">
        <v>19.61%</v>
        <stp/>
        <stp>IMPL_VOL</stp>
        <stp>.SPXW250523P5800</stp>
        <tr r="EO112" s="1"/>
      </tp>
      <tp t="s">
        <v>--</v>
        <stp/>
        <stp>IMPL_VOL</stp>
        <stp>.SPXW250520C5820</stp>
        <tr r="EL110" s="1"/>
      </tp>
      <tp t="s">
        <v>16.48%</v>
        <stp/>
        <stp>IMPL_VOL</stp>
        <stp>.SPXW250523C5810</stp>
        <tr r="EN111" s="1"/>
      </tp>
      <tp t="s">
        <v>94.32%</v>
        <stp/>
        <stp>IMPL_VOL</stp>
        <stp>.SPXW250520P5820</stp>
        <tr r="EM110" s="1"/>
      </tp>
      <tp t="s">
        <v>19.45%</v>
        <stp/>
        <stp>IMPL_VOL</stp>
        <stp>.SPXW250523P5810</stp>
        <tr r="EO111" s="1"/>
      </tp>
      <tp t="s">
        <v>--</v>
        <stp/>
        <stp>IMPL_VOL</stp>
        <stp>.SPXW250520C5810</stp>
        <tr r="EL111" s="1"/>
      </tp>
      <tp t="s">
        <v>N/A</v>
        <stp/>
        <stp>IMPL_VOL</stp>
        <stp>.SPXW250523C5820</stp>
        <tr r="EN110" s="1"/>
      </tp>
      <tp t="s">
        <v>101.48%</v>
        <stp/>
        <stp>IMPL_VOL</stp>
        <stp>.SPXW250520P5810</stp>
        <tr r="EM111" s="1"/>
      </tp>
      <tp t="s">
        <v>N/A</v>
        <stp/>
        <stp>IMPL_VOL</stp>
        <stp>.SPXW250523P5820</stp>
        <tr r="EO110" s="1"/>
      </tp>
      <tp t="s">
        <v>--</v>
        <stp/>
        <stp>IMPL_VOL</stp>
        <stp>.SPXW250520C5800</stp>
        <tr r="EL112" s="1"/>
      </tp>
      <tp t="s">
        <v>16.73%</v>
        <stp/>
        <stp>IMPL_VOL</stp>
        <stp>.SPXW250523C5830</stp>
        <tr r="EN109" s="1"/>
      </tp>
      <tp t="s">
        <v>108.60%</v>
        <stp/>
        <stp>IMPL_VOL</stp>
        <stp>.SPXW250520P5800</stp>
        <tr r="EM112" s="1"/>
      </tp>
      <tp t="s">
        <v>19.01%</v>
        <stp/>
        <stp>IMPL_VOL</stp>
        <stp>.SPXW250523P5830</stp>
        <tr r="EO109" s="1"/>
      </tp>
      <tp t="s">
        <v>--</v>
        <stp/>
        <stp>IMPL_VOL</stp>
        <stp>.SPXW250520C5870</stp>
        <tr r="EL105" s="1"/>
      </tp>
      <tp t="s">
        <v>N/A</v>
        <stp/>
        <stp>IMPL_VOL</stp>
        <stp>.SPXW250523C5840</stp>
        <tr r="EN108" s="1"/>
      </tp>
      <tp t="s">
        <v>57.98%</v>
        <stp/>
        <stp>IMPL_VOL</stp>
        <stp>.SPXW250520P5870</stp>
        <tr r="EM105" s="1"/>
      </tp>
      <tp t="s">
        <v>N/A</v>
        <stp/>
        <stp>IMPL_VOL</stp>
        <stp>.SPXW250523P5840</stp>
        <tr r="EO108" s="1"/>
      </tp>
      <tp t="s">
        <v>--</v>
        <stp/>
        <stp>IMPL_VOL</stp>
        <stp>.SPXW250520C5860</stp>
        <tr r="EL106" s="1"/>
      </tp>
      <tp t="s">
        <v>16.77%</v>
        <stp/>
        <stp>IMPL_VOL</stp>
        <stp>.SPXW250523C5850</stp>
        <tr r="EN107" s="1"/>
      </tp>
      <tp t="s">
        <v>65.45%</v>
        <stp/>
        <stp>IMPL_VOL</stp>
        <stp>.SPXW250520P5860</stp>
        <tr r="EM106" s="1"/>
      </tp>
      <tp t="s">
        <v>18.57%</v>
        <stp/>
        <stp>IMPL_VOL</stp>
        <stp>.SPXW250523P5850</stp>
        <tr r="EO107" s="1"/>
      </tp>
      <tp t="s">
        <v>--</v>
        <stp/>
        <stp>IMPL_VOL</stp>
        <stp>.SPXW250520C5850</stp>
        <tr r="EL107" s="1"/>
      </tp>
      <tp t="s">
        <v>16.72%</v>
        <stp/>
        <stp>IMPL_VOL</stp>
        <stp>.SPXW250523C5860</stp>
        <tr r="EN106" s="1"/>
      </tp>
      <tp t="s">
        <v>72.69%</v>
        <stp/>
        <stp>IMPL_VOL</stp>
        <stp>.SPXW250520P5850</stp>
        <tr r="EM107" s="1"/>
      </tp>
      <tp t="s">
        <v>18.36%</v>
        <stp/>
        <stp>IMPL_VOL</stp>
        <stp>.SPXW250523P5860</stp>
        <tr r="EO106" s="1"/>
      </tp>
      <tp t="s">
        <v>--</v>
        <stp/>
        <stp>IMPL_VOL</stp>
        <stp>.SPXW250520C5840</stp>
        <tr r="EL108" s="1"/>
      </tp>
      <tp t="s">
        <v>16.59%</v>
        <stp/>
        <stp>IMPL_VOL</stp>
        <stp>.SPXW250523C5870</stp>
        <tr r="EN105" s="1"/>
      </tp>
      <tp t="s">
        <v>79.90%</v>
        <stp/>
        <stp>IMPL_VOL</stp>
        <stp>.SPXW250520P5840</stp>
        <tr r="EM108" s="1"/>
      </tp>
      <tp t="s">
        <v>18.10%</v>
        <stp/>
        <stp>IMPL_VOL</stp>
        <stp>.SPXW250523P5870</stp>
        <tr r="EO105" s="1"/>
      </tp>
      <tp>
        <v>258</v>
        <stp/>
        <stp>OPEN_INT</stp>
        <stp>.NDX250620P20700</stp>
        <tr r="AX171" s="1"/>
        <tr r="AX171" s="1"/>
      </tp>
      <tp>
        <v>1</v>
        <stp/>
        <stp>OPEN_INT</stp>
        <stp>.NDX250620P20725</stp>
        <tr r="AX170" s="1"/>
        <tr r="AX170" s="1"/>
      </tp>
      <tp>
        <v>5</v>
        <stp/>
        <stp>OPEN_INT</stp>
        <stp>.NDX250620P20750</stp>
        <tr r="AX169" s="1"/>
        <tr r="AX169" s="1"/>
      </tp>
      <tp>
        <v>41</v>
        <stp/>
        <stp>OPEN_INT</stp>
        <stp>.NDX250620P20775</stp>
        <tr r="AX168" s="1"/>
        <tr r="AX168" s="1"/>
      </tp>
      <tp>
        <v>12</v>
        <stp/>
        <stp>OPEN_INT</stp>
        <stp>.NDX250620C20725</stp>
        <tr r="AW170" s="1"/>
        <tr r="AW170" s="1"/>
      </tp>
      <tp>
        <v>46</v>
        <stp/>
        <stp>OPEN_INT</stp>
        <stp>.NDX250620C20700</stp>
        <tr r="AW171" s="1"/>
        <tr r="AW171" s="1"/>
      </tp>
      <tp>
        <v>43</v>
        <stp/>
        <stp>OPEN_INT</stp>
        <stp>.NDX250620C20775</stp>
        <tr r="AW168" s="1"/>
        <tr r="AW168" s="1"/>
      </tp>
      <tp>
        <v>44</v>
        <stp/>
        <stp>OPEN_INT</stp>
        <stp>.NDX250620C20750</stp>
        <tr r="AW169" s="1"/>
        <tr r="AW169" s="1"/>
      </tp>
      <tp>
        <v>46</v>
        <stp/>
        <stp>OPEN_INT</stp>
        <stp>.NDX250620P20600</stp>
        <tr r="AX175" s="1"/>
        <tr r="AX175" s="1"/>
      </tp>
      <tp>
        <v>8</v>
        <stp/>
        <stp>OPEN_INT</stp>
        <stp>.NDX250620P20625</stp>
        <tr r="AX174" s="1"/>
        <tr r="AX174" s="1"/>
      </tp>
      <tp>
        <v>8</v>
        <stp/>
        <stp>OPEN_INT</stp>
        <stp>.NDX250620P20650</stp>
        <tr r="AX173" s="1"/>
        <tr r="AX173" s="1"/>
      </tp>
      <tp>
        <v>4</v>
        <stp/>
        <stp>OPEN_INT</stp>
        <stp>.NDX250620P20675</stp>
        <tr r="AX172" s="1"/>
        <tr r="AX172" s="1"/>
      </tp>
      <tp>
        <v>341</v>
        <stp/>
        <stp>OPEN_INT</stp>
        <stp>.SPY250520P600</stp>
        <tr r="AT6" s="1"/>
        <tr r="AT6" s="1"/>
      </tp>
      <tp>
        <v>25985</v>
        <stp/>
        <stp>OPEN_INT</stp>
        <stp>.SPY250520C600</stp>
        <tr r="AS6" s="1"/>
        <tr r="AS6" s="1"/>
      </tp>
      <tp>
        <v>149</v>
        <stp/>
        <stp>OPEN_INT</stp>
        <stp>.SPY250520P601</stp>
        <tr r="AT5" s="1"/>
        <tr r="AT5" s="1"/>
      </tp>
      <tp>
        <v>43</v>
        <stp/>
        <stp>OPEN_INT</stp>
        <stp>.SPY250523P602</stp>
        <tr r="AV4" s="1"/>
        <tr r="AV4" s="1"/>
      </tp>
      <tp>
        <v>6315</v>
        <stp/>
        <stp>OPEN_INT</stp>
        <stp>.SPY250520C601</stp>
        <tr r="AS5" s="1"/>
        <tr r="AS5" s="1"/>
      </tp>
      <tp>
        <v>918</v>
        <stp/>
        <stp>OPEN_INT</stp>
        <stp>.SPY250523C602</stp>
        <tr r="AU4" s="1"/>
        <tr r="AU4" s="1"/>
      </tp>
      <tp>
        <v>47</v>
        <stp/>
        <stp>OPEN_INT</stp>
        <stp>.SPY250520P602</stp>
        <tr r="AT4" s="1"/>
        <tr r="AT4" s="1"/>
      </tp>
      <tp>
        <v>242</v>
        <stp/>
        <stp>OPEN_INT</stp>
        <stp>.SPY250523P601</stp>
        <tr r="AV5" s="1"/>
        <tr r="AV5" s="1"/>
      </tp>
      <tp>
        <v>6323</v>
        <stp/>
        <stp>OPEN_INT</stp>
        <stp>.SPY250520C602</stp>
        <tr r="AS4" s="1"/>
        <tr r="AS4" s="1"/>
      </tp>
      <tp>
        <v>3446</v>
        <stp/>
        <stp>OPEN_INT</stp>
        <stp>.SPY250523C601</stp>
        <tr r="AU5" s="1"/>
        <tr r="AU5" s="1"/>
      </tp>
      <tp>
        <v>1121</v>
        <stp/>
        <stp>OPEN_INT</stp>
        <stp>.SPY250523P600</stp>
        <tr r="AV6" s="1"/>
        <tr r="AV6" s="1"/>
      </tp>
      <tp>
        <v>15811</v>
        <stp/>
        <stp>OPEN_INT</stp>
        <stp>.SPY250523C600</stp>
        <tr r="AU6" s="1"/>
        <tr r="AU6" s="1"/>
      </tp>
      <tp>
        <v>7</v>
        <stp/>
        <stp>OPEN_INT</stp>
        <stp>.NDX250620C20625</stp>
        <tr r="AW174" s="1"/>
        <tr r="AW174" s="1"/>
      </tp>
      <tp>
        <v>62</v>
        <stp/>
        <stp>OPEN_INT</stp>
        <stp>.NDX250620C20600</stp>
        <tr r="AW175" s="1"/>
        <tr r="AW175" s="1"/>
      </tp>
      <tp>
        <v>24</v>
        <stp/>
        <stp>OPEN_INT</stp>
        <stp>.NDX250620C20675</stp>
        <tr r="AW172" s="1"/>
        <tr r="AW172" s="1"/>
      </tp>
      <tp>
        <v>3982</v>
        <stp/>
        <stp>OPEN_INT</stp>
        <stp>.SPY250620P568</stp>
        <tr r="AX38" s="1"/>
        <tr r="AX38" s="1"/>
      </tp>
      <tp>
        <v>1443</v>
        <stp/>
        <stp>OPEN_INT</stp>
        <stp>.SPY250620C568</stp>
        <tr r="AW38" s="1"/>
        <tr r="AW38" s="1"/>
      </tp>
      <tp>
        <v>1242</v>
        <stp/>
        <stp>OPEN_INT</stp>
        <stp>.SPY250620P569</stp>
        <tr r="AX37" s="1"/>
        <tr r="AX37" s="1"/>
      </tp>
      <tp>
        <v>1261</v>
        <stp/>
        <stp>OPEN_INT</stp>
        <stp>.SPY250620C569</stp>
        <tr r="AW37" s="1"/>
        <tr r="AW37" s="1"/>
      </tp>
      <tp>
        <v>7</v>
        <stp/>
        <stp>OPEN_INT</stp>
        <stp>.NDX250620C20650</stp>
        <tr r="AW173" s="1"/>
        <tr r="AW173" s="1"/>
      </tp>
      <tp>
        <v>1100</v>
        <stp/>
        <stp>OPEN_INT</stp>
        <stp>.SPY250620P574</stp>
        <tr r="AX32" s="1"/>
        <tr r="AX32" s="1"/>
      </tp>
      <tp>
        <v>1063</v>
        <stp/>
        <stp>OPEN_INT</stp>
        <stp>.SPY250620C574</stp>
        <tr r="AW32" s="1"/>
        <tr r="AW32" s="1"/>
      </tp>
      <tp>
        <v>65808</v>
        <stp/>
        <stp>OPEN_INT</stp>
        <stp>.SPY250620P575</stp>
        <tr r="AX31" s="1"/>
        <tr r="AX31" s="1"/>
      </tp>
      <tp>
        <v>24735</v>
        <stp/>
        <stp>OPEN_INT</stp>
        <stp>.SPY250620C575</stp>
        <tr r="AW31" s="1"/>
        <tr r="AW31" s="1"/>
      </tp>
      <tp>
        <v>1797</v>
        <stp/>
        <stp>OPEN_INT</stp>
        <stp>.SPY250620P576</stp>
        <tr r="AX30" s="1"/>
        <tr r="AX30" s="1"/>
      </tp>
      <tp>
        <v>1286</v>
        <stp/>
        <stp>OPEN_INT</stp>
        <stp>.SPY250620C576</stp>
        <tr r="AW30" s="1"/>
        <tr r="AW30" s="1"/>
      </tp>
      <tp>
        <v>2317</v>
        <stp/>
        <stp>OPEN_INT</stp>
        <stp>.SPY250620P577</stp>
        <tr r="AX29" s="1"/>
        <tr r="AX29" s="1"/>
      </tp>
      <tp>
        <v>1593</v>
        <stp/>
        <stp>OPEN_INT</stp>
        <stp>.SPY250620C577</stp>
        <tr r="AW29" s="1"/>
        <tr r="AW29" s="1"/>
      </tp>
      <tp>
        <v>31721</v>
        <stp/>
        <stp>OPEN_INT</stp>
        <stp>.SPY250620P570</stp>
        <tr r="AX36" s="1"/>
        <tr r="AX36" s="1"/>
      </tp>
      <tp>
        <v>43741</v>
        <stp/>
        <stp>OPEN_INT</stp>
        <stp>.SPY250620C570</stp>
        <tr r="AW36" s="1"/>
        <tr r="AW36" s="1"/>
      </tp>
      <tp>
        <v>1316</v>
        <stp/>
        <stp>OPEN_INT</stp>
        <stp>.SPY250620P571</stp>
        <tr r="AX35" s="1"/>
        <tr r="AX35" s="1"/>
      </tp>
      <tp>
        <v>1430</v>
        <stp/>
        <stp>OPEN_INT</stp>
        <stp>.SPY250620C571</stp>
        <tr r="AW35" s="1"/>
        <tr r="AW35" s="1"/>
      </tp>
      <tp>
        <v>2164</v>
        <stp/>
        <stp>OPEN_INT</stp>
        <stp>.SPY250620P572</stp>
        <tr r="AX34" s="1"/>
        <tr r="AX34" s="1"/>
      </tp>
      <tp>
        <v>764</v>
        <stp/>
        <stp>OPEN_INT</stp>
        <stp>.SPY250620C572</stp>
        <tr r="AW34" s="1"/>
        <tr r="AW34" s="1"/>
      </tp>
      <tp>
        <v>1237</v>
        <stp/>
        <stp>OPEN_INT</stp>
        <stp>.SPY250620P573</stp>
        <tr r="AX33" s="1"/>
        <tr r="AX33" s="1"/>
      </tp>
      <tp>
        <v>989</v>
        <stp/>
        <stp>OPEN_INT</stp>
        <stp>.SPY250620C573</stp>
        <tr r="AW33" s="1"/>
        <tr r="AW33" s="1"/>
      </tp>
      <tp>
        <v>2633</v>
        <stp/>
        <stp>OPEN_INT</stp>
        <stp>.SPY250620P578</stp>
        <tr r="AX28" s="1"/>
        <tr r="AX28" s="1"/>
      </tp>
      <tp>
        <v>1260</v>
        <stp/>
        <stp>OPEN_INT</stp>
        <stp>.SPY250620C578</stp>
        <tr r="AW28" s="1"/>
        <tr r="AW28" s="1"/>
      </tp>
      <tp>
        <v>2218</v>
        <stp/>
        <stp>OPEN_INT</stp>
        <stp>.SPY250620P579</stp>
        <tr r="AX27" s="1"/>
        <tr r="AX27" s="1"/>
      </tp>
      <tp>
        <v>641</v>
        <stp/>
        <stp>OPEN_INT</stp>
        <stp>.SPY250620C579</stp>
        <tr r="AW27" s="1"/>
        <tr r="AW27" s="1"/>
      </tp>
      <tp>
        <v>942</v>
        <stp/>
        <stp>OPEN_INT</stp>
        <stp>.SPY250620P584</stp>
        <tr r="AX22" s="1"/>
        <tr r="AX22" s="1"/>
      </tp>
      <tp>
        <v>916</v>
        <stp/>
        <stp>OPEN_INT</stp>
        <stp>.SPY250620C584</stp>
        <tr r="AW22" s="1"/>
        <tr r="AW22" s="1"/>
      </tp>
      <tp>
        <v>27402</v>
        <stp/>
        <stp>OPEN_INT</stp>
        <stp>.SPY250620P585</stp>
        <tr r="AX21" s="1"/>
        <tr r="AX21" s="1"/>
      </tp>
      <tp>
        <v>27033</v>
        <stp/>
        <stp>OPEN_INT</stp>
        <stp>.SPY250620C585</stp>
        <tr r="AW21" s="1"/>
        <tr r="AW21" s="1"/>
      </tp>
      <tp>
        <v>1593</v>
        <stp/>
        <stp>OPEN_INT</stp>
        <stp>.SPY250620P586</stp>
        <tr r="AX20" s="1"/>
        <tr r="AX20" s="1"/>
      </tp>
      <tp>
        <v>1754</v>
        <stp/>
        <stp>OPEN_INT</stp>
        <stp>.SPY250620C586</stp>
        <tr r="AW20" s="1"/>
        <tr r="AW20" s="1"/>
      </tp>
      <tp>
        <v>2459</v>
        <stp/>
        <stp>OPEN_INT</stp>
        <stp>.SPY250620P587</stp>
        <tr r="AX19" s="1"/>
        <tr r="AX19" s="1"/>
      </tp>
      <tp>
        <v>2681</v>
        <stp/>
        <stp>OPEN_INT</stp>
        <stp>.SPY250620C587</stp>
        <tr r="AW19" s="1"/>
        <tr r="AW19" s="1"/>
      </tp>
      <tp>
        <v>36211</v>
        <stp/>
        <stp>OPEN_INT</stp>
        <stp>.SPY250620P580</stp>
        <tr r="AX26" s="1"/>
        <tr r="AX26" s="1"/>
      </tp>
      <tp>
        <v>142283</v>
        <stp/>
        <stp>OPEN_INT</stp>
        <stp>.SPY250620C580</stp>
        <tr r="AW26" s="1"/>
        <tr r="AW26" s="1"/>
      </tp>
      <tp>
        <v>1897</v>
        <stp/>
        <stp>OPEN_INT</stp>
        <stp>.SPY250620P581</stp>
        <tr r="AX25" s="1"/>
        <tr r="AX25" s="1"/>
      </tp>
      <tp>
        <v>2628</v>
        <stp/>
        <stp>OPEN_INT</stp>
        <stp>.SPY250620C581</stp>
        <tr r="AW25" s="1"/>
        <tr r="AW25" s="1"/>
      </tp>
      <tp>
        <v>1382</v>
        <stp/>
        <stp>OPEN_INT</stp>
        <stp>.SPY250620P582</stp>
        <tr r="AX24" s="1"/>
        <tr r="AX24" s="1"/>
      </tp>
      <tp>
        <v>1713</v>
        <stp/>
        <stp>OPEN_INT</stp>
        <stp>.SPY250620C582</stp>
        <tr r="AW24" s="1"/>
        <tr r="AW24" s="1"/>
      </tp>
      <tp>
        <v>1801</v>
        <stp/>
        <stp>OPEN_INT</stp>
        <stp>.SPY250620P583</stp>
        <tr r="AX23" s="1"/>
        <tr r="AX23" s="1"/>
      </tp>
      <tp>
        <v>1326</v>
        <stp/>
        <stp>OPEN_INT</stp>
        <stp>.SPY250620C583</stp>
        <tr r="AW23" s="1"/>
        <tr r="AW23" s="1"/>
      </tp>
      <tp>
        <v>2443</v>
        <stp/>
        <stp>OPEN_INT</stp>
        <stp>.SPY250620P588</stp>
        <tr r="AX18" s="1"/>
        <tr r="AX18" s="1"/>
      </tp>
      <tp>
        <v>2495</v>
        <stp/>
        <stp>OPEN_INT</stp>
        <stp>.SPY250620C588</stp>
        <tr r="AW18" s="1"/>
        <tr r="AW18" s="1"/>
      </tp>
      <tp>
        <v>1833</v>
        <stp/>
        <stp>OPEN_INT</stp>
        <stp>.SPY250620P589</stp>
        <tr r="AX17" s="1"/>
        <tr r="AX17" s="1"/>
      </tp>
      <tp>
        <v>1153</v>
        <stp/>
        <stp>OPEN_INT</stp>
        <stp>.SPY250620C589</stp>
        <tr r="AW17" s="1"/>
        <tr r="AW17" s="1"/>
      </tp>
      <tp>
        <v>1514</v>
        <stp/>
        <stp>OPEN_INT</stp>
        <stp>.SPY250620P594</stp>
        <tr r="AX12" s="1"/>
        <tr r="AX12" s="1"/>
      </tp>
      <tp>
        <v>4507</v>
        <stp/>
        <stp>OPEN_INT</stp>
        <stp>.SPY250620C594</stp>
        <tr r="AW12" s="1"/>
        <tr r="AW12" s="1"/>
      </tp>
      <tp>
        <v>49357</v>
        <stp/>
        <stp>OPEN_INT</stp>
        <stp>.SPY250620P595</stp>
        <tr r="AX11" s="1"/>
        <tr r="AX11" s="1"/>
      </tp>
      <tp>
        <v>59548</v>
        <stp/>
        <stp>OPEN_INT</stp>
        <stp>.SPY250620C595</stp>
        <tr r="AW11" s="1"/>
        <tr r="AW11" s="1"/>
      </tp>
      <tp>
        <v>930</v>
        <stp/>
        <stp>OPEN_INT</stp>
        <stp>.SPY250620P596</stp>
        <tr r="AX10" s="1"/>
        <tr r="AX10" s="1"/>
      </tp>
      <tp>
        <v>3109</v>
        <stp/>
        <stp>OPEN_INT</stp>
        <stp>.SPY250620C596</stp>
        <tr r="AW10" s="1"/>
        <tr r="AW10" s="1"/>
      </tp>
      <tp>
        <v>1040</v>
        <stp/>
        <stp>OPEN_INT</stp>
        <stp>.SPY250620P597</stp>
        <tr r="AX9" s="1"/>
        <tr r="AX9" s="1"/>
      </tp>
      <tp>
        <v>3573</v>
        <stp/>
        <stp>OPEN_INT</stp>
        <stp>.SPY250620C597</stp>
        <tr r="AW9" s="1"/>
        <tr r="AW9" s="1"/>
      </tp>
      <tp>
        <v>12562</v>
        <stp/>
        <stp>OPEN_INT</stp>
        <stp>.SPY250620P590</stp>
        <tr r="AX16" s="1"/>
        <tr r="AX16" s="1"/>
      </tp>
      <tp>
        <v>36875</v>
        <stp/>
        <stp>OPEN_INT</stp>
        <stp>.SPY250620C590</stp>
        <tr r="AW16" s="1"/>
        <tr r="AW16" s="1"/>
      </tp>
      <tp>
        <v>2094</v>
        <stp/>
        <stp>OPEN_INT</stp>
        <stp>.SPY250620P591</stp>
        <tr r="AX15" s="1"/>
        <tr r="AX15" s="1"/>
      </tp>
      <tp>
        <v>3092</v>
        <stp/>
        <stp>OPEN_INT</stp>
        <stp>.SPY250620C591</stp>
        <tr r="AW15" s="1"/>
        <tr r="AW15" s="1"/>
      </tp>
      <tp>
        <v>2050</v>
        <stp/>
        <stp>OPEN_INT</stp>
        <stp>.SPY250620P592</stp>
        <tr r="AX14" s="1"/>
        <tr r="AX14" s="1"/>
      </tp>
      <tp>
        <v>3531</v>
        <stp/>
        <stp>OPEN_INT</stp>
        <stp>.SPY250620C592</stp>
        <tr r="AW14" s="1"/>
        <tr r="AW14" s="1"/>
      </tp>
      <tp>
        <v>1944</v>
        <stp/>
        <stp>OPEN_INT</stp>
        <stp>.SPY250620P593</stp>
        <tr r="AX13" s="1"/>
        <tr r="AX13" s="1"/>
      </tp>
      <tp>
        <v>1353</v>
        <stp/>
        <stp>OPEN_INT</stp>
        <stp>.SPY250620C593</stp>
        <tr r="AW13" s="1"/>
        <tr r="AW13" s="1"/>
      </tp>
      <tp>
        <v>535</v>
        <stp/>
        <stp>OPEN_INT</stp>
        <stp>.SPY250620P598</stp>
        <tr r="AX8" s="1"/>
        <tr r="AX8" s="1"/>
      </tp>
      <tp>
        <v>2772</v>
        <stp/>
        <stp>OPEN_INT</stp>
        <stp>.SPY250620C598</stp>
        <tr r="AW8" s="1"/>
        <tr r="AW8" s="1"/>
      </tp>
      <tp>
        <v>259</v>
        <stp/>
        <stp>OPEN_INT</stp>
        <stp>.SPY250620P599</stp>
        <tr r="AX7" s="1"/>
        <tr r="AX7" s="1"/>
      </tp>
      <tp>
        <v>4472</v>
        <stp/>
        <stp>OPEN_INT</stp>
        <stp>.SPY250620C599</stp>
        <tr r="AW7" s="1"/>
        <tr r="AW7" s="1"/>
      </tp>
      <tp>
        <v>11</v>
        <stp/>
        <stp>OPEN_INT</stp>
        <stp>.NDXP250520C20500</stp>
        <tr r="AS179" s="1"/>
        <tr r="AS179" s="1"/>
      </tp>
      <tp>
        <v>45</v>
        <stp/>
        <stp>OPEN_INT</stp>
        <stp>.NDXP250523C20600</stp>
        <tr r="AU175" s="1"/>
        <tr r="AU175" s="1"/>
      </tp>
      <tp>
        <v>31</v>
        <stp/>
        <stp>OPEN_INT</stp>
        <stp>.NDXP250520C21500</stp>
        <tr r="AS139" s="1"/>
        <tr r="AS139" s="1"/>
      </tp>
      <tp>
        <v>0</v>
        <stp/>
        <stp>OPEN_INT</stp>
        <stp>.NDXP250520C20525</stp>
        <tr r="AS178" s="1"/>
        <tr r="AS178" s="1"/>
      </tp>
      <tp>
        <v>7</v>
        <stp/>
        <stp>OPEN_INT</stp>
        <stp>.NDXP250523C20625</stp>
        <tr r="AU174" s="1"/>
        <tr r="AU174" s="1"/>
      </tp>
      <tp t="s">
        <v>N/A</v>
        <stp/>
        <stp>OPEN_INT</stp>
        <stp>.NDXP250520C21525</stp>
        <tr r="AS138" s="1"/>
      </tp>
      <tp>
        <v>0</v>
        <stp/>
        <stp>OPEN_INT</stp>
        <stp>.NDXP250520C20550</stp>
        <tr r="AS177" s="1"/>
        <tr r="AS177" s="1"/>
      </tp>
      <tp>
        <v>4</v>
        <stp/>
        <stp>OPEN_INT</stp>
        <stp>.NDXP250523C20650</stp>
        <tr r="AU173" s="1"/>
        <tr r="AU173" s="1"/>
      </tp>
      <tp>
        <v>29</v>
        <stp/>
        <stp>OPEN_INT</stp>
        <stp>.NDXP250520C21550</stp>
        <tr r="AS137" s="1"/>
        <tr r="AS137" s="1"/>
      </tp>
      <tp>
        <v>0</v>
        <stp/>
        <stp>OPEN_INT</stp>
        <stp>.NDXP250520C20575</stp>
        <tr r="AS176" s="1"/>
        <tr r="AS176" s="1"/>
      </tp>
      <tp>
        <v>7</v>
        <stp/>
        <stp>OPEN_INT</stp>
        <stp>.NDXP250523C20675</stp>
        <tr r="AU172" s="1"/>
        <tr r="AU172" s="1"/>
      </tp>
      <tp>
        <v>1</v>
        <stp/>
        <stp>OPEN_INT</stp>
        <stp>.NDXP250520P20525</stp>
        <tr r="AT178" s="1"/>
        <tr r="AT178" s="1"/>
      </tp>
      <tp>
        <v>8</v>
        <stp/>
        <stp>OPEN_INT</stp>
        <stp>.NDXP250523P20625</stp>
        <tr r="AV174" s="1"/>
        <tr r="AV174" s="1"/>
      </tp>
      <tp t="s">
        <v>N/A</v>
        <stp/>
        <stp>OPEN_INT</stp>
        <stp>.NDXP250520P21525</stp>
        <tr r="AT138" s="1"/>
      </tp>
      <tp>
        <v>8</v>
        <stp/>
        <stp>OPEN_INT</stp>
        <stp>.NDXP250520P20500</stp>
        <tr r="AT179" s="1"/>
        <tr r="AT179" s="1"/>
      </tp>
      <tp>
        <v>3</v>
        <stp/>
        <stp>OPEN_INT</stp>
        <stp>.NDXP250523P20600</stp>
        <tr r="AV175" s="1"/>
        <tr r="AV175" s="1"/>
      </tp>
      <tp>
        <v>8</v>
        <stp/>
        <stp>OPEN_INT</stp>
        <stp>.NDXP250520P21500</stp>
        <tr r="AT139" s="1"/>
        <tr r="AT139" s="1"/>
      </tp>
      <tp>
        <v>2</v>
        <stp/>
        <stp>OPEN_INT</stp>
        <stp>.NDXP250520P20575</stp>
        <tr r="AT176" s="1"/>
        <tr r="AT176" s="1"/>
      </tp>
      <tp>
        <v>2</v>
        <stp/>
        <stp>OPEN_INT</stp>
        <stp>.NDXP250523P20675</stp>
        <tr r="AV172" s="1"/>
        <tr r="AV172" s="1"/>
      </tp>
      <tp>
        <v>1</v>
        <stp/>
        <stp>OPEN_INT</stp>
        <stp>.NDXP250520P20550</stp>
        <tr r="AT177" s="1"/>
        <tr r="AT177" s="1"/>
      </tp>
      <tp>
        <v>22</v>
        <stp/>
        <stp>OPEN_INT</stp>
        <stp>.NDXP250523P20650</stp>
        <tr r="AV173" s="1"/>
        <tr r="AV173" s="1"/>
      </tp>
      <tp>
        <v>3</v>
        <stp/>
        <stp>OPEN_INT</stp>
        <stp>.NDXP250520P21550</stp>
        <tr r="AT137" s="1"/>
        <tr r="AT137" s="1"/>
      </tp>
      <tp t="s">
        <v>N/A</v>
        <stp/>
        <stp>VOLUME</stp>
        <stp>.NDXP250829C20575</stp>
        <tr r="P177" s="2"/>
      </tp>
      <tp t="s">
        <v>N/A</v>
        <stp/>
        <stp>VOLUME</stp>
        <stp>.NDXP251128C20475</stp>
        <tr r="V181" s="2"/>
      </tp>
      <tp t="s">
        <v>N/A</v>
        <stp/>
        <stp>VOLUME</stp>
        <stp>.NDXP251128C21475</stp>
        <tr r="V141" s="2"/>
      </tp>
      <tp t="s">
        <v>N/A</v>
        <stp/>
        <stp>VOLUME</stp>
        <stp>.NDXP250829C20550</stp>
        <tr r="P178" s="2"/>
      </tp>
      <tp t="s">
        <v>N/A</v>
        <stp/>
        <stp>VOLUME</stp>
        <stp>.NDXP250829C21550</stp>
        <tr r="P138" s="2"/>
      </tp>
      <tp t="s">
        <v>N/A</v>
        <stp/>
        <stp>VOLUME</stp>
        <stp>.NDXP251128C20450</stp>
        <tr r="V182" s="2"/>
      </tp>
      <tp t="s">
        <v>N/A</v>
        <stp/>
        <stp>VOLUME</stp>
        <stp>.NDXP251128C21450</stp>
        <tr r="V142" s="2"/>
      </tp>
      <tp t="s">
        <v>N/A</v>
        <stp/>
        <stp>VOLUME</stp>
        <stp>.NDXP251128C20425</stp>
        <tr r="V183" s="2"/>
      </tp>
      <tp t="s">
        <v>N/A</v>
        <stp/>
        <stp>VOLUME</stp>
        <stp>.NDXP251128C21425</stp>
        <tr r="V143" s="2"/>
      </tp>
      <tp t="s">
        <v>N/A</v>
        <stp/>
        <stp>VOLUME</stp>
        <stp>.NDXP250829C20525</stp>
        <tr r="P179" s="2"/>
      </tp>
      <tp t="s">
        <v>N/A</v>
        <stp/>
        <stp>VOLUME</stp>
        <stp>.NDXP250829C21525</stp>
        <tr r="P139" s="2"/>
      </tp>
      <tp t="s">
        <v>N/A</v>
        <stp/>
        <stp>VOLUME</stp>
        <stp>.NDXP251128C20400</stp>
        <tr r="V184" s="2"/>
      </tp>
      <tp t="s">
        <v>N/A</v>
        <stp/>
        <stp>VOLUME</stp>
        <stp>.NDXP251128C21400</stp>
        <tr r="V144" s="2"/>
      </tp>
      <tp t="s">
        <v>N/A</v>
        <stp/>
        <stp>VOLUME</stp>
        <stp>.NDXP250829C20500</stp>
        <tr r="P180" s="2"/>
      </tp>
      <tp t="s">
        <v>N/A</v>
        <stp/>
        <stp>VOLUME</stp>
        <stp>.NDXP250829C21500</stp>
        <tr r="P140" s="2"/>
      </tp>
      <tp t="s">
        <v>N/A</v>
        <stp/>
        <stp>VOLUME</stp>
        <stp>.NDXP251128P20450</stp>
        <tr r="V182" s="2"/>
      </tp>
      <tp t="s">
        <v>N/A</v>
        <stp/>
        <stp>VOLUME</stp>
        <stp>.NDXP251128P21450</stp>
        <tr r="V142" s="2"/>
      </tp>
      <tp>
        <v>8</v>
        <stp/>
        <stp>VOLUME</stp>
        <stp>.SPXW250613C6030</stp>
        <tr r="I90" s="2"/>
        <tr r="I90" s="2"/>
      </tp>
      <tp>
        <v>3</v>
        <stp/>
        <stp>VOLUME</stp>
        <stp>.SPXW250613P6030</stp>
        <tr r="I90" s="2"/>
        <tr r="I90" s="2"/>
      </tp>
      <tp t="s">
        <v>N/A</v>
        <stp/>
        <stp>VOLUME</stp>
        <stp>.NDXP250829P20550</stp>
        <tr r="P178" s="2"/>
      </tp>
      <tp t="s">
        <v>N/A</v>
        <stp/>
        <stp>VOLUME</stp>
        <stp>.NDXP250829P21550</stp>
        <tr r="P138" s="2"/>
      </tp>
      <tp>
        <v>184</v>
        <stp/>
        <stp>VOLUME</stp>
        <stp>.SPXW250613C6020</stp>
        <tr r="I91" s="2"/>
        <tr r="I91" s="2"/>
      </tp>
      <tp>
        <v>10</v>
        <stp/>
        <stp>VOLUME</stp>
        <stp>.SPXW250613P6020</stp>
        <tr r="I91" s="2"/>
        <tr r="I91" s="2"/>
      </tp>
      <tp t="s">
        <v>N/A</v>
        <stp/>
        <stp>VOLUME</stp>
        <stp>.NDXP251128P20475</stp>
        <tr r="V181" s="2"/>
      </tp>
      <tp t="s">
        <v>N/A</v>
        <stp/>
        <stp>VOLUME</stp>
        <stp>.NDXP251128P21475</stp>
        <tr r="V141" s="2"/>
      </tp>
      <tp t="s">
        <v>N/A</v>
        <stp/>
        <stp>VOLUME</stp>
        <stp>.SPXW250613C6010</stp>
        <tr r="I92" s="2"/>
      </tp>
      <tp t="s">
        <v>N/A</v>
        <stp/>
        <stp>VOLUME</stp>
        <stp>.SPXW250613P6010</stp>
        <tr r="I92" s="2"/>
      </tp>
      <tp t="s">
        <v>N/A</v>
        <stp/>
        <stp>VOLUME</stp>
        <stp>.NDXP250829P20575</stp>
        <tr r="P177" s="2"/>
      </tp>
      <tp>
        <v>84</v>
        <stp/>
        <stp>VOLUME</stp>
        <stp>.SPXW250613C6000</stp>
        <tr r="I93" s="2"/>
        <tr r="I93" s="2"/>
      </tp>
      <tp>
        <v>18</v>
        <stp/>
        <stp>VOLUME</stp>
        <stp>.SPXW250613P6000</stp>
        <tr r="I93" s="2"/>
        <tr r="I93" s="2"/>
      </tp>
      <tp t="s">
        <v>N/A</v>
        <stp/>
        <stp>VOLUME</stp>
        <stp>.NDXP250829P20500</stp>
        <tr r="P180" s="2"/>
      </tp>
      <tp t="s">
        <v>N/A</v>
        <stp/>
        <stp>VOLUME</stp>
        <stp>.NDXP250829P21500</stp>
        <tr r="P140" s="2"/>
      </tp>
      <tp>
        <v>6</v>
        <stp/>
        <stp>VOLUME</stp>
        <stp>.SPXW250613C6070</stp>
        <tr r="I86" s="2"/>
        <tr r="I86" s="2"/>
      </tp>
      <tp>
        <v>5</v>
        <stp/>
        <stp>VOLUME</stp>
        <stp>.SPXW250613P6070</stp>
        <tr r="I86" s="2"/>
        <tr r="I86" s="2"/>
      </tp>
      <tp t="s">
        <v>N/A</v>
        <stp/>
        <stp>VOLUME</stp>
        <stp>.NDXP251128P20400</stp>
        <tr r="V184" s="2"/>
      </tp>
      <tp t="s">
        <v>N/A</v>
        <stp/>
        <stp>VOLUME</stp>
        <stp>.NDXP251128P21400</stp>
        <tr r="V144" s="2"/>
      </tp>
      <tp>
        <v>22</v>
        <stp/>
        <stp>VOLUME</stp>
        <stp>.SPXW250613C6060</stp>
        <tr r="I87" s="2"/>
        <tr r="I87" s="2"/>
      </tp>
      <tp t="s">
        <v>N/A</v>
        <stp/>
        <stp>VOLUME</stp>
        <stp>.SPXW250613P6060</stp>
        <tr r="I87" s="2"/>
      </tp>
      <tp t="s">
        <v>N/A</v>
        <stp/>
        <stp>VOLUME</stp>
        <stp>.NDXP250829P20525</stp>
        <tr r="P179" s="2"/>
      </tp>
      <tp t="s">
        <v>N/A</v>
        <stp/>
        <stp>VOLUME</stp>
        <stp>.NDXP250829P21525</stp>
        <tr r="P139" s="2"/>
      </tp>
      <tp>
        <v>24</v>
        <stp/>
        <stp>VOLUME</stp>
        <stp>.SPXW250613C6050</stp>
        <tr r="I88" s="2"/>
        <tr r="I88" s="2"/>
      </tp>
      <tp t="s">
        <v>N/A</v>
        <stp/>
        <stp>VOLUME</stp>
        <stp>.SPXW250613P6050</stp>
        <tr r="I88" s="2"/>
      </tp>
      <tp t="s">
        <v>N/A</v>
        <stp/>
        <stp>VOLUME</stp>
        <stp>.NDXP251128P20425</stp>
        <tr r="V183" s="2"/>
      </tp>
      <tp t="s">
        <v>N/A</v>
        <stp/>
        <stp>VOLUME</stp>
        <stp>.NDXP251128P21425</stp>
        <tr r="V143" s="2"/>
      </tp>
      <tp>
        <v>127</v>
        <stp/>
        <stp>VOLUME</stp>
        <stp>.SPXW250613C6040</stp>
        <tr r="I89" s="2"/>
        <tr r="I89" s="2"/>
      </tp>
      <tp t="s">
        <v>N/A</v>
        <stp/>
        <stp>VOLUME</stp>
        <stp>.SPXW250613P6040</stp>
        <tr r="I89" s="2"/>
      </tp>
      <tp>
        <v>12</v>
        <stp/>
        <stp>OPEN_INT</stp>
        <stp>.NDXP250520C20400</stp>
        <tr r="AS183" s="1"/>
        <tr r="AS183" s="1"/>
      </tp>
      <tp>
        <v>4</v>
        <stp/>
        <stp>OPEN_INT</stp>
        <stp>.NDXP250523C20700</stp>
        <tr r="AU171" s="1"/>
        <tr r="AU171" s="1"/>
      </tp>
      <tp>
        <v>29</v>
        <stp/>
        <stp>OPEN_INT</stp>
        <stp>.NDXP250520C21400</stp>
        <tr r="AS143" s="1"/>
        <tr r="AS143" s="1"/>
      </tp>
      <tp>
        <v>0</v>
        <stp/>
        <stp>OPEN_INT</stp>
        <stp>.NDXP250520C20425</stp>
        <tr r="AS182" s="1"/>
        <tr r="AS182" s="1"/>
      </tp>
      <tp>
        <v>8</v>
        <stp/>
        <stp>OPEN_INT</stp>
        <stp>.NDXP250523C20725</stp>
        <tr r="AU170" s="1"/>
        <tr r="AU170" s="1"/>
      </tp>
      <tp>
        <v>46</v>
        <stp/>
        <stp>OPEN_INT</stp>
        <stp>.NDXP250520C21425</stp>
        <tr r="AS142" s="1"/>
        <tr r="AS142" s="1"/>
      </tp>
      <tp>
        <v>1</v>
        <stp/>
        <stp>OPEN_INT</stp>
        <stp>.NDXP250520C20450</stp>
        <tr r="AS181" s="1"/>
        <tr r="AS181" s="1"/>
      </tp>
      <tp>
        <v>6</v>
        <stp/>
        <stp>OPEN_INT</stp>
        <stp>.NDXP250523C20750</stp>
        <tr r="AU169" s="1"/>
        <tr r="AU169" s="1"/>
      </tp>
      <tp>
        <v>15</v>
        <stp/>
        <stp>OPEN_INT</stp>
        <stp>.NDXP250520C21450</stp>
        <tr r="AS141" s="1"/>
        <tr r="AS141" s="1"/>
      </tp>
      <tp>
        <v>2</v>
        <stp/>
        <stp>OPEN_INT</stp>
        <stp>.NDXP250520C20475</stp>
        <tr r="AS180" s="1"/>
        <tr r="AS180" s="1"/>
      </tp>
      <tp>
        <v>7</v>
        <stp/>
        <stp>OPEN_INT</stp>
        <stp>.NDXP250523C20775</stp>
        <tr r="AU168" s="1"/>
        <tr r="AU168" s="1"/>
      </tp>
      <tp>
        <v>9</v>
        <stp/>
        <stp>OPEN_INT</stp>
        <stp>.NDXP250520C21475</stp>
        <tr r="AS140" s="1"/>
        <tr r="AS140" s="1"/>
      </tp>
      <tp>
        <v>1</v>
        <stp/>
        <stp>OPEN_INT</stp>
        <stp>.NDXP250520P20425</stp>
        <tr r="AT182" s="1"/>
        <tr r="AT182" s="1"/>
      </tp>
      <tp>
        <v>2</v>
        <stp/>
        <stp>OPEN_INT</stp>
        <stp>.NDXP250523P20725</stp>
        <tr r="AV170" s="1"/>
        <tr r="AV170" s="1"/>
      </tp>
      <tp>
        <v>6</v>
        <stp/>
        <stp>OPEN_INT</stp>
        <stp>.NDXP250520P21425</stp>
        <tr r="AT142" s="1"/>
        <tr r="AT142" s="1"/>
      </tp>
      <tp>
        <v>6</v>
        <stp/>
        <stp>OPEN_INT</stp>
        <stp>.NDXP250520P20400</stp>
        <tr r="AT183" s="1"/>
        <tr r="AT183" s="1"/>
      </tp>
      <tp>
        <v>13</v>
        <stp/>
        <stp>OPEN_INT</stp>
        <stp>.NDXP250523P20700</stp>
        <tr r="AV171" s="1"/>
        <tr r="AV171" s="1"/>
      </tp>
      <tp>
        <v>24</v>
        <stp/>
        <stp>OPEN_INT</stp>
        <stp>.NDXP250520P21400</stp>
        <tr r="AT143" s="1"/>
        <tr r="AT143" s="1"/>
      </tp>
      <tp>
        <v>0</v>
        <stp/>
        <stp>OPEN_INT</stp>
        <stp>.NDXP250520P20475</stp>
        <tr r="AT180" s="1"/>
        <tr r="AT180" s="1"/>
      </tp>
      <tp>
        <v>3</v>
        <stp/>
        <stp>OPEN_INT</stp>
        <stp>.NDXP250523P20775</stp>
        <tr r="AV168" s="1"/>
        <tr r="AV168" s="1"/>
      </tp>
      <tp>
        <v>0</v>
        <stp/>
        <stp>OPEN_INT</stp>
        <stp>.NDXP250520P21475</stp>
        <tr r="AT140" s="1"/>
        <tr r="AT140" s="1"/>
      </tp>
      <tp>
        <v>12</v>
        <stp/>
        <stp>OPEN_INT</stp>
        <stp>.NDXP250520P20450</stp>
        <tr r="AT181" s="1"/>
        <tr r="AT181" s="1"/>
      </tp>
      <tp>
        <v>8</v>
        <stp/>
        <stp>OPEN_INT</stp>
        <stp>.NDXP250523P20750</stp>
        <tr r="AV169" s="1"/>
        <tr r="AV169" s="1"/>
      </tp>
      <tp>
        <v>11</v>
        <stp/>
        <stp>OPEN_INT</stp>
        <stp>.NDXP250520P21450</stp>
        <tr r="AT141" s="1"/>
        <tr r="AT141" s="1"/>
      </tp>
      <tp t="s">
        <v>N/A</v>
        <stp/>
        <stp>VOLUME</stp>
        <stp>.NDXP250829C20475</stp>
        <tr r="P181" s="2"/>
      </tp>
      <tp t="s">
        <v>N/A</v>
        <stp/>
        <stp>VOLUME</stp>
        <stp>.NDXP250829C21475</stp>
        <tr r="P141" s="2"/>
      </tp>
      <tp t="s">
        <v>N/A</v>
        <stp/>
        <stp>VOLUME</stp>
        <stp>.NDXP251128C20575</stp>
        <tr r="V177" s="2"/>
      </tp>
      <tp t="s">
        <v>N/A</v>
        <stp/>
        <stp>VOLUME</stp>
        <stp>.NDXP250829C20450</stp>
        <tr r="P182" s="2"/>
      </tp>
      <tp t="s">
        <v>N/A</v>
        <stp/>
        <stp>VOLUME</stp>
        <stp>.NDXP250829C21450</stp>
        <tr r="P142" s="2"/>
      </tp>
      <tp t="s">
        <v>N/A</v>
        <stp/>
        <stp>VOLUME</stp>
        <stp>.NDXP251128C20550</stp>
        <tr r="V178" s="2"/>
      </tp>
      <tp t="s">
        <v>N/A</v>
        <stp/>
        <stp>VOLUME</stp>
        <stp>.NDXP251128C21550</stp>
        <tr r="V138" s="2"/>
      </tp>
      <tp t="s">
        <v>N/A</v>
        <stp/>
        <stp>VOLUME</stp>
        <stp>.NDXP251128C20525</stp>
        <tr r="V179" s="2"/>
      </tp>
      <tp t="s">
        <v>N/A</v>
        <stp/>
        <stp>VOLUME</stp>
        <stp>.NDXP251128C21525</stp>
        <tr r="V139" s="2"/>
      </tp>
      <tp t="s">
        <v>N/A</v>
        <stp/>
        <stp>VOLUME</stp>
        <stp>.NDXP250829C20425</stp>
        <tr r="P183" s="2"/>
      </tp>
      <tp t="s">
        <v>N/A</v>
        <stp/>
        <stp>VOLUME</stp>
        <stp>.NDXP250829C21425</stp>
        <tr r="P143" s="2"/>
      </tp>
      <tp t="s">
        <v>N/A</v>
        <stp/>
        <stp>VOLUME</stp>
        <stp>.NDXP251128C20500</stp>
        <tr r="V180" s="2"/>
      </tp>
      <tp t="s">
        <v>N/A</v>
        <stp/>
        <stp>VOLUME</stp>
        <stp>.NDXP251128C21500</stp>
        <tr r="V140" s="2"/>
      </tp>
      <tp t="s">
        <v>N/A</v>
        <stp/>
        <stp>VOLUME</stp>
        <stp>.NDXP250829C20400</stp>
        <tr r="P184" s="2"/>
      </tp>
      <tp t="s">
        <v>N/A</v>
        <stp/>
        <stp>VOLUME</stp>
        <stp>.NDXP250829C21400</stp>
        <tr r="P144" s="2"/>
      </tp>
      <tp t="s">
        <v>N/A</v>
        <stp/>
        <stp>VOLUME</stp>
        <stp>.NDXP251128P20550</stp>
        <tr r="V178" s="2"/>
      </tp>
      <tp t="s">
        <v>N/A</v>
        <stp/>
        <stp>VOLUME</stp>
        <stp>.NDXP251128P21550</stp>
        <tr r="V138" s="2"/>
      </tp>
      <tp t="s">
        <v>N/A</v>
        <stp/>
        <stp>VOLUME</stp>
        <stp>.NDXP250829P20450</stp>
        <tr r="P182" s="2"/>
      </tp>
      <tp t="s">
        <v>N/A</v>
        <stp/>
        <stp>VOLUME</stp>
        <stp>.NDXP250829P21450</stp>
        <tr r="P142" s="2"/>
      </tp>
      <tp t="s">
        <v>N/A</v>
        <stp/>
        <stp>VOLUME</stp>
        <stp>.NDXP251128P20575</stp>
        <tr r="V177" s="2"/>
      </tp>
      <tp t="s">
        <v>N/A</v>
        <stp/>
        <stp>VOLUME</stp>
        <stp>.NDXP250829P20475</stp>
        <tr r="P181" s="2"/>
      </tp>
      <tp t="s">
        <v>N/A</v>
        <stp/>
        <stp>VOLUME</stp>
        <stp>.NDXP250829P21475</stp>
        <tr r="P141" s="2"/>
      </tp>
      <tp t="s">
        <v>N/A</v>
        <stp/>
        <stp>VOLUME</stp>
        <stp>.NDXP250829P20400</stp>
        <tr r="P184" s="2"/>
      </tp>
      <tp t="s">
        <v>N/A</v>
        <stp/>
        <stp>VOLUME</stp>
        <stp>.NDXP250829P21400</stp>
        <tr r="P144" s="2"/>
      </tp>
      <tp t="s">
        <v>N/A</v>
        <stp/>
        <stp>VOLUME</stp>
        <stp>.NDXP251128P20500</stp>
        <tr r="V180" s="2"/>
      </tp>
      <tp t="s">
        <v>N/A</v>
        <stp/>
        <stp>VOLUME</stp>
        <stp>.NDXP251128P21500</stp>
        <tr r="V140" s="2"/>
      </tp>
      <tp t="s">
        <v>N/A</v>
        <stp/>
        <stp>VOLUME</stp>
        <stp>.NDXP250829P20425</stp>
        <tr r="P183" s="2"/>
      </tp>
      <tp t="s">
        <v>N/A</v>
        <stp/>
        <stp>VOLUME</stp>
        <stp>.NDXP250829P21425</stp>
        <tr r="P143" s="2"/>
      </tp>
      <tp t="s">
        <v>N/A</v>
        <stp/>
        <stp>VOLUME</stp>
        <stp>.NDXP251128P20525</stp>
        <tr r="V179" s="2"/>
      </tp>
      <tp t="s">
        <v>N/A</v>
        <stp/>
        <stp>VOLUME</stp>
        <stp>.NDXP251128P21525</stp>
        <tr r="V139" s="2"/>
      </tp>
      <tp>
        <v>2</v>
        <stp/>
        <stp>OPEN_INT</stp>
        <stp>.NDXP250520C20700</stp>
        <tr r="AS171" s="1"/>
        <tr r="AS171" s="1"/>
      </tp>
      <tp>
        <v>1</v>
        <stp/>
        <stp>OPEN_INT</stp>
        <stp>.NDXP250523C20400</stp>
        <tr r="AU183" s="1"/>
        <tr r="AU183" s="1"/>
      </tp>
      <tp>
        <v>365</v>
        <stp/>
        <stp>OPEN_INT</stp>
        <stp>.NDXP250523C21400</stp>
        <tr r="AU143" s="1"/>
        <tr r="AU143" s="1"/>
      </tp>
      <tp>
        <v>0</v>
        <stp/>
        <stp>OPEN_INT</stp>
        <stp>.NDXP250520C20725</stp>
        <tr r="AS170" s="1"/>
        <tr r="AS170" s="1"/>
      </tp>
      <tp>
        <v>1</v>
        <stp/>
        <stp>OPEN_INT</stp>
        <stp>.NDXP250523C20425</stp>
        <tr r="AU182" s="1"/>
        <tr r="AU182" s="1"/>
      </tp>
      <tp>
        <v>51</v>
        <stp/>
        <stp>OPEN_INT</stp>
        <stp>.NDXP250523C21425</stp>
        <tr r="AU142" s="1"/>
        <tr r="AU142" s="1"/>
      </tp>
      <tp>
        <v>1</v>
        <stp/>
        <stp>OPEN_INT</stp>
        <stp>.NDXP250520C20750</stp>
        <tr r="AS169" s="1"/>
        <tr r="AS169" s="1"/>
      </tp>
      <tp>
        <v>4</v>
        <stp/>
        <stp>OPEN_INT</stp>
        <stp>.NDXP250523C20450</stp>
        <tr r="AU181" s="1"/>
        <tr r="AU181" s="1"/>
      </tp>
      <tp>
        <v>51</v>
        <stp/>
        <stp>OPEN_INT</stp>
        <stp>.NDXP250523C21450</stp>
        <tr r="AU141" s="1"/>
        <tr r="AU141" s="1"/>
      </tp>
      <tp>
        <v>1</v>
        <stp/>
        <stp>OPEN_INT</stp>
        <stp>.NDXP250520C20775</stp>
        <tr r="AS168" s="1"/>
        <tr r="AS168" s="1"/>
      </tp>
      <tp>
        <v>6</v>
        <stp/>
        <stp>OPEN_INT</stp>
        <stp>.NDXP250523C20475</stp>
        <tr r="AU180" s="1"/>
        <tr r="AU180" s="1"/>
      </tp>
      <tp>
        <v>7</v>
        <stp/>
        <stp>OPEN_INT</stp>
        <stp>.NDXP250523C21475</stp>
        <tr r="AU140" s="1"/>
        <tr r="AU140" s="1"/>
      </tp>
      <tp>
        <v>69</v>
        <stp/>
        <stp>OPEN_INT</stp>
        <stp>.NDXP250520P20725</stp>
        <tr r="AT170" s="1"/>
        <tr r="AT170" s="1"/>
      </tp>
      <tp>
        <v>32</v>
        <stp/>
        <stp>OPEN_INT</stp>
        <stp>.NDXP250523P20425</stp>
        <tr r="AV182" s="1"/>
        <tr r="AV182" s="1"/>
      </tp>
      <tp>
        <v>5</v>
        <stp/>
        <stp>OPEN_INT</stp>
        <stp>.NDXP250523P21425</stp>
        <tr r="AV142" s="1"/>
        <tr r="AV142" s="1"/>
      </tp>
      <tp>
        <v>54</v>
        <stp/>
        <stp>OPEN_INT</stp>
        <stp>.NDXP250520P20700</stp>
        <tr r="AT171" s="1"/>
        <tr r="AT171" s="1"/>
      </tp>
      <tp>
        <v>117</v>
        <stp/>
        <stp>OPEN_INT</stp>
        <stp>.NDXP250523P20400</stp>
        <tr r="AV183" s="1"/>
        <tr r="AV183" s="1"/>
      </tp>
      <tp>
        <v>18</v>
        <stp/>
        <stp>OPEN_INT</stp>
        <stp>.NDXP250523P21400</stp>
        <tr r="AV143" s="1"/>
        <tr r="AV143" s="1"/>
      </tp>
      <tp>
        <v>1</v>
        <stp/>
        <stp>OPEN_INT</stp>
        <stp>.NDXP250520P20775</stp>
        <tr r="AT168" s="1"/>
        <tr r="AT168" s="1"/>
      </tp>
      <tp>
        <v>19</v>
        <stp/>
        <stp>OPEN_INT</stp>
        <stp>.NDXP250523P20475</stp>
        <tr r="AV180" s="1"/>
        <tr r="AV180" s="1"/>
      </tp>
      <tp>
        <v>4</v>
        <stp/>
        <stp>OPEN_INT</stp>
        <stp>.NDXP250523P21475</stp>
        <tr r="AV140" s="1"/>
        <tr r="AV140" s="1"/>
      </tp>
      <tp>
        <v>25</v>
        <stp/>
        <stp>OPEN_INT</stp>
        <stp>.NDXP250520P20750</stp>
        <tr r="AT169" s="1"/>
        <tr r="AT169" s="1"/>
      </tp>
      <tp>
        <v>21</v>
        <stp/>
        <stp>OPEN_INT</stp>
        <stp>.NDXP250523P20450</stp>
        <tr r="AV181" s="1"/>
        <tr r="AV181" s="1"/>
      </tp>
      <tp>
        <v>6</v>
        <stp/>
        <stp>OPEN_INT</stp>
        <stp>.NDXP250523P21450</stp>
        <tr r="AV141" s="1"/>
        <tr r="AV141" s="1"/>
      </tp>
      <tp t="s">
        <v>N/A</v>
        <stp/>
        <stp>VOLUME</stp>
        <stp>.NDXP250829C20775</stp>
        <tr r="P169" s="2"/>
      </tp>
      <tp t="s">
        <v>N/A</v>
        <stp/>
        <stp>VOLUME</stp>
        <stp>.NDXP251128C20675</stp>
        <tr r="V173" s="2"/>
      </tp>
      <tp t="s">
        <v>N/A</v>
        <stp/>
        <stp>VOLUME</stp>
        <stp>.NDXP250829C20750</stp>
        <tr r="P170" s="2"/>
      </tp>
      <tp t="s">
        <v>N/A</v>
        <stp/>
        <stp>VOLUME</stp>
        <stp>.NDXP251128C20650</stp>
        <tr r="V174" s="2"/>
      </tp>
      <tp t="s">
        <v>N/A</v>
        <stp/>
        <stp>VOLUME</stp>
        <stp>.NDXP251128C20625</stp>
        <tr r="V175" s="2"/>
      </tp>
      <tp t="s">
        <v>N/A</v>
        <stp/>
        <stp>VOLUME</stp>
        <stp>.NDXP250829C20725</stp>
        <tr r="P171" s="2"/>
      </tp>
      <tp t="s">
        <v>N/A</v>
        <stp/>
        <stp>VOLUME</stp>
        <stp>.NDXP251128C20600</stp>
        <tr r="V176" s="2"/>
      </tp>
      <tp t="s">
        <v>N/A</v>
        <stp/>
        <stp>VOLUME</stp>
        <stp>.NDXP250829C20700</stp>
        <tr r="P172" s="2"/>
      </tp>
      <tp t="s">
        <v>N/A</v>
        <stp/>
        <stp>VOLUME</stp>
        <stp>.NDXP251128P20650</stp>
        <tr r="V174" s="2"/>
      </tp>
      <tp>
        <v>15</v>
        <stp/>
        <stp>VOLUME</stp>
        <stp>.SPXW250930C6000</stp>
        <tr r="R93" s="2"/>
        <tr r="R93" s="2"/>
      </tp>
      <tp>
        <v>178</v>
        <stp/>
        <stp>VOLUME</stp>
        <stp>.SPXW250630C6000</stp>
        <tr r="L93" s="2"/>
        <tr r="L93" s="2"/>
      </tp>
      <tp>
        <v>3</v>
        <stp/>
        <stp>VOLUME</stp>
        <stp>.SPXW250731C6010</stp>
        <tr r="N92" s="2"/>
        <tr r="N92" s="2"/>
      </tp>
      <tp>
        <v>695</v>
        <stp/>
        <stp>VOLUME</stp>
        <stp>.SPXW250530C6000</stp>
        <tr r="G93" s="2"/>
        <tr r="G93" s="2"/>
      </tp>
      <tp t="s">
        <v>N/A</v>
        <stp/>
        <stp>VOLUME</stp>
        <stp>.SPXW251231C6010</stp>
        <tr r="X92" s="2"/>
      </tp>
      <tp t="s">
        <v>N/A</v>
        <stp/>
        <stp>VOLUME</stp>
        <stp>.SPXW251031C6010</stp>
        <tr r="T92" s="2"/>
      </tp>
      <tp t="s">
        <v>N/A</v>
        <stp/>
        <stp>VOLUME</stp>
        <stp>.SPXW251231P6010</stp>
        <tr r="X92" s="2"/>
      </tp>
      <tp t="s">
        <v>N/A</v>
        <stp/>
        <stp>VOLUME</stp>
        <stp>.SPXW251031P6010</stp>
        <tr r="T92" s="2"/>
      </tp>
      <tp>
        <v>3</v>
        <stp/>
        <stp>VOLUME</stp>
        <stp>.SPXW250930P6000</stp>
        <tr r="R93" s="2"/>
        <tr r="R93" s="2"/>
      </tp>
      <tp>
        <v>55</v>
        <stp/>
        <stp>VOLUME</stp>
        <stp>.SPXW250630P6000</stp>
        <tr r="L93" s="2"/>
        <tr r="L93" s="2"/>
      </tp>
      <tp>
        <v>4</v>
        <stp/>
        <stp>VOLUME</stp>
        <stp>.SPXW250731P6010</stp>
        <tr r="N92" s="2"/>
        <tr r="N92" s="2"/>
      </tp>
      <tp>
        <v>88</v>
        <stp/>
        <stp>VOLUME</stp>
        <stp>.SPXW250530P6000</stp>
        <tr r="G93" s="2"/>
        <tr r="G93" s="2"/>
      </tp>
      <tp t="s">
        <v>N/A</v>
        <stp/>
        <stp>VOLUME</stp>
        <stp>.NDXP250829P20750</stp>
        <tr r="P170" s="2"/>
      </tp>
      <tp t="s">
        <v>N/A</v>
        <stp/>
        <stp>VOLUME</stp>
        <stp>.SPXW250930C6010</stp>
        <tr r="R92" s="2"/>
      </tp>
      <tp>
        <v>61</v>
        <stp/>
        <stp>VOLUME</stp>
        <stp>.SPXW250630C6010</stp>
        <tr r="L92" s="2"/>
        <tr r="L92" s="2"/>
      </tp>
      <tp>
        <v>35</v>
        <stp/>
        <stp>VOLUME</stp>
        <stp>.SPXW250731C6000</stp>
        <tr r="N93" s="2"/>
        <tr r="N93" s="2"/>
      </tp>
      <tp>
        <v>127</v>
        <stp/>
        <stp>VOLUME</stp>
        <stp>.SPXW250530C6010</stp>
        <tr r="G92" s="2"/>
        <tr r="G92" s="2"/>
      </tp>
      <tp>
        <v>114</v>
        <stp/>
        <stp>VOLUME</stp>
        <stp>.SPXW251231C6000</stp>
        <tr r="X93" s="2"/>
        <tr r="X93" s="2"/>
      </tp>
      <tp t="s">
        <v>N/A</v>
        <stp/>
        <stp>VOLUME</stp>
        <stp>.SPXW251031C6000</stp>
        <tr r="T93" s="2"/>
      </tp>
      <tp>
        <v>1</v>
        <stp/>
        <stp>VOLUME</stp>
        <stp>.SPXW251231P6000</stp>
        <tr r="X93" s="2"/>
        <tr r="X93" s="2"/>
      </tp>
      <tp t="s">
        <v>N/A</v>
        <stp/>
        <stp>VOLUME</stp>
        <stp>.SPXW251031P6000</stp>
        <tr r="T93" s="2"/>
      </tp>
      <tp t="s">
        <v>N/A</v>
        <stp/>
        <stp>VOLUME</stp>
        <stp>.SPXW250930P6010</stp>
        <tr r="R92" s="2"/>
      </tp>
      <tp t="s">
        <v>N/A</v>
        <stp/>
        <stp>VOLUME</stp>
        <stp>.SPXW250630P6010</stp>
        <tr r="L92" s="2"/>
      </tp>
      <tp>
        <v>5</v>
        <stp/>
        <stp>VOLUME</stp>
        <stp>.SPXW250731P6000</stp>
        <tr r="N93" s="2"/>
        <tr r="N93" s="2"/>
      </tp>
      <tp>
        <v>7</v>
        <stp/>
        <stp>VOLUME</stp>
        <stp>.SPXW250530P6010</stp>
        <tr r="G92" s="2"/>
        <tr r="G92" s="2"/>
      </tp>
      <tp t="s">
        <v>N/A</v>
        <stp/>
        <stp>VOLUME</stp>
        <stp>.NDXP251128P20675</stp>
        <tr r="V173" s="2"/>
      </tp>
      <tp t="s">
        <v>N/A</v>
        <stp/>
        <stp>VOLUME</stp>
        <stp>.SPXW250930C6020</stp>
        <tr r="R91" s="2"/>
      </tp>
      <tp>
        <v>3</v>
        <stp/>
        <stp>VOLUME</stp>
        <stp>.SPXW250630C6020</stp>
        <tr r="L91" s="2"/>
        <tr r="L91" s="2"/>
      </tp>
      <tp t="s">
        <v>N/A</v>
        <stp/>
        <stp>VOLUME</stp>
        <stp>.SPXW250731C6030</stp>
        <tr r="N90" s="2"/>
      </tp>
      <tp>
        <v>138</v>
        <stp/>
        <stp>VOLUME</stp>
        <stp>.SPXW250530C6020</stp>
        <tr r="G91" s="2"/>
        <tr r="G91" s="2"/>
      </tp>
      <tp t="s">
        <v>N/A</v>
        <stp/>
        <stp>VOLUME</stp>
        <stp>.SPXW251231C6030</stp>
        <tr r="X90" s="2"/>
      </tp>
      <tp t="s">
        <v>N/A</v>
        <stp/>
        <stp>VOLUME</stp>
        <stp>.SPXW251031C6030</stp>
        <tr r="T90" s="2"/>
      </tp>
      <tp t="s">
        <v>N/A</v>
        <stp/>
        <stp>VOLUME</stp>
        <stp>.SPXW251231P6030</stp>
        <tr r="X90" s="2"/>
      </tp>
      <tp t="s">
        <v>N/A</v>
        <stp/>
        <stp>VOLUME</stp>
        <stp>.SPXW251031P6030</stp>
        <tr r="T90" s="2"/>
      </tp>
      <tp t="s">
        <v>N/A</v>
        <stp/>
        <stp>VOLUME</stp>
        <stp>.SPXW250930P6020</stp>
        <tr r="R91" s="2"/>
      </tp>
      <tp t="s">
        <v>N/A</v>
        <stp/>
        <stp>VOLUME</stp>
        <stp>.SPXW250630P6020</stp>
        <tr r="L91" s="2"/>
      </tp>
      <tp t="s">
        <v>N/A</v>
        <stp/>
        <stp>VOLUME</stp>
        <stp>.SPXW250731P6030</stp>
        <tr r="N90" s="2"/>
      </tp>
      <tp t="s">
        <v>N/A</v>
        <stp/>
        <stp>VOLUME</stp>
        <stp>.SPXW250530P6020</stp>
        <tr r="G91" s="2"/>
      </tp>
      <tp t="s">
        <v>N/A</v>
        <stp/>
        <stp>VOLUME</stp>
        <stp>.NDXP250829P20775</stp>
        <tr r="P169" s="2"/>
      </tp>
      <tp t="s">
        <v>N/A</v>
        <stp/>
        <stp>VOLUME</stp>
        <stp>.SPXW250930C6030</stp>
        <tr r="R90" s="2"/>
      </tp>
      <tp>
        <v>1</v>
        <stp/>
        <stp>VOLUME</stp>
        <stp>.SPXW250630C6030</stp>
        <tr r="L90" s="2"/>
        <tr r="L90" s="2"/>
      </tp>
      <tp>
        <v>5</v>
        <stp/>
        <stp>VOLUME</stp>
        <stp>.SPXW250731C6020</stp>
        <tr r="N91" s="2"/>
        <tr r="N91" s="2"/>
      </tp>
      <tp>
        <v>30</v>
        <stp/>
        <stp>VOLUME</stp>
        <stp>.SPXW250530C6030</stp>
        <tr r="G90" s="2"/>
        <tr r="G90" s="2"/>
      </tp>
      <tp t="s">
        <v>N/A</v>
        <stp/>
        <stp>VOLUME</stp>
        <stp>.SPXW251231C6020</stp>
        <tr r="X91" s="2"/>
      </tp>
      <tp t="s">
        <v>N/A</v>
        <stp/>
        <stp>VOLUME</stp>
        <stp>.SPXW251031C6020</stp>
        <tr r="T91" s="2"/>
      </tp>
      <tp t="s">
        <v>N/A</v>
        <stp/>
        <stp>VOLUME</stp>
        <stp>.SPXW251231P6020</stp>
        <tr r="X91" s="2"/>
      </tp>
      <tp t="s">
        <v>N/A</v>
        <stp/>
        <stp>VOLUME</stp>
        <stp>.SPXW251031P6020</stp>
        <tr r="T91" s="2"/>
      </tp>
      <tp t="s">
        <v>N/A</v>
        <stp/>
        <stp>VOLUME</stp>
        <stp>.SPXW250930P6030</stp>
        <tr r="R90" s="2"/>
      </tp>
      <tp t="s">
        <v>N/A</v>
        <stp/>
        <stp>VOLUME</stp>
        <stp>.SPXW250630P6030</stp>
        <tr r="L90" s="2"/>
      </tp>
      <tp t="s">
        <v>N/A</v>
        <stp/>
        <stp>VOLUME</stp>
        <stp>.SPXW250731P6020</stp>
        <tr r="N91" s="2"/>
      </tp>
      <tp t="s">
        <v>N/A</v>
        <stp/>
        <stp>VOLUME</stp>
        <stp>.SPXW250530P6030</stp>
        <tr r="G90" s="2"/>
      </tp>
      <tp t="s">
        <v>N/A</v>
        <stp/>
        <stp>VOLUME</stp>
        <stp>.NDXP250829P20700</stp>
        <tr r="P172" s="2"/>
      </tp>
      <tp t="s">
        <v>N/A</v>
        <stp/>
        <stp>VOLUME</stp>
        <stp>.SPXW250930C6040</stp>
        <tr r="R89" s="2"/>
      </tp>
      <tp t="s">
        <v>N/A</v>
        <stp/>
        <stp>VOLUME</stp>
        <stp>.SPXW250630C6040</stp>
        <tr r="L89" s="2"/>
      </tp>
      <tp>
        <v>4</v>
        <stp/>
        <stp>VOLUME</stp>
        <stp>.SPXW250731C6050</stp>
        <tr r="N88" s="2"/>
        <tr r="N88" s="2"/>
      </tp>
      <tp>
        <v>292</v>
        <stp/>
        <stp>VOLUME</stp>
        <stp>.SPXW250530C6040</stp>
        <tr r="G89" s="2"/>
        <tr r="G89" s="2"/>
      </tp>
      <tp>
        <v>15</v>
        <stp/>
        <stp>VOLUME</stp>
        <stp>.SPXW251231C6050</stp>
        <tr r="X88" s="2"/>
        <tr r="X88" s="2"/>
      </tp>
      <tp t="s">
        <v>N/A</v>
        <stp/>
        <stp>VOLUME</stp>
        <stp>.SPXW251031C6050</stp>
        <tr r="T88" s="2"/>
      </tp>
      <tp t="s">
        <v>N/A</v>
        <stp/>
        <stp>VOLUME</stp>
        <stp>.SPXW251231P6050</stp>
        <tr r="X88" s="2"/>
      </tp>
      <tp t="s">
        <v>N/A</v>
        <stp/>
        <stp>VOLUME</stp>
        <stp>.SPXW251031P6050</stp>
        <tr r="T88" s="2"/>
      </tp>
      <tp t="s">
        <v>N/A</v>
        <stp/>
        <stp>VOLUME</stp>
        <stp>.SPXW250930P6040</stp>
        <tr r="R89" s="2"/>
      </tp>
      <tp>
        <v>6</v>
        <stp/>
        <stp>VOLUME</stp>
        <stp>.SPXW250630P6040</stp>
        <tr r="L89" s="2"/>
        <tr r="L89" s="2"/>
      </tp>
      <tp>
        <v>1</v>
        <stp/>
        <stp>VOLUME</stp>
        <stp>.SPXW250731P6050</stp>
        <tr r="N88" s="2"/>
        <tr r="N88" s="2"/>
      </tp>
      <tp t="s">
        <v>N/A</v>
        <stp/>
        <stp>VOLUME</stp>
        <stp>.SPXW250530P6040</stp>
        <tr r="G89" s="2"/>
      </tp>
      <tp t="s">
        <v>N/A</v>
        <stp/>
        <stp>VOLUME</stp>
        <stp>.NDXP251128P20600</stp>
        <tr r="V176" s="2"/>
      </tp>
      <tp>
        <v>9</v>
        <stp/>
        <stp>VOLUME</stp>
        <stp>.SPXW250930C6050</stp>
        <tr r="R88" s="2"/>
        <tr r="R88" s="2"/>
      </tp>
      <tp>
        <v>1421</v>
        <stp/>
        <stp>VOLUME</stp>
        <stp>.SPXW250630C6050</stp>
        <tr r="L88" s="2"/>
        <tr r="L88" s="2"/>
      </tp>
      <tp>
        <v>125</v>
        <stp/>
        <stp>VOLUME</stp>
        <stp>.SPXW250731C6040</stp>
        <tr r="N89" s="2"/>
        <tr r="N89" s="2"/>
      </tp>
      <tp>
        <v>1893</v>
        <stp/>
        <stp>VOLUME</stp>
        <stp>.SPXW250530C6050</stp>
        <tr r="G88" s="2"/>
        <tr r="G88" s="2"/>
      </tp>
      <tp>
        <v>3</v>
        <stp/>
        <stp>VOLUME</stp>
        <stp>.SPXW251231C6040</stp>
        <tr r="X89" s="2"/>
        <tr r="X89" s="2"/>
      </tp>
      <tp t="s">
        <v>N/A</v>
        <stp/>
        <stp>VOLUME</stp>
        <stp>.SPXW251031C6040</stp>
        <tr r="T89" s="2"/>
      </tp>
      <tp t="s">
        <v>N/A</v>
        <stp/>
        <stp>VOLUME</stp>
        <stp>.SPXW251231P6040</stp>
        <tr r="X89" s="2"/>
      </tp>
      <tp t="s">
        <v>N/A</v>
        <stp/>
        <stp>VOLUME</stp>
        <stp>.SPXW251031P6040</stp>
        <tr r="T89" s="2"/>
      </tp>
      <tp>
        <v>5</v>
        <stp/>
        <stp>VOLUME</stp>
        <stp>.SPXW250930P6050</stp>
        <tr r="R88" s="2"/>
        <tr r="R88" s="2"/>
      </tp>
      <tp>
        <v>1</v>
        <stp/>
        <stp>VOLUME</stp>
        <stp>.SPXW250630P6050</stp>
        <tr r="L88" s="2"/>
        <tr r="L88" s="2"/>
      </tp>
      <tp t="s">
        <v>N/A</v>
        <stp/>
        <stp>VOLUME</stp>
        <stp>.SPXW250731P6040</stp>
        <tr r="N89" s="2"/>
      </tp>
      <tp t="s">
        <v>N/A</v>
        <stp/>
        <stp>VOLUME</stp>
        <stp>.SPXW250530P6050</stp>
        <tr r="G88" s="2"/>
      </tp>
      <tp t="s">
        <v>N/A</v>
        <stp/>
        <stp>VOLUME</stp>
        <stp>.NDXP250829P20725</stp>
        <tr r="P171" s="2"/>
      </tp>
      <tp t="s">
        <v>N/A</v>
        <stp/>
        <stp>VOLUME</stp>
        <stp>.SPXW250930C6060</stp>
        <tr r="R87" s="2"/>
      </tp>
      <tp t="s">
        <v>N/A</v>
        <stp/>
        <stp>VOLUME</stp>
        <stp>.SPXW250630C6060</stp>
        <tr r="L87" s="2"/>
      </tp>
      <tp>
        <v>4</v>
        <stp/>
        <stp>VOLUME</stp>
        <stp>.SPXW250731C6070</stp>
        <tr r="N86" s="2"/>
        <tr r="N86" s="2"/>
      </tp>
      <tp>
        <v>138</v>
        <stp/>
        <stp>VOLUME</stp>
        <stp>.SPXW250530C6060</stp>
        <tr r="G87" s="2"/>
        <tr r="G87" s="2"/>
      </tp>
      <tp t="s">
        <v>N/A</v>
        <stp/>
        <stp>VOLUME</stp>
        <stp>.SPXW251231C6070</stp>
        <tr r="X86" s="2"/>
      </tp>
      <tp t="s">
        <v>N/A</v>
        <stp/>
        <stp>VOLUME</stp>
        <stp>.SPXW251031C6070</stp>
        <tr r="T86" s="2"/>
      </tp>
      <tp t="s">
        <v>N/A</v>
        <stp/>
        <stp>VOLUME</stp>
        <stp>.SPXW251231P6070</stp>
        <tr r="X86" s="2"/>
      </tp>
      <tp>
        <v>4</v>
        <stp/>
        <stp>VOLUME</stp>
        <stp>.SPXW251031P6070</stp>
        <tr r="T86" s="2"/>
        <tr r="T86" s="2"/>
      </tp>
      <tp t="s">
        <v>N/A</v>
        <stp/>
        <stp>VOLUME</stp>
        <stp>.SPXW250930P6060</stp>
        <tr r="R87" s="2"/>
      </tp>
      <tp t="s">
        <v>N/A</v>
        <stp/>
        <stp>VOLUME</stp>
        <stp>.SPXW250630P6060</stp>
        <tr r="L87" s="2"/>
      </tp>
      <tp t="s">
        <v>N/A</v>
        <stp/>
        <stp>VOLUME</stp>
        <stp>.SPXW250731P6070</stp>
        <tr r="N86" s="2"/>
      </tp>
      <tp t="s">
        <v>N/A</v>
        <stp/>
        <stp>VOLUME</stp>
        <stp>.SPXW250530P6060</stp>
        <tr r="G87" s="2"/>
      </tp>
      <tp t="s">
        <v>N/A</v>
        <stp/>
        <stp>VOLUME</stp>
        <stp>.NDXP251128P20625</stp>
        <tr r="V175" s="2"/>
      </tp>
      <tp t="s">
        <v>N/A</v>
        <stp/>
        <stp>VOLUME</stp>
        <stp>.SPXW250930C6070</stp>
        <tr r="R86" s="2"/>
      </tp>
      <tp>
        <v>3</v>
        <stp/>
        <stp>VOLUME</stp>
        <stp>.SPXW250630C6070</stp>
        <tr r="L86" s="2"/>
        <tr r="L86" s="2"/>
      </tp>
      <tp t="s">
        <v>N/A</v>
        <stp/>
        <stp>VOLUME</stp>
        <stp>.SPXW250731C6060</stp>
        <tr r="N87" s="2"/>
      </tp>
      <tp>
        <v>75</v>
        <stp/>
        <stp>VOLUME</stp>
        <stp>.SPXW250530C6070</stp>
        <tr r="G86" s="2"/>
        <tr r="G86" s="2"/>
      </tp>
      <tp t="s">
        <v>N/A</v>
        <stp/>
        <stp>VOLUME</stp>
        <stp>.SPXW251231C6060</stp>
        <tr r="X87" s="2"/>
      </tp>
      <tp t="s">
        <v>N/A</v>
        <stp/>
        <stp>VOLUME</stp>
        <stp>.SPXW251031C6060</stp>
        <tr r="T87" s="2"/>
      </tp>
      <tp t="s">
        <v>N/A</v>
        <stp/>
        <stp>VOLUME</stp>
        <stp>.SPXW251231P6060</stp>
        <tr r="X87" s="2"/>
      </tp>
      <tp t="s">
        <v>N/A</v>
        <stp/>
        <stp>VOLUME</stp>
        <stp>.SPXW251031P6060</stp>
        <tr r="T87" s="2"/>
      </tp>
      <tp>
        <v>5</v>
        <stp/>
        <stp>VOLUME</stp>
        <stp>.SPXW250930P6070</stp>
        <tr r="R86" s="2"/>
        <tr r="R86" s="2"/>
      </tp>
      <tp t="s">
        <v>N/A</v>
        <stp/>
        <stp>VOLUME</stp>
        <stp>.SPXW250630P6070</stp>
        <tr r="L86" s="2"/>
      </tp>
      <tp t="s">
        <v>N/A</v>
        <stp/>
        <stp>VOLUME</stp>
        <stp>.SPXW250731P6060</stp>
        <tr r="N87" s="2"/>
      </tp>
      <tp t="s">
        <v>N/A</v>
        <stp/>
        <stp>VOLUME</stp>
        <stp>.SPXW250530P6070</stp>
        <tr r="G86" s="2"/>
      </tp>
      <tp>
        <v>2</v>
        <stp/>
        <stp>OPEN_INT</stp>
        <stp>.NDXP250520C20600</stp>
        <tr r="AS175" s="1"/>
        <tr r="AS175" s="1"/>
      </tp>
      <tp>
        <v>42</v>
        <stp/>
        <stp>OPEN_INT</stp>
        <stp>.NDXP250523C20500</stp>
        <tr r="AU179" s="1"/>
        <tr r="AU179" s="1"/>
      </tp>
      <tp>
        <v>22</v>
        <stp/>
        <stp>OPEN_INT</stp>
        <stp>.NDXP250523C21500</stp>
        <tr r="AU139" s="1"/>
        <tr r="AU139" s="1"/>
      </tp>
      <tp>
        <v>0</v>
        <stp/>
        <stp>OPEN_INT</stp>
        <stp>.NDXP250520C20625</stp>
        <tr r="AS174" s="1"/>
        <tr r="AS174" s="1"/>
      </tp>
      <tp>
        <v>11</v>
        <stp/>
        <stp>OPEN_INT</stp>
        <stp>.NDXP250523C20525</stp>
        <tr r="AU178" s="1"/>
        <tr r="AU178" s="1"/>
      </tp>
      <tp>
        <v>4</v>
        <stp/>
        <stp>OPEN_INT</stp>
        <stp>.NDXP250523C21525</stp>
        <tr r="AU138" s="1"/>
        <tr r="AU138" s="1"/>
      </tp>
      <tp>
        <v>0</v>
        <stp/>
        <stp>OPEN_INT</stp>
        <stp>.NDXP250520C20650</stp>
        <tr r="AS173" s="1"/>
        <tr r="AS173" s="1"/>
      </tp>
      <tp>
        <v>9</v>
        <stp/>
        <stp>OPEN_INT</stp>
        <stp>.NDXP250523C20550</stp>
        <tr r="AU177" s="1"/>
        <tr r="AU177" s="1"/>
      </tp>
      <tp>
        <v>6</v>
        <stp/>
        <stp>OPEN_INT</stp>
        <stp>.NDXP250523C21550</stp>
        <tr r="AU137" s="1"/>
        <tr r="AU137" s="1"/>
      </tp>
      <tp>
        <v>0</v>
        <stp/>
        <stp>OPEN_INT</stp>
        <stp>.NDXP250520C20675</stp>
        <tr r="AS172" s="1"/>
        <tr r="AS172" s="1"/>
      </tp>
      <tp>
        <v>1</v>
        <stp/>
        <stp>OPEN_INT</stp>
        <stp>.NDXP250523C20575</stp>
        <tr r="AU176" s="1"/>
        <tr r="AU176" s="1"/>
      </tp>
      <tp>
        <v>3</v>
        <stp/>
        <stp>OPEN_INT</stp>
        <stp>.NDXP250520P20625</stp>
        <tr r="AT174" s="1"/>
        <tr r="AT174" s="1"/>
      </tp>
      <tp>
        <v>7</v>
        <stp/>
        <stp>OPEN_INT</stp>
        <stp>.NDXP250523P20525</stp>
        <tr r="AV178" s="1"/>
        <tr r="AV178" s="1"/>
      </tp>
      <tp>
        <v>0</v>
        <stp/>
        <stp>OPEN_INT</stp>
        <stp>.NDXP250523P21525</stp>
        <tr r="AV138" s="1"/>
        <tr r="AV138" s="1"/>
      </tp>
      <tp>
        <v>18</v>
        <stp/>
        <stp>OPEN_INT</stp>
        <stp>.NDXP250520P20600</stp>
        <tr r="AT175" s="1"/>
        <tr r="AT175" s="1"/>
      </tp>
      <tp>
        <v>67</v>
        <stp/>
        <stp>OPEN_INT</stp>
        <stp>.NDXP250523P20500</stp>
        <tr r="AV179" s="1"/>
        <tr r="AV179" s="1"/>
      </tp>
      <tp>
        <v>5</v>
        <stp/>
        <stp>OPEN_INT</stp>
        <stp>.NDXP250523P21500</stp>
        <tr r="AV139" s="1"/>
        <tr r="AV139" s="1"/>
      </tp>
      <tp>
        <v>17</v>
        <stp/>
        <stp>OPEN_INT</stp>
        <stp>.NDXP250520P20675</stp>
        <tr r="AT172" s="1"/>
        <tr r="AT172" s="1"/>
      </tp>
      <tp>
        <v>2</v>
        <stp/>
        <stp>OPEN_INT</stp>
        <stp>.NDXP250523P20575</stp>
        <tr r="AV176" s="1"/>
        <tr r="AV176" s="1"/>
      </tp>
      <tp>
        <v>15</v>
        <stp/>
        <stp>OPEN_INT</stp>
        <stp>.NDXP250520P20650</stp>
        <tr r="AT173" s="1"/>
        <tr r="AT173" s="1"/>
      </tp>
      <tp>
        <v>18</v>
        <stp/>
        <stp>OPEN_INT</stp>
        <stp>.NDXP250523P20550</stp>
        <tr r="AV177" s="1"/>
        <tr r="AV177" s="1"/>
      </tp>
      <tp>
        <v>3</v>
        <stp/>
        <stp>OPEN_INT</stp>
        <stp>.NDXP250523P21550</stp>
        <tr r="AV137" s="1"/>
        <tr r="AV137" s="1"/>
      </tp>
      <tp t="s">
        <v>N/A</v>
        <stp/>
        <stp>VOLUME</stp>
        <stp>.NDXP250829C20675</stp>
        <tr r="P173" s="2"/>
      </tp>
      <tp t="s">
        <v>N/A</v>
        <stp/>
        <stp>VOLUME</stp>
        <stp>.NDXP251128C20775</stp>
        <tr r="V169" s="2"/>
      </tp>
      <tp t="s">
        <v>N/A</v>
        <stp/>
        <stp>VOLUME</stp>
        <stp>.NDXP250829C20650</stp>
        <tr r="P174" s="2"/>
      </tp>
      <tp t="s">
        <v>N/A</v>
        <stp/>
        <stp>VOLUME</stp>
        <stp>.NDXP251128C20750</stp>
        <tr r="V170" s="2"/>
      </tp>
      <tp t="s">
        <v>N/A</v>
        <stp/>
        <stp>VOLUME</stp>
        <stp>.NDXP251128C20725</stp>
        <tr r="V171" s="2"/>
      </tp>
      <tp t="s">
        <v>N/A</v>
        <stp/>
        <stp>VOLUME</stp>
        <stp>.NDXP250829C20625</stp>
        <tr r="P175" s="2"/>
      </tp>
      <tp t="s">
        <v>N/A</v>
        <stp/>
        <stp>VOLUME</stp>
        <stp>.NDXP251128C20700</stp>
        <tr r="V172" s="2"/>
      </tp>
      <tp t="s">
        <v>N/A</v>
        <stp/>
        <stp>VOLUME</stp>
        <stp>.NDXP250829C20600</stp>
        <tr r="P176" s="2"/>
      </tp>
      <tp t="s">
        <v>N/A</v>
        <stp/>
        <stp>VOLUME</stp>
        <stp>.SPXW250829C6010</stp>
        <tr r="P92" s="2"/>
      </tp>
      <tp t="s">
        <v>N/A</v>
        <stp/>
        <stp>VOLUME</stp>
        <stp>.SPXW251128C6000</stp>
        <tr r="V93" s="2"/>
      </tp>
      <tp t="s">
        <v>N/A</v>
        <stp/>
        <stp>VOLUME</stp>
        <stp>.SPXW251128P6000</stp>
        <tr r="V93" s="2"/>
      </tp>
      <tp t="s">
        <v>N/A</v>
        <stp/>
        <stp>VOLUME</stp>
        <stp>.SPXW250829P6010</stp>
        <tr r="P92" s="2"/>
      </tp>
      <tp>
        <v>19</v>
        <stp/>
        <stp>VOLUME</stp>
        <stp>.SPXW250829C6000</stp>
        <tr r="P93" s="2"/>
        <tr r="P93" s="2"/>
      </tp>
      <tp t="s">
        <v>N/A</v>
        <stp/>
        <stp>VOLUME</stp>
        <stp>.SPXW251128C6010</stp>
        <tr r="V92" s="2"/>
      </tp>
      <tp t="s">
        <v>N/A</v>
        <stp/>
        <stp>VOLUME</stp>
        <stp>.SPXW251128P6010</stp>
        <tr r="V92" s="2"/>
      </tp>
      <tp>
        <v>5</v>
        <stp/>
        <stp>VOLUME</stp>
        <stp>.SPXW250829P6000</stp>
        <tr r="P93" s="2"/>
        <tr r="P93" s="2"/>
      </tp>
      <tp t="s">
        <v>N/A</v>
        <stp/>
        <stp>VOLUME</stp>
        <stp>.SPXW250829C6030</stp>
        <tr r="P90" s="2"/>
      </tp>
      <tp t="s">
        <v>N/A</v>
        <stp/>
        <stp>VOLUME</stp>
        <stp>.SPXW251128C6020</stp>
        <tr r="V91" s="2"/>
      </tp>
      <tp t="s">
        <v>N/A</v>
        <stp/>
        <stp>VOLUME</stp>
        <stp>.SPXW251128P6020</stp>
        <tr r="V91" s="2"/>
      </tp>
      <tp>
        <v>2</v>
        <stp/>
        <stp>VOLUME</stp>
        <stp>.SPXW250829P6030</stp>
        <tr r="P90" s="2"/>
        <tr r="P90" s="2"/>
      </tp>
      <tp>
        <v>1</v>
        <stp/>
        <stp>VOLUME</stp>
        <stp>.SPXW250829C6020</stp>
        <tr r="P91" s="2"/>
        <tr r="P91" s="2"/>
      </tp>
      <tp t="s">
        <v>N/A</v>
        <stp/>
        <stp>VOLUME</stp>
        <stp>.SPXW251128C6030</stp>
        <tr r="V90" s="2"/>
      </tp>
      <tp t="s">
        <v>N/A</v>
        <stp/>
        <stp>VOLUME</stp>
        <stp>.SPXW251128P6030</stp>
        <tr r="V90" s="2"/>
      </tp>
      <tp t="s">
        <v>N/A</v>
        <stp/>
        <stp>VOLUME</stp>
        <stp>.SPXW250829P6020</stp>
        <tr r="P91" s="2"/>
      </tp>
      <tp>
        <v>2</v>
        <stp/>
        <stp>VOLUME</stp>
        <stp>.SPXW250829C6050</stp>
        <tr r="P88" s="2"/>
        <tr r="P88" s="2"/>
      </tp>
      <tp t="s">
        <v>N/A</v>
        <stp/>
        <stp>VOLUME</stp>
        <stp>.SPXW251128C6040</stp>
        <tr r="V89" s="2"/>
      </tp>
      <tp t="s">
        <v>N/A</v>
        <stp/>
        <stp>VOLUME</stp>
        <stp>.SPXW251128P6040</stp>
        <tr r="V89" s="2"/>
      </tp>
      <tp>
        <v>1</v>
        <stp/>
        <stp>VOLUME</stp>
        <stp>.SPXW250829P6050</stp>
        <tr r="P88" s="2"/>
        <tr r="P88" s="2"/>
      </tp>
      <tp>
        <v>2</v>
        <stp/>
        <stp>VOLUME</stp>
        <stp>.SPXW250829C6040</stp>
        <tr r="P89" s="2"/>
        <tr r="P89" s="2"/>
      </tp>
      <tp t="s">
        <v>N/A</v>
        <stp/>
        <stp>VOLUME</stp>
        <stp>.SPXW251128C6050</stp>
        <tr r="V88" s="2"/>
      </tp>
      <tp t="s">
        <v>N/A</v>
        <stp/>
        <stp>VOLUME</stp>
        <stp>.SPXW251128P6050</stp>
        <tr r="V88" s="2"/>
      </tp>
      <tp>
        <v>1</v>
        <stp/>
        <stp>VOLUME</stp>
        <stp>.SPXW250829P6040</stp>
        <tr r="P89" s="2"/>
        <tr r="P89" s="2"/>
      </tp>
      <tp>
        <v>2</v>
        <stp/>
        <stp>VOLUME</stp>
        <stp>.SPXW250829C6070</stp>
        <tr r="P86" s="2"/>
        <tr r="P86" s="2"/>
      </tp>
      <tp t="s">
        <v>N/A</v>
        <stp/>
        <stp>VOLUME</stp>
        <stp>.SPXW251128C6060</stp>
        <tr r="V87" s="2"/>
      </tp>
      <tp t="s">
        <v>N/A</v>
        <stp/>
        <stp>VOLUME</stp>
        <stp>.SPXW251128P6060</stp>
        <tr r="V87" s="2"/>
      </tp>
      <tp t="s">
        <v>N/A</v>
        <stp/>
        <stp>VOLUME</stp>
        <stp>.SPXW250829P6070</stp>
        <tr r="P86" s="2"/>
      </tp>
      <tp t="s">
        <v>N/A</v>
        <stp/>
        <stp>VOLUME</stp>
        <stp>.SPXW250829C6060</stp>
        <tr r="P87" s="2"/>
      </tp>
      <tp t="s">
        <v>N/A</v>
        <stp/>
        <stp>VOLUME</stp>
        <stp>.SPXW251128C6070</stp>
        <tr r="V86" s="2"/>
      </tp>
      <tp t="s">
        <v>N/A</v>
        <stp/>
        <stp>VOLUME</stp>
        <stp>.SPXW251128P6070</stp>
        <tr r="V86" s="2"/>
      </tp>
      <tp t="s">
        <v>N/A</v>
        <stp/>
        <stp>VOLUME</stp>
        <stp>.SPXW250829P6060</stp>
        <tr r="P87" s="2"/>
      </tp>
      <tp t="s">
        <v>N/A</v>
        <stp/>
        <stp>VOLUME</stp>
        <stp>.NDXP251128P20750</stp>
        <tr r="V170" s="2"/>
      </tp>
      <tp>
        <v>42648</v>
        <stp/>
        <stp>VOLUME</stp>
        <stp>.SPXW250520C6000</stp>
        <tr r="BA92" s="1"/>
        <tr r="BA92" s="1"/>
      </tp>
      <tp>
        <v>3748</v>
        <stp/>
        <stp>VOLUME</stp>
        <stp>.SPXW250521C6010</stp>
        <tr r="D92" s="2"/>
        <tr r="D92" s="2"/>
      </tp>
      <tp>
        <v>169</v>
        <stp/>
        <stp>VOLUME</stp>
        <stp>.SPXW250522C6020</stp>
        <tr r="E91" s="2"/>
        <tr r="E91" s="2"/>
      </tp>
      <tp>
        <v>1194</v>
        <stp/>
        <stp>VOLUME</stp>
        <stp>.SPXW250523C6030</stp>
        <tr r="BC89" s="1"/>
        <tr r="BC89" s="1"/>
      </tp>
      <tp>
        <v>1369</v>
        <stp/>
        <stp>VOLUME</stp>
        <stp>.SPXW250520P6000</stp>
        <tr r="BB92" s="1"/>
        <tr r="BB92" s="1"/>
      </tp>
      <tp>
        <v>120</v>
        <stp/>
        <stp>VOLUME</stp>
        <stp>.SPXW250521P6010</stp>
        <tr r="D92" s="2"/>
        <tr r="D92" s="2"/>
      </tp>
      <tp>
        <v>14</v>
        <stp/>
        <stp>VOLUME</stp>
        <stp>.SPXW250522P6020</stp>
        <tr r="E91" s="2"/>
        <tr r="E91" s="2"/>
      </tp>
      <tp>
        <v>6</v>
        <stp/>
        <stp>VOLUME</stp>
        <stp>.SPXW250523P6030</stp>
        <tr r="BD89" s="1"/>
        <tr r="BD89" s="1"/>
      </tp>
      <tp t="s">
        <v>N/A</v>
        <stp/>
        <stp>VOLUME</stp>
        <stp>.NDXP250829P20650</stp>
        <tr r="P174" s="2"/>
      </tp>
      <tp>
        <v>15679</v>
        <stp/>
        <stp>VOLUME</stp>
        <stp>.SPXW250520C6010</stp>
        <tr r="BA91" s="1"/>
        <tr r="BA91" s="1"/>
      </tp>
      <tp>
        <v>11180</v>
        <stp/>
        <stp>VOLUME</stp>
        <stp>.SPXW250521C6000</stp>
        <tr r="D93" s="2"/>
        <tr r="D93" s="2"/>
      </tp>
      <tp>
        <v>236</v>
        <stp/>
        <stp>VOLUME</stp>
        <stp>.SPXW250522C6030</stp>
        <tr r="E90" s="2"/>
        <tr r="E90" s="2"/>
      </tp>
      <tp>
        <v>737</v>
        <stp/>
        <stp>VOLUME</stp>
        <stp>.SPXW250523C6020</stp>
        <tr r="BC90" s="1"/>
        <tr r="BC90" s="1"/>
      </tp>
      <tp>
        <v>425</v>
        <stp/>
        <stp>VOLUME</stp>
        <stp>.SPXW250520P6010</stp>
        <tr r="BB91" s="1"/>
        <tr r="BB91" s="1"/>
      </tp>
      <tp>
        <v>456</v>
        <stp/>
        <stp>VOLUME</stp>
        <stp>.SPXW250521P6000</stp>
        <tr r="D93" s="2"/>
        <tr r="D93" s="2"/>
      </tp>
      <tp>
        <v>3</v>
        <stp/>
        <stp>VOLUME</stp>
        <stp>.SPXW250522P6030</stp>
        <tr r="E90" s="2"/>
        <tr r="E90" s="2"/>
      </tp>
      <tp>
        <v>8</v>
        <stp/>
        <stp>VOLUME</stp>
        <stp>.SPXW250523P6020</stp>
        <tr r="BD90" s="1"/>
        <tr r="BD90" s="1"/>
      </tp>
      <tp t="s">
        <v>N/A</v>
        <stp/>
        <stp>VOLUME</stp>
        <stp>.NDXP251128P20775</stp>
        <tr r="V169" s="2"/>
      </tp>
      <tp>
        <v>8768</v>
        <stp/>
        <stp>VOLUME</stp>
        <stp>.SPXW250520C6020</stp>
        <tr r="BA90" s="1"/>
        <tr r="BA90" s="1"/>
      </tp>
      <tp>
        <v>6486</v>
        <stp/>
        <stp>VOLUME</stp>
        <stp>.SPXW250521C6030</stp>
        <tr r="D90" s="2"/>
        <tr r="D90" s="2"/>
      </tp>
      <tp>
        <v>1473</v>
        <stp/>
        <stp>VOLUME</stp>
        <stp>.SPXW250522C6000</stp>
        <tr r="E93" s="2"/>
        <tr r="E93" s="2"/>
      </tp>
      <tp>
        <v>448</v>
        <stp/>
        <stp>VOLUME</stp>
        <stp>.SPXW250523C6010</stp>
        <tr r="BC91" s="1"/>
        <tr r="BC91" s="1"/>
      </tp>
      <tp>
        <v>849</v>
        <stp/>
        <stp>VOLUME</stp>
        <stp>.SPXW250520P6020</stp>
        <tr r="BB90" s="1"/>
        <tr r="BB90" s="1"/>
      </tp>
      <tp>
        <v>426</v>
        <stp/>
        <stp>VOLUME</stp>
        <stp>.SPXW250521P6030</stp>
        <tr r="D90" s="2"/>
        <tr r="D90" s="2"/>
      </tp>
      <tp>
        <v>56</v>
        <stp/>
        <stp>VOLUME</stp>
        <stp>.SPXW250522P6000</stp>
        <tr r="E93" s="2"/>
        <tr r="E93" s="2"/>
      </tp>
      <tp>
        <v>6</v>
        <stp/>
        <stp>VOLUME</stp>
        <stp>.SPXW250523P6010</stp>
        <tr r="BD91" s="1"/>
        <tr r="BD91" s="1"/>
      </tp>
      <tp t="s">
        <v>N/A</v>
        <stp/>
        <stp>VOLUME</stp>
        <stp>.NDXP250829P20675</stp>
        <tr r="P173" s="2"/>
      </tp>
      <tp>
        <v>5630</v>
        <stp/>
        <stp>VOLUME</stp>
        <stp>.SPXW250520C6030</stp>
        <tr r="BA89" s="1"/>
        <tr r="BA89" s="1"/>
      </tp>
      <tp>
        <v>8033</v>
        <stp/>
        <stp>VOLUME</stp>
        <stp>.SPXW250521C6020</stp>
        <tr r="D91" s="2"/>
        <tr r="D91" s="2"/>
      </tp>
      <tp>
        <v>618</v>
        <stp/>
        <stp>VOLUME</stp>
        <stp>.SPXW250522C6010</stp>
        <tr r="E92" s="2"/>
        <tr r="E92" s="2"/>
      </tp>
      <tp>
        <v>2908</v>
        <stp/>
        <stp>VOLUME</stp>
        <stp>.SPXW250523C6000</stp>
        <tr r="BC92" s="1"/>
        <tr r="BC92" s="1"/>
      </tp>
      <tp>
        <v>467</v>
        <stp/>
        <stp>VOLUME</stp>
        <stp>.SPXW250520P6030</stp>
        <tr r="BB89" s="1"/>
        <tr r="BB89" s="1"/>
      </tp>
      <tp>
        <v>437</v>
        <stp/>
        <stp>VOLUME</stp>
        <stp>.SPXW250521P6020</stp>
        <tr r="D91" s="2"/>
        <tr r="D91" s="2"/>
      </tp>
      <tp>
        <v>3</v>
        <stp/>
        <stp>VOLUME</stp>
        <stp>.SPXW250522P6010</stp>
        <tr r="E92" s="2"/>
        <tr r="E92" s="2"/>
      </tp>
      <tp>
        <v>195</v>
        <stp/>
        <stp>VOLUME</stp>
        <stp>.SPXW250523P6000</stp>
        <tr r="BD92" s="1"/>
        <tr r="BD92" s="1"/>
      </tp>
      <tp t="s">
        <v>N/A</v>
        <stp/>
        <stp>VOLUME</stp>
        <stp>.NDXP250829P20600</stp>
        <tr r="P176" s="2"/>
      </tp>
      <tp>
        <v>10258</v>
        <stp/>
        <stp>VOLUME</stp>
        <stp>.SPXW250520C6040</stp>
        <tr r="BA88" s="1"/>
        <tr r="BA88" s="1"/>
      </tp>
      <tp>
        <v>2421</v>
        <stp/>
        <stp>VOLUME</stp>
        <stp>.SPXW250521C6050</stp>
        <tr r="D88" s="2"/>
        <tr r="D88" s="2"/>
      </tp>
      <tp>
        <v>225</v>
        <stp/>
        <stp>VOLUME</stp>
        <stp>.SPXW250522C6060</stp>
        <tr r="E87" s="2"/>
        <tr r="E87" s="2"/>
      </tp>
      <tp>
        <v>312</v>
        <stp/>
        <stp>VOLUME</stp>
        <stp>.SPXW250523C6070</stp>
        <tr r="BC85" s="1"/>
        <tr r="BC85" s="1"/>
      </tp>
      <tp>
        <v>59</v>
        <stp/>
        <stp>VOLUME</stp>
        <stp>.SPXW250520P6040</stp>
        <tr r="BB88" s="1"/>
        <tr r="BB88" s="1"/>
      </tp>
      <tp>
        <v>30</v>
        <stp/>
        <stp>VOLUME</stp>
        <stp>.SPXW250521P6050</stp>
        <tr r="D88" s="2"/>
        <tr r="D88" s="2"/>
      </tp>
      <tp>
        <v>2</v>
        <stp/>
        <stp>VOLUME</stp>
        <stp>.SPXW250522P6060</stp>
        <tr r="E87" s="2"/>
        <tr r="E87" s="2"/>
      </tp>
      <tp>
        <v>4</v>
        <stp/>
        <stp>VOLUME</stp>
        <stp>.SPXW250523P6070</stp>
        <tr r="BD85" s="1"/>
        <tr r="BD85" s="1"/>
      </tp>
      <tp t="s">
        <v>N/A</v>
        <stp/>
        <stp>VOLUME</stp>
        <stp>.NDXP251128P20700</stp>
        <tr r="V172" s="2"/>
      </tp>
      <tp>
        <v>9526</v>
        <stp/>
        <stp>VOLUME</stp>
        <stp>.SPXW250520C6050</stp>
        <tr r="BA87" s="1"/>
        <tr r="BA87" s="1"/>
      </tp>
      <tp>
        <v>1398</v>
        <stp/>
        <stp>VOLUME</stp>
        <stp>.SPXW250521C6040</stp>
        <tr r="D89" s="2"/>
        <tr r="D89" s="2"/>
      </tp>
      <tp>
        <v>57</v>
        <stp/>
        <stp>VOLUME</stp>
        <stp>.SPXW250522C6070</stp>
        <tr r="E86" s="2"/>
        <tr r="E86" s="2"/>
      </tp>
      <tp>
        <v>621</v>
        <stp/>
        <stp>VOLUME</stp>
        <stp>.SPXW250523C6060</stp>
        <tr r="BC86" s="1"/>
        <tr r="BC86" s="1"/>
      </tp>
      <tp>
        <v>35</v>
        <stp/>
        <stp>VOLUME</stp>
        <stp>.SPXW250520P6050</stp>
        <tr r="BB87" s="1"/>
        <tr r="BB87" s="1"/>
      </tp>
      <tp>
        <v>7</v>
        <stp/>
        <stp>VOLUME</stp>
        <stp>.SPXW250521P6040</stp>
        <tr r="D89" s="2"/>
        <tr r="D89" s="2"/>
      </tp>
      <tp>
        <v>2</v>
        <stp/>
        <stp>VOLUME</stp>
        <stp>.SPXW250522P6070</stp>
        <tr r="E86" s="2"/>
        <tr r="E86" s="2"/>
      </tp>
      <tp>
        <v>1</v>
        <stp/>
        <stp>VOLUME</stp>
        <stp>.SPXW250523P6060</stp>
        <tr r="BD86" s="1"/>
        <tr r="BD86" s="1"/>
      </tp>
      <tp t="s">
        <v>N/A</v>
        <stp/>
        <stp>VOLUME</stp>
        <stp>.NDXP250829P20625</stp>
        <tr r="P175" s="2"/>
      </tp>
      <tp>
        <v>3969</v>
        <stp/>
        <stp>VOLUME</stp>
        <stp>.SPXW250520C6060</stp>
        <tr r="BA86" s="1"/>
        <tr r="BA86" s="1"/>
      </tp>
      <tp>
        <v>1027</v>
        <stp/>
        <stp>VOLUME</stp>
        <stp>.SPXW250521C6070</stp>
        <tr r="D86" s="2"/>
        <tr r="D86" s="2"/>
      </tp>
      <tp>
        <v>2137</v>
        <stp/>
        <stp>VOLUME</stp>
        <stp>.SPXW250522C6040</stp>
        <tr r="E89" s="2"/>
        <tr r="E89" s="2"/>
      </tp>
      <tp>
        <v>4029</v>
        <stp/>
        <stp>VOLUME</stp>
        <stp>.SPXW250523C6050</stp>
        <tr r="BC87" s="1"/>
        <tr r="BC87" s="1"/>
      </tp>
      <tp>
        <v>1</v>
        <stp/>
        <stp>VOLUME</stp>
        <stp>.SPXW250520P6060</stp>
        <tr r="BB86" s="1"/>
        <tr r="BB86" s="1"/>
      </tp>
      <tp t="s">
        <v>N/A</v>
        <stp/>
        <stp>VOLUME</stp>
        <stp>.SPXW250521P6070</stp>
        <tr r="D86" s="2"/>
      </tp>
      <tp>
        <v>3</v>
        <stp/>
        <stp>VOLUME</stp>
        <stp>.SPXW250522P6040</stp>
        <tr r="E89" s="2"/>
        <tr r="E89" s="2"/>
      </tp>
      <tp>
        <v>157</v>
        <stp/>
        <stp>VOLUME</stp>
        <stp>.SPXW250523P6050</stp>
        <tr r="BD87" s="1"/>
        <tr r="BD87" s="1"/>
      </tp>
      <tp t="s">
        <v>N/A</v>
        <stp/>
        <stp>VOLUME</stp>
        <stp>.NDXP251128P20725</stp>
        <tr r="V171" s="2"/>
      </tp>
      <tp>
        <v>2909</v>
        <stp/>
        <stp>VOLUME</stp>
        <stp>.SPXW250520C6070</stp>
        <tr r="BA85" s="1"/>
        <tr r="BA85" s="1"/>
      </tp>
      <tp>
        <v>1292</v>
        <stp/>
        <stp>VOLUME</stp>
        <stp>.SPXW250521C6060</stp>
        <tr r="D87" s="2"/>
        <tr r="D87" s="2"/>
      </tp>
      <tp>
        <v>455</v>
        <stp/>
        <stp>VOLUME</stp>
        <stp>.SPXW250522C6050</stp>
        <tr r="E88" s="2"/>
        <tr r="E88" s="2"/>
      </tp>
      <tp>
        <v>611</v>
        <stp/>
        <stp>VOLUME</stp>
        <stp>.SPXW250523C6040</stp>
        <tr r="BC88" s="1"/>
        <tr r="BC88" s="1"/>
      </tp>
      <tp>
        <v>3</v>
        <stp/>
        <stp>VOLUME</stp>
        <stp>.SPXW250520P6070</stp>
        <tr r="BB85" s="1"/>
        <tr r="BB85" s="1"/>
      </tp>
      <tp>
        <v>5</v>
        <stp/>
        <stp>VOLUME</stp>
        <stp>.SPXW250521P6060</stp>
        <tr r="D87" s="2"/>
        <tr r="D87" s="2"/>
      </tp>
      <tp>
        <v>14</v>
        <stp/>
        <stp>VOLUME</stp>
        <stp>.SPXW250522P6050</stp>
        <tr r="E88" s="2"/>
        <tr r="E88" s="2"/>
      </tp>
      <tp>
        <v>1</v>
        <stp/>
        <stp>VOLUME</stp>
        <stp>.SPXW250523P6040</stp>
        <tr r="BD88" s="1"/>
        <tr r="BD88" s="1"/>
      </tp>
      <tp>
        <v>4</v>
        <stp/>
        <stp>OPEN_INT</stp>
        <stp>.NDXP250520C21100</stp>
        <tr r="AS155" s="1"/>
        <tr r="AS155" s="1"/>
      </tp>
      <tp>
        <v>73</v>
        <stp/>
        <stp>OPEN_INT</stp>
        <stp>.NDXP250523C21200</stp>
        <tr r="AU151" s="1"/>
        <tr r="AU151" s="1"/>
      </tp>
      <tp>
        <v>1</v>
        <stp/>
        <stp>OPEN_INT</stp>
        <stp>.NDXP250520C21125</stp>
        <tr r="AS154" s="1"/>
        <tr r="AS154" s="1"/>
      </tp>
      <tp>
        <v>3</v>
        <stp/>
        <stp>OPEN_INT</stp>
        <stp>.NDXP250523C21225</stp>
        <tr r="AU150" s="1"/>
        <tr r="AU150" s="1"/>
      </tp>
      <tp>
        <v>3</v>
        <stp/>
        <stp>OPEN_INT</stp>
        <stp>.NDXP250523C20250</stp>
        <tr r="AU189" s="1"/>
        <tr r="AU189" s="1"/>
      </tp>
      <tp>
        <v>6</v>
        <stp/>
        <stp>OPEN_INT</stp>
        <stp>.NDXP250520C21150</stp>
        <tr r="AS153" s="1"/>
        <tr r="AS153" s="1"/>
      </tp>
      <tp>
        <v>2</v>
        <stp/>
        <stp>OPEN_INT</stp>
        <stp>.NDXP250523C21250</stp>
        <tr r="AU149" s="1"/>
        <tr r="AU149" s="1"/>
      </tp>
      <tp>
        <v>2</v>
        <stp/>
        <stp>OPEN_INT</stp>
        <stp>.NDXP250523C20275</stp>
        <tr r="AU188" s="1"/>
        <tr r="AU188" s="1"/>
      </tp>
      <tp>
        <v>5</v>
        <stp/>
        <stp>OPEN_INT</stp>
        <stp>.NDXP250520C21175</stp>
        <tr r="AS152" s="1"/>
        <tr r="AS152" s="1"/>
      </tp>
      <tp>
        <v>5</v>
        <stp/>
        <stp>OPEN_INT</stp>
        <stp>.NDXP250523C21275</stp>
        <tr r="AU148" s="1"/>
        <tr r="AU148" s="1"/>
      </tp>
      <tp>
        <v>6</v>
        <stp/>
        <stp>OPEN_INT</stp>
        <stp>.NDXP250520P21125</stp>
        <tr r="AT154" s="1"/>
        <tr r="AT154" s="1"/>
      </tp>
      <tp>
        <v>11</v>
        <stp/>
        <stp>OPEN_INT</stp>
        <stp>.NDXP250523P21225</stp>
        <tr r="AV150" s="1"/>
        <tr r="AV150" s="1"/>
      </tp>
      <tp>
        <v>20</v>
        <stp/>
        <stp>OPEN_INT</stp>
        <stp>.NDXP250520P21100</stp>
        <tr r="AT155" s="1"/>
        <tr r="AT155" s="1"/>
      </tp>
      <tp>
        <v>78</v>
        <stp/>
        <stp>OPEN_INT</stp>
        <stp>.NDXP250523P21200</stp>
        <tr r="AV151" s="1"/>
        <tr r="AV151" s="1"/>
      </tp>
      <tp>
        <v>17</v>
        <stp/>
        <stp>OPEN_INT</stp>
        <stp>.NDXP250523P20275</stp>
        <tr r="AV188" s="1"/>
        <tr r="AV188" s="1"/>
      </tp>
      <tp>
        <v>4</v>
        <stp/>
        <stp>OPEN_INT</stp>
        <stp>.NDXP250520P21175</stp>
        <tr r="AT152" s="1"/>
        <tr r="AT152" s="1"/>
      </tp>
      <tp>
        <v>13</v>
        <stp/>
        <stp>OPEN_INT</stp>
        <stp>.NDXP250523P21275</stp>
        <tr r="AV148" s="1"/>
        <tr r="AV148" s="1"/>
      </tp>
      <tp>
        <v>4</v>
        <stp/>
        <stp>OPEN_INT</stp>
        <stp>.NDXP250523P20250</stp>
        <tr r="AV189" s="1"/>
        <tr r="AV189" s="1"/>
      </tp>
      <tp>
        <v>36</v>
        <stp/>
        <stp>OPEN_INT</stp>
        <stp>.NDXP250520P21150</stp>
        <tr r="AT153" s="1"/>
        <tr r="AT153" s="1"/>
      </tp>
      <tp>
        <v>4</v>
        <stp/>
        <stp>OPEN_INT</stp>
        <stp>.NDXP250523P21250</stp>
        <tr r="AV149" s="1"/>
        <tr r="AV149" s="1"/>
      </tp>
      <tp>
        <v>-0.12</v>
        <stp/>
        <stp>DELTA</stp>
        <stp>.NDXP250523P20825</stp>
        <tr r="CG166" s="1"/>
        <tr r="CG166" s="1"/>
      </tp>
      <tp>
        <v>-0.12</v>
        <stp/>
        <stp>DELTA</stp>
        <stp>.NDXP250523P20800</stp>
        <tr r="CG167" s="1"/>
        <tr r="CG167" s="1"/>
      </tp>
      <tp>
        <v>-0.14000000000000001</v>
        <stp/>
        <stp>DELTA</stp>
        <stp>.NDXP250523P20875</stp>
        <tr r="CG164" s="1"/>
        <tr r="CG164" s="1"/>
      </tp>
      <tp>
        <v>-0.13</v>
        <stp/>
        <stp>DELTA</stp>
        <stp>.NDXP250523P20850</stp>
        <tr r="CG165" s="1"/>
        <tr r="CG165" s="1"/>
      </tp>
      <tp>
        <v>1</v>
        <stp/>
        <stp>DELTA</stp>
        <stp>.NDXP250523C20800</stp>
        <tr r="CF167" s="1"/>
        <tr r="CF167" s="1"/>
      </tp>
      <tp>
        <v>0.98</v>
        <stp/>
        <stp>DELTA</stp>
        <stp>.NDXP250523C20825</stp>
        <tr r="CF166" s="1"/>
        <tr r="CF166" s="1"/>
      </tp>
      <tp>
        <v>0.92</v>
        <stp/>
        <stp>DELTA</stp>
        <stp>.NDXP250523C20850</stp>
        <tr r="CF165" s="1"/>
        <tr r="CF165" s="1"/>
      </tp>
      <tp>
        <v>0.94</v>
        <stp/>
        <stp>DELTA</stp>
        <stp>.NDXP250523C20875</stp>
        <tr r="CF164" s="1"/>
        <tr r="CF164" s="1"/>
      </tp>
      <tp t="s">
        <v>N/A</v>
        <stp/>
        <stp>VOLUME</stp>
        <stp>.NDXP250829C21175</stp>
        <tr r="P153" s="2"/>
      </tp>
      <tp t="s">
        <v>N/A</v>
        <stp/>
        <stp>VOLUME</stp>
        <stp>.NDXP250930C20875</stp>
        <tr r="R165" s="2"/>
      </tp>
      <tp t="s">
        <v>N/A</v>
        <stp/>
        <stp>VOLUME</stp>
        <stp>.NDXP250520C20875</stp>
        <tr r="BA164" s="1"/>
      </tp>
      <tp t="s">
        <v>N/A</v>
        <stp/>
        <stp>VOLUME</stp>
        <stp>.NDXP250521C20975</stp>
        <tr r="D161" s="2"/>
      </tp>
      <tp t="s">
        <v>N/A</v>
        <stp/>
        <stp>VOLUME</stp>
        <stp>.NDXP250530C20875</stp>
        <tr r="G165" s="2"/>
      </tp>
      <tp t="s">
        <v>N/A</v>
        <stp/>
        <stp>VOLUME</stp>
        <stp>.NDXP250630C20875</stp>
        <tr r="L165" s="2"/>
      </tp>
      <tp t="s">
        <v>N/A</v>
        <stp/>
        <stp>VOLUME</stp>
        <stp>.NDXP250731C20975</stp>
        <tr r="N161" s="2"/>
      </tp>
      <tp t="s">
        <v>N/A</v>
        <stp/>
        <stp>VOLUME</stp>
        <stp>.NDXP251031C20975</stp>
        <tr r="T161" s="2"/>
      </tp>
      <tp t="s">
        <v>N/A</v>
        <stp/>
        <stp>VOLUME</stp>
        <stp>.NDXP251128C21075</stp>
        <tr r="V157" s="2"/>
      </tp>
      <tp t="s">
        <v>N/A</v>
        <stp/>
        <stp>VOLUME</stp>
        <stp>.NDXP251231C20975</stp>
        <tr r="X161" s="2"/>
      </tp>
      <tp t="s">
        <v>N/A</v>
        <stp/>
        <stp>VOLUME</stp>
        <stp>.NDXP250930C20850</stp>
        <tr r="R166" s="2"/>
      </tp>
      <tp t="s">
        <v>N/A</v>
        <stp/>
        <stp>VOLUME</stp>
        <stp>.NDXP250829C21150</stp>
        <tr r="P154" s="2"/>
      </tp>
      <tp t="s">
        <v>N/A</v>
        <stp/>
        <stp>VOLUME</stp>
        <stp>.NDXP250520C20850</stp>
        <tr r="BA165" s="1"/>
      </tp>
      <tp>
        <v>1</v>
        <stp/>
        <stp>VOLUME</stp>
        <stp>.NDXP250521C20950</stp>
        <tr r="D162" s="2"/>
        <tr r="D162" s="2"/>
      </tp>
      <tp t="s">
        <v>N/A</v>
        <stp/>
        <stp>VOLUME</stp>
        <stp>.NDXP250530C20850</stp>
        <tr r="G166" s="2"/>
      </tp>
      <tp t="s">
        <v>N/A</v>
        <stp/>
        <stp>VOLUME</stp>
        <stp>.NDXP250731C20950</stp>
        <tr r="N162" s="2"/>
      </tp>
      <tp t="s">
        <v>N/A</v>
        <stp/>
        <stp>VOLUME</stp>
        <stp>.NDXP250630C20850</stp>
        <tr r="L166" s="2"/>
      </tp>
      <tp t="s">
        <v>N/A</v>
        <stp/>
        <stp>VOLUME</stp>
        <stp>.NDXP251128C21050</stp>
        <tr r="V158" s="2"/>
      </tp>
      <tp t="s">
        <v>N/A</v>
        <stp/>
        <stp>VOLUME</stp>
        <stp>.NDXP251031C20950</stp>
        <tr r="T162" s="2"/>
      </tp>
      <tp t="s">
        <v>N/A</v>
        <stp/>
        <stp>VOLUME</stp>
        <stp>.NDXP251231C20950</stp>
        <tr r="X162" s="2"/>
      </tp>
      <tp t="s">
        <v>N/A</v>
        <stp/>
        <stp>VOLUME</stp>
        <stp>.NDXP251031C20925</stp>
        <tr r="T163" s="2"/>
      </tp>
      <tp t="s">
        <v>N/A</v>
        <stp/>
        <stp>VOLUME</stp>
        <stp>.NDXP251128C21025</stp>
        <tr r="V159" s="2"/>
      </tp>
      <tp t="s">
        <v>N/A</v>
        <stp/>
        <stp>VOLUME</stp>
        <stp>.NDXP251231C20925</stp>
        <tr r="X163" s="2"/>
      </tp>
      <tp t="s">
        <v>N/A</v>
        <stp/>
        <stp>VOLUME</stp>
        <stp>.NDXP250829C21125</stp>
        <tr r="P155" s="2"/>
      </tp>
      <tp t="s">
        <v>N/A</v>
        <stp/>
        <stp>VOLUME</stp>
        <stp>.NDXP250930C20825</stp>
        <tr r="R167" s="2"/>
      </tp>
      <tp t="s">
        <v>N/A</v>
        <stp/>
        <stp>VOLUME</stp>
        <stp>.NDXP250520C20825</stp>
        <tr r="BA166" s="1"/>
      </tp>
      <tp t="s">
        <v>N/A</v>
        <stp/>
        <stp>VOLUME</stp>
        <stp>.NDXP250521C20925</stp>
        <tr r="D163" s="2"/>
      </tp>
      <tp t="s">
        <v>N/A</v>
        <stp/>
        <stp>VOLUME</stp>
        <stp>.NDXP250530C20825</stp>
        <tr r="G167" s="2"/>
      </tp>
      <tp t="s">
        <v>N/A</v>
        <stp/>
        <stp>VOLUME</stp>
        <stp>.NDXP250630C20825</stp>
        <tr r="L167" s="2"/>
      </tp>
      <tp t="s">
        <v>N/A</v>
        <stp/>
        <stp>VOLUME</stp>
        <stp>.NDXP250731C20925</stp>
        <tr r="N163" s="2"/>
      </tp>
      <tp t="s">
        <v>N/A</v>
        <stp/>
        <stp>VOLUME</stp>
        <stp>.NDXP251128C21000</stp>
        <tr r="V160" s="2"/>
      </tp>
      <tp t="s">
        <v>N/A</v>
        <stp/>
        <stp>VOLUME</stp>
        <stp>.NDXP251031C20900</stp>
        <tr r="T164" s="2"/>
      </tp>
      <tp>
        <v>13</v>
        <stp/>
        <stp>VOLUME</stp>
        <stp>.NDXP251231C20900</stp>
        <tr r="X164" s="2"/>
        <tr r="X164" s="2"/>
      </tp>
      <tp t="s">
        <v>N/A</v>
        <stp/>
        <stp>VOLUME</stp>
        <stp>.NDXP250930C20800</stp>
        <tr r="R168" s="2"/>
      </tp>
      <tp t="s">
        <v>N/A</v>
        <stp/>
        <stp>VOLUME</stp>
        <stp>.NDXP250829C21100</stp>
        <tr r="P156" s="2"/>
      </tp>
      <tp>
        <v>5</v>
        <stp/>
        <stp>VOLUME</stp>
        <stp>.NDXP250520C20800</stp>
        <tr r="BA167" s="1"/>
        <tr r="BA167" s="1"/>
      </tp>
      <tp t="s">
        <v>N/A</v>
        <stp/>
        <stp>VOLUME</stp>
        <stp>.NDXP250521C20900</stp>
        <tr r="D164" s="2"/>
      </tp>
      <tp t="s">
        <v>N/A</v>
        <stp/>
        <stp>VOLUME</stp>
        <stp>.NDXP250530C20800</stp>
        <tr r="G168" s="2"/>
      </tp>
      <tp t="s">
        <v>N/A</v>
        <stp/>
        <stp>VOLUME</stp>
        <stp>.NDXP250731C20900</stp>
        <tr r="N164" s="2"/>
      </tp>
      <tp t="s">
        <v>N/A</v>
        <stp/>
        <stp>VOLUME</stp>
        <stp>.NDXP250630C20800</stp>
        <tr r="L168" s="2"/>
      </tp>
      <tp t="s">
        <v>N/A</v>
        <stp/>
        <stp>VOLUME</stp>
        <stp>.SPXW250930C5680</stp>
        <tr r="R125" s="2"/>
      </tp>
      <tp t="s">
        <v>N/A</v>
        <stp/>
        <stp>VOLUME</stp>
        <stp>.SPXW250829C5710</stp>
        <tr r="P122" s="2"/>
      </tp>
      <tp>
        <v>15</v>
        <stp/>
        <stp>VOLUME</stp>
        <stp>.SPXW250520C5780</stp>
        <tr r="BA114" s="1"/>
        <tr r="BA114" s="1"/>
      </tp>
      <tp>
        <v>5</v>
        <stp/>
        <stp>VOLUME</stp>
        <stp>.SPXW250521C5790</stp>
        <tr r="D114" s="2"/>
        <tr r="D114" s="2"/>
      </tp>
      <tp>
        <v>6</v>
        <stp/>
        <stp>VOLUME</stp>
        <stp>.SPXW250530C5680</stp>
        <tr r="G125" s="2"/>
        <tr r="G125" s="2"/>
      </tp>
      <tp t="s">
        <v>N/A</v>
        <stp/>
        <stp>VOLUME</stp>
        <stp>.SPXW250731C5690</stp>
        <tr r="N124" s="2"/>
      </tp>
      <tp t="s">
        <v>N/A</v>
        <stp/>
        <stp>VOLUME</stp>
        <stp>.SPXW250630C5680</stp>
        <tr r="L125" s="2"/>
      </tp>
      <tp t="s">
        <v>N/A</v>
        <stp/>
        <stp>VOLUME</stp>
        <stp>.SPXW251128C5700</stp>
        <tr r="V123" s="2"/>
      </tp>
      <tp t="s">
        <v>N/A</v>
        <stp/>
        <stp>VOLUME</stp>
        <stp>.SPXW251031C5690</stp>
        <tr r="T124" s="2"/>
      </tp>
      <tp t="s">
        <v>N/A</v>
        <stp/>
        <stp>VOLUME</stp>
        <stp>.SPXW251231C5690</stp>
        <tr r="X124" s="2"/>
      </tp>
      <tp t="s">
        <v>N/A</v>
        <stp/>
        <stp>VOLUME</stp>
        <stp>.SPXW251128P5700</stp>
        <tr r="V123" s="2"/>
      </tp>
      <tp>
        <v>1</v>
        <stp/>
        <stp>VOLUME</stp>
        <stp>.SPXW251031P5690</stp>
        <tr r="T124" s="2"/>
        <tr r="T124" s="2"/>
      </tp>
      <tp t="s">
        <v>N/A</v>
        <stp/>
        <stp>VOLUME</stp>
        <stp>.SPXW251231P5690</stp>
        <tr r="X124" s="2"/>
      </tp>
      <tp>
        <v>1</v>
        <stp/>
        <stp>VOLUME</stp>
        <stp>.SPXW250930P5680</stp>
        <tr r="R125" s="2"/>
        <tr r="R125" s="2"/>
      </tp>
      <tp>
        <v>1</v>
        <stp/>
        <stp>VOLUME</stp>
        <stp>.SPXW250829P5710</stp>
        <tr r="P122" s="2"/>
        <tr r="P122" s="2"/>
      </tp>
      <tp>
        <v>1070</v>
        <stp/>
        <stp>VOLUME</stp>
        <stp>.SPXW250520P5780</stp>
        <tr r="BB114" s="1"/>
        <tr r="BB114" s="1"/>
      </tp>
      <tp>
        <v>2686</v>
        <stp/>
        <stp>VOLUME</stp>
        <stp>.SPXW250521P5790</stp>
        <tr r="D114" s="2"/>
        <tr r="D114" s="2"/>
      </tp>
      <tp>
        <v>51</v>
        <stp/>
        <stp>VOLUME</stp>
        <stp>.SPXW250530P5680</stp>
        <tr r="G125" s="2"/>
        <tr r="G125" s="2"/>
      </tp>
      <tp>
        <v>1</v>
        <stp/>
        <stp>VOLUME</stp>
        <stp>.SPXW250731P5690</stp>
        <tr r="N124" s="2"/>
        <tr r="N124" s="2"/>
      </tp>
      <tp>
        <v>2</v>
        <stp/>
        <stp>VOLUME</stp>
        <stp>.SPXW250630P5680</stp>
        <tr r="L125" s="2"/>
        <tr r="L125" s="2"/>
      </tp>
      <tp t="s">
        <v>N/A</v>
        <stp/>
        <stp>VOLUME</stp>
        <stp>.SPXW250930C5690</stp>
        <tr r="R124" s="2"/>
      </tp>
      <tp>
        <v>1</v>
        <stp/>
        <stp>VOLUME</stp>
        <stp>.SPXW250829C5700</stp>
        <tr r="P123" s="2"/>
        <tr r="P123" s="2"/>
      </tp>
      <tp>
        <v>44</v>
        <stp/>
        <stp>VOLUME</stp>
        <stp>.SPXW250520C5790</stp>
        <tr r="BA113" s="1"/>
        <tr r="BA113" s="1"/>
      </tp>
      <tp>
        <v>21</v>
        <stp/>
        <stp>VOLUME</stp>
        <stp>.SPXW250521C5780</stp>
        <tr r="D115" s="2"/>
        <tr r="D115" s="2"/>
      </tp>
      <tp t="s">
        <v>N/A</v>
        <stp/>
        <stp>VOLUME</stp>
        <stp>.SPXW250530C5690</stp>
        <tr r="G124" s="2"/>
      </tp>
      <tp t="s">
        <v>N/A</v>
        <stp/>
        <stp>VOLUME</stp>
        <stp>.SPXW250731C5680</stp>
        <tr r="N125" s="2"/>
      </tp>
      <tp t="s">
        <v>N/A</v>
        <stp/>
        <stp>VOLUME</stp>
        <stp>.SPXW250630C5690</stp>
        <tr r="L124" s="2"/>
      </tp>
      <tp t="s">
        <v>N/A</v>
        <stp/>
        <stp>VOLUME</stp>
        <stp>.SPXW251128C5710</stp>
        <tr r="V122" s="2"/>
      </tp>
      <tp>
        <v>2</v>
        <stp/>
        <stp>VOLUME</stp>
        <stp>.SPXW251031C5680</stp>
        <tr r="T125" s="2"/>
        <tr r="T125" s="2"/>
      </tp>
      <tp t="s">
        <v>N/A</v>
        <stp/>
        <stp>VOLUME</stp>
        <stp>.SPXW251231C5680</stp>
        <tr r="X125" s="2"/>
      </tp>
      <tp t="s">
        <v>N/A</v>
        <stp/>
        <stp>VOLUME</stp>
        <stp>.SPXW251128P5710</stp>
        <tr r="V122" s="2"/>
      </tp>
      <tp t="s">
        <v>N/A</v>
        <stp/>
        <stp>VOLUME</stp>
        <stp>.SPXW251031P5680</stp>
        <tr r="T125" s="2"/>
      </tp>
      <tp t="s">
        <v>N/A</v>
        <stp/>
        <stp>VOLUME</stp>
        <stp>.SPXW251231P5680</stp>
        <tr r="X125" s="2"/>
      </tp>
      <tp t="s">
        <v>N/A</v>
        <stp/>
        <stp>VOLUME</stp>
        <stp>.SPXW250930P5690</stp>
        <tr r="R124" s="2"/>
      </tp>
      <tp>
        <v>1</v>
        <stp/>
        <stp>VOLUME</stp>
        <stp>.SPXW250829P5700</stp>
        <tr r="P123" s="2"/>
        <tr r="P123" s="2"/>
      </tp>
      <tp>
        <v>2500</v>
        <stp/>
        <stp>VOLUME</stp>
        <stp>.SPXW250520P5790</stp>
        <tr r="BB113" s="1"/>
        <tr r="BB113" s="1"/>
      </tp>
      <tp>
        <v>827</v>
        <stp/>
        <stp>VOLUME</stp>
        <stp>.SPXW250521P5780</stp>
        <tr r="D115" s="2"/>
        <tr r="D115" s="2"/>
      </tp>
      <tp>
        <v>165</v>
        <stp/>
        <stp>VOLUME</stp>
        <stp>.SPXW250530P5690</stp>
        <tr r="G124" s="2"/>
        <tr r="G124" s="2"/>
      </tp>
      <tp>
        <v>1</v>
        <stp/>
        <stp>VOLUME</stp>
        <stp>.SPXW250731P5680</stp>
        <tr r="N125" s="2"/>
        <tr r="N125" s="2"/>
      </tp>
      <tp t="s">
        <v>N/A</v>
        <stp/>
        <stp>VOLUME</stp>
        <stp>.SPXW250630P5690</stp>
        <tr r="L124" s="2"/>
      </tp>
      <tp t="s">
        <v>N/A</v>
        <stp/>
        <stp>VOLUME</stp>
        <stp>.SPXW250829C5730</stp>
        <tr r="P120" s="2"/>
      </tp>
      <tp t="s">
        <v>N/A</v>
        <stp/>
        <stp>VOLUME</stp>
        <stp>.SPXW250522C5780</stp>
        <tr r="E115" s="2"/>
      </tp>
      <tp>
        <v>14</v>
        <stp/>
        <stp>VOLUME</stp>
        <stp>.SPXW250523C5790</stp>
        <tr r="BC113" s="1"/>
        <tr r="BC113" s="1"/>
      </tp>
      <tp t="s">
        <v>N/A</v>
        <stp/>
        <stp>VOLUME</stp>
        <stp>.SPXW251128C5720</stp>
        <tr r="V121" s="2"/>
      </tp>
      <tp t="s">
        <v>N/A</v>
        <stp/>
        <stp>VOLUME</stp>
        <stp>.SPXW251128P5720</stp>
        <tr r="V121" s="2"/>
      </tp>
      <tp>
        <v>1</v>
        <stp/>
        <stp>VOLUME</stp>
        <stp>.SPXW250829P5730</stp>
        <tr r="P120" s="2"/>
        <tr r="P120" s="2"/>
      </tp>
      <tp>
        <v>560</v>
        <stp/>
        <stp>VOLUME</stp>
        <stp>.SPXW250522P5780</stp>
        <tr r="E115" s="2"/>
        <tr r="E115" s="2"/>
      </tp>
      <tp>
        <v>355</v>
        <stp/>
        <stp>VOLUME</stp>
        <stp>.SPXW250523P5790</stp>
        <tr r="BD113" s="1"/>
        <tr r="BD113" s="1"/>
      </tp>
      <tp t="s">
        <v>N/A</v>
        <stp/>
        <stp>VOLUME</stp>
        <stp>.SPXW250829C5720</stp>
        <tr r="P121" s="2"/>
      </tp>
      <tp>
        <v>3</v>
        <stp/>
        <stp>VOLUME</stp>
        <stp>.SPXW250522C5790</stp>
        <tr r="E114" s="2"/>
        <tr r="E114" s="2"/>
      </tp>
      <tp>
        <v>15</v>
        <stp/>
        <stp>VOLUME</stp>
        <stp>.SPXW250523C5780</stp>
        <tr r="BC114" s="1"/>
        <tr r="BC114" s="1"/>
      </tp>
      <tp t="s">
        <v>N/A</v>
        <stp/>
        <stp>VOLUME</stp>
        <stp>.SPXW251128C5730</stp>
        <tr r="V120" s="2"/>
      </tp>
      <tp t="s">
        <v>N/A</v>
        <stp/>
        <stp>VOLUME</stp>
        <stp>.SPXW251128P5730</stp>
        <tr r="V120" s="2"/>
      </tp>
      <tp t="s">
        <v>N/A</v>
        <stp/>
        <stp>VOLUME</stp>
        <stp>.SPXW250829P5720</stp>
        <tr r="P121" s="2"/>
      </tp>
      <tp>
        <v>212</v>
        <stp/>
        <stp>VOLUME</stp>
        <stp>.SPXW250522P5790</stp>
        <tr r="E114" s="2"/>
        <tr r="E114" s="2"/>
      </tp>
      <tp>
        <v>97</v>
        <stp/>
        <stp>VOLUME</stp>
        <stp>.SPXW250523P5780</stp>
        <tr r="BD114" s="1"/>
        <tr r="BD114" s="1"/>
      </tp>
      <tp t="s">
        <v>N/A</v>
        <stp/>
        <stp>VOLUME</stp>
        <stp>.SPXW250829C5750</stp>
        <tr r="P118" s="2"/>
      </tp>
      <tp t="s">
        <v>N/A</v>
        <stp/>
        <stp>VOLUME</stp>
        <stp>.SPXW251128C5740</stp>
        <tr r="V119" s="2"/>
      </tp>
      <tp t="s">
        <v>N/A</v>
        <stp/>
        <stp>VOLUME</stp>
        <stp>.SPXW251128P5740</stp>
        <tr r="V119" s="2"/>
      </tp>
      <tp>
        <v>125</v>
        <stp/>
        <stp>VOLUME</stp>
        <stp>.SPXW250829P5750</stp>
        <tr r="P118" s="2"/>
        <tr r="P118" s="2"/>
      </tp>
      <tp t="s">
        <v>N/A</v>
        <stp/>
        <stp>VOLUME</stp>
        <stp>.SPXW250829C5740</stp>
        <tr r="P119" s="2"/>
      </tp>
      <tp t="s">
        <v>N/A</v>
        <stp/>
        <stp>VOLUME</stp>
        <stp>.SPXW251128C5750</stp>
        <tr r="V118" s="2"/>
      </tp>
      <tp t="s">
        <v>N/A</v>
        <stp/>
        <stp>VOLUME</stp>
        <stp>.SPXW251128P5750</stp>
        <tr r="V118" s="2"/>
      </tp>
      <tp>
        <v>24</v>
        <stp/>
        <stp>VOLUME</stp>
        <stp>.SPXW250829P5740</stp>
        <tr r="P119" s="2"/>
        <tr r="P119" s="2"/>
      </tp>
      <tp t="s">
        <v>N/A</v>
        <stp/>
        <stp>VOLUME</stp>
        <stp>.SPXW250829C5770</stp>
        <tr r="P116" s="2"/>
      </tp>
      <tp t="s">
        <v>N/A</v>
        <stp/>
        <stp>VOLUME</stp>
        <stp>.SPXW251128C5760</stp>
        <tr r="V117" s="2"/>
      </tp>
      <tp t="s">
        <v>N/A</v>
        <stp/>
        <stp>VOLUME</stp>
        <stp>.SPXW251128P5760</stp>
        <tr r="V117" s="2"/>
      </tp>
      <tp t="s">
        <v>N/A</v>
        <stp/>
        <stp>VOLUME</stp>
        <stp>.SPXW250829P5770</stp>
        <tr r="P116" s="2"/>
      </tp>
      <tp t="s">
        <v>N/A</v>
        <stp/>
        <stp>VOLUME</stp>
        <stp>.SPXW250829C5760</stp>
        <tr r="P117" s="2"/>
      </tp>
      <tp t="s">
        <v>N/A</v>
        <stp/>
        <stp>VOLUME</stp>
        <stp>.SPXW251128C5770</stp>
        <tr r="V116" s="2"/>
      </tp>
      <tp t="s">
        <v>N/A</v>
        <stp/>
        <stp>VOLUME</stp>
        <stp>.SPXW251128P5770</stp>
        <tr r="V116" s="2"/>
      </tp>
      <tp t="s">
        <v>N/A</v>
        <stp/>
        <stp>VOLUME</stp>
        <stp>.SPXW250829P5760</stp>
        <tr r="P117" s="2"/>
      </tp>
      <tp t="s">
        <v>N/A</v>
        <stp/>
        <stp>VOLUME</stp>
        <stp>.NDXP251128P21050</stp>
        <tr r="V158" s="2"/>
      </tp>
      <tp t="s">
        <v>N/A</v>
        <stp/>
        <stp>VOLUME</stp>
        <stp>.NDXP251031P20950</stp>
        <tr r="T162" s="2"/>
      </tp>
      <tp t="s">
        <v>N/A</v>
        <stp/>
        <stp>VOLUME</stp>
        <stp>.NDXP251231P20950</stp>
        <tr r="X162" s="2"/>
      </tp>
      <tp t="s">
        <v>N/A</v>
        <stp/>
        <stp>VOLUME</stp>
        <stp>.SPXW250829C5790</stp>
        <tr r="P114" s="2"/>
      </tp>
      <tp>
        <v>484</v>
        <stp/>
        <stp>VOLUME</stp>
        <stp>.SPXW250520C5700</stp>
        <tr r="BA122" s="1"/>
        <tr r="BA122" s="1"/>
      </tp>
      <tp>
        <v>30</v>
        <stp/>
        <stp>VOLUME</stp>
        <stp>.SPXW250521C5710</stp>
        <tr r="D122" s="2"/>
        <tr r="D122" s="2"/>
      </tp>
      <tp>
        <v>143</v>
        <stp/>
        <stp>VOLUME</stp>
        <stp>.SPXW250522C5720</stp>
        <tr r="E121" s="2"/>
        <tr r="E121" s="2"/>
      </tp>
      <tp>
        <v>3</v>
        <stp/>
        <stp>VOLUME</stp>
        <stp>.SPXW250523C5730</stp>
        <tr r="BC119" s="1"/>
        <tr r="BC119" s="1"/>
      </tp>
      <tp t="s">
        <v>N/A</v>
        <stp/>
        <stp>VOLUME</stp>
        <stp>.SPXW251128C5780</stp>
        <tr r="V115" s="2"/>
      </tp>
      <tp t="s">
        <v>N/A</v>
        <stp/>
        <stp>VOLUME</stp>
        <stp>.SPXW251128P5780</stp>
        <tr r="V115" s="2"/>
      </tp>
      <tp t="s">
        <v>N/A</v>
        <stp/>
        <stp>VOLUME</stp>
        <stp>.SPXW250829P5790</stp>
        <tr r="P114" s="2"/>
      </tp>
      <tp>
        <v>1544</v>
        <stp/>
        <stp>VOLUME</stp>
        <stp>.SPXW250520P5700</stp>
        <tr r="BB122" s="1"/>
        <tr r="BB122" s="1"/>
      </tp>
      <tp>
        <v>1164</v>
        <stp/>
        <stp>VOLUME</stp>
        <stp>.SPXW250521P5710</stp>
        <tr r="D122" s="2"/>
        <tr r="D122" s="2"/>
      </tp>
      <tp>
        <v>77</v>
        <stp/>
        <stp>VOLUME</stp>
        <stp>.SPXW250522P5720</stp>
        <tr r="E121" s="2"/>
        <tr r="E121" s="2"/>
      </tp>
      <tp>
        <v>189</v>
        <stp/>
        <stp>VOLUME</stp>
        <stp>.SPXW250523P5730</stp>
        <tr r="BD119" s="1"/>
        <tr r="BD119" s="1"/>
      </tp>
      <tp t="s">
        <v>N/A</v>
        <stp/>
        <stp>VOLUME</stp>
        <stp>.NDXP250930P20850</stp>
        <tr r="R166" s="2"/>
      </tp>
      <tp t="s">
        <v>N/A</v>
        <stp/>
        <stp>VOLUME</stp>
        <stp>.NDXP250829P21150</stp>
        <tr r="P154" s="2"/>
      </tp>
      <tp>
        <v>108</v>
        <stp/>
        <stp>VOLUME</stp>
        <stp>.NDXP250520P20850</stp>
        <tr r="BB165" s="1"/>
        <tr r="BB165" s="1"/>
      </tp>
      <tp>
        <v>47</v>
        <stp/>
        <stp>VOLUME</stp>
        <stp>.NDXP250521P20950</stp>
        <tr r="D162" s="2"/>
        <tr r="D162" s="2"/>
      </tp>
      <tp>
        <v>4</v>
        <stp/>
        <stp>VOLUME</stp>
        <stp>.NDXP250530P20850</stp>
        <tr r="G166" s="2"/>
        <tr r="G166" s="2"/>
      </tp>
      <tp t="s">
        <v>N/A</v>
        <stp/>
        <stp>VOLUME</stp>
        <stp>.NDXP250731P20950</stp>
        <tr r="N162" s="2"/>
      </tp>
      <tp t="s">
        <v>N/A</v>
        <stp/>
        <stp>VOLUME</stp>
        <stp>.NDXP250630P20850</stp>
        <tr r="L166" s="2"/>
      </tp>
      <tp t="s">
        <v>N/A</v>
        <stp/>
        <stp>VOLUME</stp>
        <stp>.SPXW250829C5780</stp>
        <tr r="P115" s="2"/>
      </tp>
      <tp>
        <v>334</v>
        <stp/>
        <stp>VOLUME</stp>
        <stp>.SPXW250520C5710</stp>
        <tr r="BA121" s="1"/>
        <tr r="BA121" s="1"/>
      </tp>
      <tp>
        <v>64</v>
        <stp/>
        <stp>VOLUME</stp>
        <stp>.SPXW250521C5700</stp>
        <tr r="D123" s="2"/>
        <tr r="D123" s="2"/>
      </tp>
      <tp>
        <v>1</v>
        <stp/>
        <stp>VOLUME</stp>
        <stp>.SPXW250522C5730</stp>
        <tr r="E120" s="2"/>
        <tr r="E120" s="2"/>
      </tp>
      <tp>
        <v>20</v>
        <stp/>
        <stp>VOLUME</stp>
        <stp>.SPXW250523C5720</stp>
        <tr r="BC120" s="1"/>
        <tr r="BC120" s="1"/>
      </tp>
      <tp t="s">
        <v>N/A</v>
        <stp/>
        <stp>VOLUME</stp>
        <stp>.SPXW251128C5790</stp>
        <tr r="V114" s="2"/>
      </tp>
      <tp t="s">
        <v>N/A</v>
        <stp/>
        <stp>VOLUME</stp>
        <stp>.SPXW251128P5790</stp>
        <tr r="V114" s="2"/>
      </tp>
      <tp>
        <v>1</v>
        <stp/>
        <stp>VOLUME</stp>
        <stp>.SPXW250829P5780</stp>
        <tr r="P115" s="2"/>
        <tr r="P115" s="2"/>
      </tp>
      <tp>
        <v>783</v>
        <stp/>
        <stp>VOLUME</stp>
        <stp>.SPXW250520P5710</stp>
        <tr r="BB121" s="1"/>
        <tr r="BB121" s="1"/>
      </tp>
      <tp>
        <v>3869</v>
        <stp/>
        <stp>VOLUME</stp>
        <stp>.SPXW250521P5700</stp>
        <tr r="D123" s="2"/>
        <tr r="D123" s="2"/>
      </tp>
      <tp>
        <v>70</v>
        <stp/>
        <stp>VOLUME</stp>
        <stp>.SPXW250522P5730</stp>
        <tr r="E120" s="2"/>
        <tr r="E120" s="2"/>
      </tp>
      <tp>
        <v>124</v>
        <stp/>
        <stp>VOLUME</stp>
        <stp>.SPXW250523P5720</stp>
        <tr r="BD120" s="1"/>
        <tr r="BD120" s="1"/>
      </tp>
      <tp t="s">
        <v>N/A</v>
        <stp/>
        <stp>VOLUME</stp>
        <stp>.NDXP251031P20975</stp>
        <tr r="T161" s="2"/>
      </tp>
      <tp t="s">
        <v>N/A</v>
        <stp/>
        <stp>VOLUME</stp>
        <stp>.NDXP251128P21075</stp>
        <tr r="V157" s="2"/>
      </tp>
      <tp t="s">
        <v>N/A</v>
        <stp/>
        <stp>VOLUME</stp>
        <stp>.NDXP251231P20975</stp>
        <tr r="X161" s="2"/>
      </tp>
      <tp t="s">
        <v>N/A</v>
        <stp/>
        <stp>VOLUME</stp>
        <stp>.SPXW250930C5620</stp>
        <tr r="R131" s="2"/>
      </tp>
      <tp>
        <v>138</v>
        <stp/>
        <stp>VOLUME</stp>
        <stp>.SPXW250520C5720</stp>
        <tr r="BA120" s="1"/>
        <tr r="BA120" s="1"/>
      </tp>
      <tp>
        <v>8</v>
        <stp/>
        <stp>VOLUME</stp>
        <stp>.SPXW250521C5730</stp>
        <tr r="D120" s="2"/>
        <tr r="D120" s="2"/>
      </tp>
      <tp>
        <v>135</v>
        <stp/>
        <stp>VOLUME</stp>
        <stp>.SPXW250522C5700</stp>
        <tr r="E123" s="2"/>
        <tr r="E123" s="2"/>
      </tp>
      <tp>
        <v>1</v>
        <stp/>
        <stp>VOLUME</stp>
        <stp>.SPXW250523C5710</stp>
        <tr r="BC121" s="1"/>
        <tr r="BC121" s="1"/>
      </tp>
      <tp t="s">
        <v>N/A</v>
        <stp/>
        <stp>VOLUME</stp>
        <stp>.SPXW250530C5620</stp>
        <tr r="G131" s="2"/>
      </tp>
      <tp t="s">
        <v>N/A</v>
        <stp/>
        <stp>VOLUME</stp>
        <stp>.SPXW250731C5630</stp>
        <tr r="N130" s="2"/>
      </tp>
      <tp t="s">
        <v>N/A</v>
        <stp/>
        <stp>VOLUME</stp>
        <stp>.SPXW250630C5620</stp>
        <tr r="L131" s="2"/>
      </tp>
      <tp t="s">
        <v>N/A</v>
        <stp/>
        <stp>VOLUME</stp>
        <stp>.SPXW251031C5630</stp>
        <tr r="T130" s="2"/>
      </tp>
      <tp t="s">
        <v>N/A</v>
        <stp/>
        <stp>VOLUME</stp>
        <stp>.SPXW251231C5630</stp>
        <tr r="X130" s="2"/>
      </tp>
      <tp>
        <v>1</v>
        <stp/>
        <stp>VOLUME</stp>
        <stp>.SPXW251031P5630</stp>
        <tr r="T130" s="2"/>
        <tr r="T130" s="2"/>
      </tp>
      <tp t="s">
        <v>N/A</v>
        <stp/>
        <stp>VOLUME</stp>
        <stp>.SPXW251231P5630</stp>
        <tr r="X130" s="2"/>
      </tp>
      <tp t="s">
        <v>N/A</v>
        <stp/>
        <stp>VOLUME</stp>
        <stp>.SPXW250930P5620</stp>
        <tr r="R131" s="2"/>
      </tp>
      <tp>
        <v>455</v>
        <stp/>
        <stp>VOLUME</stp>
        <stp>.SPXW250520P5720</stp>
        <tr r="BB120" s="1"/>
        <tr r="BB120" s="1"/>
      </tp>
      <tp>
        <v>268</v>
        <stp/>
        <stp>VOLUME</stp>
        <stp>.SPXW250521P5730</stp>
        <tr r="D120" s="2"/>
        <tr r="D120" s="2"/>
      </tp>
      <tp>
        <v>362</v>
        <stp/>
        <stp>VOLUME</stp>
        <stp>.SPXW250522P5700</stp>
        <tr r="E123" s="2"/>
        <tr r="E123" s="2"/>
      </tp>
      <tp>
        <v>155</v>
        <stp/>
        <stp>VOLUME</stp>
        <stp>.SPXW250523P5710</stp>
        <tr r="BD121" s="1"/>
        <tr r="BD121" s="1"/>
      </tp>
      <tp>
        <v>19</v>
        <stp/>
        <stp>VOLUME</stp>
        <stp>.SPXW250530P5620</stp>
        <tr r="G131" s="2"/>
        <tr r="G131" s="2"/>
      </tp>
      <tp t="s">
        <v>N/A</v>
        <stp/>
        <stp>VOLUME</stp>
        <stp>.SPXW250731P5630</stp>
        <tr r="N130" s="2"/>
      </tp>
      <tp>
        <v>2</v>
        <stp/>
        <stp>VOLUME</stp>
        <stp>.SPXW250630P5620</stp>
        <tr r="L131" s="2"/>
        <tr r="L131" s="2"/>
      </tp>
      <tp t="s">
        <v>N/A</v>
        <stp/>
        <stp>VOLUME</stp>
        <stp>.NDXP250829P21175</stp>
        <tr r="P153" s="2"/>
      </tp>
      <tp t="s">
        <v>N/A</v>
        <stp/>
        <stp>VOLUME</stp>
        <stp>.NDXP250930P20875</stp>
        <tr r="R165" s="2"/>
      </tp>
      <tp>
        <v>50</v>
        <stp/>
        <stp>VOLUME</stp>
        <stp>.NDXP250520P20875</stp>
        <tr r="BB164" s="1"/>
        <tr r="BB164" s="1"/>
      </tp>
      <tp>
        <v>14</v>
        <stp/>
        <stp>VOLUME</stp>
        <stp>.NDXP250521P20975</stp>
        <tr r="D161" s="2"/>
        <tr r="D161" s="2"/>
      </tp>
      <tp t="s">
        <v>N/A</v>
        <stp/>
        <stp>VOLUME</stp>
        <stp>.NDXP250530P20875</stp>
        <tr r="G165" s="2"/>
      </tp>
      <tp>
        <v>1</v>
        <stp/>
        <stp>VOLUME</stp>
        <stp>.NDXP250630P20875</stp>
        <tr r="L165" s="2"/>
        <tr r="L165" s="2"/>
      </tp>
      <tp t="s">
        <v>N/A</v>
        <stp/>
        <stp>VOLUME</stp>
        <stp>.NDXP250731P20975</stp>
        <tr r="N161" s="2"/>
      </tp>
      <tp t="s">
        <v>N/A</v>
        <stp/>
        <stp>VOLUME</stp>
        <stp>.SPXW250930C5630</stp>
        <tr r="R130" s="2"/>
      </tp>
      <tp>
        <v>10</v>
        <stp/>
        <stp>VOLUME</stp>
        <stp>.SPXW250520C5730</stp>
        <tr r="BA119" s="1"/>
        <tr r="BA119" s="1"/>
      </tp>
      <tp>
        <v>18</v>
        <stp/>
        <stp>VOLUME</stp>
        <stp>.SPXW250521C5720</stp>
        <tr r="D121" s="2"/>
        <tr r="D121" s="2"/>
      </tp>
      <tp t="s">
        <v>N/A</v>
        <stp/>
        <stp>VOLUME</stp>
        <stp>.SPXW250522C5710</stp>
        <tr r="E122" s="2"/>
      </tp>
      <tp>
        <v>85</v>
        <stp/>
        <stp>VOLUME</stp>
        <stp>.SPXW250523C5700</stp>
        <tr r="BC122" s="1"/>
        <tr r="BC122" s="1"/>
      </tp>
      <tp>
        <v>4</v>
        <stp/>
        <stp>VOLUME</stp>
        <stp>.SPXW250530C5630</stp>
        <tr r="G130" s="2"/>
        <tr r="G130" s="2"/>
      </tp>
      <tp t="s">
        <v>N/A</v>
        <stp/>
        <stp>VOLUME</stp>
        <stp>.SPXW250731C5620</stp>
        <tr r="N131" s="2"/>
      </tp>
      <tp t="s">
        <v>N/A</v>
        <stp/>
        <stp>VOLUME</stp>
        <stp>.SPXW250630C5630</stp>
        <tr r="L130" s="2"/>
      </tp>
      <tp t="s">
        <v>N/A</v>
        <stp/>
        <stp>VOLUME</stp>
        <stp>.SPXW251031C5620</stp>
        <tr r="T131" s="2"/>
      </tp>
      <tp t="s">
        <v>N/A</v>
        <stp/>
        <stp>VOLUME</stp>
        <stp>.SPXW251231C5620</stp>
        <tr r="X131" s="2"/>
      </tp>
      <tp t="s">
        <v>N/A</v>
        <stp/>
        <stp>VOLUME</stp>
        <stp>.SPXW251031P5620</stp>
        <tr r="T131" s="2"/>
      </tp>
      <tp t="s">
        <v>N/A</v>
        <stp/>
        <stp>VOLUME</stp>
        <stp>.SPXW251231P5620</stp>
        <tr r="X131" s="2"/>
      </tp>
      <tp t="s">
        <v>N/A</v>
        <stp/>
        <stp>VOLUME</stp>
        <stp>.SPXW250930P5630</stp>
        <tr r="R130" s="2"/>
      </tp>
      <tp>
        <v>273</v>
        <stp/>
        <stp>VOLUME</stp>
        <stp>.SPXW250520P5730</stp>
        <tr r="BB119" s="1"/>
        <tr r="BB119" s="1"/>
      </tp>
      <tp>
        <v>217</v>
        <stp/>
        <stp>VOLUME</stp>
        <stp>.SPXW250521P5720</stp>
        <tr r="D121" s="2"/>
        <tr r="D121" s="2"/>
      </tp>
      <tp>
        <v>17</v>
        <stp/>
        <stp>VOLUME</stp>
        <stp>.SPXW250522P5710</stp>
        <tr r="E122" s="2"/>
        <tr r="E122" s="2"/>
      </tp>
      <tp>
        <v>1065</v>
        <stp/>
        <stp>VOLUME</stp>
        <stp>.SPXW250523P5700</stp>
        <tr r="BD122" s="1"/>
        <tr r="BD122" s="1"/>
      </tp>
      <tp>
        <v>20</v>
        <stp/>
        <stp>VOLUME</stp>
        <stp>.SPXW250530P5630</stp>
        <tr r="G130" s="2"/>
        <tr r="G130" s="2"/>
      </tp>
      <tp>
        <v>3</v>
        <stp/>
        <stp>VOLUME</stp>
        <stp>.SPXW250731P5620</stp>
        <tr r="N131" s="2"/>
        <tr r="N131" s="2"/>
      </tp>
      <tp t="s">
        <v>N/A</v>
        <stp/>
        <stp>VOLUME</stp>
        <stp>.SPXW250630P5630</stp>
        <tr r="L130" s="2"/>
      </tp>
      <tp t="s">
        <v>N/A</v>
        <stp/>
        <stp>VOLUME</stp>
        <stp>.QQQP508</stp>
        <tr r="F70" s="2"/>
        <tr r="B70" s="2"/>
        <tr r="J70" s="2"/>
        <tr r="C70" s="2"/>
      </tp>
      <tp t="s">
        <v>N/A</v>
        <stp/>
        <stp>VOLUME</stp>
        <stp>.QQQC508</stp>
        <tr r="F70" s="2"/>
        <tr r="B70" s="2"/>
        <tr r="J70" s="2"/>
        <tr r="C70" s="2"/>
      </tp>
      <tp t="s">
        <v>N/A</v>
        <stp/>
        <stp>VOLUME</stp>
        <stp>.QQQP509</stp>
        <tr r="F69" s="2"/>
        <tr r="C69" s="2"/>
        <tr r="J69" s="2"/>
        <tr r="B69" s="2"/>
      </tp>
      <tp t="s">
        <v>N/A</v>
        <stp/>
        <stp>VOLUME</stp>
        <stp>.QQQC509</stp>
        <tr r="F69" s="2"/>
        <tr r="C69" s="2"/>
        <tr r="J69" s="2"/>
        <tr r="B69" s="2"/>
      </tp>
      <tp t="s">
        <v>N/A</v>
        <stp/>
        <stp>VOLUME</stp>
        <stp>.QQQP504</stp>
        <tr r="F74" s="2"/>
        <tr r="B74" s="2"/>
        <tr r="C74" s="2"/>
        <tr r="J74" s="2"/>
      </tp>
      <tp t="s">
        <v>N/A</v>
        <stp/>
        <stp>VOLUME</stp>
        <stp>.QQQC504</stp>
        <tr r="F74" s="2"/>
        <tr r="B74" s="2"/>
        <tr r="C74" s="2"/>
        <tr r="J74" s="2"/>
      </tp>
      <tp t="s">
        <v>N/A</v>
        <stp/>
        <stp>VOLUME</stp>
        <stp>.QQQP505</stp>
        <tr r="B73" s="2"/>
        <tr r="F73" s="2"/>
        <tr r="J73" s="2"/>
        <tr r="C73" s="2"/>
      </tp>
      <tp t="s">
        <v>N/A</v>
        <stp/>
        <stp>VOLUME</stp>
        <stp>.QQQC505</stp>
        <tr r="B73" s="2"/>
        <tr r="F73" s="2"/>
        <tr r="J73" s="2"/>
        <tr r="C73" s="2"/>
      </tp>
      <tp t="s">
        <v>N/A</v>
        <stp/>
        <stp>VOLUME</stp>
        <stp>.QQQP506</stp>
        <tr r="J72" s="2"/>
        <tr r="C72" s="2"/>
        <tr r="B72" s="2"/>
        <tr r="F72" s="2"/>
      </tp>
      <tp t="s">
        <v>N/A</v>
        <stp/>
        <stp>VOLUME</stp>
        <stp>.QQQC506</stp>
        <tr r="J72" s="2"/>
        <tr r="C72" s="2"/>
        <tr r="B72" s="2"/>
        <tr r="F72" s="2"/>
      </tp>
      <tp t="s">
        <v>N/A</v>
        <stp/>
        <stp>VOLUME</stp>
        <stp>.QQQP507</stp>
        <tr r="F71" s="2"/>
        <tr r="C71" s="2"/>
        <tr r="B71" s="2"/>
        <tr r="J71" s="2"/>
      </tp>
      <tp t="s">
        <v>N/A</v>
        <stp/>
        <stp>VOLUME</stp>
        <stp>.QQQC507</stp>
        <tr r="F71" s="2"/>
        <tr r="C71" s="2"/>
        <tr r="B71" s="2"/>
        <tr r="J71" s="2"/>
      </tp>
      <tp t="s">
        <v>N/A</v>
        <stp/>
        <stp>VOLUME</stp>
        <stp>.QQQP500</stp>
        <tr r="J78" s="2"/>
        <tr r="F78" s="2"/>
        <tr r="B78" s="2"/>
        <tr r="C78" s="2"/>
      </tp>
      <tp t="s">
        <v>N/A</v>
        <stp/>
        <stp>VOLUME</stp>
        <stp>.QQQC500</stp>
        <tr r="J78" s="2"/>
        <tr r="F78" s="2"/>
        <tr r="B78" s="2"/>
        <tr r="C78" s="2"/>
      </tp>
      <tp t="s">
        <v>N/A</v>
        <stp/>
        <stp>VOLUME</stp>
        <stp>.QQQP501</stp>
        <tr r="J77" s="2"/>
        <tr r="B77" s="2"/>
        <tr r="C77" s="2"/>
        <tr r="F77" s="2"/>
      </tp>
      <tp t="s">
        <v>N/A</v>
        <stp/>
        <stp>VOLUME</stp>
        <stp>.QQQC501</stp>
        <tr r="J77" s="2"/>
        <tr r="B77" s="2"/>
        <tr r="C77" s="2"/>
        <tr r="F77" s="2"/>
      </tp>
      <tp t="s">
        <v>N/A</v>
        <stp/>
        <stp>VOLUME</stp>
        <stp>.QQQP502</stp>
        <tr r="C76" s="2"/>
        <tr r="B76" s="2"/>
        <tr r="J76" s="2"/>
        <tr r="F76" s="2"/>
      </tp>
      <tp t="s">
        <v>N/A</v>
        <stp/>
        <stp>VOLUME</stp>
        <stp>.QQQC502</stp>
        <tr r="C76" s="2"/>
        <tr r="B76" s="2"/>
        <tr r="J76" s="2"/>
        <tr r="F76" s="2"/>
      </tp>
      <tp t="s">
        <v>N/A</v>
        <stp/>
        <stp>VOLUME</stp>
        <stp>.QQQP503</stp>
        <tr r="J75" s="2"/>
        <tr r="F75" s="2"/>
        <tr r="C75" s="2"/>
        <tr r="B75" s="2"/>
      </tp>
      <tp t="s">
        <v>N/A</v>
        <stp/>
        <stp>VOLUME</stp>
        <stp>.QQQC503</stp>
        <tr r="J75" s="2"/>
        <tr r="F75" s="2"/>
        <tr r="C75" s="2"/>
        <tr r="B75" s="2"/>
      </tp>
      <tp t="s">
        <v>N/A</v>
        <stp/>
        <stp>VOLUME</stp>
        <stp>.NDXP250930P20800</stp>
        <tr r="R168" s="2"/>
      </tp>
      <tp t="s">
        <v>N/A</v>
        <stp/>
        <stp>VOLUME</stp>
        <stp>.NDXP250829P21100</stp>
        <tr r="P156" s="2"/>
      </tp>
      <tp>
        <v>299</v>
        <stp/>
        <stp>VOLUME</stp>
        <stp>.NDXP250520P20800</stp>
        <tr r="BB167" s="1"/>
        <tr r="BB167" s="1"/>
      </tp>
      <tp>
        <v>21</v>
        <stp/>
        <stp>VOLUME</stp>
        <stp>.NDXP250521P20900</stp>
        <tr r="D164" s="2"/>
        <tr r="D164" s="2"/>
      </tp>
      <tp>
        <v>3</v>
        <stp/>
        <stp>VOLUME</stp>
        <stp>.NDXP250530P20800</stp>
        <tr r="G168" s="2"/>
        <tr r="G168" s="2"/>
      </tp>
      <tp t="s">
        <v>N/A</v>
        <stp/>
        <stp>VOLUME</stp>
        <stp>.NDXP250731P20900</stp>
        <tr r="N164" s="2"/>
      </tp>
      <tp>
        <v>1</v>
        <stp/>
        <stp>VOLUME</stp>
        <stp>.NDXP250630P20800</stp>
        <tr r="L168" s="2"/>
        <tr r="L168" s="2"/>
      </tp>
      <tp t="s">
        <v>N/A</v>
        <stp/>
        <stp>VOLUME</stp>
        <stp>.SPXW250930C5640</stp>
        <tr r="R129" s="2"/>
      </tp>
      <tp>
        <v>50</v>
        <stp/>
        <stp>VOLUME</stp>
        <stp>.SPXW250520C5740</stp>
        <tr r="BA118" s="1"/>
        <tr r="BA118" s="1"/>
      </tp>
      <tp>
        <v>64</v>
        <stp/>
        <stp>VOLUME</stp>
        <stp>.SPXW250521C5750</stp>
        <tr r="D118" s="2"/>
        <tr r="D118" s="2"/>
      </tp>
      <tp>
        <v>1</v>
        <stp/>
        <stp>VOLUME</stp>
        <stp>.SPXW250522C5760</stp>
        <tr r="E117" s="2"/>
        <tr r="E117" s="2"/>
      </tp>
      <tp>
        <v>9</v>
        <stp/>
        <stp>VOLUME</stp>
        <stp>.SPXW250523C5770</stp>
        <tr r="BC115" s="1"/>
        <tr r="BC115" s="1"/>
      </tp>
      <tp t="s">
        <v>N/A</v>
        <stp/>
        <stp>VOLUME</stp>
        <stp>.SPXW250530C5640</stp>
        <tr r="G129" s="2"/>
      </tp>
      <tp t="s">
        <v>N/A</v>
        <stp/>
        <stp>VOLUME</stp>
        <stp>.SPXW250731C5650</stp>
        <tr r="N128" s="2"/>
      </tp>
      <tp t="s">
        <v>N/A</v>
        <stp/>
        <stp>VOLUME</stp>
        <stp>.SPXW250630C5640</stp>
        <tr r="L129" s="2"/>
      </tp>
      <tp t="s">
        <v>N/A</v>
        <stp/>
        <stp>VOLUME</stp>
        <stp>.SPXW251031C5650</stp>
        <tr r="T128" s="2"/>
      </tp>
      <tp t="s">
        <v>N/A</v>
        <stp/>
        <stp>VOLUME</stp>
        <stp>.SPXW251231C5650</stp>
        <tr r="X128" s="2"/>
      </tp>
      <tp t="s">
        <v>N/A</v>
        <stp/>
        <stp>VOLUME</stp>
        <stp>.SPXW251031P5650</stp>
        <tr r="T128" s="2"/>
      </tp>
      <tp t="s">
        <v>N/A</v>
        <stp/>
        <stp>VOLUME</stp>
        <stp>.SPXW251231P5650</stp>
        <tr r="X128" s="2"/>
      </tp>
      <tp t="s">
        <v>N/A</v>
        <stp/>
        <stp>VOLUME</stp>
        <stp>.SPXW250930P5640</stp>
        <tr r="R129" s="2"/>
      </tp>
      <tp>
        <v>224</v>
        <stp/>
        <stp>VOLUME</stp>
        <stp>.SPXW250520P5740</stp>
        <tr r="BB118" s="1"/>
        <tr r="BB118" s="1"/>
      </tp>
      <tp>
        <v>863</v>
        <stp/>
        <stp>VOLUME</stp>
        <stp>.SPXW250521P5750</stp>
        <tr r="D118" s="2"/>
        <tr r="D118" s="2"/>
      </tp>
      <tp>
        <v>93</v>
        <stp/>
        <stp>VOLUME</stp>
        <stp>.SPXW250522P5760</stp>
        <tr r="E117" s="2"/>
        <tr r="E117" s="2"/>
      </tp>
      <tp>
        <v>419</v>
        <stp/>
        <stp>VOLUME</stp>
        <stp>.SPXW250523P5770</stp>
        <tr r="BD115" s="1"/>
        <tr r="BD115" s="1"/>
      </tp>
      <tp>
        <v>39</v>
        <stp/>
        <stp>VOLUME</stp>
        <stp>.SPXW250530P5640</stp>
        <tr r="G129" s="2"/>
        <tr r="G129" s="2"/>
      </tp>
      <tp>
        <v>3</v>
        <stp/>
        <stp>VOLUME</stp>
        <stp>.SPXW250731P5650</stp>
        <tr r="N128" s="2"/>
        <tr r="N128" s="2"/>
      </tp>
      <tp>
        <v>1</v>
        <stp/>
        <stp>VOLUME</stp>
        <stp>.SPXW250630P5640</stp>
        <tr r="L129" s="2"/>
        <tr r="L129" s="2"/>
      </tp>
      <tp t="s">
        <v>N/A</v>
        <stp/>
        <stp>VOLUME</stp>
        <stp>.QQQP518</stp>
        <tr r="C60" s="2"/>
        <tr r="F60" s="2"/>
        <tr r="B60" s="2"/>
        <tr r="J60" s="2"/>
      </tp>
      <tp t="s">
        <v>N/A</v>
        <stp/>
        <stp>VOLUME</stp>
        <stp>.QQQC518</stp>
        <tr r="C60" s="2"/>
        <tr r="F60" s="2"/>
        <tr r="B60" s="2"/>
        <tr r="J60" s="2"/>
      </tp>
      <tp t="s">
        <v>N/A</v>
        <stp/>
        <stp>VOLUME</stp>
        <stp>.QQQP519</stp>
        <tr r="C59" s="2"/>
        <tr r="F59" s="2"/>
        <tr r="J59" s="2"/>
        <tr r="B59" s="2"/>
      </tp>
      <tp t="s">
        <v>N/A</v>
        <stp/>
        <stp>VOLUME</stp>
        <stp>.QQQC519</stp>
        <tr r="C59" s="2"/>
        <tr r="F59" s="2"/>
        <tr r="J59" s="2"/>
        <tr r="B59" s="2"/>
      </tp>
      <tp t="s">
        <v>N/A</v>
        <stp/>
        <stp>VOLUME</stp>
        <stp>.QQQP514</stp>
        <tr r="B64" s="2"/>
        <tr r="F64" s="2"/>
        <tr r="C64" s="2"/>
        <tr r="J64" s="2"/>
      </tp>
      <tp t="s">
        <v>N/A</v>
        <stp/>
        <stp>VOLUME</stp>
        <stp>.QQQC514</stp>
        <tr r="B64" s="2"/>
        <tr r="F64" s="2"/>
        <tr r="C64" s="2"/>
        <tr r="J64" s="2"/>
      </tp>
      <tp t="s">
        <v>N/A</v>
        <stp/>
        <stp>VOLUME</stp>
        <stp>.QQQP515</stp>
        <tr r="J63" s="2"/>
        <tr r="C63" s="2"/>
        <tr r="F63" s="2"/>
        <tr r="B63" s="2"/>
      </tp>
      <tp t="s">
        <v>N/A</v>
        <stp/>
        <stp>VOLUME</stp>
        <stp>.QQQC515</stp>
        <tr r="J63" s="2"/>
        <tr r="C63" s="2"/>
        <tr r="F63" s="2"/>
        <tr r="B63" s="2"/>
      </tp>
      <tp t="s">
        <v>N/A</v>
        <stp/>
        <stp>VOLUME</stp>
        <stp>.QQQP516</stp>
        <tr r="J62" s="2"/>
        <tr r="C62" s="2"/>
        <tr r="B62" s="2"/>
        <tr r="F62" s="2"/>
      </tp>
      <tp t="s">
        <v>N/A</v>
        <stp/>
        <stp>VOLUME</stp>
        <stp>.QQQC516</stp>
        <tr r="J62" s="2"/>
        <tr r="C62" s="2"/>
        <tr r="B62" s="2"/>
        <tr r="F62" s="2"/>
      </tp>
      <tp t="s">
        <v>N/A</v>
        <stp/>
        <stp>VOLUME</stp>
        <stp>.QQQP517</stp>
        <tr r="C61" s="2"/>
        <tr r="F61" s="2"/>
        <tr r="J61" s="2"/>
        <tr r="B61" s="2"/>
      </tp>
      <tp t="s">
        <v>N/A</v>
        <stp/>
        <stp>VOLUME</stp>
        <stp>.QQQC517</stp>
        <tr r="C61" s="2"/>
        <tr r="F61" s="2"/>
        <tr r="J61" s="2"/>
        <tr r="B61" s="2"/>
      </tp>
      <tp t="s">
        <v>N/A</v>
        <stp/>
        <stp>VOLUME</stp>
        <stp>.QQQP510</stp>
        <tr r="B68" s="2"/>
        <tr r="F68" s="2"/>
        <tr r="J68" s="2"/>
        <tr r="C68" s="2"/>
      </tp>
      <tp t="s">
        <v>N/A</v>
        <stp/>
        <stp>VOLUME</stp>
        <stp>.QQQC510</stp>
        <tr r="B68" s="2"/>
        <tr r="F68" s="2"/>
        <tr r="J68" s="2"/>
        <tr r="C68" s="2"/>
      </tp>
      <tp t="s">
        <v>N/A</v>
        <stp/>
        <stp>VOLUME</stp>
        <stp>.QQQP511</stp>
        <tr r="J67" s="2"/>
        <tr r="C67" s="2"/>
        <tr r="F67" s="2"/>
        <tr r="B67" s="2"/>
      </tp>
      <tp t="s">
        <v>N/A</v>
        <stp/>
        <stp>VOLUME</stp>
        <stp>.QQQC511</stp>
        <tr r="J67" s="2"/>
        <tr r="C67" s="2"/>
        <tr r="F67" s="2"/>
        <tr r="B67" s="2"/>
      </tp>
      <tp t="s">
        <v>N/A</v>
        <stp/>
        <stp>VOLUME</stp>
        <stp>.QQQP512</stp>
        <tr r="J66" s="2"/>
        <tr r="F66" s="2"/>
        <tr r="B66" s="2"/>
        <tr r="C66" s="2"/>
      </tp>
      <tp t="s">
        <v>N/A</v>
        <stp/>
        <stp>VOLUME</stp>
        <stp>.QQQC512</stp>
        <tr r="J66" s="2"/>
        <tr r="F66" s="2"/>
        <tr r="B66" s="2"/>
        <tr r="C66" s="2"/>
      </tp>
      <tp t="s">
        <v>N/A</v>
        <stp/>
        <stp>VOLUME</stp>
        <stp>.QQQP513</stp>
        <tr r="J65" s="2"/>
        <tr r="F65" s="2"/>
        <tr r="C65" s="2"/>
        <tr r="B65" s="2"/>
      </tp>
      <tp t="s">
        <v>N/A</v>
        <stp/>
        <stp>VOLUME</stp>
        <stp>.QQQC513</stp>
        <tr r="J65" s="2"/>
        <tr r="F65" s="2"/>
        <tr r="C65" s="2"/>
        <tr r="B65" s="2"/>
      </tp>
      <tp t="s">
        <v>N/A</v>
        <stp/>
        <stp>VOLUME</stp>
        <stp>.NDXP251128P21000</stp>
        <tr r="V160" s="2"/>
      </tp>
      <tp t="s">
        <v>N/A</v>
        <stp/>
        <stp>VOLUME</stp>
        <stp>.NDXP251031P20900</stp>
        <tr r="T164" s="2"/>
      </tp>
      <tp t="s">
        <v>N/A</v>
        <stp/>
        <stp>VOLUME</stp>
        <stp>.NDXP251231P20900</stp>
        <tr r="X164" s="2"/>
      </tp>
      <tp t="s">
        <v>N/A</v>
        <stp/>
        <stp>VOLUME</stp>
        <stp>.SPXW250930C5650</stp>
        <tr r="R128" s="2"/>
      </tp>
      <tp>
        <v>126</v>
        <stp/>
        <stp>VOLUME</stp>
        <stp>.SPXW250520C5750</stp>
        <tr r="BA117" s="1"/>
        <tr r="BA117" s="1"/>
      </tp>
      <tp>
        <v>56</v>
        <stp/>
        <stp>VOLUME</stp>
        <stp>.SPXW250521C5740</stp>
        <tr r="D119" s="2"/>
        <tr r="D119" s="2"/>
      </tp>
      <tp>
        <v>27</v>
        <stp/>
        <stp>VOLUME</stp>
        <stp>.SPXW250522C5770</stp>
        <tr r="E116" s="2"/>
        <tr r="E116" s="2"/>
      </tp>
      <tp>
        <v>1</v>
        <stp/>
        <stp>VOLUME</stp>
        <stp>.SPXW250523C5760</stp>
        <tr r="BC116" s="1"/>
        <tr r="BC116" s="1"/>
      </tp>
      <tp>
        <v>52</v>
        <stp/>
        <stp>VOLUME</stp>
        <stp>.SPXW250530C5650</stp>
        <tr r="G128" s="2"/>
        <tr r="G128" s="2"/>
      </tp>
      <tp t="s">
        <v>N/A</v>
        <stp/>
        <stp>VOLUME</stp>
        <stp>.SPXW250731C5640</stp>
        <tr r="N129" s="2"/>
      </tp>
      <tp>
        <v>2</v>
        <stp/>
        <stp>VOLUME</stp>
        <stp>.SPXW250630C5650</stp>
        <tr r="L128" s="2"/>
        <tr r="L128" s="2"/>
      </tp>
      <tp t="s">
        <v>N/A</v>
        <stp/>
        <stp>VOLUME</stp>
        <stp>.SPXW251031C5640</stp>
        <tr r="T129" s="2"/>
      </tp>
      <tp t="s">
        <v>N/A</v>
        <stp/>
        <stp>VOLUME</stp>
        <stp>.SPXW251231C5640</stp>
        <tr r="X129" s="2"/>
      </tp>
      <tp>
        <v>1</v>
        <stp/>
        <stp>VOLUME</stp>
        <stp>.SPXW251031P5640</stp>
        <tr r="T129" s="2"/>
        <tr r="T129" s="2"/>
      </tp>
      <tp t="s">
        <v>N/A</v>
        <stp/>
        <stp>VOLUME</stp>
        <stp>.SPXW251231P5640</stp>
        <tr r="X129" s="2"/>
      </tp>
      <tp t="s">
        <v>N/A</v>
        <stp/>
        <stp>VOLUME</stp>
        <stp>.SPXW250930P5650</stp>
        <tr r="R128" s="2"/>
      </tp>
      <tp>
        <v>864</v>
        <stp/>
        <stp>VOLUME</stp>
        <stp>.SPXW250520P5750</stp>
        <tr r="BB117" s="1"/>
        <tr r="BB117" s="1"/>
      </tp>
      <tp>
        <v>221</v>
        <stp/>
        <stp>VOLUME</stp>
        <stp>.SPXW250521P5740</stp>
        <tr r="D119" s="2"/>
        <tr r="D119" s="2"/>
      </tp>
      <tp>
        <v>211</v>
        <stp/>
        <stp>VOLUME</stp>
        <stp>.SPXW250522P5770</stp>
        <tr r="E116" s="2"/>
        <tr r="E116" s="2"/>
      </tp>
      <tp>
        <v>631</v>
        <stp/>
        <stp>VOLUME</stp>
        <stp>.SPXW250523P5760</stp>
        <tr r="BD116" s="1"/>
        <tr r="BD116" s="1"/>
      </tp>
      <tp>
        <v>604</v>
        <stp/>
        <stp>VOLUME</stp>
        <stp>.SPXW250530P5650</stp>
        <tr r="G128" s="2"/>
        <tr r="G128" s="2"/>
      </tp>
      <tp t="s">
        <v>N/A</v>
        <stp/>
        <stp>VOLUME</stp>
        <stp>.SPXW250731P5640</stp>
        <tr r="N129" s="2"/>
      </tp>
      <tp>
        <v>76</v>
        <stp/>
        <stp>VOLUME</stp>
        <stp>.SPXW250630P5650</stp>
        <tr r="L128" s="2"/>
        <tr r="L128" s="2"/>
      </tp>
      <tp t="s">
        <v>N/A</v>
        <stp/>
        <stp>VOLUME</stp>
        <stp>.QQQP528</stp>
        <tr r="J50" s="2"/>
        <tr r="F50" s="2"/>
        <tr r="C50" s="2"/>
        <tr r="B50" s="2"/>
      </tp>
      <tp t="s">
        <v>N/A</v>
        <stp/>
        <stp>VOLUME</stp>
        <stp>.QQQC528</stp>
        <tr r="J50" s="2"/>
        <tr r="F50" s="2"/>
        <tr r="C50" s="2"/>
        <tr r="B50" s="2"/>
      </tp>
      <tp t="s">
        <v>N/A</v>
        <stp/>
        <stp>VOLUME</stp>
        <stp>.QQQP529</stp>
        <tr r="J49" s="2"/>
        <tr r="F49" s="2"/>
        <tr r="C49" s="2"/>
        <tr r="B49" s="2"/>
      </tp>
      <tp t="s">
        <v>N/A</v>
        <stp/>
        <stp>VOLUME</stp>
        <stp>.QQQC529</stp>
        <tr r="J49" s="2"/>
        <tr r="F49" s="2"/>
        <tr r="C49" s="2"/>
        <tr r="B49" s="2"/>
      </tp>
      <tp t="s">
        <v>N/A</v>
        <stp/>
        <stp>VOLUME</stp>
        <stp>.QQQP524</stp>
        <tr r="J54" s="2"/>
        <tr r="F54" s="2"/>
        <tr r="C54" s="2"/>
        <tr r="B54" s="2"/>
      </tp>
      <tp t="s">
        <v>N/A</v>
        <stp/>
        <stp>VOLUME</stp>
        <stp>.QQQC524</stp>
        <tr r="J54" s="2"/>
        <tr r="F54" s="2"/>
        <tr r="C54" s="2"/>
        <tr r="B54" s="2"/>
      </tp>
      <tp t="s">
        <v>N/A</v>
        <stp/>
        <stp>VOLUME</stp>
        <stp>.QQQP525</stp>
        <tr r="J53" s="2"/>
        <tr r="C53" s="2"/>
        <tr r="B53" s="2"/>
        <tr r="F53" s="2"/>
      </tp>
      <tp t="s">
        <v>N/A</v>
        <stp/>
        <stp>VOLUME</stp>
        <stp>.QQQC525</stp>
        <tr r="J53" s="2"/>
        <tr r="C53" s="2"/>
        <tr r="B53" s="2"/>
        <tr r="F53" s="2"/>
      </tp>
      <tp t="s">
        <v>N/A</v>
        <stp/>
        <stp>VOLUME</stp>
        <stp>.QQQP526</stp>
        <tr r="J52" s="2"/>
        <tr r="F52" s="2"/>
        <tr r="B52" s="2"/>
        <tr r="C52" s="2"/>
      </tp>
      <tp t="s">
        <v>N/A</v>
        <stp/>
        <stp>VOLUME</stp>
        <stp>.QQQC526</stp>
        <tr r="J52" s="2"/>
        <tr r="F52" s="2"/>
        <tr r="B52" s="2"/>
        <tr r="C52" s="2"/>
      </tp>
      <tp t="s">
        <v>N/A</v>
        <stp/>
        <stp>VOLUME</stp>
        <stp>.QQQP527</stp>
        <tr r="J51" s="2"/>
        <tr r="F51" s="2"/>
        <tr r="C51" s="2"/>
        <tr r="B51" s="2"/>
      </tp>
      <tp t="s">
        <v>N/A</v>
        <stp/>
        <stp>VOLUME</stp>
        <stp>.QQQC527</stp>
        <tr r="J51" s="2"/>
        <tr r="F51" s="2"/>
        <tr r="C51" s="2"/>
        <tr r="B51" s="2"/>
      </tp>
      <tp t="s">
        <v>N/A</v>
        <stp/>
        <stp>VOLUME</stp>
        <stp>.QQQP520</stp>
        <tr r="J58" s="2"/>
        <tr r="B58" s="2"/>
        <tr r="C58" s="2"/>
        <tr r="F58" s="2"/>
      </tp>
      <tp t="s">
        <v>N/A</v>
        <stp/>
        <stp>VOLUME</stp>
        <stp>.QQQC520</stp>
        <tr r="J58" s="2"/>
        <tr r="B58" s="2"/>
        <tr r="C58" s="2"/>
        <tr r="F58" s="2"/>
      </tp>
      <tp t="s">
        <v>N/A</v>
        <stp/>
        <stp>VOLUME</stp>
        <stp>.QQQP521</stp>
        <tr r="J57" s="2"/>
        <tr r="C57" s="2"/>
        <tr r="F57" s="2"/>
        <tr r="B57" s="2"/>
      </tp>
      <tp t="s">
        <v>N/A</v>
        <stp/>
        <stp>VOLUME</stp>
        <stp>.QQQC521</stp>
        <tr r="J57" s="2"/>
        <tr r="C57" s="2"/>
        <tr r="F57" s="2"/>
        <tr r="B57" s="2"/>
      </tp>
      <tp t="s">
        <v>N/A</v>
        <stp/>
        <stp>VOLUME</stp>
        <stp>.QQQP522</stp>
        <tr r="J56" s="2"/>
        <tr r="C56" s="2"/>
        <tr r="F56" s="2"/>
        <tr r="B56" s="2"/>
      </tp>
      <tp t="s">
        <v>N/A</v>
        <stp/>
        <stp>VOLUME</stp>
        <stp>.QQQC522</stp>
        <tr r="J56" s="2"/>
        <tr r="C56" s="2"/>
        <tr r="F56" s="2"/>
        <tr r="B56" s="2"/>
      </tp>
      <tp t="s">
        <v>N/A</v>
        <stp/>
        <stp>VOLUME</stp>
        <stp>.QQQP523</stp>
        <tr r="J55" s="2"/>
        <tr r="F55" s="2"/>
        <tr r="B55" s="2"/>
        <tr r="C55" s="2"/>
      </tp>
      <tp t="s">
        <v>N/A</v>
        <stp/>
        <stp>VOLUME</stp>
        <stp>.QQQC523</stp>
        <tr r="J55" s="2"/>
        <tr r="F55" s="2"/>
        <tr r="B55" s="2"/>
        <tr r="C55" s="2"/>
      </tp>
      <tp t="s">
        <v>N/A</v>
        <stp/>
        <stp>VOLUME</stp>
        <stp>.NDXP250829P21125</stp>
        <tr r="P155" s="2"/>
      </tp>
      <tp t="s">
        <v>N/A</v>
        <stp/>
        <stp>VOLUME</stp>
        <stp>.NDXP250930P20825</stp>
        <tr r="R167" s="2"/>
      </tp>
      <tp>
        <v>71</v>
        <stp/>
        <stp>VOLUME</stp>
        <stp>.NDXP250520P20825</stp>
        <tr r="BB166" s="1"/>
        <tr r="BB166" s="1"/>
      </tp>
      <tp>
        <v>17</v>
        <stp/>
        <stp>VOLUME</stp>
        <stp>.NDXP250521P20925</stp>
        <tr r="D163" s="2"/>
        <tr r="D163" s="2"/>
      </tp>
      <tp>
        <v>1</v>
        <stp/>
        <stp>VOLUME</stp>
        <stp>.NDXP250530P20825</stp>
        <tr r="G167" s="2"/>
        <tr r="G167" s="2"/>
      </tp>
      <tp>
        <v>1</v>
        <stp/>
        <stp>VOLUME</stp>
        <stp>.NDXP250630P20825</stp>
        <tr r="L167" s="2"/>
        <tr r="L167" s="2"/>
      </tp>
      <tp t="s">
        <v>N/A</v>
        <stp/>
        <stp>VOLUME</stp>
        <stp>.NDXP250731P20925</stp>
        <tr r="N163" s="2"/>
      </tp>
      <tp t="s">
        <v>N/A</v>
        <stp/>
        <stp>VOLUME</stp>
        <stp>.SPXW250930C5660</stp>
        <tr r="R127" s="2"/>
      </tp>
      <tp>
        <v>14</v>
        <stp/>
        <stp>VOLUME</stp>
        <stp>.SPXW250520C5760</stp>
        <tr r="BA116" s="1"/>
        <tr r="BA116" s="1"/>
      </tp>
      <tp>
        <v>19</v>
        <stp/>
        <stp>VOLUME</stp>
        <stp>.SPXW250521C5770</stp>
        <tr r="D116" s="2"/>
        <tr r="D116" s="2"/>
      </tp>
      <tp>
        <v>9</v>
        <stp/>
        <stp>VOLUME</stp>
        <stp>.SPXW250522C5740</stp>
        <tr r="E119" s="2"/>
        <tr r="E119" s="2"/>
      </tp>
      <tp>
        <v>38</v>
        <stp/>
        <stp>VOLUME</stp>
        <stp>.SPXW250523C5750</stp>
        <tr r="BC117" s="1"/>
        <tr r="BC117" s="1"/>
      </tp>
      <tp>
        <v>2</v>
        <stp/>
        <stp>VOLUME</stp>
        <stp>.SPXW250530C5660</stp>
        <tr r="G127" s="2"/>
        <tr r="G127" s="2"/>
      </tp>
      <tp t="s">
        <v>N/A</v>
        <stp/>
        <stp>VOLUME</stp>
        <stp>.SPXW250731C5670</stp>
        <tr r="N126" s="2"/>
      </tp>
      <tp t="s">
        <v>N/A</v>
        <stp/>
        <stp>VOLUME</stp>
        <stp>.SPXW250630C5660</stp>
        <tr r="L127" s="2"/>
      </tp>
      <tp t="s">
        <v>N/A</v>
        <stp/>
        <stp>VOLUME</stp>
        <stp>.SPXW251031C5670</stp>
        <tr r="T126" s="2"/>
      </tp>
      <tp t="s">
        <v>N/A</v>
        <stp/>
        <stp>VOLUME</stp>
        <stp>.SPXW251231C5670</stp>
        <tr r="X126" s="2"/>
      </tp>
      <tp t="s">
        <v>N/A</v>
        <stp/>
        <stp>VOLUME</stp>
        <stp>.SPXW251031P5670</stp>
        <tr r="T126" s="2"/>
      </tp>
      <tp t="s">
        <v>N/A</v>
        <stp/>
        <stp>VOLUME</stp>
        <stp>.SPXW251231P5670</stp>
        <tr r="X126" s="2"/>
      </tp>
      <tp t="s">
        <v>N/A</v>
        <stp/>
        <stp>VOLUME</stp>
        <stp>.SPXW250930P5660</stp>
        <tr r="R127" s="2"/>
      </tp>
      <tp>
        <v>1910</v>
        <stp/>
        <stp>VOLUME</stp>
        <stp>.SPXW250520P5760</stp>
        <tr r="BB116" s="1"/>
        <tr r="BB116" s="1"/>
      </tp>
      <tp>
        <v>1236</v>
        <stp/>
        <stp>VOLUME</stp>
        <stp>.SPXW250521P5770</stp>
        <tr r="D116" s="2"/>
        <tr r="D116" s="2"/>
      </tp>
      <tp>
        <v>161</v>
        <stp/>
        <stp>VOLUME</stp>
        <stp>.SPXW250522P5740</stp>
        <tr r="E119" s="2"/>
        <tr r="E119" s="2"/>
      </tp>
      <tp>
        <v>3284</v>
        <stp/>
        <stp>VOLUME</stp>
        <stp>.SPXW250523P5750</stp>
        <tr r="BD117" s="1"/>
        <tr r="BD117" s="1"/>
      </tp>
      <tp>
        <v>21</v>
        <stp/>
        <stp>VOLUME</stp>
        <stp>.SPXW250530P5660</stp>
        <tr r="G127" s="2"/>
        <tr r="G127" s="2"/>
      </tp>
      <tp t="s">
        <v>N/A</v>
        <stp/>
        <stp>VOLUME</stp>
        <stp>.SPXW250731P5670</stp>
        <tr r="N126" s="2"/>
      </tp>
      <tp>
        <v>4</v>
        <stp/>
        <stp>VOLUME</stp>
        <stp>.SPXW250630P5660</stp>
        <tr r="L127" s="2"/>
        <tr r="L127" s="2"/>
      </tp>
      <tp t="s">
        <v>N/A</v>
        <stp/>
        <stp>VOLUME</stp>
        <stp>.QQQP530</stp>
        <tr r="J48" s="2"/>
        <tr r="F48" s="2"/>
        <tr r="C48" s="2"/>
        <tr r="B48" s="2"/>
      </tp>
      <tp t="s">
        <v>N/A</v>
        <stp/>
        <stp>VOLUME</stp>
        <stp>.QQQC530</stp>
        <tr r="J48" s="2"/>
        <tr r="F48" s="2"/>
        <tr r="C48" s="2"/>
        <tr r="B48" s="2"/>
      </tp>
      <tp t="s">
        <v>N/A</v>
        <stp/>
        <stp>VOLUME</stp>
        <stp>.QQQP531</stp>
        <tr r="J47" s="2"/>
        <tr r="F47" s="2"/>
        <tr r="C47" s="2"/>
        <tr r="B47" s="2"/>
      </tp>
      <tp t="s">
        <v>N/A</v>
        <stp/>
        <stp>VOLUME</stp>
        <stp>.QQQC531</stp>
        <tr r="J47" s="2"/>
        <tr r="F47" s="2"/>
        <tr r="C47" s="2"/>
        <tr r="B47" s="2"/>
      </tp>
      <tp t="s">
        <v>N/A</v>
        <stp/>
        <stp>VOLUME</stp>
        <stp>.QQQP532</stp>
        <tr r="J46" s="2"/>
        <tr r="F46" s="2"/>
        <tr r="C46" s="2"/>
        <tr r="B46" s="2"/>
      </tp>
      <tp t="s">
        <v>N/A</v>
        <stp/>
        <stp>VOLUME</stp>
        <stp>.QQQC532</stp>
        <tr r="J46" s="2"/>
        <tr r="F46" s="2"/>
        <tr r="C46" s="2"/>
        <tr r="B46" s="2"/>
      </tp>
      <tp t="s">
        <v>N/A</v>
        <stp/>
        <stp>VOLUME</stp>
        <stp>.NDXP251031P20925</stp>
        <tr r="T163" s="2"/>
      </tp>
      <tp t="s">
        <v>N/A</v>
        <stp/>
        <stp>VOLUME</stp>
        <stp>.NDXP251128P21025</stp>
        <tr r="V159" s="2"/>
      </tp>
      <tp t="s">
        <v>N/A</v>
        <stp/>
        <stp>VOLUME</stp>
        <stp>.NDXP251231P20925</stp>
        <tr r="X163" s="2"/>
      </tp>
      <tp t="s">
        <v>N/A</v>
        <stp/>
        <stp>VOLUME</stp>
        <stp>.SPXW250930C5670</stp>
        <tr r="R126" s="2"/>
      </tp>
      <tp>
        <v>7</v>
        <stp/>
        <stp>VOLUME</stp>
        <stp>.SPXW250520C5770</stp>
        <tr r="BA115" s="1"/>
        <tr r="BA115" s="1"/>
      </tp>
      <tp>
        <v>17</v>
        <stp/>
        <stp>VOLUME</stp>
        <stp>.SPXW250521C5760</stp>
        <tr r="D117" s="2"/>
        <tr r="D117" s="2"/>
      </tp>
      <tp>
        <v>53</v>
        <stp/>
        <stp>VOLUME</stp>
        <stp>.SPXW250522C5750</stp>
        <tr r="E118" s="2"/>
        <tr r="E118" s="2"/>
      </tp>
      <tp>
        <v>4</v>
        <stp/>
        <stp>VOLUME</stp>
        <stp>.SPXW250523C5740</stp>
        <tr r="BC118" s="1"/>
        <tr r="BC118" s="1"/>
      </tp>
      <tp>
        <v>11</v>
        <stp/>
        <stp>VOLUME</stp>
        <stp>.SPXW250530C5670</stp>
        <tr r="G126" s="2"/>
        <tr r="G126" s="2"/>
      </tp>
      <tp t="s">
        <v>N/A</v>
        <stp/>
        <stp>VOLUME</stp>
        <stp>.SPXW250731C5660</stp>
        <tr r="N127" s="2"/>
      </tp>
      <tp t="s">
        <v>N/A</v>
        <stp/>
        <stp>VOLUME</stp>
        <stp>.SPXW250630C5670</stp>
        <tr r="L126" s="2"/>
      </tp>
      <tp t="s">
        <v>N/A</v>
        <stp/>
        <stp>VOLUME</stp>
        <stp>.SPXW251031C5660</stp>
        <tr r="T127" s="2"/>
      </tp>
      <tp t="s">
        <v>N/A</v>
        <stp/>
        <stp>VOLUME</stp>
        <stp>.SPXW251231C5660</stp>
        <tr r="X127" s="2"/>
      </tp>
      <tp t="s">
        <v>N/A</v>
        <stp/>
        <stp>VOLUME</stp>
        <stp>.SPXW251031P5660</stp>
        <tr r="T127" s="2"/>
      </tp>
      <tp t="s">
        <v>N/A</v>
        <stp/>
        <stp>VOLUME</stp>
        <stp>.SPXW251231P5660</stp>
        <tr r="X127" s="2"/>
      </tp>
      <tp t="s">
        <v>N/A</v>
        <stp/>
        <stp>VOLUME</stp>
        <stp>.SPXW250930P5670</stp>
        <tr r="R126" s="2"/>
      </tp>
      <tp>
        <v>619</v>
        <stp/>
        <stp>VOLUME</stp>
        <stp>.SPXW250520P5770</stp>
        <tr r="BB115" s="1"/>
        <tr r="BB115" s="1"/>
      </tp>
      <tp>
        <v>404</v>
        <stp/>
        <stp>VOLUME</stp>
        <stp>.SPXW250521P5760</stp>
        <tr r="D117" s="2"/>
        <tr r="D117" s="2"/>
      </tp>
      <tp>
        <v>1581</v>
        <stp/>
        <stp>VOLUME</stp>
        <stp>.SPXW250522P5750</stp>
        <tr r="E118" s="2"/>
        <tr r="E118" s="2"/>
      </tp>
      <tp>
        <v>145</v>
        <stp/>
        <stp>VOLUME</stp>
        <stp>.SPXW250523P5740</stp>
        <tr r="BD118" s="1"/>
        <tr r="BD118" s="1"/>
      </tp>
      <tp>
        <v>16</v>
        <stp/>
        <stp>VOLUME</stp>
        <stp>.SPXW250530P5670</stp>
        <tr r="G126" s="2"/>
        <tr r="G126" s="2"/>
      </tp>
      <tp>
        <v>1</v>
        <stp/>
        <stp>VOLUME</stp>
        <stp>.SPXW250731P5660</stp>
        <tr r="N127" s="2"/>
        <tr r="N127" s="2"/>
      </tp>
      <tp>
        <v>207</v>
        <stp/>
        <stp>VOLUME</stp>
        <stp>.SPXW250630P5670</stp>
        <tr r="L126" s="2"/>
        <tr r="L126" s="2"/>
      </tp>
      <tp>
        <v>4</v>
        <stp/>
        <stp>OPEN_INT</stp>
        <stp>.NDXP250523C20300</stp>
        <tr r="AU187" s="1"/>
        <tr r="AU187" s="1"/>
      </tp>
      <tp>
        <v>17</v>
        <stp/>
        <stp>OPEN_INT</stp>
        <stp>.NDXP250520C21000</stp>
        <tr r="AS159" s="1"/>
        <tr r="AS159" s="1"/>
      </tp>
      <tp>
        <v>103</v>
        <stp/>
        <stp>OPEN_INT</stp>
        <stp>.NDXP250523C21300</stp>
        <tr r="AU147" s="1"/>
        <tr r="AU147" s="1"/>
      </tp>
      <tp>
        <v>4</v>
        <stp/>
        <stp>OPEN_INT</stp>
        <stp>.NDXP250523C20325</stp>
        <tr r="AU186" s="1"/>
        <tr r="AU186" s="1"/>
      </tp>
      <tp>
        <v>1</v>
        <stp/>
        <stp>OPEN_INT</stp>
        <stp>.NDXP250520C21025</stp>
        <tr r="AS158" s="1"/>
        <tr r="AS158" s="1"/>
      </tp>
      <tp>
        <v>29</v>
        <stp/>
        <stp>OPEN_INT</stp>
        <stp>.NDXP250523C21325</stp>
        <tr r="AU146" s="1"/>
        <tr r="AU146" s="1"/>
      </tp>
      <tp>
        <v>3</v>
        <stp/>
        <stp>OPEN_INT</stp>
        <stp>.NDXP250523C20350</stp>
        <tr r="AU185" s="1"/>
        <tr r="AU185" s="1"/>
      </tp>
      <tp>
        <v>0</v>
        <stp/>
        <stp>OPEN_INT</stp>
        <stp>.NDXP250520C21050</stp>
        <tr r="AS157" s="1"/>
        <tr r="AS157" s="1"/>
      </tp>
      <tp>
        <v>22</v>
        <stp/>
        <stp>OPEN_INT</stp>
        <stp>.NDXP250523C21350</stp>
        <tr r="AU145" s="1"/>
        <tr r="AU145" s="1"/>
      </tp>
      <tp>
        <v>4</v>
        <stp/>
        <stp>OPEN_INT</stp>
        <stp>.NDXP250523C20375</stp>
        <tr r="AU184" s="1"/>
        <tr r="AU184" s="1"/>
      </tp>
      <tp>
        <v>0</v>
        <stp/>
        <stp>OPEN_INT</stp>
        <stp>.NDXP250520C21075</stp>
        <tr r="AS156" s="1"/>
        <tr r="AS156" s="1"/>
      </tp>
      <tp>
        <v>19</v>
        <stp/>
        <stp>OPEN_INT</stp>
        <stp>.NDXP250523C21375</stp>
        <tr r="AU144" s="1"/>
        <tr r="AU144" s="1"/>
      </tp>
      <tp>
        <v>19</v>
        <stp/>
        <stp>OPEN_INT</stp>
        <stp>.NDXP250523P20325</stp>
        <tr r="AV186" s="1"/>
        <tr r="AV186" s="1"/>
      </tp>
      <tp>
        <v>3</v>
        <stp/>
        <stp>OPEN_INT</stp>
        <stp>.NDXP250520P21025</stp>
        <tr r="AT158" s="1"/>
        <tr r="AT158" s="1"/>
      </tp>
      <tp>
        <v>17</v>
        <stp/>
        <stp>OPEN_INT</stp>
        <stp>.NDXP250523P21325</stp>
        <tr r="AV146" s="1"/>
        <tr r="AV146" s="1"/>
      </tp>
      <tp>
        <v>34</v>
        <stp/>
        <stp>OPEN_INT</stp>
        <stp>.NDXP250523P20300</stp>
        <tr r="AV187" s="1"/>
        <tr r="AV187" s="1"/>
      </tp>
      <tp>
        <v>36</v>
        <stp/>
        <stp>OPEN_INT</stp>
        <stp>.NDXP250520P21000</stp>
        <tr r="AT159" s="1"/>
        <tr r="AT159" s="1"/>
      </tp>
      <tp>
        <v>13</v>
        <stp/>
        <stp>OPEN_INT</stp>
        <stp>.NDXP250523P21300</stp>
        <tr r="AV147" s="1"/>
        <tr r="AV147" s="1"/>
      </tp>
      <tp>
        <v>27</v>
        <stp/>
        <stp>OPEN_INT</stp>
        <stp>.NDXP250523P20375</stp>
        <tr r="AV184" s="1"/>
        <tr r="AV184" s="1"/>
      </tp>
      <tp>
        <v>2</v>
        <stp/>
        <stp>OPEN_INT</stp>
        <stp>.NDXP250520P21075</stp>
        <tr r="AT156" s="1"/>
        <tr r="AT156" s="1"/>
      </tp>
      <tp>
        <v>16</v>
        <stp/>
        <stp>OPEN_INT</stp>
        <stp>.NDXP250523P21375</stp>
        <tr r="AV144" s="1"/>
        <tr r="AV144" s="1"/>
      </tp>
      <tp>
        <v>21</v>
        <stp/>
        <stp>OPEN_INT</stp>
        <stp>.NDXP250523P20350</stp>
        <tr r="AV185" s="1"/>
        <tr r="AV185" s="1"/>
      </tp>
      <tp>
        <v>10</v>
        <stp/>
        <stp>OPEN_INT</stp>
        <stp>.NDXP250520P21050</stp>
        <tr r="AT157" s="1"/>
        <tr r="AT157" s="1"/>
      </tp>
      <tp>
        <v>5</v>
        <stp/>
        <stp>OPEN_INT</stp>
        <stp>.NDXP250523P21350</stp>
        <tr r="AV145" s="1"/>
        <tr r="AV145" s="1"/>
      </tp>
      <tp>
        <v>-0.17</v>
        <stp/>
        <stp>DELTA</stp>
        <stp>.NDXP250523P20925</stp>
        <tr r="CG162" s="1"/>
        <tr r="CG162" s="1"/>
      </tp>
      <tp>
        <v>-0.16</v>
        <stp/>
        <stp>DELTA</stp>
        <stp>.NDXP250523P20900</stp>
        <tr r="CG163" s="1"/>
        <tr r="CG163" s="1"/>
      </tp>
      <tp>
        <v>-0.19</v>
        <stp/>
        <stp>DELTA</stp>
        <stp>.NDXP250523P20975</stp>
        <tr r="CG160" s="1"/>
        <tr r="CG160" s="1"/>
      </tp>
      <tp>
        <v>-0.18</v>
        <stp/>
        <stp>DELTA</stp>
        <stp>.NDXP250523P20950</stp>
        <tr r="CG161" s="1"/>
        <tr r="CG161" s="1"/>
      </tp>
      <tp>
        <v>0.95</v>
        <stp/>
        <stp>DELTA</stp>
        <stp>.NDXP250523C20900</stp>
        <tr r="CF163" s="1"/>
        <tr r="CF163" s="1"/>
      </tp>
      <tp>
        <v>0.91</v>
        <stp/>
        <stp>DELTA</stp>
        <stp>.NDXP250523C20925</stp>
        <tr r="CF162" s="1"/>
        <tr r="CF162" s="1"/>
      </tp>
      <tp>
        <v>0.92</v>
        <stp/>
        <stp>DELTA</stp>
        <stp>.NDXP250523C20950</stp>
        <tr r="CF161" s="1"/>
        <tr r="CF161" s="1"/>
      </tp>
      <tp>
        <v>0.88</v>
        <stp/>
        <stp>DELTA</stp>
        <stp>.NDXP250523C20975</stp>
        <tr r="CF160" s="1"/>
        <tr r="CF160" s="1"/>
      </tp>
      <tp t="s">
        <v>N/A</v>
        <stp/>
        <stp>VOLUME</stp>
        <stp>.NDXP250829C21075</stp>
        <tr r="P157" s="2"/>
      </tp>
      <tp t="s">
        <v>N/A</v>
        <stp/>
        <stp>VOLUME</stp>
        <stp>.NDXP250930C20975</stp>
        <tr r="R161" s="2"/>
      </tp>
      <tp t="s">
        <v>N/A</v>
        <stp/>
        <stp>VOLUME</stp>
        <stp>.NDXP250520C20975</stp>
        <tr r="BA160" s="1"/>
      </tp>
      <tp t="s">
        <v>N/A</v>
        <stp/>
        <stp>VOLUME</stp>
        <stp>.NDXP250521C20875</stp>
        <tr r="D165" s="2"/>
      </tp>
      <tp t="s">
        <v>N/A</v>
        <stp/>
        <stp>VOLUME</stp>
        <stp>.NDXP250530C20975</stp>
        <tr r="G161" s="2"/>
      </tp>
      <tp t="s">
        <v>N/A</v>
        <stp/>
        <stp>VOLUME</stp>
        <stp>.NDXP250630C20975</stp>
        <tr r="L161" s="2"/>
      </tp>
      <tp t="s">
        <v>N/A</v>
        <stp/>
        <stp>VOLUME</stp>
        <stp>.NDXP250731C20875</stp>
        <tr r="N165" s="2"/>
      </tp>
      <tp t="s">
        <v>N/A</v>
        <stp/>
        <stp>VOLUME</stp>
        <stp>.NDXP251031C20875</stp>
        <tr r="T165" s="2"/>
      </tp>
      <tp t="s">
        <v>N/A</v>
        <stp/>
        <stp>VOLUME</stp>
        <stp>.NDXP251128C21175</stp>
        <tr r="V153" s="2"/>
      </tp>
      <tp t="s">
        <v>N/A</v>
        <stp/>
        <stp>VOLUME</stp>
        <stp>.NDXP251231C20875</stp>
        <tr r="X165" s="2"/>
      </tp>
      <tp t="s">
        <v>N/A</v>
        <stp/>
        <stp>VOLUME</stp>
        <stp>.NDXP250930C20950</stp>
        <tr r="R162" s="2"/>
      </tp>
      <tp t="s">
        <v>N/A</v>
        <stp/>
        <stp>VOLUME</stp>
        <stp>.NDXP250829C21050</stp>
        <tr r="P158" s="2"/>
      </tp>
      <tp t="s">
        <v>N/A</v>
        <stp/>
        <stp>VOLUME</stp>
        <stp>.NDXP250520C20950</stp>
        <tr r="BA161" s="1"/>
      </tp>
      <tp t="s">
        <v>N/A</v>
        <stp/>
        <stp>VOLUME</stp>
        <stp>.NDXP250521C20850</stp>
        <tr r="D166" s="2"/>
      </tp>
      <tp t="s">
        <v>N/A</v>
        <stp/>
        <stp>VOLUME</stp>
        <stp>.NDXP250530C20950</stp>
        <tr r="G162" s="2"/>
      </tp>
      <tp t="s">
        <v>N/A</v>
        <stp/>
        <stp>VOLUME</stp>
        <stp>.NDXP250731C20850</stp>
        <tr r="N166" s="2"/>
      </tp>
      <tp t="s">
        <v>N/A</v>
        <stp/>
        <stp>VOLUME</stp>
        <stp>.NDXP250630C20950</stp>
        <tr r="L162" s="2"/>
      </tp>
      <tp t="s">
        <v>N/A</v>
        <stp/>
        <stp>VOLUME</stp>
        <stp>.NDXP251128C21150</stp>
        <tr r="V154" s="2"/>
      </tp>
      <tp t="s">
        <v>N/A</v>
        <stp/>
        <stp>VOLUME</stp>
        <stp>.NDXP251031C20850</stp>
        <tr r="T166" s="2"/>
      </tp>
      <tp t="s">
        <v>N/A</v>
        <stp/>
        <stp>VOLUME</stp>
        <stp>.NDXP251231C20850</stp>
        <tr r="X166" s="2"/>
      </tp>
      <tp t="s">
        <v>N/A</v>
        <stp/>
        <stp>VOLUME</stp>
        <stp>.NDXP251031C20825</stp>
        <tr r="T167" s="2"/>
      </tp>
      <tp t="s">
        <v>N/A</v>
        <stp/>
        <stp>VOLUME</stp>
        <stp>.NDXP251128C21125</stp>
        <tr r="V155" s="2"/>
      </tp>
      <tp t="s">
        <v>N/A</v>
        <stp/>
        <stp>VOLUME</stp>
        <stp>.NDXP251231C20825</stp>
        <tr r="X167" s="2"/>
      </tp>
      <tp t="s">
        <v>N/A</v>
        <stp/>
        <stp>VOLUME</stp>
        <stp>.NDXP250829C21025</stp>
        <tr r="P159" s="2"/>
      </tp>
      <tp t="s">
        <v>N/A</v>
        <stp/>
        <stp>VOLUME</stp>
        <stp>.NDXP250930C20925</stp>
        <tr r="R163" s="2"/>
      </tp>
      <tp t="s">
        <v>N/A</v>
        <stp/>
        <stp>VOLUME</stp>
        <stp>.NDXP250520C20925</stp>
        <tr r="BA162" s="1"/>
      </tp>
      <tp t="s">
        <v>N/A</v>
        <stp/>
        <stp>VOLUME</stp>
        <stp>.NDXP250521C20825</stp>
        <tr r="D167" s="2"/>
      </tp>
      <tp t="s">
        <v>N/A</v>
        <stp/>
        <stp>VOLUME</stp>
        <stp>.NDXP250530C20925</stp>
        <tr r="G163" s="2"/>
      </tp>
      <tp t="s">
        <v>N/A</v>
        <stp/>
        <stp>VOLUME</stp>
        <stp>.NDXP250630C20925</stp>
        <tr r="L163" s="2"/>
      </tp>
      <tp t="s">
        <v>N/A</v>
        <stp/>
        <stp>VOLUME</stp>
        <stp>.NDXP250731C20825</stp>
        <tr r="N167" s="2"/>
      </tp>
      <tp t="s">
        <v>N/A</v>
        <stp/>
        <stp>VOLUME</stp>
        <stp>.NDXP251128C21100</stp>
        <tr r="V156" s="2"/>
      </tp>
      <tp t="s">
        <v>N/A</v>
        <stp/>
        <stp>VOLUME</stp>
        <stp>.NDXP251031C20800</stp>
        <tr r="T168" s="2"/>
      </tp>
      <tp t="s">
        <v>N/A</v>
        <stp/>
        <stp>VOLUME</stp>
        <stp>.NDXP251231C20800</stp>
        <tr r="X168" s="2"/>
      </tp>
      <tp t="s">
        <v>N/A</v>
        <stp/>
        <stp>VOLUME</stp>
        <stp>.NDXP250930C20900</stp>
        <tr r="R164" s="2"/>
      </tp>
      <tp t="s">
        <v>N/A</v>
        <stp/>
        <stp>VOLUME</stp>
        <stp>.NDXP250829C21000</stp>
        <tr r="P160" s="2"/>
      </tp>
      <tp t="s">
        <v>N/A</v>
        <stp/>
        <stp>VOLUME</stp>
        <stp>.NDXP250520C20900</stp>
        <tr r="BA163" s="1"/>
      </tp>
      <tp>
        <v>5</v>
        <stp/>
        <stp>VOLUME</stp>
        <stp>.NDXP250521C20800</stp>
        <tr r="D168" s="2"/>
        <tr r="D168" s="2"/>
      </tp>
      <tp t="s">
        <v>N/A</v>
        <stp/>
        <stp>VOLUME</stp>
        <stp>.NDXP250530C20900</stp>
        <tr r="G164" s="2"/>
      </tp>
      <tp t="s">
        <v>N/A</v>
        <stp/>
        <stp>VOLUME</stp>
        <stp>.NDXP250731C20800</stp>
        <tr r="N168" s="2"/>
      </tp>
      <tp t="s">
        <v>N/A</v>
        <stp/>
        <stp>VOLUME</stp>
        <stp>.NDXP250630C20900</stp>
        <tr r="L164" s="2"/>
      </tp>
      <tp t="s">
        <v>N/A</v>
        <stp/>
        <stp>VOLUME</stp>
        <stp>.SPXW250930C5780</stp>
        <tr r="R115" s="2"/>
      </tp>
      <tp t="s">
        <v>N/A</v>
        <stp/>
        <stp>VOLUME</stp>
        <stp>.SPXW250520C5680</stp>
        <tr r="BA124" s="1"/>
      </tp>
      <tp>
        <v>24</v>
        <stp/>
        <stp>VOLUME</stp>
        <stp>.SPXW250521C5690</stp>
        <tr r="D124" s="2"/>
        <tr r="D124" s="2"/>
      </tp>
      <tp>
        <v>19</v>
        <stp/>
        <stp>VOLUME</stp>
        <stp>.SPXW250530C5780</stp>
        <tr r="G115" s="2"/>
        <tr r="G115" s="2"/>
      </tp>
      <tp>
        <v>3</v>
        <stp/>
        <stp>VOLUME</stp>
        <stp>.SPXW250731C5790</stp>
        <tr r="N114" s="2"/>
        <tr r="N114" s="2"/>
      </tp>
      <tp t="s">
        <v>N/A</v>
        <stp/>
        <stp>VOLUME</stp>
        <stp>.SPXW250630C5780</stp>
        <tr r="L115" s="2"/>
      </tp>
      <tp t="s">
        <v>N/A</v>
        <stp/>
        <stp>VOLUME</stp>
        <stp>.SPXW251031C5790</stp>
        <tr r="T114" s="2"/>
      </tp>
      <tp t="s">
        <v>N/A</v>
        <stp/>
        <stp>VOLUME</stp>
        <stp>.SPXW251231C5790</stp>
        <tr r="X114" s="2"/>
      </tp>
      <tp t="s">
        <v>N/A</v>
        <stp/>
        <stp>VOLUME</stp>
        <stp>.SPXW251031P5790</stp>
        <tr r="T114" s="2"/>
      </tp>
      <tp t="s">
        <v>N/A</v>
        <stp/>
        <stp>VOLUME</stp>
        <stp>.SPXW251231P5790</stp>
        <tr r="X114" s="2"/>
      </tp>
      <tp t="s">
        <v>N/A</v>
        <stp/>
        <stp>VOLUME</stp>
        <stp>.SPXW250930P5780</stp>
        <tr r="R115" s="2"/>
      </tp>
      <tp>
        <v>17</v>
        <stp/>
        <stp>VOLUME</stp>
        <stp>.SPXW250520P5680</stp>
        <tr r="BB124" s="1"/>
        <tr r="BB124" s="1"/>
      </tp>
      <tp>
        <v>2040</v>
        <stp/>
        <stp>VOLUME</stp>
        <stp>.SPXW250521P5690</stp>
        <tr r="D124" s="2"/>
        <tr r="D124" s="2"/>
      </tp>
      <tp>
        <v>112</v>
        <stp/>
        <stp>VOLUME</stp>
        <stp>.SPXW250530P5780</stp>
        <tr r="G115" s="2"/>
        <tr r="G115" s="2"/>
      </tp>
      <tp t="s">
        <v>N/A</v>
        <stp/>
        <stp>VOLUME</stp>
        <stp>.SPXW250731P5790</stp>
        <tr r="N114" s="2"/>
      </tp>
      <tp>
        <v>43</v>
        <stp/>
        <stp>VOLUME</stp>
        <stp>.SPXW250630P5780</stp>
        <tr r="L115" s="2"/>
        <tr r="L115" s="2"/>
      </tp>
      <tp t="s">
        <v>N/A</v>
        <stp/>
        <stp>VOLUME</stp>
        <stp>.SPXW250930C5790</stp>
        <tr r="R114" s="2"/>
      </tp>
      <tp>
        <v>30</v>
        <stp/>
        <stp>VOLUME</stp>
        <stp>.SPXW250520C5690</stp>
        <tr r="BA123" s="1"/>
        <tr r="BA123" s="1"/>
      </tp>
      <tp>
        <v>14</v>
        <stp/>
        <stp>VOLUME</stp>
        <stp>.SPXW250521C5680</stp>
        <tr r="D125" s="2"/>
        <tr r="D125" s="2"/>
      </tp>
      <tp>
        <v>5</v>
        <stp/>
        <stp>VOLUME</stp>
        <stp>.SPXW250530C5790</stp>
        <tr r="G114" s="2"/>
        <tr r="G114" s="2"/>
      </tp>
      <tp t="s">
        <v>N/A</v>
        <stp/>
        <stp>VOLUME</stp>
        <stp>.SPXW250731C5780</stp>
        <tr r="N115" s="2"/>
      </tp>
      <tp t="s">
        <v>N/A</v>
        <stp/>
        <stp>VOLUME</stp>
        <stp>.SPXW250630C5790</stp>
        <tr r="L114" s="2"/>
      </tp>
      <tp t="s">
        <v>N/A</v>
        <stp/>
        <stp>VOLUME</stp>
        <stp>.SPXW251031C5780</stp>
        <tr r="T115" s="2"/>
      </tp>
      <tp t="s">
        <v>N/A</v>
        <stp/>
        <stp>VOLUME</stp>
        <stp>.SPXW251231C5780</stp>
        <tr r="X115" s="2"/>
      </tp>
      <tp t="s">
        <v>N/A</v>
        <stp/>
        <stp>VOLUME</stp>
        <stp>.SPXW251031P5780</stp>
        <tr r="T115" s="2"/>
      </tp>
      <tp t="s">
        <v>N/A</v>
        <stp/>
        <stp>VOLUME</stp>
        <stp>.SPXW251231P5780</stp>
        <tr r="X115" s="2"/>
      </tp>
      <tp t="s">
        <v>N/A</v>
        <stp/>
        <stp>VOLUME</stp>
        <stp>.SPXW250930P5790</stp>
        <tr r="R114" s="2"/>
      </tp>
      <tp>
        <v>218</v>
        <stp/>
        <stp>VOLUME</stp>
        <stp>.SPXW250520P5690</stp>
        <tr r="BB123" s="1"/>
        <tr r="BB123" s="1"/>
      </tp>
      <tp>
        <v>253</v>
        <stp/>
        <stp>VOLUME</stp>
        <stp>.SPXW250521P5680</stp>
        <tr r="D125" s="2"/>
        <tr r="D125" s="2"/>
      </tp>
      <tp>
        <v>87</v>
        <stp/>
        <stp>VOLUME</stp>
        <stp>.SPXW250530P5790</stp>
        <tr r="G114" s="2"/>
        <tr r="G114" s="2"/>
      </tp>
      <tp t="s">
        <v>N/A</v>
        <stp/>
        <stp>VOLUME</stp>
        <stp>.SPXW250731P5780</stp>
        <tr r="N115" s="2"/>
      </tp>
      <tp>
        <v>75</v>
        <stp/>
        <stp>VOLUME</stp>
        <stp>.SPXW250630P5790</stp>
        <tr r="L114" s="2"/>
        <tr r="L114" s="2"/>
      </tp>
      <tp t="s">
        <v>N/A</v>
        <stp/>
        <stp>VOLUME</stp>
        <stp>.SPXW250829C5630</stp>
        <tr r="P130" s="2"/>
      </tp>
      <tp>
        <v>1</v>
        <stp/>
        <stp>VOLUME</stp>
        <stp>.SPXW250522C5680</stp>
        <tr r="E125" s="2"/>
        <tr r="E125" s="2"/>
      </tp>
      <tp>
        <v>12</v>
        <stp/>
        <stp>VOLUME</stp>
        <stp>.SPXW250523C5690</stp>
        <tr r="BC123" s="1"/>
        <tr r="BC123" s="1"/>
      </tp>
      <tp t="s">
        <v>N/A</v>
        <stp/>
        <stp>VOLUME</stp>
        <stp>.SPXW251128C5620</stp>
        <tr r="V131" s="2"/>
      </tp>
      <tp t="s">
        <v>N/A</v>
        <stp/>
        <stp>VOLUME</stp>
        <stp>.SPXW251128P5620</stp>
        <tr r="V131" s="2"/>
      </tp>
      <tp t="s">
        <v>N/A</v>
        <stp/>
        <stp>VOLUME</stp>
        <stp>.SPXW250829P5630</stp>
        <tr r="P130" s="2"/>
      </tp>
      <tp>
        <v>12</v>
        <stp/>
        <stp>VOLUME</stp>
        <stp>.SPXW250522P5680</stp>
        <tr r="E125" s="2"/>
        <tr r="E125" s="2"/>
      </tp>
      <tp>
        <v>64</v>
        <stp/>
        <stp>VOLUME</stp>
        <stp>.SPXW250523P5690</stp>
        <tr r="BD123" s="1"/>
        <tr r="BD123" s="1"/>
      </tp>
      <tp t="s">
        <v>N/A</v>
        <stp/>
        <stp>VOLUME</stp>
        <stp>.SPXW250829C5620</stp>
        <tr r="P131" s="2"/>
      </tp>
      <tp t="s">
        <v>N/A</v>
        <stp/>
        <stp>VOLUME</stp>
        <stp>.SPXW250522C5690</stp>
        <tr r="E124" s="2"/>
      </tp>
      <tp t="s">
        <v>N/A</v>
        <stp/>
        <stp>VOLUME</stp>
        <stp>.SPXW250523C5680</stp>
        <tr r="BC124" s="1"/>
      </tp>
      <tp t="s">
        <v>N/A</v>
        <stp/>
        <stp>VOLUME</stp>
        <stp>.SPXW251128C5630</stp>
        <tr r="V130" s="2"/>
      </tp>
      <tp t="s">
        <v>N/A</v>
        <stp/>
        <stp>VOLUME</stp>
        <stp>.SPXW251128P5630</stp>
        <tr r="V130" s="2"/>
      </tp>
      <tp t="s">
        <v>N/A</v>
        <stp/>
        <stp>VOLUME</stp>
        <stp>.SPXW250829P5620</stp>
        <tr r="P131" s="2"/>
      </tp>
      <tp>
        <v>11</v>
        <stp/>
        <stp>VOLUME</stp>
        <stp>.SPXW250522P5690</stp>
        <tr r="E124" s="2"/>
        <tr r="E124" s="2"/>
      </tp>
      <tp>
        <v>123</v>
        <stp/>
        <stp>VOLUME</stp>
        <stp>.SPXW250523P5680</stp>
        <tr r="BD124" s="1"/>
        <tr r="BD124" s="1"/>
      </tp>
      <tp t="s">
        <v>N/A</v>
        <stp/>
        <stp>VOLUME</stp>
        <stp>.SPXW250829C5650</stp>
        <tr r="P128" s="2"/>
      </tp>
      <tp t="s">
        <v>N/A</v>
        <stp/>
        <stp>VOLUME</stp>
        <stp>.SPXW251128C5640</stp>
        <tr r="V129" s="2"/>
      </tp>
      <tp t="s">
        <v>N/A</v>
        <stp/>
        <stp>VOLUME</stp>
        <stp>.SPXW251128P5640</stp>
        <tr r="V129" s="2"/>
      </tp>
      <tp t="s">
        <v>N/A</v>
        <stp/>
        <stp>VOLUME</stp>
        <stp>.SPXW250829P5650</stp>
        <tr r="P128" s="2"/>
      </tp>
      <tp t="s">
        <v>N/A</v>
        <stp/>
        <stp>VOLUME</stp>
        <stp>.QQQP498</stp>
        <tr r="C80" s="2"/>
        <tr r="B80" s="2"/>
        <tr r="J80" s="2"/>
        <tr r="F80" s="2"/>
      </tp>
      <tp t="s">
        <v>N/A</v>
        <stp/>
        <stp>VOLUME</stp>
        <stp>.QQQC498</stp>
        <tr r="C80" s="2"/>
        <tr r="B80" s="2"/>
        <tr r="J80" s="2"/>
        <tr r="F80" s="2"/>
      </tp>
      <tp t="s">
        <v>N/A</v>
        <stp/>
        <stp>VOLUME</stp>
        <stp>.QQQP499</stp>
        <tr r="B79" s="2"/>
        <tr r="C79" s="2"/>
        <tr r="J79" s="2"/>
        <tr r="F79" s="2"/>
      </tp>
      <tp t="s">
        <v>N/A</v>
        <stp/>
        <stp>VOLUME</stp>
        <stp>.QQQC499</stp>
        <tr r="B79" s="2"/>
        <tr r="C79" s="2"/>
        <tr r="J79" s="2"/>
        <tr r="F79" s="2"/>
      </tp>
      <tp t="s">
        <v>N/A</v>
        <stp/>
        <stp>VOLUME</stp>
        <stp>.SPXW250829C5640</stp>
        <tr r="P129" s="2"/>
      </tp>
      <tp t="s">
        <v>N/A</v>
        <stp/>
        <stp>VOLUME</stp>
        <stp>.SPXW251128C5650</stp>
        <tr r="V128" s="2"/>
      </tp>
      <tp t="s">
        <v>N/A</v>
        <stp/>
        <stp>VOLUME</stp>
        <stp>.SPXW251128P5650</stp>
        <tr r="V128" s="2"/>
      </tp>
      <tp t="s">
        <v>N/A</v>
        <stp/>
        <stp>VOLUME</stp>
        <stp>.SPXW250829P5640</stp>
        <tr r="P129" s="2"/>
      </tp>
      <tp t="s">
        <v>N/A</v>
        <stp/>
        <stp>VOLUME</stp>
        <stp>.SPXW250829C5670</stp>
        <tr r="P126" s="2"/>
      </tp>
      <tp t="s">
        <v>N/A</v>
        <stp/>
        <stp>VOLUME</stp>
        <stp>.SPXW251128C5660</stp>
        <tr r="V127" s="2"/>
      </tp>
      <tp t="s">
        <v>N/A</v>
        <stp/>
        <stp>VOLUME</stp>
        <stp>.SPXW251128P5660</stp>
        <tr r="V127" s="2"/>
      </tp>
      <tp t="s">
        <v>N/A</v>
        <stp/>
        <stp>VOLUME</stp>
        <stp>.SPXW250829P5670</stp>
        <tr r="P126" s="2"/>
      </tp>
      <tp t="s">
        <v>N/A</v>
        <stp/>
        <stp>VOLUME</stp>
        <stp>.SPXW250829C5660</stp>
        <tr r="P127" s="2"/>
      </tp>
      <tp t="s">
        <v>N/A</v>
        <stp/>
        <stp>VOLUME</stp>
        <stp>.SPXW251128C5670</stp>
        <tr r="V126" s="2"/>
      </tp>
      <tp t="s">
        <v>N/A</v>
        <stp/>
        <stp>VOLUME</stp>
        <stp>.SPXW251128P5670</stp>
        <tr r="V126" s="2"/>
      </tp>
      <tp t="s">
        <v>N/A</v>
        <stp/>
        <stp>VOLUME</stp>
        <stp>.SPXW250829P5660</stp>
        <tr r="P127" s="2"/>
      </tp>
      <tp t="s">
        <v>N/A</v>
        <stp/>
        <stp>VOLUME</stp>
        <stp>.NDXP251128P21150</stp>
        <tr r="V154" s="2"/>
      </tp>
      <tp t="s">
        <v>N/A</v>
        <stp/>
        <stp>VOLUME</stp>
        <stp>.NDXP251031P20850</stp>
        <tr r="T166" s="2"/>
      </tp>
      <tp t="s">
        <v>N/A</v>
        <stp/>
        <stp>VOLUME</stp>
        <stp>.NDXP251231P20850</stp>
        <tr r="X166" s="2"/>
      </tp>
      <tp t="s">
        <v>N/A</v>
        <stp/>
        <stp>VOLUME</stp>
        <stp>.SPXW250930C5700</stp>
        <tr r="R123" s="2"/>
      </tp>
      <tp t="s">
        <v>N/A</v>
        <stp/>
        <stp>VOLUME</stp>
        <stp>.SPXW250829C5690</stp>
        <tr r="P124" s="2"/>
      </tp>
      <tp>
        <v>2</v>
        <stp/>
        <stp>VOLUME</stp>
        <stp>.SPXW250522C5620</stp>
        <tr r="E131" s="2"/>
        <tr r="E131" s="2"/>
      </tp>
      <tp t="s">
        <v>N/A</v>
        <stp/>
        <stp>VOLUME</stp>
        <stp>.SPXW250523C5630</stp>
        <tr r="BC129" s="1"/>
      </tp>
      <tp>
        <v>42</v>
        <stp/>
        <stp>VOLUME</stp>
        <stp>.SPXW250530C5700</stp>
        <tr r="G123" s="2"/>
        <tr r="G123" s="2"/>
      </tp>
      <tp t="s">
        <v>N/A</v>
        <stp/>
        <stp>VOLUME</stp>
        <stp>.SPXW250731C5710</stp>
        <tr r="N122" s="2"/>
      </tp>
      <tp>
        <v>54</v>
        <stp/>
        <stp>VOLUME</stp>
        <stp>.SPXW250630C5700</stp>
        <tr r="L123" s="2"/>
        <tr r="L123" s="2"/>
      </tp>
      <tp t="s">
        <v>N/A</v>
        <stp/>
        <stp>VOLUME</stp>
        <stp>.SPXW251128C5680</stp>
        <tr r="V125" s="2"/>
      </tp>
      <tp t="s">
        <v>N/A</v>
        <stp/>
        <stp>VOLUME</stp>
        <stp>.SPXW251031C5710</stp>
        <tr r="T122" s="2"/>
      </tp>
      <tp t="s">
        <v>N/A</v>
        <stp/>
        <stp>VOLUME</stp>
        <stp>.SPXW251231C5710</stp>
        <tr r="X122" s="2"/>
      </tp>
      <tp t="s">
        <v>N/A</v>
        <stp/>
        <stp>VOLUME</stp>
        <stp>.SPXW251128P5680</stp>
        <tr r="V125" s="2"/>
      </tp>
      <tp t="s">
        <v>N/A</v>
        <stp/>
        <stp>VOLUME</stp>
        <stp>.SPXW251031P5710</stp>
        <tr r="T122" s="2"/>
      </tp>
      <tp t="s">
        <v>N/A</v>
        <stp/>
        <stp>VOLUME</stp>
        <stp>.SPXW251231P5710</stp>
        <tr r="X122" s="2"/>
      </tp>
      <tp t="s">
        <v>N/A</v>
        <stp/>
        <stp>VOLUME</stp>
        <stp>.SPXW250930P5700</stp>
        <tr r="R123" s="2"/>
      </tp>
      <tp t="s">
        <v>N/A</v>
        <stp/>
        <stp>VOLUME</stp>
        <stp>.SPXW250829P5690</stp>
        <tr r="P124" s="2"/>
      </tp>
      <tp t="s">
        <v>N/A</v>
        <stp/>
        <stp>VOLUME</stp>
        <stp>.SPXW250522P5620</stp>
        <tr r="E131" s="2"/>
      </tp>
      <tp t="s">
        <v>N/A</v>
        <stp/>
        <stp>VOLUME</stp>
        <stp>.SPXW250523P5630</stp>
        <tr r="BD129" s="1"/>
      </tp>
      <tp>
        <v>1129</v>
        <stp/>
        <stp>VOLUME</stp>
        <stp>.SPXW250530P5700</stp>
        <tr r="G123" s="2"/>
        <tr r="G123" s="2"/>
      </tp>
      <tp>
        <v>1</v>
        <stp/>
        <stp>VOLUME</stp>
        <stp>.SPXW250731P5710</stp>
        <tr r="N122" s="2"/>
        <tr r="N122" s="2"/>
      </tp>
      <tp>
        <v>500</v>
        <stp/>
        <stp>VOLUME</stp>
        <stp>.SPXW250630P5700</stp>
        <tr r="L123" s="2"/>
        <tr r="L123" s="2"/>
      </tp>
      <tp t="s">
        <v>N/A</v>
        <stp/>
        <stp>VOLUME</stp>
        <stp>.NDXP250930P20950</stp>
        <tr r="R162" s="2"/>
      </tp>
      <tp t="s">
        <v>N/A</v>
        <stp/>
        <stp>VOLUME</stp>
        <stp>.NDXP250829P21050</stp>
        <tr r="P158" s="2"/>
      </tp>
      <tp>
        <v>278</v>
        <stp/>
        <stp>VOLUME</stp>
        <stp>.NDXP250520P20950</stp>
        <tr r="BB161" s="1"/>
        <tr r="BB161" s="1"/>
      </tp>
      <tp>
        <v>8</v>
        <stp/>
        <stp>VOLUME</stp>
        <stp>.NDXP250521P20850</stp>
        <tr r="D166" s="2"/>
        <tr r="D166" s="2"/>
      </tp>
      <tp t="s">
        <v>N/A</v>
        <stp/>
        <stp>VOLUME</stp>
        <stp>.NDXP250530P20950</stp>
        <tr r="G162" s="2"/>
      </tp>
      <tp t="s">
        <v>N/A</v>
        <stp/>
        <stp>VOLUME</stp>
        <stp>.NDXP250731P20850</stp>
        <tr r="N166" s="2"/>
      </tp>
      <tp t="s">
        <v>N/A</v>
        <stp/>
        <stp>VOLUME</stp>
        <stp>.NDXP250630P20950</stp>
        <tr r="L162" s="2"/>
      </tp>
      <tp t="s">
        <v>N/A</v>
        <stp/>
        <stp>VOLUME</stp>
        <stp>.SPXW250930C5710</stp>
        <tr r="R122" s="2"/>
      </tp>
      <tp t="s">
        <v>N/A</v>
        <stp/>
        <stp>VOLUME</stp>
        <stp>.SPXW250829C5680</stp>
        <tr r="P125" s="2"/>
      </tp>
      <tp t="s">
        <v>N/A</v>
        <stp/>
        <stp>VOLUME</stp>
        <stp>.SPXW250522C5630</stp>
        <tr r="E130" s="2"/>
      </tp>
      <tp>
        <v>1</v>
        <stp/>
        <stp>VOLUME</stp>
        <stp>.SPXW250523C5620</stp>
        <tr r="BC130" s="1"/>
        <tr r="BC130" s="1"/>
      </tp>
      <tp t="s">
        <v>N/A</v>
        <stp/>
        <stp>VOLUME</stp>
        <stp>.SPXW250530C5710</stp>
        <tr r="G122" s="2"/>
      </tp>
      <tp t="s">
        <v>N/A</v>
        <stp/>
        <stp>VOLUME</stp>
        <stp>.SPXW250731C5700</stp>
        <tr r="N123" s="2"/>
      </tp>
      <tp t="s">
        <v>N/A</v>
        <stp/>
        <stp>VOLUME</stp>
        <stp>.SPXW250630C5710</stp>
        <tr r="L122" s="2"/>
      </tp>
      <tp t="s">
        <v>N/A</v>
        <stp/>
        <stp>VOLUME</stp>
        <stp>.SPXW251128C5690</stp>
        <tr r="V124" s="2"/>
      </tp>
      <tp t="s">
        <v>N/A</v>
        <stp/>
        <stp>VOLUME</stp>
        <stp>.SPXW251031C5700</stp>
        <tr r="T123" s="2"/>
      </tp>
      <tp t="s">
        <v>N/A</v>
        <stp/>
        <stp>VOLUME</stp>
        <stp>.SPXW251231C5700</stp>
        <tr r="X123" s="2"/>
      </tp>
      <tp t="s">
        <v>N/A</v>
        <stp/>
        <stp>VOLUME</stp>
        <stp>.SPXW251128P5690</stp>
        <tr r="V124" s="2"/>
      </tp>
      <tp>
        <v>69</v>
        <stp/>
        <stp>VOLUME</stp>
        <stp>.SPXW251031P5700</stp>
        <tr r="T123" s="2"/>
        <tr r="T123" s="2"/>
      </tp>
      <tp>
        <v>1</v>
        <stp/>
        <stp>VOLUME</stp>
        <stp>.SPXW251231P5700</stp>
        <tr r="X123" s="2"/>
        <tr r="X123" s="2"/>
      </tp>
      <tp t="s">
        <v>N/A</v>
        <stp/>
        <stp>VOLUME</stp>
        <stp>.SPXW250930P5710</stp>
        <tr r="R122" s="2"/>
      </tp>
      <tp t="s">
        <v>N/A</v>
        <stp/>
        <stp>VOLUME</stp>
        <stp>.SPXW250829P5680</stp>
        <tr r="P125" s="2"/>
      </tp>
      <tp>
        <v>60</v>
        <stp/>
        <stp>VOLUME</stp>
        <stp>.SPXW250522P5630</stp>
        <tr r="E130" s="2"/>
        <tr r="E130" s="2"/>
      </tp>
      <tp>
        <v>24</v>
        <stp/>
        <stp>VOLUME</stp>
        <stp>.SPXW250523P5620</stp>
        <tr r="BD130" s="1"/>
        <tr r="BD130" s="1"/>
      </tp>
      <tp>
        <v>348</v>
        <stp/>
        <stp>VOLUME</stp>
        <stp>.SPXW250530P5710</stp>
        <tr r="G122" s="2"/>
        <tr r="G122" s="2"/>
      </tp>
      <tp>
        <v>53</v>
        <stp/>
        <stp>VOLUME</stp>
        <stp>.SPXW250731P5700</stp>
        <tr r="N123" s="2"/>
        <tr r="N123" s="2"/>
      </tp>
      <tp t="s">
        <v>N/A</v>
        <stp/>
        <stp>VOLUME</stp>
        <stp>.SPXW250630P5710</stp>
        <tr r="L122" s="2"/>
      </tp>
      <tp t="s">
        <v>N/A</v>
        <stp/>
        <stp>VOLUME</stp>
        <stp>.NDXP251031P20875</stp>
        <tr r="T165" s="2"/>
      </tp>
      <tp t="s">
        <v>N/A</v>
        <stp/>
        <stp>VOLUME</stp>
        <stp>.NDXP251128P21175</stp>
        <tr r="V153" s="2"/>
      </tp>
      <tp t="s">
        <v>N/A</v>
        <stp/>
        <stp>VOLUME</stp>
        <stp>.NDXP251231P20875</stp>
        <tr r="X165" s="2"/>
      </tp>
      <tp t="s">
        <v>N/A</v>
        <stp/>
        <stp>VOLUME</stp>
        <stp>.SPXW250930C5720</stp>
        <tr r="R121" s="2"/>
      </tp>
      <tp>
        <v>21</v>
        <stp/>
        <stp>VOLUME</stp>
        <stp>.SPXW250520C5620</stp>
        <tr r="BA130" s="1"/>
        <tr r="BA130" s="1"/>
      </tp>
      <tp t="s">
        <v>N/A</v>
        <stp/>
        <stp>VOLUME</stp>
        <stp>.SPXW250521C5630</stp>
        <tr r="D130" s="2"/>
      </tp>
      <tp t="s">
        <v>N/A</v>
        <stp/>
        <stp>VOLUME</stp>
        <stp>.SPXW250530C5720</stp>
        <tr r="G121" s="2"/>
      </tp>
      <tp t="s">
        <v>N/A</v>
        <stp/>
        <stp>VOLUME</stp>
        <stp>.SPXW250731C5730</stp>
        <tr r="N120" s="2"/>
      </tp>
      <tp t="s">
        <v>N/A</v>
        <stp/>
        <stp>VOLUME</stp>
        <stp>.SPXW250630C5720</stp>
        <tr r="L121" s="2"/>
      </tp>
      <tp t="s">
        <v>N/A</v>
        <stp/>
        <stp>VOLUME</stp>
        <stp>.SPXW251031C5730</stp>
        <tr r="T120" s="2"/>
      </tp>
      <tp t="s">
        <v>N/A</v>
        <stp/>
        <stp>VOLUME</stp>
        <stp>.SPXW251231C5730</stp>
        <tr r="X120" s="2"/>
      </tp>
      <tp t="s">
        <v>N/A</v>
        <stp/>
        <stp>VOLUME</stp>
        <stp>.SPXW251031P5730</stp>
        <tr r="T120" s="2"/>
      </tp>
      <tp t="s">
        <v>N/A</v>
        <stp/>
        <stp>VOLUME</stp>
        <stp>.SPXW251231P5730</stp>
        <tr r="X120" s="2"/>
      </tp>
      <tp t="s">
        <v>N/A</v>
        <stp/>
        <stp>VOLUME</stp>
        <stp>.SPXW250930P5720</stp>
        <tr r="R121" s="2"/>
      </tp>
      <tp t="s">
        <v>N/A</v>
        <stp/>
        <stp>VOLUME</stp>
        <stp>.SPXW250520P5620</stp>
        <tr r="BB130" s="1"/>
      </tp>
      <tp>
        <v>93</v>
        <stp/>
        <stp>VOLUME</stp>
        <stp>.SPXW250521P5630</stp>
        <tr r="D130" s="2"/>
        <tr r="D130" s="2"/>
      </tp>
      <tp>
        <v>124</v>
        <stp/>
        <stp>VOLUME</stp>
        <stp>.SPXW250530P5720</stp>
        <tr r="G121" s="2"/>
        <tr r="G121" s="2"/>
      </tp>
      <tp t="s">
        <v>N/A</v>
        <stp/>
        <stp>VOLUME</stp>
        <stp>.SPXW250731P5730</stp>
        <tr r="N120" s="2"/>
      </tp>
      <tp>
        <v>10</v>
        <stp/>
        <stp>VOLUME</stp>
        <stp>.SPXW250630P5720</stp>
        <tr r="L121" s="2"/>
        <tr r="L121" s="2"/>
      </tp>
      <tp t="s">
        <v>N/A</v>
        <stp/>
        <stp>VOLUME</stp>
        <stp>.NDXP250829P21075</stp>
        <tr r="P157" s="2"/>
      </tp>
      <tp t="s">
        <v>N/A</v>
        <stp/>
        <stp>VOLUME</stp>
        <stp>.NDXP250930P20975</stp>
        <tr r="R161" s="2"/>
      </tp>
      <tp>
        <v>109</v>
        <stp/>
        <stp>VOLUME</stp>
        <stp>.NDXP250520P20975</stp>
        <tr r="BB160" s="1"/>
        <tr r="BB160" s="1"/>
      </tp>
      <tp>
        <v>6</v>
        <stp/>
        <stp>VOLUME</stp>
        <stp>.NDXP250521P20875</stp>
        <tr r="D165" s="2"/>
        <tr r="D165" s="2"/>
      </tp>
      <tp t="s">
        <v>N/A</v>
        <stp/>
        <stp>VOLUME</stp>
        <stp>.NDXP250530P20975</stp>
        <tr r="G161" s="2"/>
      </tp>
      <tp t="s">
        <v>N/A</v>
        <stp/>
        <stp>VOLUME</stp>
        <stp>.NDXP250630P20975</stp>
        <tr r="L161" s="2"/>
      </tp>
      <tp t="s">
        <v>N/A</v>
        <stp/>
        <stp>VOLUME</stp>
        <stp>.NDXP250731P20875</stp>
        <tr r="N165" s="2"/>
      </tp>
      <tp t="s">
        <v>N/A</v>
        <stp/>
        <stp>VOLUME</stp>
        <stp>.SPXW250930C5730</stp>
        <tr r="R120" s="2"/>
      </tp>
      <tp>
        <v>4</v>
        <stp/>
        <stp>VOLUME</stp>
        <stp>.SPXW250520C5630</stp>
        <tr r="BA129" s="1"/>
        <tr r="BA129" s="1"/>
      </tp>
      <tp>
        <v>21</v>
        <stp/>
        <stp>VOLUME</stp>
        <stp>.SPXW250521C5620</stp>
        <tr r="D131" s="2"/>
        <tr r="D131" s="2"/>
      </tp>
      <tp>
        <v>1</v>
        <stp/>
        <stp>VOLUME</stp>
        <stp>.SPXW250530C5730</stp>
        <tr r="G120" s="2"/>
        <tr r="G120" s="2"/>
      </tp>
      <tp t="s">
        <v>N/A</v>
        <stp/>
        <stp>VOLUME</stp>
        <stp>.SPXW250731C5720</stp>
        <tr r="N121" s="2"/>
      </tp>
      <tp t="s">
        <v>N/A</v>
        <stp/>
        <stp>VOLUME</stp>
        <stp>.SPXW250630C5730</stp>
        <tr r="L120" s="2"/>
      </tp>
      <tp t="s">
        <v>N/A</v>
        <stp/>
        <stp>VOLUME</stp>
        <stp>.SPXW251031C5720</stp>
        <tr r="T121" s="2"/>
      </tp>
      <tp t="s">
        <v>N/A</v>
        <stp/>
        <stp>VOLUME</stp>
        <stp>.SPXW251231C5720</stp>
        <tr r="X121" s="2"/>
      </tp>
      <tp>
        <v>6</v>
        <stp/>
        <stp>VOLUME</stp>
        <stp>.SPXW251031P5720</stp>
        <tr r="T121" s="2"/>
        <tr r="T121" s="2"/>
      </tp>
      <tp>
        <v>30</v>
        <stp/>
        <stp>VOLUME</stp>
        <stp>.SPXW251231P5720</stp>
        <tr r="X121" s="2"/>
        <tr r="X121" s="2"/>
      </tp>
      <tp t="s">
        <v>N/A</v>
        <stp/>
        <stp>VOLUME</stp>
        <stp>.SPXW250930P5730</stp>
        <tr r="R120" s="2"/>
      </tp>
      <tp t="s">
        <v>N/A</v>
        <stp/>
        <stp>VOLUME</stp>
        <stp>.SPXW250520P5630</stp>
        <tr r="BB129" s="1"/>
      </tp>
      <tp>
        <v>99</v>
        <stp/>
        <stp>VOLUME</stp>
        <stp>.SPXW250521P5620</stp>
        <tr r="D131" s="2"/>
        <tr r="D131" s="2"/>
      </tp>
      <tp>
        <v>68</v>
        <stp/>
        <stp>VOLUME</stp>
        <stp>.SPXW250530P5730</stp>
        <tr r="G120" s="2"/>
        <tr r="G120" s="2"/>
      </tp>
      <tp t="s">
        <v>N/A</v>
        <stp/>
        <stp>VOLUME</stp>
        <stp>.SPXW250731P5720</stp>
        <tr r="N121" s="2"/>
      </tp>
      <tp>
        <v>9</v>
        <stp/>
        <stp>VOLUME</stp>
        <stp>.SPXW250630P5730</stp>
        <tr r="L120" s="2"/>
        <tr r="L120" s="2"/>
      </tp>
      <tp t="s">
        <v>N/A</v>
        <stp/>
        <stp>VOLUME</stp>
        <stp>.NDXP250930P20900</stp>
        <tr r="R164" s="2"/>
      </tp>
      <tp t="s">
        <v>N/A</v>
        <stp/>
        <stp>VOLUME</stp>
        <stp>.NDXP250829P21000</stp>
        <tr r="P160" s="2"/>
      </tp>
      <tp>
        <v>175</v>
        <stp/>
        <stp>VOLUME</stp>
        <stp>.NDXP250520P20900</stp>
        <tr r="BB163" s="1"/>
        <tr r="BB163" s="1"/>
      </tp>
      <tp>
        <v>30</v>
        <stp/>
        <stp>VOLUME</stp>
        <stp>.NDXP250521P20800</stp>
        <tr r="D168" s="2"/>
        <tr r="D168" s="2"/>
      </tp>
      <tp>
        <v>6</v>
        <stp/>
        <stp>VOLUME</stp>
        <stp>.NDXP250530P20900</stp>
        <tr r="G164" s="2"/>
        <tr r="G164" s="2"/>
      </tp>
      <tp t="s">
        <v>N/A</v>
        <stp/>
        <stp>VOLUME</stp>
        <stp>.NDXP250731P20800</stp>
        <tr r="N168" s="2"/>
      </tp>
      <tp t="s">
        <v>N/A</v>
        <stp/>
        <stp>VOLUME</stp>
        <stp>.NDXP250630P20900</stp>
        <tr r="L164" s="2"/>
      </tp>
      <tp t="s">
        <v>N/A</v>
        <stp/>
        <stp>VOLUME</stp>
        <stp>.SPXW250930C5740</stp>
        <tr r="R119" s="2"/>
      </tp>
      <tp>
        <v>28</v>
        <stp/>
        <stp>VOLUME</stp>
        <stp>.SPXW250520C5640</stp>
        <tr r="BA128" s="1"/>
        <tr r="BA128" s="1"/>
      </tp>
      <tp>
        <v>4</v>
        <stp/>
        <stp>VOLUME</stp>
        <stp>.SPXW250521C5650</stp>
        <tr r="D128" s="2"/>
        <tr r="D128" s="2"/>
      </tp>
      <tp>
        <v>16</v>
        <stp/>
        <stp>VOLUME</stp>
        <stp>.SPXW250522C5660</stp>
        <tr r="E127" s="2"/>
        <tr r="E127" s="2"/>
      </tp>
      <tp>
        <v>10</v>
        <stp/>
        <stp>VOLUME</stp>
        <stp>.SPXW250523C5670</stp>
        <tr r="BC125" s="1"/>
        <tr r="BC125" s="1"/>
      </tp>
      <tp t="s">
        <v>N/A</v>
        <stp/>
        <stp>VOLUME</stp>
        <stp>.SPXW250530C5740</stp>
        <tr r="G119" s="2"/>
      </tp>
      <tp t="s">
        <v>N/A</v>
        <stp/>
        <stp>VOLUME</stp>
        <stp>.SPXW250731C5750</stp>
        <tr r="N118" s="2"/>
      </tp>
      <tp t="s">
        <v>N/A</v>
        <stp/>
        <stp>VOLUME</stp>
        <stp>.SPXW250630C5740</stp>
        <tr r="L119" s="2"/>
      </tp>
      <tp t="s">
        <v>N/A</v>
        <stp/>
        <stp>VOLUME</stp>
        <stp>.SPXW251031C5750</stp>
        <tr r="T118" s="2"/>
      </tp>
      <tp>
        <v>11</v>
        <stp/>
        <stp>VOLUME</stp>
        <stp>.SPXW251231C5750</stp>
        <tr r="X118" s="2"/>
        <tr r="X118" s="2"/>
      </tp>
      <tp>
        <v>12</v>
        <stp/>
        <stp>VOLUME</stp>
        <stp>.SPXW251031P5750</stp>
        <tr r="T118" s="2"/>
        <tr r="T118" s="2"/>
      </tp>
      <tp t="s">
        <v>N/A</v>
        <stp/>
        <stp>VOLUME</stp>
        <stp>.SPXW251231P5750</stp>
        <tr r="X118" s="2"/>
      </tp>
      <tp t="s">
        <v>N/A</v>
        <stp/>
        <stp>VOLUME</stp>
        <stp>.SPXW250930P5740</stp>
        <tr r="R119" s="2"/>
      </tp>
      <tp>
        <v>9</v>
        <stp/>
        <stp>VOLUME</stp>
        <stp>.SPXW250520P5640</stp>
        <tr r="BB128" s="1"/>
        <tr r="BB128" s="1"/>
      </tp>
      <tp>
        <v>320</v>
        <stp/>
        <stp>VOLUME</stp>
        <stp>.SPXW250521P5650</stp>
        <tr r="D128" s="2"/>
        <tr r="D128" s="2"/>
      </tp>
      <tp>
        <v>5</v>
        <stp/>
        <stp>VOLUME</stp>
        <stp>.SPXW250522P5660</stp>
        <tr r="E127" s="2"/>
        <tr r="E127" s="2"/>
      </tp>
      <tp>
        <v>325</v>
        <stp/>
        <stp>VOLUME</stp>
        <stp>.SPXW250523P5670</stp>
        <tr r="BD125" s="1"/>
        <tr r="BD125" s="1"/>
      </tp>
      <tp>
        <v>103</v>
        <stp/>
        <stp>VOLUME</stp>
        <stp>.SPXW250530P5740</stp>
        <tr r="G119" s="2"/>
        <tr r="G119" s="2"/>
      </tp>
      <tp>
        <v>88</v>
        <stp/>
        <stp>VOLUME</stp>
        <stp>.SPXW250731P5750</stp>
        <tr r="N118" s="2"/>
        <tr r="N118" s="2"/>
      </tp>
      <tp>
        <v>22</v>
        <stp/>
        <stp>VOLUME</stp>
        <stp>.SPXW250630P5740</stp>
        <tr r="L119" s="2"/>
        <tr r="L119" s="2"/>
      </tp>
      <tp t="s">
        <v>N/A</v>
        <stp/>
        <stp>VOLUME</stp>
        <stp>.SPYP600</stp>
        <tr r="B7" s="2"/>
        <tr r="F7" s="2"/>
        <tr r="C7" s="2"/>
        <tr r="J7" s="2"/>
      </tp>
      <tp t="s">
        <v>N/A</v>
        <stp/>
        <stp>VOLUME</stp>
        <stp>.SPYC600</stp>
        <tr r="B7" s="2"/>
        <tr r="F7" s="2"/>
        <tr r="C7" s="2"/>
        <tr r="J7" s="2"/>
      </tp>
      <tp t="s">
        <v>N/A</v>
        <stp/>
        <stp>VOLUME</stp>
        <stp>.SPYP601</stp>
        <tr r="C6" s="2"/>
        <tr r="F6" s="2"/>
        <tr r="J6" s="2"/>
        <tr r="B6" s="2"/>
      </tp>
      <tp t="s">
        <v>N/A</v>
        <stp/>
        <stp>VOLUME</stp>
        <stp>.SPYC601</stp>
        <tr r="C6" s="2"/>
        <tr r="F6" s="2"/>
        <tr r="J6" s="2"/>
        <tr r="B6" s="2"/>
      </tp>
      <tp t="s">
        <v>N/A</v>
        <stp/>
        <stp>VOLUME</stp>
        <stp>.SPYP602</stp>
        <tr r="J5" s="2"/>
        <tr r="F5" s="2"/>
        <tr r="C5" s="2"/>
        <tr r="B5" s="2"/>
      </tp>
      <tp t="s">
        <v>N/A</v>
        <stp/>
        <stp>VOLUME</stp>
        <stp>.SPYC602</stp>
        <tr r="J5" s="2"/>
        <tr r="F5" s="2"/>
        <tr r="C5" s="2"/>
        <tr r="B5" s="2"/>
      </tp>
      <tp t="s">
        <v>N/A</v>
        <stp/>
        <stp>VOLUME</stp>
        <stp>.NDXP251128P21100</stp>
        <tr r="V156" s="2"/>
      </tp>
      <tp t="s">
        <v>N/A</v>
        <stp/>
        <stp>VOLUME</stp>
        <stp>.NDXP251031P20800</stp>
        <tr r="T168" s="2"/>
      </tp>
      <tp t="s">
        <v>N/A</v>
        <stp/>
        <stp>VOLUME</stp>
        <stp>.NDXP251231P20800</stp>
        <tr r="X168" s="2"/>
      </tp>
      <tp t="s">
        <v>N/A</v>
        <stp/>
        <stp>VOLUME</stp>
        <stp>.SPXW250930C5750</stp>
        <tr r="R118" s="2"/>
      </tp>
      <tp>
        <v>14</v>
        <stp/>
        <stp>VOLUME</stp>
        <stp>.SPXW250520C5650</stp>
        <tr r="BA127" s="1"/>
        <tr r="BA127" s="1"/>
      </tp>
      <tp>
        <v>12</v>
        <stp/>
        <stp>VOLUME</stp>
        <stp>.SPXW250521C5640</stp>
        <tr r="D129" s="2"/>
        <tr r="D129" s="2"/>
      </tp>
      <tp t="s">
        <v>N/A</v>
        <stp/>
        <stp>VOLUME</stp>
        <stp>.SPXW250522C5670</stp>
        <tr r="E126" s="2"/>
      </tp>
      <tp t="s">
        <v>N/A</v>
        <stp/>
        <stp>VOLUME</stp>
        <stp>.SPXW250523C5660</stp>
        <tr r="BC126" s="1"/>
      </tp>
      <tp>
        <v>70</v>
        <stp/>
        <stp>VOLUME</stp>
        <stp>.SPXW250530C5750</stp>
        <tr r="G118" s="2"/>
        <tr r="G118" s="2"/>
      </tp>
      <tp t="s">
        <v>N/A</v>
        <stp/>
        <stp>VOLUME</stp>
        <stp>.SPXW250731C5740</stp>
        <tr r="N119" s="2"/>
      </tp>
      <tp t="s">
        <v>N/A</v>
        <stp/>
        <stp>VOLUME</stp>
        <stp>.SPXW250630C5750</stp>
        <tr r="L118" s="2"/>
      </tp>
      <tp t="s">
        <v>N/A</v>
        <stp/>
        <stp>VOLUME</stp>
        <stp>.SPXW251031C5740</stp>
        <tr r="T119" s="2"/>
      </tp>
      <tp>
        <v>3</v>
        <stp/>
        <stp>VOLUME</stp>
        <stp>.SPXW251231C5740</stp>
        <tr r="X119" s="2"/>
        <tr r="X119" s="2"/>
      </tp>
      <tp t="s">
        <v>N/A</v>
        <stp/>
        <stp>VOLUME</stp>
        <stp>.SPXW251031P5740</stp>
        <tr r="T119" s="2"/>
      </tp>
      <tp t="s">
        <v>N/A</v>
        <stp/>
        <stp>VOLUME</stp>
        <stp>.SPXW251231P5740</stp>
        <tr r="X119" s="2"/>
      </tp>
      <tp>
        <v>2</v>
        <stp/>
        <stp>VOLUME</stp>
        <stp>.SPXW250930P5750</stp>
        <tr r="R118" s="2"/>
        <tr r="R118" s="2"/>
      </tp>
      <tp>
        <v>6</v>
        <stp/>
        <stp>VOLUME</stp>
        <stp>.SPXW250520P5650</stp>
        <tr r="BB127" s="1"/>
        <tr r="BB127" s="1"/>
      </tp>
      <tp>
        <v>7</v>
        <stp/>
        <stp>VOLUME</stp>
        <stp>.SPXW250521P5640</stp>
        <tr r="D129" s="2"/>
        <tr r="D129" s="2"/>
      </tp>
      <tp>
        <v>3</v>
        <stp/>
        <stp>VOLUME</stp>
        <stp>.SPXW250522P5670</stp>
        <tr r="E126" s="2"/>
        <tr r="E126" s="2"/>
      </tp>
      <tp t="s">
        <v>N/A</v>
        <stp/>
        <stp>VOLUME</stp>
        <stp>.SPXW250523P5660</stp>
        <tr r="BD126" s="1"/>
      </tp>
      <tp>
        <v>1588</v>
        <stp/>
        <stp>VOLUME</stp>
        <stp>.SPXW250530P5750</stp>
        <tr r="G118" s="2"/>
        <tr r="G118" s="2"/>
      </tp>
      <tp>
        <v>1</v>
        <stp/>
        <stp>VOLUME</stp>
        <stp>.SPXW250731P5740</stp>
        <tr r="N119" s="2"/>
        <tr r="N119" s="2"/>
      </tp>
      <tp>
        <v>57</v>
        <stp/>
        <stp>VOLUME</stp>
        <stp>.SPXW250630P5750</stp>
        <tr r="L118" s="2"/>
        <tr r="L118" s="2"/>
      </tp>
      <tp t="s">
        <v>N/A</v>
        <stp/>
        <stp>VOLUME</stp>
        <stp>.NDXP250829P21025</stp>
        <tr r="P159" s="2"/>
      </tp>
      <tp t="s">
        <v>N/A</v>
        <stp/>
        <stp>VOLUME</stp>
        <stp>.NDXP250930P20925</stp>
        <tr r="R163" s="2"/>
      </tp>
      <tp>
        <v>26</v>
        <stp/>
        <stp>VOLUME</stp>
        <stp>.NDXP250520P20925</stp>
        <tr r="BB162" s="1"/>
        <tr r="BB162" s="1"/>
      </tp>
      <tp t="s">
        <v>N/A</v>
        <stp/>
        <stp>VOLUME</stp>
        <stp>.NDXP250521P20825</stp>
        <tr r="D167" s="2"/>
      </tp>
      <tp>
        <v>2</v>
        <stp/>
        <stp>VOLUME</stp>
        <stp>.NDXP250530P20925</stp>
        <tr r="G163" s="2"/>
        <tr r="G163" s="2"/>
      </tp>
      <tp t="s">
        <v>N/A</v>
        <stp/>
        <stp>VOLUME</stp>
        <stp>.NDXP250630P20925</stp>
        <tr r="L163" s="2"/>
      </tp>
      <tp t="s">
        <v>N/A</v>
        <stp/>
        <stp>VOLUME</stp>
        <stp>.NDXP250731P20825</stp>
        <tr r="N167" s="2"/>
      </tp>
      <tp t="s">
        <v>N/A</v>
        <stp/>
        <stp>VOLUME</stp>
        <stp>.SPXW250930C5760</stp>
        <tr r="R117" s="2"/>
      </tp>
      <tp>
        <v>8</v>
        <stp/>
        <stp>VOLUME</stp>
        <stp>.SPXW250520C5660</stp>
        <tr r="BA126" s="1"/>
        <tr r="BA126" s="1"/>
      </tp>
      <tp>
        <v>2</v>
        <stp/>
        <stp>VOLUME</stp>
        <stp>.SPXW250521C5670</stp>
        <tr r="D126" s="2"/>
        <tr r="D126" s="2"/>
      </tp>
      <tp t="s">
        <v>N/A</v>
        <stp/>
        <stp>VOLUME</stp>
        <stp>.SPXW250522C5640</stp>
        <tr r="E129" s="2"/>
      </tp>
      <tp>
        <v>38</v>
        <stp/>
        <stp>VOLUME</stp>
        <stp>.SPXW250523C5650</stp>
        <tr r="BC127" s="1"/>
        <tr r="BC127" s="1"/>
      </tp>
      <tp>
        <v>2</v>
        <stp/>
        <stp>VOLUME</stp>
        <stp>.SPXW250530C5760</stp>
        <tr r="G117" s="2"/>
        <tr r="G117" s="2"/>
      </tp>
      <tp t="s">
        <v>N/A</v>
        <stp/>
        <stp>VOLUME</stp>
        <stp>.SPXW250731C5770</stp>
        <tr r="N116" s="2"/>
      </tp>
      <tp t="s">
        <v>N/A</v>
        <stp/>
        <stp>VOLUME</stp>
        <stp>.SPXW250630C5760</stp>
        <tr r="L117" s="2"/>
      </tp>
      <tp t="s">
        <v>N/A</v>
        <stp/>
        <stp>VOLUME</stp>
        <stp>.SPXW251031C5770</stp>
        <tr r="T116" s="2"/>
      </tp>
      <tp t="s">
        <v>N/A</v>
        <stp/>
        <stp>VOLUME</stp>
        <stp>.SPXW251231C5770</stp>
        <tr r="X116" s="2"/>
      </tp>
      <tp t="s">
        <v>N/A</v>
        <stp/>
        <stp>VOLUME</stp>
        <stp>.SPXW251031P5770</stp>
        <tr r="T116" s="2"/>
      </tp>
      <tp t="s">
        <v>N/A</v>
        <stp/>
        <stp>VOLUME</stp>
        <stp>.SPXW251231P5770</stp>
        <tr r="X116" s="2"/>
      </tp>
      <tp t="s">
        <v>N/A</v>
        <stp/>
        <stp>VOLUME</stp>
        <stp>.SPXW250930P5760</stp>
        <tr r="R117" s="2"/>
      </tp>
      <tp>
        <v>5</v>
        <stp/>
        <stp>VOLUME</stp>
        <stp>.SPXW250520P5660</stp>
        <tr r="BB126" s="1"/>
        <tr r="BB126" s="1"/>
      </tp>
      <tp>
        <v>82</v>
        <stp/>
        <stp>VOLUME</stp>
        <stp>.SPXW250521P5670</stp>
        <tr r="D126" s="2"/>
        <tr r="D126" s="2"/>
      </tp>
      <tp>
        <v>208</v>
        <stp/>
        <stp>VOLUME</stp>
        <stp>.SPXW250522P5640</stp>
        <tr r="E129" s="2"/>
        <tr r="E129" s="2"/>
      </tp>
      <tp>
        <v>693</v>
        <stp/>
        <stp>VOLUME</stp>
        <stp>.SPXW250523P5650</stp>
        <tr r="BD127" s="1"/>
        <tr r="BD127" s="1"/>
      </tp>
      <tp>
        <v>26</v>
        <stp/>
        <stp>VOLUME</stp>
        <stp>.SPXW250530P5760</stp>
        <tr r="G117" s="2"/>
        <tr r="G117" s="2"/>
      </tp>
      <tp t="s">
        <v>N/A</v>
        <stp/>
        <stp>VOLUME</stp>
        <stp>.SPXW250731P5770</stp>
        <tr r="N116" s="2"/>
      </tp>
      <tp>
        <v>8</v>
        <stp/>
        <stp>VOLUME</stp>
        <stp>.SPXW250630P5760</stp>
        <tr r="L117" s="2"/>
        <tr r="L117" s="2"/>
      </tp>
      <tp t="s">
        <v>N/A</v>
        <stp/>
        <stp>VOLUME</stp>
        <stp>.NDXP251031P20825</stp>
        <tr r="T167" s="2"/>
      </tp>
      <tp t="s">
        <v>N/A</v>
        <stp/>
        <stp>VOLUME</stp>
        <stp>.NDXP251128P21125</stp>
        <tr r="V155" s="2"/>
      </tp>
      <tp t="s">
        <v>N/A</v>
        <stp/>
        <stp>VOLUME</stp>
        <stp>.NDXP251231P20825</stp>
        <tr r="X167" s="2"/>
      </tp>
      <tp t="s">
        <v>N/A</v>
        <stp/>
        <stp>VOLUME</stp>
        <stp>.SPXW250930C5770</stp>
        <tr r="R116" s="2"/>
      </tp>
      <tp>
        <v>2</v>
        <stp/>
        <stp>VOLUME</stp>
        <stp>.SPXW250520C5670</stp>
        <tr r="BA125" s="1"/>
        <tr r="BA125" s="1"/>
      </tp>
      <tp>
        <v>3</v>
        <stp/>
        <stp>VOLUME</stp>
        <stp>.SPXW250521C5660</stp>
        <tr r="D127" s="2"/>
        <tr r="D127" s="2"/>
      </tp>
      <tp>
        <v>15</v>
        <stp/>
        <stp>VOLUME</stp>
        <stp>.SPXW250522C5650</stp>
        <tr r="E128" s="2"/>
        <tr r="E128" s="2"/>
      </tp>
      <tp>
        <v>31</v>
        <stp/>
        <stp>VOLUME</stp>
        <stp>.SPXW250523C5640</stp>
        <tr r="BC128" s="1"/>
        <tr r="BC128" s="1"/>
      </tp>
      <tp>
        <v>12</v>
        <stp/>
        <stp>VOLUME</stp>
        <stp>.SPXW250530C5770</stp>
        <tr r="G116" s="2"/>
        <tr r="G116" s="2"/>
      </tp>
      <tp t="s">
        <v>N/A</v>
        <stp/>
        <stp>VOLUME</stp>
        <stp>.SPXW250731C5760</stp>
        <tr r="N117" s="2"/>
      </tp>
      <tp t="s">
        <v>N/A</v>
        <stp/>
        <stp>VOLUME</stp>
        <stp>.SPXW250630C5770</stp>
        <tr r="L116" s="2"/>
      </tp>
      <tp t="s">
        <v>N/A</v>
        <stp/>
        <stp>VOLUME</stp>
        <stp>.SPXW251031C5760</stp>
        <tr r="T117" s="2"/>
      </tp>
      <tp>
        <v>1</v>
        <stp/>
        <stp>VOLUME</stp>
        <stp>.SPXW251231C5760</stp>
        <tr r="X117" s="2"/>
        <tr r="X117" s="2"/>
      </tp>
      <tp t="s">
        <v>N/A</v>
        <stp/>
        <stp>VOLUME</stp>
        <stp>.SPXW251031P5760</stp>
        <tr r="T117" s="2"/>
      </tp>
      <tp t="s">
        <v>N/A</v>
        <stp/>
        <stp>VOLUME</stp>
        <stp>.SPXW251231P5760</stp>
        <tr r="X117" s="2"/>
      </tp>
      <tp t="s">
        <v>N/A</v>
        <stp/>
        <stp>VOLUME</stp>
        <stp>.SPXW250930P5770</stp>
        <tr r="R116" s="2"/>
      </tp>
      <tp>
        <v>2</v>
        <stp/>
        <stp>VOLUME</stp>
        <stp>.SPXW250520P5670</stp>
        <tr r="BB125" s="1"/>
        <tr r="BB125" s="1"/>
      </tp>
      <tp>
        <v>88</v>
        <stp/>
        <stp>VOLUME</stp>
        <stp>.SPXW250521P5660</stp>
        <tr r="D127" s="2"/>
        <tr r="D127" s="2"/>
      </tp>
      <tp>
        <v>135</v>
        <stp/>
        <stp>VOLUME</stp>
        <stp>.SPXW250522P5650</stp>
        <tr r="E128" s="2"/>
        <tr r="E128" s="2"/>
      </tp>
      <tp>
        <v>540</v>
        <stp/>
        <stp>VOLUME</stp>
        <stp>.SPXW250523P5640</stp>
        <tr r="BD128" s="1"/>
        <tr r="BD128" s="1"/>
      </tp>
      <tp>
        <v>89</v>
        <stp/>
        <stp>VOLUME</stp>
        <stp>.SPXW250530P5770</stp>
        <tr r="G116" s="2"/>
        <tr r="G116" s="2"/>
      </tp>
      <tp t="s">
        <v>N/A</v>
        <stp/>
        <stp>VOLUME</stp>
        <stp>.SPXW250731P5760</stp>
        <tr r="N117" s="2"/>
      </tp>
      <tp>
        <v>1</v>
        <stp/>
        <stp>VOLUME</stp>
        <stp>.SPXW250630P5770</stp>
        <tr r="L116" s="2"/>
        <tr r="L116" s="2"/>
      </tp>
      <tp>
        <v>2</v>
        <stp/>
        <stp>OPEN_INT</stp>
        <stp>.NDXP250520C20300</stp>
        <tr r="AS187" s="1"/>
        <tr r="AS187" s="1"/>
      </tp>
      <tp>
        <v>12</v>
        <stp/>
        <stp>OPEN_INT</stp>
        <stp>.NDXP250520C21300</stp>
        <tr r="AS147" s="1"/>
        <tr r="AS147" s="1"/>
      </tp>
      <tp>
        <v>25</v>
        <stp/>
        <stp>OPEN_INT</stp>
        <stp>.NDXP250523C21000</stp>
        <tr r="AU159" s="1"/>
        <tr r="AU159" s="1"/>
      </tp>
      <tp>
        <v>3</v>
        <stp/>
        <stp>OPEN_INT</stp>
        <stp>.NDXP250520C20325</stp>
        <tr r="AS186" s="1"/>
        <tr r="AS186" s="1"/>
      </tp>
      <tp>
        <v>11</v>
        <stp/>
        <stp>OPEN_INT</stp>
        <stp>.NDXP250520C21325</stp>
        <tr r="AS146" s="1"/>
        <tr r="AS146" s="1"/>
      </tp>
      <tp>
        <v>1</v>
        <stp/>
        <stp>OPEN_INT</stp>
        <stp>.NDXP250523C21025</stp>
        <tr r="AU158" s="1"/>
        <tr r="AU158" s="1"/>
      </tp>
      <tp>
        <v>0</v>
        <stp/>
        <stp>OPEN_INT</stp>
        <stp>.NDXP250520C20350</stp>
        <tr r="AS185" s="1"/>
        <tr r="AS185" s="1"/>
      </tp>
      <tp>
        <v>12</v>
        <stp/>
        <stp>OPEN_INT</stp>
        <stp>.NDXP250520C21350</stp>
        <tr r="AS145" s="1"/>
        <tr r="AS145" s="1"/>
      </tp>
      <tp>
        <v>4</v>
        <stp/>
        <stp>OPEN_INT</stp>
        <stp>.NDXP250523C21050</stp>
        <tr r="AU157" s="1"/>
        <tr r="AU157" s="1"/>
      </tp>
      <tp>
        <v>0</v>
        <stp/>
        <stp>OPEN_INT</stp>
        <stp>.NDXP250520C20375</stp>
        <tr r="AS184" s="1"/>
        <tr r="AS184" s="1"/>
      </tp>
      <tp>
        <v>20</v>
        <stp/>
        <stp>OPEN_INT</stp>
        <stp>.NDXP250520C21375</stp>
        <tr r="AS144" s="1"/>
        <tr r="AS144" s="1"/>
      </tp>
      <tp>
        <v>5</v>
        <stp/>
        <stp>OPEN_INT</stp>
        <stp>.NDXP250523C21075</stp>
        <tr r="AU156" s="1"/>
        <tr r="AU156" s="1"/>
      </tp>
      <tp>
        <v>8</v>
        <stp/>
        <stp>OPEN_INT</stp>
        <stp>.NDXP250520P20325</stp>
        <tr r="AT186" s="1"/>
        <tr r="AT186" s="1"/>
      </tp>
      <tp>
        <v>21</v>
        <stp/>
        <stp>OPEN_INT</stp>
        <stp>.NDXP250520P21325</stp>
        <tr r="AT146" s="1"/>
        <tr r="AT146" s="1"/>
      </tp>
      <tp>
        <v>4</v>
        <stp/>
        <stp>OPEN_INT</stp>
        <stp>.NDXP250523P21025</stp>
        <tr r="AV158" s="1"/>
        <tr r="AV158" s="1"/>
      </tp>
      <tp>
        <v>3</v>
        <stp/>
        <stp>OPEN_INT</stp>
        <stp>.NDXP250520P20300</stp>
        <tr r="AT187" s="1"/>
        <tr r="AT187" s="1"/>
      </tp>
      <tp>
        <v>20</v>
        <stp/>
        <stp>OPEN_INT</stp>
        <stp>.NDXP250520P21300</stp>
        <tr r="AT147" s="1"/>
        <tr r="AT147" s="1"/>
      </tp>
      <tp>
        <v>125</v>
        <stp/>
        <stp>OPEN_INT</stp>
        <stp>.NDXP250523P21000</stp>
        <tr r="AV159" s="1"/>
        <tr r="AV159" s="1"/>
      </tp>
      <tp>
        <v>2</v>
        <stp/>
        <stp>OPEN_INT</stp>
        <stp>.NDXP250520P20375</stp>
        <tr r="AT184" s="1"/>
        <tr r="AT184" s="1"/>
      </tp>
      <tp>
        <v>14</v>
        <stp/>
        <stp>OPEN_INT</stp>
        <stp>.NDXP250520P21375</stp>
        <tr r="AT144" s="1"/>
        <tr r="AT144" s="1"/>
      </tp>
      <tp>
        <v>4</v>
        <stp/>
        <stp>OPEN_INT</stp>
        <stp>.NDXP250523P21075</stp>
        <tr r="AV156" s="1"/>
        <tr r="AV156" s="1"/>
      </tp>
      <tp>
        <v>18</v>
        <stp/>
        <stp>OPEN_INT</stp>
        <stp>.NDXP250520P20350</stp>
        <tr r="AT185" s="1"/>
        <tr r="AT185" s="1"/>
      </tp>
      <tp>
        <v>29</v>
        <stp/>
        <stp>OPEN_INT</stp>
        <stp>.NDXP250520P21350</stp>
        <tr r="AT145" s="1"/>
        <tr r="AT145" s="1"/>
      </tp>
      <tp>
        <v>4</v>
        <stp/>
        <stp>OPEN_INT</stp>
        <stp>.NDXP250523P21050</stp>
        <tr r="AV157" s="1"/>
        <tr r="AV157" s="1"/>
      </tp>
      <tp>
        <v>-7.0000000000000007E-2</v>
        <stp/>
        <stp>DELTA</stp>
        <stp>.NDXP250520P20925</stp>
        <tr r="CE162" s="1"/>
        <tr r="CE162" s="1"/>
      </tp>
      <tp>
        <v>-0.04</v>
        <stp/>
        <stp>DELTA</stp>
        <stp>.NDXP250520P20900</stp>
        <tr r="CE163" s="1"/>
        <tr r="CE163" s="1"/>
      </tp>
      <tp>
        <v>-0.08</v>
        <stp/>
        <stp>DELTA</stp>
        <stp>.NDXP250520P20975</stp>
        <tr r="CE160" s="1"/>
        <tr r="CE160" s="1"/>
      </tp>
      <tp>
        <v>-7.0000000000000007E-2</v>
        <stp/>
        <stp>DELTA</stp>
        <stp>.NDXP250520P20950</stp>
        <tr r="CE161" s="1"/>
        <tr r="CE161" s="1"/>
      </tp>
      <tp>
        <v>1</v>
        <stp/>
        <stp>DELTA</stp>
        <stp>.NDXP250520C20900</stp>
        <tr r="CD163" s="1"/>
        <tr r="CD163" s="1"/>
      </tp>
      <tp>
        <v>0.99</v>
        <stp/>
        <stp>DELTA</stp>
        <stp>.NDXP250520C20925</stp>
        <tr r="CD162" s="1"/>
        <tr r="CD162" s="1"/>
      </tp>
      <tp>
        <v>0.97</v>
        <stp/>
        <stp>DELTA</stp>
        <stp>.NDXP250520C20950</stp>
        <tr r="CD161" s="1"/>
        <tr r="CD161" s="1"/>
      </tp>
      <tp>
        <v>0.98</v>
        <stp/>
        <stp>DELTA</stp>
        <stp>.NDXP250520C20975</stp>
        <tr r="CD160" s="1"/>
        <tr r="CD160" s="1"/>
      </tp>
      <tp t="s">
        <v>N/A</v>
        <stp/>
        <stp>VOLUME</stp>
        <stp>.NDXP250829C20375</stp>
        <tr r="P185" s="2"/>
      </tp>
      <tp t="s">
        <v>N/A</v>
        <stp/>
        <stp>VOLUME</stp>
        <stp>.NDXP250829C21375</stp>
        <tr r="P145" s="2"/>
      </tp>
      <tp t="s">
        <v>N/A</v>
        <stp/>
        <stp>VOLUME</stp>
        <stp>.NDXP250522C20875</stp>
        <tr r="E165" s="2"/>
      </tp>
      <tp t="s">
        <v>N/A</v>
        <stp/>
        <stp>VOLUME</stp>
        <stp>.NDXP250523C20975</stp>
        <tr r="BC160" s="1"/>
      </tp>
      <tp t="s">
        <v>N/A</v>
        <stp/>
        <stp>VOLUME</stp>
        <stp>.NDXP250613C20975</stp>
        <tr r="I161" s="2"/>
      </tp>
      <tp t="s">
        <v>N/A</v>
        <stp/>
        <stp>VOLUME</stp>
        <stp>.NDXP251128C20275</stp>
        <tr r="V189" s="2"/>
      </tp>
      <tp t="s">
        <v>N/A</v>
        <stp/>
        <stp>VOLUME</stp>
        <stp>.NDXP251128C21275</stp>
        <tr r="V149" s="2"/>
      </tp>
      <tp t="s">
        <v>N/A</v>
        <stp/>
        <stp>VOLUME</stp>
        <stp>.NDXP250829C20350</stp>
        <tr r="P186" s="2"/>
      </tp>
      <tp t="s">
        <v>N/A</v>
        <stp/>
        <stp>VOLUME</stp>
        <stp>.NDXP250829C21350</stp>
        <tr r="P146" s="2"/>
      </tp>
      <tp t="s">
        <v>N/A</v>
        <stp/>
        <stp>VOLUME</stp>
        <stp>.NDXP250522C20850</stp>
        <tr r="E166" s="2"/>
      </tp>
      <tp t="s">
        <v>N/A</v>
        <stp/>
        <stp>VOLUME</stp>
        <stp>.NDXP250523C20950</stp>
        <tr r="BC161" s="1"/>
      </tp>
      <tp t="s">
        <v>N/A</v>
        <stp/>
        <stp>VOLUME</stp>
        <stp>.NDXP250613C20950</stp>
        <tr r="I162" s="2"/>
      </tp>
      <tp t="s">
        <v>N/A</v>
        <stp/>
        <stp>VOLUME</stp>
        <stp>.NDXP251128C20250</stp>
        <tr r="V190" s="2"/>
      </tp>
      <tp t="s">
        <v>N/A</v>
        <stp/>
        <stp>VOLUME</stp>
        <stp>.NDXP251128C21250</stp>
        <tr r="V150" s="2"/>
      </tp>
      <tp t="s">
        <v>N/A</v>
        <stp/>
        <stp>VOLUME</stp>
        <stp>.NDXP251128C21225</stp>
        <tr r="V151" s="2"/>
      </tp>
      <tp t="s">
        <v>N/A</v>
        <stp/>
        <stp>VOLUME</stp>
        <stp>.NDXP250829C20325</stp>
        <tr r="P187" s="2"/>
      </tp>
      <tp t="s">
        <v>N/A</v>
        <stp/>
        <stp>VOLUME</stp>
        <stp>.NDXP250829C21325</stp>
        <tr r="P147" s="2"/>
      </tp>
      <tp t="s">
        <v>N/A</v>
        <stp/>
        <stp>VOLUME</stp>
        <stp>.NDXP250522C20825</stp>
        <tr r="E167" s="2"/>
      </tp>
      <tp t="s">
        <v>N/A</v>
        <stp/>
        <stp>VOLUME</stp>
        <stp>.NDXP250523C20925</stp>
        <tr r="BC162" s="1"/>
      </tp>
      <tp t="s">
        <v>N/A</v>
        <stp/>
        <stp>VOLUME</stp>
        <stp>.NDXP250613C20925</stp>
        <tr r="I163" s="2"/>
      </tp>
      <tp t="s">
        <v>N/A</v>
        <stp/>
        <stp>VOLUME</stp>
        <stp>.NDXP251128C21200</stp>
        <tr r="V152" s="2"/>
      </tp>
      <tp t="s">
        <v>N/A</v>
        <stp/>
        <stp>VOLUME</stp>
        <stp>.NDXP250829C20300</stp>
        <tr r="P188" s="2"/>
      </tp>
      <tp t="s">
        <v>N/A</v>
        <stp/>
        <stp>VOLUME</stp>
        <stp>.NDXP250829C21300</stp>
        <tr r="P148" s="2"/>
      </tp>
      <tp t="s">
        <v>N/A</v>
        <stp/>
        <stp>VOLUME</stp>
        <stp>.NDXP250522C20800</stp>
        <tr r="E168" s="2"/>
      </tp>
      <tp t="s">
        <v>N/A</v>
        <stp/>
        <stp>VOLUME</stp>
        <stp>.NDXP250523C20900</stp>
        <tr r="BC163" s="1"/>
      </tp>
      <tp t="s">
        <v>N/A</v>
        <stp/>
        <stp>VOLUME</stp>
        <stp>.NDXP250613C20900</stp>
        <tr r="I164" s="2"/>
      </tp>
      <tp t="s">
        <v>N/A</v>
        <stp/>
        <stp>VOLUME</stp>
        <stp>.SPXW250613C5690</stp>
        <tr r="I124" s="2"/>
      </tp>
      <tp t="s">
        <v>N/A</v>
        <stp/>
        <stp>VOLUME</stp>
        <stp>.SPXW250613P5690</stp>
        <tr r="I124" s="2"/>
      </tp>
      <tp t="s">
        <v>N/A</v>
        <stp/>
        <stp>VOLUME</stp>
        <stp>.SPXW250613C5680</stp>
        <tr r="I125" s="2"/>
      </tp>
      <tp>
        <v>1513</v>
        <stp/>
        <stp>VOLUME</stp>
        <stp>.SPXW250613P5680</stp>
        <tr r="I125" s="2"/>
        <tr r="I125" s="2"/>
      </tp>
      <tp t="s">
        <v>N/A</v>
        <stp/>
        <stp>VOLUME</stp>
        <stp>.SPYP594</stp>
        <tr r="B13" s="2"/>
        <tr r="C13" s="2"/>
        <tr r="F13" s="2"/>
        <tr r="J13" s="2"/>
      </tp>
      <tp t="s">
        <v>N/A</v>
        <stp/>
        <stp>VOLUME</stp>
        <stp>.SPYC594</stp>
        <tr r="B13" s="2"/>
        <tr r="C13" s="2"/>
        <tr r="F13" s="2"/>
        <tr r="J13" s="2"/>
      </tp>
      <tp t="s">
        <v>N/A</v>
        <stp/>
        <stp>VOLUME</stp>
        <stp>.SPYP595</stp>
        <tr r="F12" s="2"/>
        <tr r="B12" s="2"/>
        <tr r="C12" s="2"/>
        <tr r="J12" s="2"/>
      </tp>
      <tp t="s">
        <v>N/A</v>
        <stp/>
        <stp>VOLUME</stp>
        <stp>.SPYC595</stp>
        <tr r="F12" s="2"/>
        <tr r="B12" s="2"/>
        <tr r="C12" s="2"/>
        <tr r="J12" s="2"/>
      </tp>
      <tp t="s">
        <v>N/A</v>
        <stp/>
        <stp>VOLUME</stp>
        <stp>.SPYP596</stp>
        <tr r="J11" s="2"/>
        <tr r="F11" s="2"/>
        <tr r="C11" s="2"/>
        <tr r="B11" s="2"/>
      </tp>
      <tp t="s">
        <v>N/A</v>
        <stp/>
        <stp>VOLUME</stp>
        <stp>.SPYC596</stp>
        <tr r="J11" s="2"/>
        <tr r="F11" s="2"/>
        <tr r="C11" s="2"/>
        <tr r="B11" s="2"/>
      </tp>
      <tp t="s">
        <v>N/A</v>
        <stp/>
        <stp>VOLUME</stp>
        <stp>.SPYP597</stp>
        <tr r="J10" s="2"/>
        <tr r="B10" s="2"/>
        <tr r="F10" s="2"/>
        <tr r="C10" s="2"/>
      </tp>
      <tp t="s">
        <v>N/A</v>
        <stp/>
        <stp>VOLUME</stp>
        <stp>.SPYC597</stp>
        <tr r="J10" s="2"/>
        <tr r="B10" s="2"/>
        <tr r="F10" s="2"/>
        <tr r="C10" s="2"/>
      </tp>
      <tp t="s">
        <v>N/A</v>
        <stp/>
        <stp>VOLUME</stp>
        <stp>.SPYP590</stp>
        <tr r="J17" s="2"/>
        <tr r="F17" s="2"/>
        <tr r="C17" s="2"/>
        <tr r="B17" s="2"/>
      </tp>
      <tp t="s">
        <v>N/A</v>
        <stp/>
        <stp>VOLUME</stp>
        <stp>.SPYC590</stp>
        <tr r="J17" s="2"/>
        <tr r="F17" s="2"/>
        <tr r="C17" s="2"/>
        <tr r="B17" s="2"/>
      </tp>
      <tp t="s">
        <v>N/A</v>
        <stp/>
        <stp>VOLUME</stp>
        <stp>.SPYP591</stp>
        <tr r="B16" s="2"/>
        <tr r="J16" s="2"/>
        <tr r="F16" s="2"/>
        <tr r="C16" s="2"/>
      </tp>
      <tp t="s">
        <v>N/A</v>
        <stp/>
        <stp>VOLUME</stp>
        <stp>.SPYC591</stp>
        <tr r="B16" s="2"/>
        <tr r="J16" s="2"/>
        <tr r="F16" s="2"/>
        <tr r="C16" s="2"/>
      </tp>
      <tp t="s">
        <v>N/A</v>
        <stp/>
        <stp>VOLUME</stp>
        <stp>.SPYP592</stp>
        <tr r="B15" s="2"/>
        <tr r="C15" s="2"/>
        <tr r="J15" s="2"/>
        <tr r="F15" s="2"/>
      </tp>
      <tp t="s">
        <v>N/A</v>
        <stp/>
        <stp>VOLUME</stp>
        <stp>.SPYC592</stp>
        <tr r="B15" s="2"/>
        <tr r="C15" s="2"/>
        <tr r="J15" s="2"/>
        <tr r="F15" s="2"/>
      </tp>
      <tp t="s">
        <v>N/A</v>
        <stp/>
        <stp>VOLUME</stp>
        <stp>.SPYP593</stp>
        <tr r="F14" s="2"/>
        <tr r="B14" s="2"/>
        <tr r="C14" s="2"/>
        <tr r="J14" s="2"/>
      </tp>
      <tp t="s">
        <v>N/A</v>
        <stp/>
        <stp>VOLUME</stp>
        <stp>.SPYC593</stp>
        <tr r="F14" s="2"/>
        <tr r="B14" s="2"/>
        <tr r="C14" s="2"/>
        <tr r="J14" s="2"/>
      </tp>
      <tp t="s">
        <v>N/A</v>
        <stp/>
        <stp>VOLUME</stp>
        <stp>.SPYP598</stp>
        <tr r="F9" s="2"/>
        <tr r="C9" s="2"/>
        <tr r="J9" s="2"/>
        <tr r="B9" s="2"/>
      </tp>
      <tp t="s">
        <v>N/A</v>
        <stp/>
        <stp>VOLUME</stp>
        <stp>.SPYC598</stp>
        <tr r="F9" s="2"/>
        <tr r="C9" s="2"/>
        <tr r="J9" s="2"/>
        <tr r="B9" s="2"/>
      </tp>
      <tp t="s">
        <v>N/A</v>
        <stp/>
        <stp>VOLUME</stp>
        <stp>.SPYP599</stp>
        <tr r="C8" s="2"/>
        <tr r="F8" s="2"/>
        <tr r="J8" s="2"/>
        <tr r="B8" s="2"/>
      </tp>
      <tp t="s">
        <v>N/A</v>
        <stp/>
        <stp>VOLUME</stp>
        <stp>.SPYC599</stp>
        <tr r="C8" s="2"/>
        <tr r="F8" s="2"/>
        <tr r="J8" s="2"/>
        <tr r="B8" s="2"/>
      </tp>
      <tp t="s">
        <v>N/A</v>
        <stp/>
        <stp>VOLUME</stp>
        <stp>.SPYP584</stp>
        <tr r="F23" s="2"/>
        <tr r="J23" s="2"/>
        <tr r="B23" s="2"/>
        <tr r="C23" s="2"/>
      </tp>
      <tp t="s">
        <v>N/A</v>
        <stp/>
        <stp>VOLUME</stp>
        <stp>.SPYC584</stp>
        <tr r="F23" s="2"/>
        <tr r="J23" s="2"/>
        <tr r="B23" s="2"/>
        <tr r="C23" s="2"/>
      </tp>
      <tp t="s">
        <v>N/A</v>
        <stp/>
        <stp>VOLUME</stp>
        <stp>.SPYP585</stp>
        <tr r="B22" s="2"/>
        <tr r="F22" s="2"/>
        <tr r="J22" s="2"/>
        <tr r="C22" s="2"/>
      </tp>
      <tp t="s">
        <v>N/A</v>
        <stp/>
        <stp>VOLUME</stp>
        <stp>.SPYC585</stp>
        <tr r="B22" s="2"/>
        <tr r="F22" s="2"/>
        <tr r="J22" s="2"/>
        <tr r="C22" s="2"/>
      </tp>
      <tp t="s">
        <v>N/A</v>
        <stp/>
        <stp>VOLUME</stp>
        <stp>.SPYP586</stp>
        <tr r="C21" s="2"/>
        <tr r="F21" s="2"/>
        <tr r="J21" s="2"/>
        <tr r="B21" s="2"/>
      </tp>
      <tp t="s">
        <v>N/A</v>
        <stp/>
        <stp>VOLUME</stp>
        <stp>.SPYC586</stp>
        <tr r="C21" s="2"/>
        <tr r="F21" s="2"/>
        <tr r="J21" s="2"/>
        <tr r="B21" s="2"/>
      </tp>
      <tp t="s">
        <v>N/A</v>
        <stp/>
        <stp>VOLUME</stp>
        <stp>.SPYP587</stp>
        <tr r="F20" s="2"/>
        <tr r="C20" s="2"/>
        <tr r="B20" s="2"/>
        <tr r="J20" s="2"/>
      </tp>
      <tp t="s">
        <v>N/A</v>
        <stp/>
        <stp>VOLUME</stp>
        <stp>.SPYC587</stp>
        <tr r="F20" s="2"/>
        <tr r="C20" s="2"/>
        <tr r="B20" s="2"/>
        <tr r="J20" s="2"/>
      </tp>
      <tp t="s">
        <v>N/A</v>
        <stp/>
        <stp>VOLUME</stp>
        <stp>.SPYP580</stp>
        <tr r="F27" s="2"/>
        <tr r="C27" s="2"/>
        <tr r="J27" s="2"/>
        <tr r="B27" s="2"/>
      </tp>
      <tp t="s">
        <v>N/A</v>
        <stp/>
        <stp>VOLUME</stp>
        <stp>.SPYC580</stp>
        <tr r="F27" s="2"/>
        <tr r="C27" s="2"/>
        <tr r="J27" s="2"/>
        <tr r="B27" s="2"/>
      </tp>
      <tp t="s">
        <v>N/A</v>
        <stp/>
        <stp>VOLUME</stp>
        <stp>.SPYP581</stp>
        <tr r="J26" s="2"/>
        <tr r="B26" s="2"/>
        <tr r="F26" s="2"/>
        <tr r="C26" s="2"/>
      </tp>
      <tp t="s">
        <v>N/A</v>
        <stp/>
        <stp>VOLUME</stp>
        <stp>.SPYC581</stp>
        <tr r="J26" s="2"/>
        <tr r="B26" s="2"/>
        <tr r="F26" s="2"/>
        <tr r="C26" s="2"/>
      </tp>
      <tp t="s">
        <v>N/A</v>
        <stp/>
        <stp>VOLUME</stp>
        <stp>.SPYP582</stp>
        <tr r="F25" s="2"/>
        <tr r="C25" s="2"/>
        <tr r="J25" s="2"/>
        <tr r="B25" s="2"/>
      </tp>
      <tp t="s">
        <v>N/A</v>
        <stp/>
        <stp>VOLUME</stp>
        <stp>.SPYC582</stp>
        <tr r="F25" s="2"/>
        <tr r="C25" s="2"/>
        <tr r="J25" s="2"/>
        <tr r="B25" s="2"/>
      </tp>
      <tp t="s">
        <v>N/A</v>
        <stp/>
        <stp>VOLUME</stp>
        <stp>.SPYP583</stp>
        <tr r="F24" s="2"/>
        <tr r="J24" s="2"/>
        <tr r="B24" s="2"/>
        <tr r="C24" s="2"/>
      </tp>
      <tp t="s">
        <v>N/A</v>
        <stp/>
        <stp>VOLUME</stp>
        <stp>.SPYC583</stp>
        <tr r="F24" s="2"/>
        <tr r="J24" s="2"/>
        <tr r="B24" s="2"/>
        <tr r="C24" s="2"/>
      </tp>
      <tp t="s">
        <v>N/A</v>
        <stp/>
        <stp>VOLUME</stp>
        <stp>.SPYP588</stp>
        <tr r="J19" s="2"/>
        <tr r="C19" s="2"/>
        <tr r="B19" s="2"/>
        <tr r="F19" s="2"/>
      </tp>
      <tp t="s">
        <v>N/A</v>
        <stp/>
        <stp>VOLUME</stp>
        <stp>.SPYC588</stp>
        <tr r="J19" s="2"/>
        <tr r="C19" s="2"/>
        <tr r="B19" s="2"/>
        <tr r="F19" s="2"/>
      </tp>
      <tp t="s">
        <v>N/A</v>
        <stp/>
        <stp>VOLUME</stp>
        <stp>.SPYP589</stp>
        <tr r="J18" s="2"/>
        <tr r="F18" s="2"/>
        <tr r="C18" s="2"/>
        <tr r="B18" s="2"/>
      </tp>
      <tp t="s">
        <v>N/A</v>
        <stp/>
        <stp>VOLUME</stp>
        <stp>.SPYC589</stp>
        <tr r="J18" s="2"/>
        <tr r="F18" s="2"/>
        <tr r="C18" s="2"/>
        <tr r="B18" s="2"/>
      </tp>
      <tp t="s">
        <v>N/A</v>
        <stp/>
        <stp>VOLUME</stp>
        <stp>.NDXP251128P20250</stp>
        <tr r="V190" s="2"/>
      </tp>
      <tp t="s">
        <v>N/A</v>
        <stp/>
        <stp>VOLUME</stp>
        <stp>.NDXP251128P21250</stp>
        <tr r="V150" s="2"/>
      </tp>
      <tp t="s">
        <v>N/A</v>
        <stp/>
        <stp>VOLUME</stp>
        <stp>.SPXW250613C5630</stp>
        <tr r="I130" s="2"/>
      </tp>
      <tp>
        <v>1</v>
        <stp/>
        <stp>VOLUME</stp>
        <stp>.SPXW250613P5630</stp>
        <tr r="I130" s="2"/>
        <tr r="I130" s="2"/>
      </tp>
      <tp t="s">
        <v>N/A</v>
        <stp/>
        <stp>VOLUME</stp>
        <stp>.NDXP250829P20350</stp>
        <tr r="P186" s="2"/>
      </tp>
      <tp t="s">
        <v>N/A</v>
        <stp/>
        <stp>VOLUME</stp>
        <stp>.NDXP250829P21350</stp>
        <tr r="P146" s="2"/>
      </tp>
      <tp>
        <v>1</v>
        <stp/>
        <stp>VOLUME</stp>
        <stp>.NDXP250522P20850</stp>
        <tr r="E166" s="2"/>
        <tr r="E166" s="2"/>
      </tp>
      <tp>
        <v>1</v>
        <stp/>
        <stp>VOLUME</stp>
        <stp>.NDXP250523P20950</stp>
        <tr r="BD161" s="1"/>
        <tr r="BD161" s="1"/>
      </tp>
      <tp t="s">
        <v>N/A</v>
        <stp/>
        <stp>VOLUME</stp>
        <stp>.NDXP250613P20950</stp>
        <tr r="I162" s="2"/>
      </tp>
      <tp t="s">
        <v>N/A</v>
        <stp/>
        <stp>VOLUME</stp>
        <stp>.SPXW250613C5620</stp>
        <tr r="I131" s="2"/>
      </tp>
      <tp t="s">
        <v>N/A</v>
        <stp/>
        <stp>VOLUME</stp>
        <stp>.SPXW250613P5620</stp>
        <tr r="I131" s="2"/>
      </tp>
      <tp t="s">
        <v>N/A</v>
        <stp/>
        <stp>VOLUME</stp>
        <stp>.SPYP574</stp>
        <tr r="C33" s="2"/>
        <tr r="J33" s="2"/>
        <tr r="F33" s="2"/>
        <tr r="B33" s="2"/>
      </tp>
      <tp t="s">
        <v>N/A</v>
        <stp/>
        <stp>VOLUME</stp>
        <stp>.SPYC574</stp>
        <tr r="C33" s="2"/>
        <tr r="J33" s="2"/>
        <tr r="F33" s="2"/>
        <tr r="B33" s="2"/>
      </tp>
      <tp t="s">
        <v>N/A</v>
        <stp/>
        <stp>VOLUME</stp>
        <stp>.SPYP575</stp>
        <tr r="C32" s="2"/>
        <tr r="B32" s="2"/>
        <tr r="J32" s="2"/>
        <tr r="F32" s="2"/>
      </tp>
      <tp t="s">
        <v>N/A</v>
        <stp/>
        <stp>VOLUME</stp>
        <stp>.SPYC575</stp>
        <tr r="C32" s="2"/>
        <tr r="B32" s="2"/>
        <tr r="J32" s="2"/>
        <tr r="F32" s="2"/>
      </tp>
      <tp t="s">
        <v>N/A</v>
        <stp/>
        <stp>VOLUME</stp>
        <stp>.SPYP576</stp>
        <tr r="F31" s="2"/>
        <tr r="B31" s="2"/>
        <tr r="C31" s="2"/>
        <tr r="J31" s="2"/>
      </tp>
      <tp t="s">
        <v>N/A</v>
        <stp/>
        <stp>VOLUME</stp>
        <stp>.SPYC576</stp>
        <tr r="F31" s="2"/>
        <tr r="B31" s="2"/>
        <tr r="C31" s="2"/>
        <tr r="J31" s="2"/>
      </tp>
      <tp t="s">
        <v>N/A</v>
        <stp/>
        <stp>VOLUME</stp>
        <stp>.SPYP577</stp>
        <tr r="C30" s="2"/>
        <tr r="F30" s="2"/>
        <tr r="B30" s="2"/>
        <tr r="J30" s="2"/>
      </tp>
      <tp t="s">
        <v>N/A</v>
        <stp/>
        <stp>VOLUME</stp>
        <stp>.SPYC577</stp>
        <tr r="C30" s="2"/>
        <tr r="F30" s="2"/>
        <tr r="B30" s="2"/>
        <tr r="J30" s="2"/>
      </tp>
      <tp t="s">
        <v>N/A</v>
        <stp/>
        <stp>VOLUME</stp>
        <stp>.SPYP570</stp>
        <tr r="B37" s="2"/>
        <tr r="J37" s="2"/>
        <tr r="C37" s="2"/>
        <tr r="F37" s="2"/>
      </tp>
      <tp t="s">
        <v>N/A</v>
        <stp/>
        <stp>VOLUME</stp>
        <stp>.SPYC570</stp>
        <tr r="B37" s="2"/>
        <tr r="J37" s="2"/>
        <tr r="C37" s="2"/>
        <tr r="F37" s="2"/>
      </tp>
      <tp t="s">
        <v>N/A</v>
        <stp/>
        <stp>VOLUME</stp>
        <stp>.SPYP571</stp>
        <tr r="C36" s="2"/>
        <tr r="B36" s="2"/>
        <tr r="F36" s="2"/>
        <tr r="J36" s="2"/>
      </tp>
      <tp t="s">
        <v>N/A</v>
        <stp/>
        <stp>VOLUME</stp>
        <stp>.SPYC571</stp>
        <tr r="C36" s="2"/>
        <tr r="B36" s="2"/>
        <tr r="F36" s="2"/>
        <tr r="J36" s="2"/>
      </tp>
      <tp t="s">
        <v>N/A</v>
        <stp/>
        <stp>VOLUME</stp>
        <stp>.SPYP572</stp>
        <tr r="C35" s="2"/>
        <tr r="B35" s="2"/>
        <tr r="J35" s="2"/>
        <tr r="F35" s="2"/>
      </tp>
      <tp t="s">
        <v>N/A</v>
        <stp/>
        <stp>VOLUME</stp>
        <stp>.SPYC572</stp>
        <tr r="C35" s="2"/>
        <tr r="B35" s="2"/>
        <tr r="J35" s="2"/>
        <tr r="F35" s="2"/>
      </tp>
      <tp t="s">
        <v>N/A</v>
        <stp/>
        <stp>VOLUME</stp>
        <stp>.SPYP573</stp>
        <tr r="B34" s="2"/>
        <tr r="C34" s="2"/>
        <tr r="J34" s="2"/>
        <tr r="F34" s="2"/>
      </tp>
      <tp t="s">
        <v>N/A</v>
        <stp/>
        <stp>VOLUME</stp>
        <stp>.SPYC573</stp>
        <tr r="B34" s="2"/>
        <tr r="C34" s="2"/>
        <tr r="J34" s="2"/>
        <tr r="F34" s="2"/>
      </tp>
      <tp t="s">
        <v>N/A</v>
        <stp/>
        <stp>VOLUME</stp>
        <stp>.SPYP578</stp>
        <tr r="F29" s="2"/>
        <tr r="B29" s="2"/>
        <tr r="C29" s="2"/>
        <tr r="J29" s="2"/>
      </tp>
      <tp t="s">
        <v>N/A</v>
        <stp/>
        <stp>VOLUME</stp>
        <stp>.SPYC578</stp>
        <tr r="F29" s="2"/>
        <tr r="B29" s="2"/>
        <tr r="C29" s="2"/>
        <tr r="J29" s="2"/>
      </tp>
      <tp t="s">
        <v>N/A</v>
        <stp/>
        <stp>VOLUME</stp>
        <stp>.SPYP579</stp>
        <tr r="J28" s="2"/>
        <tr r="B28" s="2"/>
        <tr r="C28" s="2"/>
        <tr r="F28" s="2"/>
      </tp>
      <tp t="s">
        <v>N/A</v>
        <stp/>
        <stp>VOLUME</stp>
        <stp>.SPYC579</stp>
        <tr r="J28" s="2"/>
        <tr r="B28" s="2"/>
        <tr r="C28" s="2"/>
        <tr r="F28" s="2"/>
      </tp>
      <tp t="s">
        <v>N/A</v>
        <stp/>
        <stp>VOLUME</stp>
        <stp>.NDXP251128P20275</stp>
        <tr r="V189" s="2"/>
      </tp>
      <tp t="s">
        <v>N/A</v>
        <stp/>
        <stp>VOLUME</stp>
        <stp>.NDXP251128P21275</stp>
        <tr r="V149" s="2"/>
      </tp>
      <tp t="s">
        <v>N/A</v>
        <stp/>
        <stp>VOLUME</stp>
        <stp>.SPYP568</stp>
        <tr r="F39" s="2"/>
        <tr r="J39" s="2"/>
        <tr r="C39" s="2"/>
        <tr r="B39" s="2"/>
      </tp>
      <tp t="s">
        <v>N/A</v>
        <stp/>
        <stp>VOLUME</stp>
        <stp>.SPYC568</stp>
        <tr r="F39" s="2"/>
        <tr r="J39" s="2"/>
        <tr r="C39" s="2"/>
        <tr r="B39" s="2"/>
      </tp>
      <tp t="s">
        <v>N/A</v>
        <stp/>
        <stp>VOLUME</stp>
        <stp>.SPYP569</stp>
        <tr r="J38" s="2"/>
        <tr r="F38" s="2"/>
        <tr r="B38" s="2"/>
        <tr r="C38" s="2"/>
      </tp>
      <tp t="s">
        <v>N/A</v>
        <stp/>
        <stp>VOLUME</stp>
        <stp>.SPYC569</stp>
        <tr r="J38" s="2"/>
        <tr r="F38" s="2"/>
        <tr r="B38" s="2"/>
        <tr r="C38" s="2"/>
      </tp>
      <tp t="s">
        <v>N/A</v>
        <stp/>
        <stp>VOLUME</stp>
        <stp>.NDXP250829P20375</stp>
        <tr r="P185" s="2"/>
      </tp>
      <tp t="s">
        <v>N/A</v>
        <stp/>
        <stp>VOLUME</stp>
        <stp>.NDXP250829P21375</stp>
        <tr r="P145" s="2"/>
      </tp>
      <tp t="s">
        <v>N/A</v>
        <stp/>
        <stp>VOLUME</stp>
        <stp>.NDXP250522P20875</stp>
        <tr r="E165" s="2"/>
      </tp>
      <tp t="s">
        <v>N/A</v>
        <stp/>
        <stp>VOLUME</stp>
        <stp>.NDXP250523P20975</stp>
        <tr r="BD160" s="1"/>
      </tp>
      <tp t="s">
        <v>N/A</v>
        <stp/>
        <stp>VOLUME</stp>
        <stp>.NDXP250613P20975</stp>
        <tr r="I161" s="2"/>
      </tp>
      <tp t="s">
        <v>N/A</v>
        <stp/>
        <stp>VOLUME</stp>
        <stp>.NDXP250829P20300</stp>
        <tr r="P188" s="2"/>
      </tp>
      <tp t="s">
        <v>N/A</v>
        <stp/>
        <stp>VOLUME</stp>
        <stp>.NDXP250829P21300</stp>
        <tr r="P148" s="2"/>
      </tp>
      <tp>
        <v>11</v>
        <stp/>
        <stp>VOLUME</stp>
        <stp>.NDXP250522P20800</stp>
        <tr r="E168" s="2"/>
        <tr r="E168" s="2"/>
      </tp>
      <tp>
        <v>10</v>
        <stp/>
        <stp>VOLUME</stp>
        <stp>.NDXP250523P20900</stp>
        <tr r="BD163" s="1"/>
        <tr r="BD163" s="1"/>
      </tp>
      <tp t="s">
        <v>N/A</v>
        <stp/>
        <stp>VOLUME</stp>
        <stp>.NDXP250613P20900</stp>
        <tr r="I164" s="2"/>
      </tp>
      <tp>
        <v>2</v>
        <stp/>
        <stp>VOLUME</stp>
        <stp>.SPXW250613C5670</stp>
        <tr r="I126" s="2"/>
        <tr r="I126" s="2"/>
      </tp>
      <tp>
        <v>4</v>
        <stp/>
        <stp>VOLUME</stp>
        <stp>.SPXW250613P5670</stp>
        <tr r="I126" s="2"/>
        <tr r="I126" s="2"/>
      </tp>
      <tp t="s">
        <v>N/A</v>
        <stp/>
        <stp>VOLUME</stp>
        <stp>.NDXP251128P21200</stp>
        <tr r="V152" s="2"/>
      </tp>
      <tp t="s">
        <v>N/A</v>
        <stp/>
        <stp>VOLUME</stp>
        <stp>.SPXW250613C5660</stp>
        <tr r="I127" s="2"/>
      </tp>
      <tp>
        <v>6</v>
        <stp/>
        <stp>VOLUME</stp>
        <stp>.SPXW250613P5660</stp>
        <tr r="I127" s="2"/>
        <tr r="I127" s="2"/>
      </tp>
      <tp t="s">
        <v>N/A</v>
        <stp/>
        <stp>VOLUME</stp>
        <stp>.NDXP250829P20325</stp>
        <tr r="P187" s="2"/>
      </tp>
      <tp t="s">
        <v>N/A</v>
        <stp/>
        <stp>VOLUME</stp>
        <stp>.NDXP250829P21325</stp>
        <tr r="P147" s="2"/>
      </tp>
      <tp>
        <v>1</v>
        <stp/>
        <stp>VOLUME</stp>
        <stp>.NDXP250522P20825</stp>
        <tr r="E167" s="2"/>
        <tr r="E167" s="2"/>
      </tp>
      <tp>
        <v>1</v>
        <stp/>
        <stp>VOLUME</stp>
        <stp>.NDXP250523P20925</stp>
        <tr r="BD162" s="1"/>
        <tr r="BD162" s="1"/>
      </tp>
      <tp t="s">
        <v>N/A</v>
        <stp/>
        <stp>VOLUME</stp>
        <stp>.NDXP250613P20925</stp>
        <tr r="I163" s="2"/>
      </tp>
      <tp t="s">
        <v>N/A</v>
        <stp/>
        <stp>VOLUME</stp>
        <stp>.SPXW250613C5650</stp>
        <tr r="I128" s="2"/>
      </tp>
      <tp>
        <v>68</v>
        <stp/>
        <stp>VOLUME</stp>
        <stp>.SPXW250613P5650</stp>
        <tr r="I128" s="2"/>
        <tr r="I128" s="2"/>
      </tp>
      <tp t="s">
        <v>N/A</v>
        <stp/>
        <stp>VOLUME</stp>
        <stp>.NDXP251128P21225</stp>
        <tr r="V151" s="2"/>
      </tp>
      <tp t="s">
        <v>N/A</v>
        <stp/>
        <stp>VOLUME</stp>
        <stp>.SPXW250613C5640</stp>
        <tr r="I129" s="2"/>
      </tp>
      <tp>
        <v>1051</v>
        <stp/>
        <stp>VOLUME</stp>
        <stp>.SPXW250613P5640</stp>
        <tr r="I129" s="2"/>
        <tr r="I129" s="2"/>
      </tp>
      <tp>
        <v>9</v>
        <stp/>
        <stp>OPEN_INT</stp>
        <stp>.NDXP250520C21200</stp>
        <tr r="AS151" s="1"/>
        <tr r="AS151" s="1"/>
      </tp>
      <tp>
        <v>13</v>
        <stp/>
        <stp>OPEN_INT</stp>
        <stp>.NDXP250523C21100</stp>
        <tr r="AU155" s="1"/>
        <tr r="AU155" s="1"/>
      </tp>
      <tp>
        <v>7</v>
        <stp/>
        <stp>OPEN_INT</stp>
        <stp>.NDXP250520C21225</stp>
        <tr r="AS150" s="1"/>
        <tr r="AS150" s="1"/>
      </tp>
      <tp>
        <v>4</v>
        <stp/>
        <stp>OPEN_INT</stp>
        <stp>.NDXP250523C21125</stp>
        <tr r="AU154" s="1"/>
        <tr r="AU154" s="1"/>
      </tp>
      <tp>
        <v>1</v>
        <stp/>
        <stp>OPEN_INT</stp>
        <stp>.NDXP250520C20250</stp>
        <tr r="AS189" s="1"/>
        <tr r="AS189" s="1"/>
      </tp>
      <tp>
        <v>13</v>
        <stp/>
        <stp>OPEN_INT</stp>
        <stp>.NDXP250520C21250</stp>
        <tr r="AS149" s="1"/>
        <tr r="AS149" s="1"/>
      </tp>
      <tp>
        <v>7</v>
        <stp/>
        <stp>OPEN_INT</stp>
        <stp>.NDXP250523C21150</stp>
        <tr r="AU153" s="1"/>
        <tr r="AU153" s="1"/>
      </tp>
      <tp>
        <v>0</v>
        <stp/>
        <stp>OPEN_INT</stp>
        <stp>.NDXP250520C20275</stp>
        <tr r="AS188" s="1"/>
        <tr r="AS188" s="1"/>
      </tp>
      <tp>
        <v>4</v>
        <stp/>
        <stp>OPEN_INT</stp>
        <stp>.NDXP250520C21275</stp>
        <tr r="AS148" s="1"/>
        <tr r="AS148" s="1"/>
      </tp>
      <tp>
        <v>2</v>
        <stp/>
        <stp>OPEN_INT</stp>
        <stp>.NDXP250523C21175</stp>
        <tr r="AU152" s="1"/>
        <tr r="AU152" s="1"/>
      </tp>
      <tp>
        <v>9</v>
        <stp/>
        <stp>OPEN_INT</stp>
        <stp>.NDXP250520P21225</stp>
        <tr r="AT150" s="1"/>
        <tr r="AT150" s="1"/>
      </tp>
      <tp>
        <v>3</v>
        <stp/>
        <stp>OPEN_INT</stp>
        <stp>.NDXP250523P21125</stp>
        <tr r="AV154" s="1"/>
        <tr r="AV154" s="1"/>
      </tp>
      <tp>
        <v>35</v>
        <stp/>
        <stp>OPEN_INT</stp>
        <stp>.NDXP250520P21200</stp>
        <tr r="AT151" s="1"/>
        <tr r="AT151" s="1"/>
      </tp>
      <tp>
        <v>45</v>
        <stp/>
        <stp>OPEN_INT</stp>
        <stp>.NDXP250523P21100</stp>
        <tr r="AV155" s="1"/>
        <tr r="AV155" s="1"/>
      </tp>
      <tp>
        <v>0</v>
        <stp/>
        <stp>OPEN_INT</stp>
        <stp>.NDXP250520P20275</stp>
        <tr r="AT188" s="1"/>
        <tr r="AT188" s="1"/>
      </tp>
      <tp>
        <v>1</v>
        <stp/>
        <stp>OPEN_INT</stp>
        <stp>.NDXP250520P21275</stp>
        <tr r="AT148" s="1"/>
        <tr r="AT148" s="1"/>
      </tp>
      <tp>
        <v>6</v>
        <stp/>
        <stp>OPEN_INT</stp>
        <stp>.NDXP250523P21175</stp>
        <tr r="AV152" s="1"/>
        <tr r="AV152" s="1"/>
      </tp>
      <tp>
        <v>4</v>
        <stp/>
        <stp>OPEN_INT</stp>
        <stp>.NDXP250520P20250</stp>
        <tr r="AT189" s="1"/>
        <tr r="AT189" s="1"/>
      </tp>
      <tp>
        <v>23</v>
        <stp/>
        <stp>OPEN_INT</stp>
        <stp>.NDXP250520P21250</stp>
        <tr r="AT149" s="1"/>
        <tr r="AT149" s="1"/>
      </tp>
      <tp>
        <v>13</v>
        <stp/>
        <stp>OPEN_INT</stp>
        <stp>.NDXP250523P21150</stp>
        <tr r="AV153" s="1"/>
        <tr r="AV153" s="1"/>
      </tp>
      <tp>
        <v>-0.06</v>
        <stp/>
        <stp>DELTA</stp>
        <stp>.NDXP250520P20825</stp>
        <tr r="CE166" s="1"/>
        <tr r="CE166" s="1"/>
      </tp>
      <tp>
        <v>-0.01</v>
        <stp/>
        <stp>DELTA</stp>
        <stp>.NDXP250520P20800</stp>
        <tr r="CE167" s="1"/>
        <tr r="CE167" s="1"/>
      </tp>
      <tp>
        <v>-7.0000000000000007E-2</v>
        <stp/>
        <stp>DELTA</stp>
        <stp>.NDXP250520P20875</stp>
        <tr r="CE164" s="1"/>
        <tr r="CE164" s="1"/>
      </tp>
      <tp>
        <v>-0.06</v>
        <stp/>
        <stp>DELTA</stp>
        <stp>.NDXP250520P20850</stp>
        <tr r="CE165" s="1"/>
        <tr r="CE165" s="1"/>
      </tp>
      <tp>
        <v>1</v>
        <stp/>
        <stp>DELTA</stp>
        <stp>.NDXP250520C20800</stp>
        <tr r="CD167" s="1"/>
        <tr r="CD167" s="1"/>
      </tp>
      <tp>
        <v>0.97</v>
        <stp/>
        <stp>DELTA</stp>
        <stp>.NDXP250520C20825</stp>
        <tr r="CD166" s="1"/>
        <tr r="CD166" s="1"/>
      </tp>
      <tp>
        <v>1</v>
        <stp/>
        <stp>DELTA</stp>
        <stp>.NDXP250520C20850</stp>
        <tr r="CD165" s="1"/>
        <tr r="CD165" s="1"/>
      </tp>
      <tp>
        <v>1</v>
        <stp/>
        <stp>DELTA</stp>
        <stp>.NDXP250520C20875</stp>
        <tr r="CD164" s="1"/>
        <tr r="CD164" s="1"/>
      </tp>
      <tp t="s">
        <v>N/A</v>
        <stp/>
        <stp>VOLUME</stp>
        <stp>.NDXP250829C20275</stp>
        <tr r="P189" s="2"/>
      </tp>
      <tp t="s">
        <v>N/A</v>
        <stp/>
        <stp>VOLUME</stp>
        <stp>.NDXP250829C21275</stp>
        <tr r="P149" s="2"/>
      </tp>
      <tp t="s">
        <v>N/A</v>
        <stp/>
        <stp>VOLUME</stp>
        <stp>.NDXP250522C20975</stp>
        <tr r="E161" s="2"/>
      </tp>
      <tp t="s">
        <v>N/A</v>
        <stp/>
        <stp>VOLUME</stp>
        <stp>.NDXP250523C20875</stp>
        <tr r="BC164" s="1"/>
      </tp>
      <tp t="s">
        <v>N/A</v>
        <stp/>
        <stp>VOLUME</stp>
        <stp>.NDXP250613C20875</stp>
        <tr r="I165" s="2"/>
      </tp>
      <tp t="s">
        <v>N/A</v>
        <stp/>
        <stp>VOLUME</stp>
        <stp>.NDXP251128C20375</stp>
        <tr r="V185" s="2"/>
      </tp>
      <tp t="s">
        <v>N/A</v>
        <stp/>
        <stp>VOLUME</stp>
        <stp>.NDXP251128C21375</stp>
        <tr r="V145" s="2"/>
      </tp>
      <tp t="s">
        <v>N/A</v>
        <stp/>
        <stp>VOLUME</stp>
        <stp>.NDXP250829C20250</stp>
        <tr r="P190" s="2"/>
      </tp>
      <tp t="s">
        <v>N/A</v>
        <stp/>
        <stp>VOLUME</stp>
        <stp>.NDXP250829C21250</stp>
        <tr r="P150" s="2"/>
      </tp>
      <tp t="s">
        <v>N/A</v>
        <stp/>
        <stp>VOLUME</stp>
        <stp>.NDXP250522C20950</stp>
        <tr r="E162" s="2"/>
      </tp>
      <tp t="s">
        <v>N/A</v>
        <stp/>
        <stp>VOLUME</stp>
        <stp>.NDXP250523C20850</stp>
        <tr r="BC165" s="1"/>
      </tp>
      <tp t="s">
        <v>N/A</v>
        <stp/>
        <stp>VOLUME</stp>
        <stp>.NDXP250613C20850</stp>
        <tr r="I166" s="2"/>
      </tp>
      <tp t="s">
        <v>N/A</v>
        <stp/>
        <stp>VOLUME</stp>
        <stp>.NDXP251128C20350</stp>
        <tr r="V186" s="2"/>
      </tp>
      <tp t="s">
        <v>N/A</v>
        <stp/>
        <stp>VOLUME</stp>
        <stp>.NDXP251128C21350</stp>
        <tr r="V146" s="2"/>
      </tp>
      <tp t="s">
        <v>N/A</v>
        <stp/>
        <stp>VOLUME</stp>
        <stp>.NDXP251128C20325</stp>
        <tr r="V187" s="2"/>
      </tp>
      <tp t="s">
        <v>N/A</v>
        <stp/>
        <stp>VOLUME</stp>
        <stp>.NDXP251128C21325</stp>
        <tr r="V147" s="2"/>
      </tp>
      <tp t="s">
        <v>N/A</v>
        <stp/>
        <stp>VOLUME</stp>
        <stp>.NDXP250829C21225</stp>
        <tr r="P151" s="2"/>
      </tp>
      <tp t="s">
        <v>N/A</v>
        <stp/>
        <stp>VOLUME</stp>
        <stp>.NDXP250522C20925</stp>
        <tr r="E163" s="2"/>
      </tp>
      <tp>
        <v>1</v>
        <stp/>
        <stp>VOLUME</stp>
        <stp>.NDXP250523C20825</stp>
        <tr r="BC166" s="1"/>
        <tr r="BC166" s="1"/>
      </tp>
      <tp t="s">
        <v>N/A</v>
        <stp/>
        <stp>VOLUME</stp>
        <stp>.NDXP250613C20825</stp>
        <tr r="I167" s="2"/>
      </tp>
      <tp t="s">
        <v>N/A</v>
        <stp/>
        <stp>VOLUME</stp>
        <stp>.NDXP251128C20300</stp>
        <tr r="V188" s="2"/>
      </tp>
      <tp t="s">
        <v>N/A</v>
        <stp/>
        <stp>VOLUME</stp>
        <stp>.NDXP251128C21300</stp>
        <tr r="V148" s="2"/>
      </tp>
      <tp t="s">
        <v>N/A</v>
        <stp/>
        <stp>VOLUME</stp>
        <stp>.NDXP250829C21200</stp>
        <tr r="P152" s="2"/>
      </tp>
      <tp t="s">
        <v>N/A</v>
        <stp/>
        <stp>VOLUME</stp>
        <stp>.NDXP250522C20900</stp>
        <tr r="E164" s="2"/>
      </tp>
      <tp>
        <v>1</v>
        <stp/>
        <stp>VOLUME</stp>
        <stp>.NDXP250523C20800</stp>
        <tr r="BC167" s="1"/>
        <tr r="BC167" s="1"/>
      </tp>
      <tp t="s">
        <v>N/A</v>
        <stp/>
        <stp>VOLUME</stp>
        <stp>.NDXP250613C20800</stp>
        <tr r="I168" s="2"/>
      </tp>
      <tp>
        <v>4</v>
        <stp/>
        <stp>VOLUME</stp>
        <stp>.SPXW250613C5790</stp>
        <tr r="I114" s="2"/>
        <tr r="I114" s="2"/>
      </tp>
      <tp>
        <v>8</v>
        <stp/>
        <stp>VOLUME</stp>
        <stp>.SPXW250613P5790</stp>
        <tr r="I114" s="2"/>
        <tr r="I114" s="2"/>
      </tp>
      <tp t="s">
        <v>N/A</v>
        <stp/>
        <stp>VOLUME</stp>
        <stp>.SPXW250613C5780</stp>
        <tr r="I115" s="2"/>
      </tp>
      <tp>
        <v>40</v>
        <stp/>
        <stp>VOLUME</stp>
        <stp>.SPXW250613P5780</stp>
        <tr r="I115" s="2"/>
        <tr r="I115" s="2"/>
      </tp>
      <tp t="s">
        <v>N/A</v>
        <stp/>
        <stp>VOLUME</stp>
        <stp>.NDXP251128P20350</stp>
        <tr r="V186" s="2"/>
      </tp>
      <tp t="s">
        <v>N/A</v>
        <stp/>
        <stp>VOLUME</stp>
        <stp>.NDXP251128P21350</stp>
        <tr r="V146" s="2"/>
      </tp>
      <tp t="s">
        <v>N/A</v>
        <stp/>
        <stp>VOLUME</stp>
        <stp>.SPXW250613C5730</stp>
        <tr r="I120" s="2"/>
      </tp>
      <tp>
        <v>28</v>
        <stp/>
        <stp>VOLUME</stp>
        <stp>.SPXW250613P5730</stp>
        <tr r="I120" s="2"/>
        <tr r="I120" s="2"/>
      </tp>
      <tp t="s">
        <v>N/A</v>
        <stp/>
        <stp>VOLUME</stp>
        <stp>.NDXP250829P20250</stp>
        <tr r="P190" s="2"/>
      </tp>
      <tp t="s">
        <v>N/A</v>
        <stp/>
        <stp>VOLUME</stp>
        <stp>.NDXP250829P21250</stp>
        <tr r="P150" s="2"/>
      </tp>
      <tp>
        <v>1</v>
        <stp/>
        <stp>VOLUME</stp>
        <stp>.NDXP250522P20950</stp>
        <tr r="E162" s="2"/>
        <tr r="E162" s="2"/>
      </tp>
      <tp>
        <v>1</v>
        <stp/>
        <stp>VOLUME</stp>
        <stp>.NDXP250523P20850</stp>
        <tr r="BD165" s="1"/>
        <tr r="BD165" s="1"/>
      </tp>
      <tp t="s">
        <v>N/A</v>
        <stp/>
        <stp>VOLUME</stp>
        <stp>.NDXP250613P20850</stp>
        <tr r="I166" s="2"/>
      </tp>
      <tp>
        <v>1</v>
        <stp/>
        <stp>VOLUME</stp>
        <stp>.SPXW250613C5720</stp>
        <tr r="I121" s="2"/>
        <tr r="I121" s="2"/>
      </tp>
      <tp t="s">
        <v>N/A</v>
        <stp/>
        <stp>VOLUME</stp>
        <stp>.SPXW250613P5720</stp>
        <tr r="I121" s="2"/>
      </tp>
      <tp t="s">
        <v>N/A</v>
        <stp/>
        <stp>VOLUME</stp>
        <stp>.NDXP251128P20375</stp>
        <tr r="V185" s="2"/>
      </tp>
      <tp t="s">
        <v>N/A</v>
        <stp/>
        <stp>VOLUME</stp>
        <stp>.NDXP251128P21375</stp>
        <tr r="V145" s="2"/>
      </tp>
      <tp>
        <v>1</v>
        <stp/>
        <stp>VOLUME</stp>
        <stp>.SPXW250613C5710</stp>
        <tr r="I122" s="2"/>
        <tr r="I122" s="2"/>
      </tp>
      <tp>
        <v>6</v>
        <stp/>
        <stp>VOLUME</stp>
        <stp>.SPXW250613P5710</stp>
        <tr r="I122" s="2"/>
        <tr r="I122" s="2"/>
      </tp>
      <tp t="s">
        <v>N/A</v>
        <stp/>
        <stp>VOLUME</stp>
        <stp>.NDXP250829P20275</stp>
        <tr r="P189" s="2"/>
      </tp>
      <tp t="s">
        <v>N/A</v>
        <stp/>
        <stp>VOLUME</stp>
        <stp>.NDXP250829P21275</stp>
        <tr r="P149" s="2"/>
      </tp>
      <tp t="s">
        <v>N/A</v>
        <stp/>
        <stp>VOLUME</stp>
        <stp>.NDXP250522P20975</stp>
        <tr r="E161" s="2"/>
      </tp>
      <tp>
        <v>7</v>
        <stp/>
        <stp>VOLUME</stp>
        <stp>.NDXP250523P20875</stp>
        <tr r="BD164" s="1"/>
        <tr r="BD164" s="1"/>
      </tp>
      <tp t="s">
        <v>N/A</v>
        <stp/>
        <stp>VOLUME</stp>
        <stp>.NDXP250613P20875</stp>
        <tr r="I165" s="2"/>
      </tp>
      <tp>
        <v>1</v>
        <stp/>
        <stp>VOLUME</stp>
        <stp>.SPXW250613C5700</stp>
        <tr r="I123" s="2"/>
        <tr r="I123" s="2"/>
      </tp>
      <tp>
        <v>73</v>
        <stp/>
        <stp>VOLUME</stp>
        <stp>.SPXW250613P5700</stp>
        <tr r="I123" s="2"/>
        <tr r="I123" s="2"/>
      </tp>
      <tp t="s">
        <v>N/A</v>
        <stp/>
        <stp>VOLUME</stp>
        <stp>.NDXP250829P21200</stp>
        <tr r="P152" s="2"/>
      </tp>
      <tp>
        <v>1</v>
        <stp/>
        <stp>VOLUME</stp>
        <stp>.NDXP250522P20900</stp>
        <tr r="E164" s="2"/>
        <tr r="E164" s="2"/>
      </tp>
      <tp>
        <v>15</v>
        <stp/>
        <stp>VOLUME</stp>
        <stp>.NDXP250523P20800</stp>
        <tr r="BD167" s="1"/>
        <tr r="BD167" s="1"/>
      </tp>
      <tp t="s">
        <v>N/A</v>
        <stp/>
        <stp>VOLUME</stp>
        <stp>.NDXP250613P20800</stp>
        <tr r="I168" s="2"/>
      </tp>
      <tp t="s">
        <v>N/A</v>
        <stp/>
        <stp>VOLUME</stp>
        <stp>.SPXW250613C5770</stp>
        <tr r="I116" s="2"/>
      </tp>
      <tp t="s">
        <v>N/A</v>
        <stp/>
        <stp>VOLUME</stp>
        <stp>.SPXW250613P5770</stp>
        <tr r="I116" s="2"/>
      </tp>
      <tp t="s">
        <v>N/A</v>
        <stp/>
        <stp>VOLUME</stp>
        <stp>.NDXP251128P20300</stp>
        <tr r="V188" s="2"/>
      </tp>
      <tp t="s">
        <v>N/A</v>
        <stp/>
        <stp>VOLUME</stp>
        <stp>.NDXP251128P21300</stp>
        <tr r="V148" s="2"/>
      </tp>
      <tp t="s">
        <v>N/A</v>
        <stp/>
        <stp>VOLUME</stp>
        <stp>.SPXW250613C5760</stp>
        <tr r="I117" s="2"/>
      </tp>
      <tp>
        <v>8</v>
        <stp/>
        <stp>VOLUME</stp>
        <stp>.SPXW250613P5760</stp>
        <tr r="I117" s="2"/>
        <tr r="I117" s="2"/>
      </tp>
      <tp t="s">
        <v>N/A</v>
        <stp/>
        <stp>VOLUME</stp>
        <stp>.NDXP250829P21225</stp>
        <tr r="P151" s="2"/>
      </tp>
      <tp t="s">
        <v>N/A</v>
        <stp/>
        <stp>VOLUME</stp>
        <stp>.NDXP250522P20925</stp>
        <tr r="E163" s="2"/>
      </tp>
      <tp>
        <v>5</v>
        <stp/>
        <stp>VOLUME</stp>
        <stp>.NDXP250523P20825</stp>
        <tr r="BD166" s="1"/>
        <tr r="BD166" s="1"/>
      </tp>
      <tp t="s">
        <v>N/A</v>
        <stp/>
        <stp>VOLUME</stp>
        <stp>.NDXP250613P20825</stp>
        <tr r="I167" s="2"/>
      </tp>
      <tp t="s">
        <v>N/A</v>
        <stp/>
        <stp>VOLUME</stp>
        <stp>.SPXW250613C5750</stp>
        <tr r="I118" s="2"/>
      </tp>
      <tp t="s">
        <v>N/A</v>
        <stp/>
        <stp>VOLUME</stp>
        <stp>.SPXW250613P5750</stp>
        <tr r="I118" s="2"/>
      </tp>
      <tp t="s">
        <v>N/A</v>
        <stp/>
        <stp>VOLUME</stp>
        <stp>.NDXP251128P20325</stp>
        <tr r="V187" s="2"/>
      </tp>
      <tp t="s">
        <v>N/A</v>
        <stp/>
        <stp>VOLUME</stp>
        <stp>.NDXP251128P21325</stp>
        <tr r="V147" s="2"/>
      </tp>
      <tp>
        <v>1</v>
        <stp/>
        <stp>VOLUME</stp>
        <stp>.SPXW250613C5740</stp>
        <tr r="I119" s="2"/>
        <tr r="I119" s="2"/>
      </tp>
      <tp>
        <v>5</v>
        <stp/>
        <stp>VOLUME</stp>
        <stp>.SPXW250613P5740</stp>
        <tr r="I119" s="2"/>
        <tr r="I119" s="2"/>
      </tp>
      <tp>
        <v>-0.54</v>
        <stp/>
        <stp>DELTA</stp>
        <stp>.NDXP250523P21425</stp>
        <tr r="CG142" s="1"/>
        <tr r="CG142" s="1"/>
      </tp>
      <tp>
        <v>-0.06</v>
        <stp/>
        <stp>DELTA</stp>
        <stp>.NDXP250520P20725</stp>
        <tr r="CE170" s="1"/>
        <tr r="CE170" s="1"/>
      </tp>
      <tp>
        <v>-0.04</v>
        <stp/>
        <stp>DELTA</stp>
        <stp>.NDXP250523P20425</stp>
        <tr r="CG182" s="1"/>
        <tr r="CG182" s="1"/>
      </tp>
      <tp>
        <v>-0.52</v>
        <stp/>
        <stp>DELTA</stp>
        <stp>.NDXP250523P21400</stp>
        <tr r="CG143" s="1"/>
        <tr r="CG143" s="1"/>
      </tp>
      <tp>
        <v>0</v>
        <stp/>
        <stp>DELTA</stp>
        <stp>.NDXP250520P20700</stp>
        <tr r="CE171" s="1"/>
        <tr r="CE171" s="1"/>
      </tp>
      <tp>
        <v>-0.03</v>
        <stp/>
        <stp>DELTA</stp>
        <stp>.NDXP250523P20400</stp>
        <tr r="CG183" s="1"/>
        <tr r="CG183" s="1"/>
      </tp>
      <tp>
        <v>-0.59</v>
        <stp/>
        <stp>DELTA</stp>
        <stp>.NDXP250523P21475</stp>
        <tr r="CG140" s="1"/>
        <tr r="CG140" s="1"/>
      </tp>
      <tp>
        <v>-0.06</v>
        <stp/>
        <stp>DELTA</stp>
        <stp>.NDXP250520P20775</stp>
        <tr r="CE168" s="1"/>
        <tr r="CE168" s="1"/>
      </tp>
      <tp>
        <v>-0.04</v>
        <stp/>
        <stp>DELTA</stp>
        <stp>.NDXP250523P20475</stp>
        <tr r="CG180" s="1"/>
        <tr r="CG180" s="1"/>
      </tp>
      <tp>
        <v>-0.56000000000000005</v>
        <stp/>
        <stp>DELTA</stp>
        <stp>.NDXP250523P21450</stp>
        <tr r="CG141" s="1"/>
        <tr r="CG141" s="1"/>
      </tp>
      <tp>
        <v>-0.06</v>
        <stp/>
        <stp>DELTA</stp>
        <stp>.NDXP250520P20750</stp>
        <tr r="CE169" s="1"/>
        <tr r="CE169" s="1"/>
      </tp>
      <tp>
        <v>-0.04</v>
        <stp/>
        <stp>DELTA</stp>
        <stp>.NDXP250523P20450</stp>
        <tr r="CG181" s="1"/>
        <tr r="CG181" s="1"/>
      </tp>
      <tp>
        <v>0.48</v>
        <stp/>
        <stp>DELTA</stp>
        <stp>.NDXP250523C21400</stp>
        <tr r="CF143" s="1"/>
        <tr r="CF143" s="1"/>
      </tp>
      <tp>
        <v>0.97</v>
        <stp/>
        <stp>DELTA</stp>
        <stp>.NDXP250520C20700</stp>
        <tr r="CD171" s="1"/>
        <tr r="CD171" s="1"/>
      </tp>
      <tp>
        <v>1</v>
        <stp/>
        <stp>DELTA</stp>
        <stp>.NDXP250523C20400</stp>
        <tr r="CF183" s="1"/>
        <tr r="CF183" s="1"/>
      </tp>
      <tp>
        <v>0.45</v>
        <stp/>
        <stp>DELTA</stp>
        <stp>.NDXP250523C21425</stp>
        <tr r="CF142" s="1"/>
        <tr r="CF142" s="1"/>
      </tp>
      <tp>
        <v>0.98</v>
        <stp/>
        <stp>DELTA</stp>
        <stp>.NDXP250520C20725</stp>
        <tr r="CD170" s="1"/>
        <tr r="CD170" s="1"/>
      </tp>
      <tp>
        <v>0.96</v>
        <stp/>
        <stp>DELTA</stp>
        <stp>.NDXP250523C20425</stp>
        <tr r="CF182" s="1"/>
        <tr r="CF182" s="1"/>
      </tp>
      <tp>
        <v>0.42</v>
        <stp/>
        <stp>DELTA</stp>
        <stp>.NDXP250523C21450</stp>
        <tr r="CF141" s="1"/>
        <tr r="CF141" s="1"/>
      </tp>
      <tp>
        <v>0.98</v>
        <stp/>
        <stp>DELTA</stp>
        <stp>.NDXP250520C20750</stp>
        <tr r="CD169" s="1"/>
        <tr r="CD169" s="1"/>
      </tp>
      <tp>
        <v>1</v>
        <stp/>
        <stp>DELTA</stp>
        <stp>.NDXP250523C20450</stp>
        <tr r="CF181" s="1"/>
        <tr r="CF181" s="1"/>
      </tp>
      <tp>
        <v>0.39</v>
        <stp/>
        <stp>DELTA</stp>
        <stp>.NDXP250523C21475</stp>
        <tr r="CF140" s="1"/>
        <tr r="CF140" s="1"/>
      </tp>
      <tp>
        <v>0.98</v>
        <stp/>
        <stp>DELTA</stp>
        <stp>.NDXP250520C20775</stp>
        <tr r="CD168" s="1"/>
        <tr r="CD168" s="1"/>
      </tp>
      <tp>
        <v>0.96</v>
        <stp/>
        <stp>DELTA</stp>
        <stp>.NDXP250523C20475</stp>
        <tr r="CF180" s="1"/>
        <tr r="CF180" s="1"/>
      </tp>
      <tp t="s">
        <v>N/A</v>
        <stp/>
        <stp>VOLUME</stp>
        <stp>.NDXP250930C21475</stp>
        <tr r="R141" s="2"/>
      </tp>
      <tp t="s">
        <v>N/A</v>
        <stp/>
        <stp>VOLUME</stp>
        <stp>.NDXP250930C20475</stp>
        <tr r="R181" s="2"/>
      </tp>
      <tp>
        <v>1</v>
        <stp/>
        <stp>VOLUME</stp>
        <stp>.NDXP250520C20475</stp>
        <tr r="BA180" s="1"/>
        <tr r="BA180" s="1"/>
      </tp>
      <tp t="s">
        <v>N/A</v>
        <stp/>
        <stp>VOLUME</stp>
        <stp>.NDXP250521C20575</stp>
        <tr r="D177" s="2"/>
      </tp>
      <tp t="s">
        <v>N/A</v>
        <stp/>
        <stp>VOLUME</stp>
        <stp>.NDXP250522C20675</stp>
        <tr r="E173" s="2"/>
      </tp>
      <tp t="s">
        <v>N/A</v>
        <stp/>
        <stp>VOLUME</stp>
        <stp>.NDXP250523C20775</stp>
        <tr r="BC168" s="1"/>
      </tp>
      <tp t="s">
        <v>N/A</v>
        <stp/>
        <stp>VOLUME</stp>
        <stp>.NDXP250530C21475</stp>
        <tr r="G141" s="2"/>
      </tp>
      <tp>
        <v>311</v>
        <stp/>
        <stp>VOLUME</stp>
        <stp>.NDXP250520C21475</stp>
        <tr r="BA140" s="1"/>
        <tr r="BA140" s="1"/>
      </tp>
      <tp t="s">
        <v>N/A</v>
        <stp/>
        <stp>VOLUME</stp>
        <stp>.NDXP250530C20475</stp>
        <tr r="G181" s="2"/>
      </tp>
      <tp t="s">
        <v>N/A</v>
        <stp/>
        <stp>VOLUME</stp>
        <stp>.NDXP250613C20775</stp>
        <tr r="I169" s="2"/>
      </tp>
      <tp t="s">
        <v>N/A</v>
        <stp/>
        <stp>VOLUME</stp>
        <stp>.NDXP250630C21475</stp>
        <tr r="L141" s="2"/>
      </tp>
      <tp t="s">
        <v>N/A</v>
        <stp/>
        <stp>VOLUME</stp>
        <stp>.NDXP250630C20475</stp>
        <tr r="L181" s="2"/>
      </tp>
      <tp t="s">
        <v>N/A</v>
        <stp/>
        <stp>VOLUME</stp>
        <stp>.NDXP250731C20575</stp>
        <tr r="N177" s="2"/>
      </tp>
      <tp t="s">
        <v>N/A</v>
        <stp/>
        <stp>VOLUME</stp>
        <stp>.NDXP251031C20575</stp>
        <tr r="T177" s="2"/>
      </tp>
      <tp t="s">
        <v>N/A</v>
        <stp/>
        <stp>VOLUME</stp>
        <stp>.NDXP251231C20575</stp>
        <tr r="X177" s="2"/>
      </tp>
      <tp t="s">
        <v>N/A</v>
        <stp/>
        <stp>VOLUME</stp>
        <stp>.NDXP250930C21450</stp>
        <tr r="R142" s="2"/>
      </tp>
      <tp t="s">
        <v>N/A</v>
        <stp/>
        <stp>VOLUME</stp>
        <stp>.NDXP250930C20450</stp>
        <tr r="R182" s="2"/>
      </tp>
      <tp>
        <v>1</v>
        <stp/>
        <stp>VOLUME</stp>
        <stp>.NDXP250520C20450</stp>
        <tr r="BA181" s="1"/>
        <tr r="BA181" s="1"/>
      </tp>
      <tp t="s">
        <v>N/A</v>
        <stp/>
        <stp>VOLUME</stp>
        <stp>.NDXP250521C20550</stp>
        <tr r="D178" s="2"/>
      </tp>
      <tp t="s">
        <v>N/A</v>
        <stp/>
        <stp>VOLUME</stp>
        <stp>.NDXP250522C20650</stp>
        <tr r="E174" s="2"/>
      </tp>
      <tp t="s">
        <v>N/A</v>
        <stp/>
        <stp>VOLUME</stp>
        <stp>.NDXP250523C20750</stp>
        <tr r="BC169" s="1"/>
      </tp>
      <tp t="s">
        <v>N/A</v>
        <stp/>
        <stp>VOLUME</stp>
        <stp>.NDXP250530C21450</stp>
        <tr r="G142" s="2"/>
      </tp>
      <tp>
        <v>836</v>
        <stp/>
        <stp>VOLUME</stp>
        <stp>.NDXP250520C21450</stp>
        <tr r="BA141" s="1"/>
        <tr r="BA141" s="1"/>
      </tp>
      <tp>
        <v>33</v>
        <stp/>
        <stp>VOLUME</stp>
        <stp>.NDXP250521C21550</stp>
        <tr r="D138" s="2"/>
        <tr r="D138" s="2"/>
      </tp>
      <tp t="s">
        <v>N/A</v>
        <stp/>
        <stp>VOLUME</stp>
        <stp>.NDXP250530C20450</stp>
        <tr r="G182" s="2"/>
      </tp>
      <tp t="s">
        <v>N/A</v>
        <stp/>
        <stp>VOLUME</stp>
        <stp>.NDXP250731C21550</stp>
        <tr r="N138" s="2"/>
      </tp>
      <tp t="s">
        <v>N/A</v>
        <stp/>
        <stp>VOLUME</stp>
        <stp>.NDXP250731C20550</stp>
        <tr r="N178" s="2"/>
      </tp>
      <tp t="s">
        <v>N/A</v>
        <stp/>
        <stp>VOLUME</stp>
        <stp>.NDXP250613C20750</stp>
        <tr r="I170" s="2"/>
      </tp>
      <tp t="s">
        <v>N/A</v>
        <stp/>
        <stp>VOLUME</stp>
        <stp>.NDXP250630C21450</stp>
        <tr r="L142" s="2"/>
      </tp>
      <tp t="s">
        <v>N/A</v>
        <stp/>
        <stp>VOLUME</stp>
        <stp>.NDXP250630C20450</stp>
        <tr r="L182" s="2"/>
      </tp>
      <tp t="s">
        <v>N/A</v>
        <stp/>
        <stp>VOLUME</stp>
        <stp>.NDXP251031C21550</stp>
        <tr r="T138" s="2"/>
      </tp>
      <tp t="s">
        <v>N/A</v>
        <stp/>
        <stp>VOLUME</stp>
        <stp>.NDXP251031C20550</stp>
        <tr r="T178" s="2"/>
      </tp>
      <tp t="s">
        <v>N/A</v>
        <stp/>
        <stp>VOLUME</stp>
        <stp>.NDXP251231C21550</stp>
        <tr r="X138" s="2"/>
      </tp>
      <tp t="s">
        <v>N/A</v>
        <stp/>
        <stp>VOLUME</stp>
        <stp>.NDXP251231C20550</stp>
        <tr r="X178" s="2"/>
      </tp>
      <tp t="s">
        <v>N/A</v>
        <stp/>
        <stp>VOLUME</stp>
        <stp>.NDXP251031C21525</stp>
        <tr r="T139" s="2"/>
      </tp>
      <tp t="s">
        <v>N/A</v>
        <stp/>
        <stp>VOLUME</stp>
        <stp>.NDXP251031C20525</stp>
        <tr r="T179" s="2"/>
      </tp>
      <tp t="s">
        <v>N/A</v>
        <stp/>
        <stp>VOLUME</stp>
        <stp>.NDXP251231C21525</stp>
        <tr r="X139" s="2"/>
      </tp>
      <tp t="s">
        <v>N/A</v>
        <stp/>
        <stp>VOLUME</stp>
        <stp>.NDXP251231C20525</stp>
        <tr r="X179" s="2"/>
      </tp>
      <tp t="s">
        <v>N/A</v>
        <stp/>
        <stp>VOLUME</stp>
        <stp>.NDXP250930C21425</stp>
        <tr r="R143" s="2"/>
      </tp>
      <tp t="s">
        <v>N/A</v>
        <stp/>
        <stp>VOLUME</stp>
        <stp>.NDXP250930C20425</stp>
        <tr r="R183" s="2"/>
      </tp>
      <tp t="s">
        <v>N/A</v>
        <stp/>
        <stp>VOLUME</stp>
        <stp>.NDXP250520C20425</stp>
        <tr r="BA182" s="1"/>
      </tp>
      <tp t="s">
        <v>N/A</v>
        <stp/>
        <stp>VOLUME</stp>
        <stp>.NDXP250521C20525</stp>
        <tr r="D179" s="2"/>
      </tp>
      <tp t="s">
        <v>N/A</v>
        <stp/>
        <stp>VOLUME</stp>
        <stp>.NDXP250522C20625</stp>
        <tr r="E175" s="2"/>
      </tp>
      <tp t="s">
        <v>N/A</v>
        <stp/>
        <stp>VOLUME</stp>
        <stp>.NDXP250523C20725</stp>
        <tr r="BC170" s="1"/>
      </tp>
      <tp t="s">
        <v>N/A</v>
        <stp/>
        <stp>VOLUME</stp>
        <stp>.NDXP250530C21425</stp>
        <tr r="G143" s="2"/>
      </tp>
      <tp>
        <v>155</v>
        <stp/>
        <stp>VOLUME</stp>
        <stp>.NDXP250520C21425</stp>
        <tr r="BA142" s="1"/>
        <tr r="BA142" s="1"/>
      </tp>
      <tp t="s">
        <v>N/A</v>
        <stp/>
        <stp>VOLUME</stp>
        <stp>.NDXP250521C21525</stp>
        <tr r="D139" s="2"/>
      </tp>
      <tp t="s">
        <v>N/A</v>
        <stp/>
        <stp>VOLUME</stp>
        <stp>.NDXP250530C20425</stp>
        <tr r="G183" s="2"/>
      </tp>
      <tp t="s">
        <v>N/A</v>
        <stp/>
        <stp>VOLUME</stp>
        <stp>.NDXP250613C20725</stp>
        <tr r="I171" s="2"/>
      </tp>
      <tp>
        <v>1</v>
        <stp/>
        <stp>VOLUME</stp>
        <stp>.NDXP250630C21425</stp>
        <tr r="L143" s="2"/>
        <tr r="L143" s="2"/>
      </tp>
      <tp t="s">
        <v>N/A</v>
        <stp/>
        <stp>VOLUME</stp>
        <stp>.NDXP250630C20425</stp>
        <tr r="L183" s="2"/>
      </tp>
      <tp t="s">
        <v>N/A</v>
        <stp/>
        <stp>VOLUME</stp>
        <stp>.NDXP250731C21525</stp>
        <tr r="N139" s="2"/>
      </tp>
      <tp t="s">
        <v>N/A</v>
        <stp/>
        <stp>VOLUME</stp>
        <stp>.NDXP250731C20525</stp>
        <tr r="N179" s="2"/>
      </tp>
      <tp t="s">
        <v>N/A</v>
        <stp/>
        <stp>VOLUME</stp>
        <stp>.NDXP251031C21500</stp>
        <tr r="T140" s="2"/>
      </tp>
      <tp t="s">
        <v>N/A</v>
        <stp/>
        <stp>VOLUME</stp>
        <stp>.NDXP251031C20500</stp>
        <tr r="T180" s="2"/>
      </tp>
      <tp t="s">
        <v>N/A</v>
        <stp/>
        <stp>VOLUME</stp>
        <stp>.NDXP251231C21500</stp>
        <tr r="X140" s="2"/>
      </tp>
      <tp t="s">
        <v>N/A</v>
        <stp/>
        <stp>VOLUME</stp>
        <stp>.NDXP251231C20500</stp>
        <tr r="X180" s="2"/>
      </tp>
      <tp t="s">
        <v>N/A</v>
        <stp/>
        <stp>VOLUME</stp>
        <stp>.NDXP250930C21400</stp>
        <tr r="R144" s="2"/>
      </tp>
      <tp t="s">
        <v>N/A</v>
        <stp/>
        <stp>VOLUME</stp>
        <stp>.NDXP250930C20400</stp>
        <tr r="R184" s="2"/>
      </tp>
      <tp>
        <v>10</v>
        <stp/>
        <stp>VOLUME</stp>
        <stp>.NDXP250520C20400</stp>
        <tr r="BA183" s="1"/>
        <tr r="BA183" s="1"/>
      </tp>
      <tp>
        <v>1</v>
        <stp/>
        <stp>VOLUME</stp>
        <stp>.NDXP250521C20500</stp>
        <tr r="D180" s="2"/>
        <tr r="D180" s="2"/>
      </tp>
      <tp t="s">
        <v>N/A</v>
        <stp/>
        <stp>VOLUME</stp>
        <stp>.NDXP250522C20600</stp>
        <tr r="E176" s="2"/>
      </tp>
      <tp t="s">
        <v>N/A</v>
        <stp/>
        <stp>VOLUME</stp>
        <stp>.NDXP250523C20700</stp>
        <tr r="BC171" s="1"/>
      </tp>
      <tp>
        <v>7</v>
        <stp/>
        <stp>VOLUME</stp>
        <stp>.NDXP250530C21400</stp>
        <tr r="G144" s="2"/>
        <tr r="G144" s="2"/>
      </tp>
      <tp>
        <v>1346</v>
        <stp/>
        <stp>VOLUME</stp>
        <stp>.NDXP250520C21400</stp>
        <tr r="BA143" s="1"/>
        <tr r="BA143" s="1"/>
      </tp>
      <tp>
        <v>229</v>
        <stp/>
        <stp>VOLUME</stp>
        <stp>.NDXP250521C21500</stp>
        <tr r="D140" s="2"/>
        <tr r="D140" s="2"/>
      </tp>
      <tp t="s">
        <v>N/A</v>
        <stp/>
        <stp>VOLUME</stp>
        <stp>.NDXP250530C20400</stp>
        <tr r="G184" s="2"/>
      </tp>
      <tp t="s">
        <v>N/A</v>
        <stp/>
        <stp>VOLUME</stp>
        <stp>.NDXP250731C21500</stp>
        <tr r="N140" s="2"/>
      </tp>
      <tp t="s">
        <v>N/A</v>
        <stp/>
        <stp>VOLUME</stp>
        <stp>.NDXP250731C20500</stp>
        <tr r="N180" s="2"/>
      </tp>
      <tp t="s">
        <v>N/A</v>
        <stp/>
        <stp>VOLUME</stp>
        <stp>.NDXP250613C20700</stp>
        <tr r="I172" s="2"/>
      </tp>
      <tp>
        <v>8</v>
        <stp/>
        <stp>VOLUME</stp>
        <stp>.NDXP250630C21400</stp>
        <tr r="L144" s="2"/>
        <tr r="L144" s="2"/>
      </tp>
      <tp t="s">
        <v>N/A</v>
        <stp/>
        <stp>VOLUME</stp>
        <stp>.NDXP250630C20400</stp>
        <tr r="L184" s="2"/>
      </tp>
      <tp>
        <v>17</v>
        <stp/>
        <stp>VOLUME</stp>
        <stp>.SPXW250613C5890</stp>
        <tr r="I104" s="2"/>
        <tr r="I104" s="2"/>
      </tp>
      <tp>
        <v>5</v>
        <stp/>
        <stp>VOLUME</stp>
        <stp>.SPXW250613P5890</stp>
        <tr r="I104" s="2"/>
        <tr r="I104" s="2"/>
      </tp>
      <tp>
        <v>8</v>
        <stp/>
        <stp>VOLUME</stp>
        <stp>.SPXW250613C5880</stp>
        <tr r="I105" s="2"/>
        <tr r="I105" s="2"/>
      </tp>
      <tp>
        <v>28</v>
        <stp/>
        <stp>VOLUME</stp>
        <stp>.SPXW250613P5880</stp>
        <tr r="I105" s="2"/>
        <tr r="I105" s="2"/>
      </tp>
      <tp t="s">
        <v>N/A</v>
        <stp/>
        <stp>VOLUME</stp>
        <stp>.NDXP251031P21550</stp>
        <tr r="T138" s="2"/>
      </tp>
      <tp t="s">
        <v>N/A</v>
        <stp/>
        <stp>VOLUME</stp>
        <stp>.NDXP251031P20550</stp>
        <tr r="T178" s="2"/>
      </tp>
      <tp t="s">
        <v>N/A</v>
        <stp/>
        <stp>VOLUME</stp>
        <stp>.NDXP251231P21550</stp>
        <tr r="X138" s="2"/>
      </tp>
      <tp t="s">
        <v>N/A</v>
        <stp/>
        <stp>VOLUME</stp>
        <stp>.NDXP251231P20550</stp>
        <tr r="X178" s="2"/>
      </tp>
      <tp>
        <v>3</v>
        <stp/>
        <stp>VOLUME</stp>
        <stp>.SPXW250613C5830</stp>
        <tr r="I110" s="2"/>
        <tr r="I110" s="2"/>
      </tp>
      <tp>
        <v>18</v>
        <stp/>
        <stp>VOLUME</stp>
        <stp>.SPXW250613P5830</stp>
        <tr r="I110" s="2"/>
        <tr r="I110" s="2"/>
      </tp>
      <tp t="s">
        <v>N/A</v>
        <stp/>
        <stp>VOLUME</stp>
        <stp>.NDXP250930P21450</stp>
        <tr r="R142" s="2"/>
      </tp>
      <tp t="s">
        <v>N/A</v>
        <stp/>
        <stp>VOLUME</stp>
        <stp>.NDXP250930P20450</stp>
        <tr r="R182" s="2"/>
      </tp>
      <tp t="s">
        <v>N/A</v>
        <stp/>
        <stp>VOLUME</stp>
        <stp>.NDXP250520P20450</stp>
        <tr r="BB181" s="1"/>
      </tp>
      <tp>
        <v>45</v>
        <stp/>
        <stp>VOLUME</stp>
        <stp>.NDXP250521P20550</stp>
        <tr r="D178" s="2"/>
        <tr r="D178" s="2"/>
      </tp>
      <tp>
        <v>6</v>
        <stp/>
        <stp>VOLUME</stp>
        <stp>.NDXP250522P20650</stp>
        <tr r="E174" s="2"/>
        <tr r="E174" s="2"/>
      </tp>
      <tp>
        <v>4</v>
        <stp/>
        <stp>VOLUME</stp>
        <stp>.NDXP250523P20750</stp>
        <tr r="BD169" s="1"/>
        <tr r="BD169" s="1"/>
      </tp>
      <tp t="s">
        <v>N/A</v>
        <stp/>
        <stp>VOLUME</stp>
        <stp>.NDXP250530P21450</stp>
        <tr r="G142" s="2"/>
      </tp>
      <tp>
        <v>17</v>
        <stp/>
        <stp>VOLUME</stp>
        <stp>.NDXP250520P21450</stp>
        <tr r="BB141" s="1"/>
        <tr r="BB141" s="1"/>
      </tp>
      <tp>
        <v>2</v>
        <stp/>
        <stp>VOLUME</stp>
        <stp>.NDXP250521P21550</stp>
        <tr r="D138" s="2"/>
        <tr r="D138" s="2"/>
      </tp>
      <tp t="s">
        <v>N/A</v>
        <stp/>
        <stp>VOLUME</stp>
        <stp>.NDXP250530P20450</stp>
        <tr r="G182" s="2"/>
      </tp>
      <tp t="s">
        <v>N/A</v>
        <stp/>
        <stp>VOLUME</stp>
        <stp>.NDXP250731P21550</stp>
        <tr r="N138" s="2"/>
      </tp>
      <tp t="s">
        <v>N/A</v>
        <stp/>
        <stp>VOLUME</stp>
        <stp>.NDXP250731P20550</stp>
        <tr r="N178" s="2"/>
      </tp>
      <tp t="s">
        <v>N/A</v>
        <stp/>
        <stp>VOLUME</stp>
        <stp>.NDXP250613P20750</stp>
        <tr r="I170" s="2"/>
      </tp>
      <tp t="s">
        <v>N/A</v>
        <stp/>
        <stp>VOLUME</stp>
        <stp>.NDXP250630P21450</stp>
        <tr r="L142" s="2"/>
      </tp>
      <tp t="s">
        <v>N/A</v>
        <stp/>
        <stp>VOLUME</stp>
        <stp>.NDXP250630P20450</stp>
        <tr r="L182" s="2"/>
      </tp>
      <tp>
        <v>1</v>
        <stp/>
        <stp>VOLUME</stp>
        <stp>.SPXW250613C5820</stp>
        <tr r="I111" s="2"/>
        <tr r="I111" s="2"/>
      </tp>
      <tp>
        <v>29</v>
        <stp/>
        <stp>VOLUME</stp>
        <stp>.SPXW250613P5820</stp>
        <tr r="I111" s="2"/>
        <tr r="I111" s="2"/>
      </tp>
      <tp t="s">
        <v>N/A</v>
        <stp/>
        <stp>VOLUME</stp>
        <stp>.NDXP251031P20575</stp>
        <tr r="T177" s="2"/>
      </tp>
      <tp t="s">
        <v>N/A</v>
        <stp/>
        <stp>VOLUME</stp>
        <stp>.NDXP251231P20575</stp>
        <tr r="X177" s="2"/>
      </tp>
      <tp>
        <v>11</v>
        <stp/>
        <stp>VOLUME</stp>
        <stp>.SPXW250613C5810</stp>
        <tr r="I112" s="2"/>
        <tr r="I112" s="2"/>
      </tp>
      <tp>
        <v>7</v>
        <stp/>
        <stp>VOLUME</stp>
        <stp>.SPXW250613P5810</stp>
        <tr r="I112" s="2"/>
        <tr r="I112" s="2"/>
      </tp>
      <tp t="s">
        <v>N/A</v>
        <stp/>
        <stp>VOLUME</stp>
        <stp>.NDXP250930P21475</stp>
        <tr r="R141" s="2"/>
      </tp>
      <tp t="s">
        <v>N/A</v>
        <stp/>
        <stp>VOLUME</stp>
        <stp>.NDXP250930P20475</stp>
        <tr r="R181" s="2"/>
      </tp>
      <tp>
        <v>1</v>
        <stp/>
        <stp>VOLUME</stp>
        <stp>.NDXP250520P20475</stp>
        <tr r="BB180" s="1"/>
        <tr r="BB180" s="1"/>
      </tp>
      <tp>
        <v>4</v>
        <stp/>
        <stp>VOLUME</stp>
        <stp>.NDXP250521P20575</stp>
        <tr r="D177" s="2"/>
        <tr r="D177" s="2"/>
      </tp>
      <tp t="s">
        <v>N/A</v>
        <stp/>
        <stp>VOLUME</stp>
        <stp>.NDXP250522P20675</stp>
        <tr r="E173" s="2"/>
      </tp>
      <tp t="s">
        <v>N/A</v>
        <stp/>
        <stp>VOLUME</stp>
        <stp>.NDXP250523P20775</stp>
        <tr r="BD168" s="1"/>
      </tp>
      <tp t="s">
        <v>N/A</v>
        <stp/>
        <stp>VOLUME</stp>
        <stp>.NDXP250530P21475</stp>
        <tr r="G141" s="2"/>
      </tp>
      <tp>
        <v>5</v>
        <stp/>
        <stp>VOLUME</stp>
        <stp>.NDXP250520P21475</stp>
        <tr r="BB140" s="1"/>
        <tr r="BB140" s="1"/>
      </tp>
      <tp t="s">
        <v>N/A</v>
        <stp/>
        <stp>VOLUME</stp>
        <stp>.NDXP250530P20475</stp>
        <tr r="G181" s="2"/>
      </tp>
      <tp t="s">
        <v>N/A</v>
        <stp/>
        <stp>VOLUME</stp>
        <stp>.NDXP250613P20775</stp>
        <tr r="I169" s="2"/>
      </tp>
      <tp t="s">
        <v>N/A</v>
        <stp/>
        <stp>VOLUME</stp>
        <stp>.NDXP250630P21475</stp>
        <tr r="L141" s="2"/>
      </tp>
      <tp t="s">
        <v>N/A</v>
        <stp/>
        <stp>VOLUME</stp>
        <stp>.NDXP250630P20475</stp>
        <tr r="L181" s="2"/>
      </tp>
      <tp t="s">
        <v>N/A</v>
        <stp/>
        <stp>VOLUME</stp>
        <stp>.NDXP250731P20575</stp>
        <tr r="N177" s="2"/>
      </tp>
      <tp t="s">
        <v>N/A</v>
        <stp/>
        <stp>VOLUME</stp>
        <stp>.SPXW250613C5800</stp>
        <tr r="I113" s="2"/>
      </tp>
      <tp t="s">
        <v>N/A</v>
        <stp/>
        <stp>VOLUME</stp>
        <stp>.SPXW250613P5800</stp>
        <tr r="I113" s="2"/>
      </tp>
      <tp t="s">
        <v>N/A</v>
        <stp/>
        <stp>VOLUME</stp>
        <stp>.NDXP250930P21400</stp>
        <tr r="R144" s="2"/>
      </tp>
      <tp t="s">
        <v>N/A</v>
        <stp/>
        <stp>VOLUME</stp>
        <stp>.NDXP250930P20400</stp>
        <tr r="R184" s="2"/>
      </tp>
      <tp>
        <v>25</v>
        <stp/>
        <stp>VOLUME</stp>
        <stp>.NDXP250520P20400</stp>
        <tr r="BB183" s="1"/>
        <tr r="BB183" s="1"/>
      </tp>
      <tp>
        <v>37</v>
        <stp/>
        <stp>VOLUME</stp>
        <stp>.NDXP250521P20500</stp>
        <tr r="D180" s="2"/>
        <tr r="D180" s="2"/>
      </tp>
      <tp>
        <v>3</v>
        <stp/>
        <stp>VOLUME</stp>
        <stp>.NDXP250522P20600</stp>
        <tr r="E176" s="2"/>
        <tr r="E176" s="2"/>
      </tp>
      <tp>
        <v>13</v>
        <stp/>
        <stp>VOLUME</stp>
        <stp>.NDXP250523P20700</stp>
        <tr r="BD171" s="1"/>
        <tr r="BD171" s="1"/>
      </tp>
      <tp t="s">
        <v>N/A</v>
        <stp/>
        <stp>VOLUME</stp>
        <stp>.NDXP250530P21400</stp>
        <tr r="G144" s="2"/>
      </tp>
      <tp>
        <v>109</v>
        <stp/>
        <stp>VOLUME</stp>
        <stp>.NDXP250520P21400</stp>
        <tr r="BB143" s="1"/>
        <tr r="BB143" s="1"/>
      </tp>
      <tp>
        <v>2</v>
        <stp/>
        <stp>VOLUME</stp>
        <stp>.NDXP250521P21500</stp>
        <tr r="D140" s="2"/>
        <tr r="D140" s="2"/>
      </tp>
      <tp>
        <v>2</v>
        <stp/>
        <stp>VOLUME</stp>
        <stp>.NDXP250530P20400</stp>
        <tr r="G184" s="2"/>
        <tr r="G184" s="2"/>
      </tp>
      <tp t="s">
        <v>N/A</v>
        <stp/>
        <stp>VOLUME</stp>
        <stp>.NDXP250731P21500</stp>
        <tr r="N140" s="2"/>
      </tp>
      <tp t="s">
        <v>N/A</v>
        <stp/>
        <stp>VOLUME</stp>
        <stp>.NDXP250731P20500</stp>
        <tr r="N180" s="2"/>
      </tp>
      <tp t="s">
        <v>N/A</v>
        <stp/>
        <stp>VOLUME</stp>
        <stp>.NDXP250613P20700</stp>
        <tr r="I172" s="2"/>
      </tp>
      <tp t="s">
        <v>N/A</v>
        <stp/>
        <stp>VOLUME</stp>
        <stp>.NDXP250630P21400</stp>
        <tr r="L144" s="2"/>
      </tp>
      <tp t="s">
        <v>N/A</v>
        <stp/>
        <stp>VOLUME</stp>
        <stp>.NDXP250630P20400</stp>
        <tr r="L184" s="2"/>
      </tp>
      <tp>
        <v>6</v>
        <stp/>
        <stp>VOLUME</stp>
        <stp>.SPXW250613C5870</stp>
        <tr r="I106" s="2"/>
        <tr r="I106" s="2"/>
      </tp>
      <tp>
        <v>13</v>
        <stp/>
        <stp>VOLUME</stp>
        <stp>.SPXW250613P5870</stp>
        <tr r="I106" s="2"/>
        <tr r="I106" s="2"/>
      </tp>
      <tp t="s">
        <v>N/A</v>
        <stp/>
        <stp>VOLUME</stp>
        <stp>.NDXP251031P21500</stp>
        <tr r="T140" s="2"/>
      </tp>
      <tp t="s">
        <v>N/A</v>
        <stp/>
        <stp>VOLUME</stp>
        <stp>.NDXP251031P20500</stp>
        <tr r="T180" s="2"/>
      </tp>
      <tp t="s">
        <v>N/A</v>
        <stp/>
        <stp>VOLUME</stp>
        <stp>.NDXP251231P21500</stp>
        <tr r="X140" s="2"/>
      </tp>
      <tp t="s">
        <v>N/A</v>
        <stp/>
        <stp>VOLUME</stp>
        <stp>.NDXP251231P20500</stp>
        <tr r="X180" s="2"/>
      </tp>
      <tp>
        <v>5</v>
        <stp/>
        <stp>VOLUME</stp>
        <stp>.SPXW250613C5860</stp>
        <tr r="I107" s="2"/>
        <tr r="I107" s="2"/>
      </tp>
      <tp>
        <v>1</v>
        <stp/>
        <stp>VOLUME</stp>
        <stp>.SPXW250613P5860</stp>
        <tr r="I107" s="2"/>
        <tr r="I107" s="2"/>
      </tp>
      <tp t="s">
        <v>N/A</v>
        <stp/>
        <stp>VOLUME</stp>
        <stp>.NDXP250930P21425</stp>
        <tr r="R143" s="2"/>
      </tp>
      <tp t="s">
        <v>N/A</v>
        <stp/>
        <stp>VOLUME</stp>
        <stp>.NDXP250930P20425</stp>
        <tr r="R183" s="2"/>
      </tp>
      <tp>
        <v>1</v>
        <stp/>
        <stp>VOLUME</stp>
        <stp>.NDXP250520P20425</stp>
        <tr r="BB182" s="1"/>
        <tr r="BB182" s="1"/>
      </tp>
      <tp t="s">
        <v>N/A</v>
        <stp/>
        <stp>VOLUME</stp>
        <stp>.NDXP250521P20525</stp>
        <tr r="D179" s="2"/>
      </tp>
      <tp>
        <v>2</v>
        <stp/>
        <stp>VOLUME</stp>
        <stp>.NDXP250522P20625</stp>
        <tr r="E175" s="2"/>
        <tr r="E175" s="2"/>
      </tp>
      <tp t="s">
        <v>N/A</v>
        <stp/>
        <stp>VOLUME</stp>
        <stp>.NDXP250523P20725</stp>
        <tr r="BD170" s="1"/>
      </tp>
      <tp t="s">
        <v>N/A</v>
        <stp/>
        <stp>VOLUME</stp>
        <stp>.NDXP250530P21425</stp>
        <tr r="G143" s="2"/>
      </tp>
      <tp>
        <v>4</v>
        <stp/>
        <stp>VOLUME</stp>
        <stp>.NDXP250520P21425</stp>
        <tr r="BB142" s="1"/>
        <tr r="BB142" s="1"/>
      </tp>
      <tp t="s">
        <v>N/A</v>
        <stp/>
        <stp>VOLUME</stp>
        <stp>.NDXP250521P21525</stp>
        <tr r="D139" s="2"/>
      </tp>
      <tp t="s">
        <v>N/A</v>
        <stp/>
        <stp>VOLUME</stp>
        <stp>.NDXP250530P20425</stp>
        <tr r="G183" s="2"/>
      </tp>
      <tp t="s">
        <v>N/A</v>
        <stp/>
        <stp>VOLUME</stp>
        <stp>.NDXP250613P20725</stp>
        <tr r="I171" s="2"/>
      </tp>
      <tp>
        <v>3</v>
        <stp/>
        <stp>VOLUME</stp>
        <stp>.NDXP250630P21425</stp>
        <tr r="L143" s="2"/>
        <tr r="L143" s="2"/>
      </tp>
      <tp t="s">
        <v>N/A</v>
        <stp/>
        <stp>VOLUME</stp>
        <stp>.NDXP250630P20425</stp>
        <tr r="L183" s="2"/>
      </tp>
      <tp t="s">
        <v>N/A</v>
        <stp/>
        <stp>VOLUME</stp>
        <stp>.NDXP250731P21525</stp>
        <tr r="N139" s="2"/>
      </tp>
      <tp t="s">
        <v>N/A</v>
        <stp/>
        <stp>VOLUME</stp>
        <stp>.NDXP250731P20525</stp>
        <tr r="N179" s="2"/>
      </tp>
      <tp>
        <v>7</v>
        <stp/>
        <stp>VOLUME</stp>
        <stp>.SPXW250613C5850</stp>
        <tr r="I108" s="2"/>
        <tr r="I108" s="2"/>
      </tp>
      <tp>
        <v>30</v>
        <stp/>
        <stp>VOLUME</stp>
        <stp>.SPXW250613P5850</stp>
        <tr r="I108" s="2"/>
        <tr r="I108" s="2"/>
      </tp>
      <tp t="s">
        <v>N/A</v>
        <stp/>
        <stp>VOLUME</stp>
        <stp>.NDXP251031P21525</stp>
        <tr r="T139" s="2"/>
      </tp>
      <tp t="s">
        <v>N/A</v>
        <stp/>
        <stp>VOLUME</stp>
        <stp>.NDXP251031P20525</stp>
        <tr r="T179" s="2"/>
      </tp>
      <tp t="s">
        <v>N/A</v>
        <stp/>
        <stp>VOLUME</stp>
        <stp>.NDXP251231P21525</stp>
        <tr r="X139" s="2"/>
      </tp>
      <tp t="s">
        <v>N/A</v>
        <stp/>
        <stp>VOLUME</stp>
        <stp>.NDXP251231P20525</stp>
        <tr r="X179" s="2"/>
      </tp>
      <tp>
        <v>2</v>
        <stp/>
        <stp>VOLUME</stp>
        <stp>.SPXW250613C5840</stp>
        <tr r="I109" s="2"/>
        <tr r="I109" s="2"/>
      </tp>
      <tp>
        <v>39</v>
        <stp/>
        <stp>VOLUME</stp>
        <stp>.SPXW250613P5840</stp>
        <tr r="I109" s="2"/>
        <tr r="I109" s="2"/>
      </tp>
      <tp>
        <v>-0.63</v>
        <stp/>
        <stp>DELTA</stp>
        <stp>.NDXP250523P21525</stp>
        <tr r="CG138" s="1"/>
        <tr r="CG138" s="1"/>
      </tp>
      <tp>
        <v>-0.05</v>
        <stp/>
        <stp>DELTA</stp>
        <stp>.NDXP250520P20625</stp>
        <tr r="CE174" s="1"/>
        <tr r="CE174" s="1"/>
      </tp>
      <tp>
        <v>-0.05</v>
        <stp/>
        <stp>DELTA</stp>
        <stp>.NDXP250523P20525</stp>
        <tr r="CG178" s="1"/>
        <tr r="CG178" s="1"/>
      </tp>
      <tp>
        <v>-0.61</v>
        <stp/>
        <stp>DELTA</stp>
        <stp>.NDXP250523P21500</stp>
        <tr r="CG139" s="1"/>
        <tr r="CG139" s="1"/>
      </tp>
      <tp>
        <v>-0.05</v>
        <stp/>
        <stp>DELTA</stp>
        <stp>.NDXP250520P20600</stp>
        <tr r="CE175" s="1"/>
        <tr r="CE175" s="1"/>
      </tp>
      <tp>
        <v>-0.04</v>
        <stp/>
        <stp>DELTA</stp>
        <stp>.NDXP250523P20500</stp>
        <tr r="CG179" s="1"/>
        <tr r="CG179" s="1"/>
      </tp>
      <tp>
        <v>-0.05</v>
        <stp/>
        <stp>DELTA</stp>
        <stp>.NDXP250520P20675</stp>
        <tr r="CE172" s="1"/>
        <tr r="CE172" s="1"/>
      </tp>
      <tp>
        <v>-0.06</v>
        <stp/>
        <stp>DELTA</stp>
        <stp>.NDXP250523P20575</stp>
        <tr r="CG176" s="1"/>
        <tr r="CG176" s="1"/>
      </tp>
      <tp>
        <v>-0.65</v>
        <stp/>
        <stp>DELTA</stp>
        <stp>.NDXP250523P21550</stp>
        <tr r="CG137" s="1"/>
        <tr r="CG137" s="1"/>
      </tp>
      <tp>
        <v>-0.05</v>
        <stp/>
        <stp>DELTA</stp>
        <stp>.NDXP250520P20650</stp>
        <tr r="CE173" s="1"/>
        <tr r="CE173" s="1"/>
      </tp>
      <tp>
        <v>-0.05</v>
        <stp/>
        <stp>DELTA</stp>
        <stp>.NDXP250523P20550</stp>
        <tr r="CG177" s="1"/>
        <tr r="CG177" s="1"/>
      </tp>
      <tp>
        <v>0.36</v>
        <stp/>
        <stp>DELTA</stp>
        <stp>.NDXP250523C21500</stp>
        <tr r="CF139" s="1"/>
        <tr r="CF139" s="1"/>
      </tp>
      <tp>
        <v>0.97</v>
        <stp/>
        <stp>DELTA</stp>
        <stp>.NDXP250520C20600</stp>
        <tr r="CD175" s="1"/>
        <tr r="CD175" s="1"/>
      </tp>
      <tp>
        <v>1</v>
        <stp/>
        <stp>DELTA</stp>
        <stp>.NDXP250523C20500</stp>
        <tr r="CF179" s="1"/>
        <tr r="CF179" s="1"/>
      </tp>
      <tp>
        <v>0.34</v>
        <stp/>
        <stp>DELTA</stp>
        <stp>.NDXP250523C21525</stp>
        <tr r="CF138" s="1"/>
        <tr r="CF138" s="1"/>
      </tp>
      <tp>
        <v>0.98</v>
        <stp/>
        <stp>DELTA</stp>
        <stp>.NDXP250520C20625</stp>
        <tr r="CD174" s="1"/>
        <tr r="CD174" s="1"/>
      </tp>
      <tp>
        <v>1</v>
        <stp/>
        <stp>DELTA</stp>
        <stp>.NDXP250523C20525</stp>
        <tr r="CF178" s="1"/>
        <tr r="CF178" s="1"/>
      </tp>
      <tp>
        <v>0.31</v>
        <stp/>
        <stp>DELTA</stp>
        <stp>.NDXP250523C21550</stp>
        <tr r="CF137" s="1"/>
        <tr r="CF137" s="1"/>
      </tp>
      <tp>
        <v>0.98</v>
        <stp/>
        <stp>DELTA</stp>
        <stp>.NDXP250520C20650</stp>
        <tr r="CD173" s="1"/>
        <tr r="CD173" s="1"/>
      </tp>
      <tp>
        <v>1</v>
        <stp/>
        <stp>DELTA</stp>
        <stp>.NDXP250523C20550</stp>
        <tr r="CF177" s="1"/>
        <tr r="CF177" s="1"/>
      </tp>
      <tp>
        <v>0.98</v>
        <stp/>
        <stp>DELTA</stp>
        <stp>.NDXP250520C20675</stp>
        <tr r="CD172" s="1"/>
        <tr r="CD172" s="1"/>
      </tp>
      <tp>
        <v>1</v>
        <stp/>
        <stp>DELTA</stp>
        <stp>.NDXP250523C20575</stp>
        <tr r="CF176" s="1"/>
        <tr r="CF176" s="1"/>
      </tp>
      <tp t="s">
        <v>N/A</v>
        <stp/>
        <stp>VOLUME</stp>
        <stp>.NDXP250930C20575</stp>
        <tr r="R177" s="2"/>
      </tp>
      <tp t="s">
        <v>N/A</v>
        <stp/>
        <stp>VOLUME</stp>
        <stp>.NDXP250520C20575</stp>
        <tr r="BA176" s="1"/>
      </tp>
      <tp t="s">
        <v>N/A</v>
        <stp/>
        <stp>VOLUME</stp>
        <stp>.NDXP250521C20475</stp>
        <tr r="D181" s="2"/>
      </tp>
      <tp t="s">
        <v>N/A</v>
        <stp/>
        <stp>VOLUME</stp>
        <stp>.NDXP250522C20775</stp>
        <tr r="E169" s="2"/>
      </tp>
      <tp t="s">
        <v>N/A</v>
        <stp/>
        <stp>VOLUME</stp>
        <stp>.NDXP250523C20675</stp>
        <tr r="BC172" s="1"/>
      </tp>
      <tp>
        <v>14</v>
        <stp/>
        <stp>VOLUME</stp>
        <stp>.NDXP250521C21475</stp>
        <tr r="D141" s="2"/>
        <tr r="D141" s="2"/>
      </tp>
      <tp t="s">
        <v>N/A</v>
        <stp/>
        <stp>VOLUME</stp>
        <stp>.NDXP250530C20575</stp>
        <tr r="G177" s="2"/>
      </tp>
      <tp t="s">
        <v>N/A</v>
        <stp/>
        <stp>VOLUME</stp>
        <stp>.NDXP250613C20675</stp>
        <tr r="I173" s="2"/>
      </tp>
      <tp t="s">
        <v>N/A</v>
        <stp/>
        <stp>VOLUME</stp>
        <stp>.NDXP250630C20575</stp>
        <tr r="L177" s="2"/>
      </tp>
      <tp t="s">
        <v>N/A</v>
        <stp/>
        <stp>VOLUME</stp>
        <stp>.NDXP250731C21475</stp>
        <tr r="N141" s="2"/>
      </tp>
      <tp t="s">
        <v>N/A</v>
        <stp/>
        <stp>VOLUME</stp>
        <stp>.NDXP250731C20475</stp>
        <tr r="N181" s="2"/>
      </tp>
      <tp t="s">
        <v>N/A</v>
        <stp/>
        <stp>VOLUME</stp>
        <stp>.NDXP251031C21475</stp>
        <tr r="T141" s="2"/>
      </tp>
      <tp t="s">
        <v>N/A</v>
        <stp/>
        <stp>VOLUME</stp>
        <stp>.NDXP251031C20475</stp>
        <tr r="T181" s="2"/>
      </tp>
      <tp t="s">
        <v>N/A</v>
        <stp/>
        <stp>VOLUME</stp>
        <stp>.NDXP251231C21475</stp>
        <tr r="X141" s="2"/>
      </tp>
      <tp t="s">
        <v>N/A</v>
        <stp/>
        <stp>VOLUME</stp>
        <stp>.NDXP251231C20475</stp>
        <tr r="X181" s="2"/>
      </tp>
      <tp t="s">
        <v>N/A</v>
        <stp/>
        <stp>VOLUME</stp>
        <stp>.NDXP250930C21550</stp>
        <tr r="R138" s="2"/>
      </tp>
      <tp t="s">
        <v>N/A</v>
        <stp/>
        <stp>VOLUME</stp>
        <stp>.NDXP250930C20550</stp>
        <tr r="R178" s="2"/>
      </tp>
      <tp t="s">
        <v>N/A</v>
        <stp/>
        <stp>VOLUME</stp>
        <stp>.NDXP250520C20550</stp>
        <tr r="BA177" s="1"/>
      </tp>
      <tp t="s">
        <v>N/A</v>
        <stp/>
        <stp>VOLUME</stp>
        <stp>.NDXP250521C20450</stp>
        <tr r="D182" s="2"/>
      </tp>
      <tp t="s">
        <v>N/A</v>
        <stp/>
        <stp>VOLUME</stp>
        <stp>.NDXP250522C20750</stp>
        <tr r="E170" s="2"/>
      </tp>
      <tp t="s">
        <v>N/A</v>
        <stp/>
        <stp>VOLUME</stp>
        <stp>.NDXP250523C20650</stp>
        <tr r="BC173" s="1"/>
      </tp>
      <tp t="s">
        <v>N/A</v>
        <stp/>
        <stp>VOLUME</stp>
        <stp>.NDXP250530C21550</stp>
        <tr r="G138" s="2"/>
      </tp>
      <tp>
        <v>434</v>
        <stp/>
        <stp>VOLUME</stp>
        <stp>.NDXP250520C21550</stp>
        <tr r="BA137" s="1"/>
        <tr r="BA137" s="1"/>
      </tp>
      <tp>
        <v>61</v>
        <stp/>
        <stp>VOLUME</stp>
        <stp>.NDXP250521C21450</stp>
        <tr r="D142" s="2"/>
        <tr r="D142" s="2"/>
      </tp>
      <tp t="s">
        <v>N/A</v>
        <stp/>
        <stp>VOLUME</stp>
        <stp>.NDXP250530C20550</stp>
        <tr r="G178" s="2"/>
      </tp>
      <tp t="s">
        <v>N/A</v>
        <stp/>
        <stp>VOLUME</stp>
        <stp>.NDXP250731C21450</stp>
        <tr r="N142" s="2"/>
      </tp>
      <tp t="s">
        <v>N/A</v>
        <stp/>
        <stp>VOLUME</stp>
        <stp>.NDXP250731C20450</stp>
        <tr r="N182" s="2"/>
      </tp>
      <tp t="s">
        <v>N/A</v>
        <stp/>
        <stp>VOLUME</stp>
        <stp>.NDXP250613C20650</stp>
        <tr r="I174" s="2"/>
      </tp>
      <tp t="s">
        <v>N/A</v>
        <stp/>
        <stp>VOLUME</stp>
        <stp>.NDXP250630C21550</stp>
        <tr r="L138" s="2"/>
      </tp>
      <tp t="s">
        <v>N/A</v>
        <stp/>
        <stp>VOLUME</stp>
        <stp>.NDXP250630C20550</stp>
        <tr r="L178" s="2"/>
      </tp>
      <tp t="s">
        <v>N/A</v>
        <stp/>
        <stp>VOLUME</stp>
        <stp>.NDXP251031C21450</stp>
        <tr r="T142" s="2"/>
      </tp>
      <tp t="s">
        <v>N/A</v>
        <stp/>
        <stp>VOLUME</stp>
        <stp>.NDXP251031C20450</stp>
        <tr r="T182" s="2"/>
      </tp>
      <tp t="s">
        <v>N/A</v>
        <stp/>
        <stp>VOLUME</stp>
        <stp>.NDXP251231C21450</stp>
        <tr r="X142" s="2"/>
      </tp>
      <tp t="s">
        <v>N/A</v>
        <stp/>
        <stp>VOLUME</stp>
        <stp>.NDXP251231C20450</stp>
        <tr r="X182" s="2"/>
      </tp>
      <tp t="s">
        <v>N/A</v>
        <stp/>
        <stp>VOLUME</stp>
        <stp>.NDXP251031C21425</stp>
        <tr r="T143" s="2"/>
      </tp>
      <tp t="s">
        <v>N/A</v>
        <stp/>
        <stp>VOLUME</stp>
        <stp>.NDXP251031C20425</stp>
        <tr r="T183" s="2"/>
      </tp>
      <tp t="s">
        <v>N/A</v>
        <stp/>
        <stp>VOLUME</stp>
        <stp>.NDXP251231C21425</stp>
        <tr r="X143" s="2"/>
      </tp>
      <tp t="s">
        <v>N/A</v>
        <stp/>
        <stp>VOLUME</stp>
        <stp>.NDXP251231C20425</stp>
        <tr r="X183" s="2"/>
      </tp>
      <tp t="s">
        <v>N/A</v>
        <stp/>
        <stp>VOLUME</stp>
        <stp>.NDXP250930C21525</stp>
        <tr r="R139" s="2"/>
      </tp>
      <tp t="s">
        <v>N/A</v>
        <stp/>
        <stp>VOLUME</stp>
        <stp>.NDXP250930C20525</stp>
        <tr r="R179" s="2"/>
      </tp>
      <tp t="s">
        <v>N/A</v>
        <stp/>
        <stp>VOLUME</stp>
        <stp>.NDXP250520C20525</stp>
        <tr r="BA178" s="1"/>
      </tp>
      <tp t="s">
        <v>N/A</v>
        <stp/>
        <stp>VOLUME</stp>
        <stp>.NDXP250521C20425</stp>
        <tr r="D183" s="2"/>
      </tp>
      <tp t="s">
        <v>N/A</v>
        <stp/>
        <stp>VOLUME</stp>
        <stp>.NDXP250522C20725</stp>
        <tr r="E171" s="2"/>
      </tp>
      <tp t="s">
        <v>N/A</v>
        <stp/>
        <stp>VOLUME</stp>
        <stp>.NDXP250523C20625</stp>
        <tr r="BC174" s="1"/>
      </tp>
      <tp>
        <v>1</v>
        <stp/>
        <stp>VOLUME</stp>
        <stp>.NDXP250530C21525</stp>
        <tr r="G139" s="2"/>
        <tr r="G139" s="2"/>
      </tp>
      <tp t="s">
        <v>N/A</v>
        <stp/>
        <stp>VOLUME</stp>
        <stp>.NDXP250520C21525</stp>
        <tr r="BA138" s="1"/>
      </tp>
      <tp>
        <v>26</v>
        <stp/>
        <stp>VOLUME</stp>
        <stp>.NDXP250521C21425</stp>
        <tr r="D143" s="2"/>
        <tr r="D143" s="2"/>
      </tp>
      <tp>
        <v>1</v>
        <stp/>
        <stp>VOLUME</stp>
        <stp>.NDXP250530C20525</stp>
        <tr r="G179" s="2"/>
        <tr r="G179" s="2"/>
      </tp>
      <tp t="s">
        <v>N/A</v>
        <stp/>
        <stp>VOLUME</stp>
        <stp>.NDXP250613C20625</stp>
        <tr r="I175" s="2"/>
      </tp>
      <tp t="s">
        <v>N/A</v>
        <stp/>
        <stp>VOLUME</stp>
        <stp>.NDXP250630C21525</stp>
        <tr r="L139" s="2"/>
      </tp>
      <tp t="s">
        <v>N/A</v>
        <stp/>
        <stp>VOLUME</stp>
        <stp>.NDXP250630C20525</stp>
        <tr r="L179" s="2"/>
      </tp>
      <tp t="s">
        <v>N/A</v>
        <stp/>
        <stp>VOLUME</stp>
        <stp>.NDXP250731C21425</stp>
        <tr r="N143" s="2"/>
      </tp>
      <tp t="s">
        <v>N/A</v>
        <stp/>
        <stp>VOLUME</stp>
        <stp>.NDXP250731C20425</stp>
        <tr r="N183" s="2"/>
      </tp>
      <tp t="s">
        <v>N/A</v>
        <stp/>
        <stp>VOLUME</stp>
        <stp>.NDXP251031C21400</stp>
        <tr r="T144" s="2"/>
      </tp>
      <tp t="s">
        <v>N/A</v>
        <stp/>
        <stp>VOLUME</stp>
        <stp>.NDXP251031C20400</stp>
        <tr r="T184" s="2"/>
      </tp>
      <tp t="s">
        <v>N/A</v>
        <stp/>
        <stp>VOLUME</stp>
        <stp>.NDXP251231C21400</stp>
        <tr r="X144" s="2"/>
      </tp>
      <tp t="s">
        <v>N/A</v>
        <stp/>
        <stp>VOLUME</stp>
        <stp>.NDXP251231C20400</stp>
        <tr r="X184" s="2"/>
      </tp>
      <tp t="s">
        <v>N/A</v>
        <stp/>
        <stp>VOLUME</stp>
        <stp>.NDXP250930C21500</stp>
        <tr r="R140" s="2"/>
      </tp>
      <tp t="s">
        <v>N/A</v>
        <stp/>
        <stp>VOLUME</stp>
        <stp>.NDXP250930C20500</stp>
        <tr r="R180" s="2"/>
      </tp>
      <tp>
        <v>1</v>
        <stp/>
        <stp>VOLUME</stp>
        <stp>.NDXP250520C20500</stp>
        <tr r="BA179" s="1"/>
        <tr r="BA179" s="1"/>
      </tp>
      <tp>
        <v>10</v>
        <stp/>
        <stp>VOLUME</stp>
        <stp>.NDXP250521C20400</stp>
        <tr r="D184" s="2"/>
        <tr r="D184" s="2"/>
      </tp>
      <tp t="s">
        <v>N/A</v>
        <stp/>
        <stp>VOLUME</stp>
        <stp>.NDXP250522C20700</stp>
        <tr r="E172" s="2"/>
      </tp>
      <tp>
        <v>19</v>
        <stp/>
        <stp>VOLUME</stp>
        <stp>.NDXP250523C20600</stp>
        <tr r="BC175" s="1"/>
        <tr r="BC175" s="1"/>
      </tp>
      <tp>
        <v>3</v>
        <stp/>
        <stp>VOLUME</stp>
        <stp>.NDXP250530C21500</stp>
        <tr r="G140" s="2"/>
        <tr r="G140" s="2"/>
      </tp>
      <tp>
        <v>962</v>
        <stp/>
        <stp>VOLUME</stp>
        <stp>.NDXP250520C21500</stp>
        <tr r="BA139" s="1"/>
        <tr r="BA139" s="1"/>
      </tp>
      <tp>
        <v>58</v>
        <stp/>
        <stp>VOLUME</stp>
        <stp>.NDXP250521C21400</stp>
        <tr r="D144" s="2"/>
        <tr r="D144" s="2"/>
      </tp>
      <tp>
        <v>1</v>
        <stp/>
        <stp>VOLUME</stp>
        <stp>.NDXP250530C20500</stp>
        <tr r="G180" s="2"/>
        <tr r="G180" s="2"/>
      </tp>
      <tp t="s">
        <v>N/A</v>
        <stp/>
        <stp>VOLUME</stp>
        <stp>.NDXP250731C21400</stp>
        <tr r="N144" s="2"/>
      </tp>
      <tp t="s">
        <v>N/A</v>
        <stp/>
        <stp>VOLUME</stp>
        <stp>.NDXP250731C20400</stp>
        <tr r="N184" s="2"/>
      </tp>
      <tp t="s">
        <v>N/A</v>
        <stp/>
        <stp>VOLUME</stp>
        <stp>.NDXP250613C20600</stp>
        <tr r="I176" s="2"/>
      </tp>
      <tp>
        <v>6</v>
        <stp/>
        <stp>VOLUME</stp>
        <stp>.NDXP250630C21500</stp>
        <tr r="L140" s="2"/>
        <tr r="L140" s="2"/>
      </tp>
      <tp t="s">
        <v>N/A</v>
        <stp/>
        <stp>VOLUME</stp>
        <stp>.NDXP250630C20500</stp>
        <tr r="L180" s="2"/>
      </tp>
      <tp t="s">
        <v>N/A</v>
        <stp/>
        <stp>VOLUME</stp>
        <stp>.SPXW250613C5990</stp>
        <tr r="I94" s="2"/>
      </tp>
      <tp>
        <v>3</v>
        <stp/>
        <stp>VOLUME</stp>
        <stp>.SPXW250613P5990</stp>
        <tr r="I94" s="2"/>
        <tr r="I94" s="2"/>
      </tp>
      <tp>
        <v>14</v>
        <stp/>
        <stp>VOLUME</stp>
        <stp>.SPXW250613C5980</stp>
        <tr r="I95" s="2"/>
        <tr r="I95" s="2"/>
      </tp>
      <tp t="s">
        <v>N/A</v>
        <stp/>
        <stp>VOLUME</stp>
        <stp>.SPXW250613P5980</stp>
        <tr r="I95" s="2"/>
      </tp>
      <tp t="s">
        <v>N/A</v>
        <stp/>
        <stp>VOLUME</stp>
        <stp>.NDXP251031P21450</stp>
        <tr r="T142" s="2"/>
      </tp>
      <tp t="s">
        <v>N/A</v>
        <stp/>
        <stp>VOLUME</stp>
        <stp>.NDXP251031P20450</stp>
        <tr r="T182" s="2"/>
      </tp>
      <tp t="s">
        <v>N/A</v>
        <stp/>
        <stp>VOLUME</stp>
        <stp>.NDXP251231P21450</stp>
        <tr r="X142" s="2"/>
      </tp>
      <tp t="s">
        <v>N/A</v>
        <stp/>
        <stp>VOLUME</stp>
        <stp>.NDXP251231P20450</stp>
        <tr r="X182" s="2"/>
      </tp>
      <tp>
        <v>64</v>
        <stp/>
        <stp>VOLUME</stp>
        <stp>.SPXW250613C5930</stp>
        <tr r="I100" s="2"/>
        <tr r="I100" s="2"/>
      </tp>
      <tp>
        <v>7</v>
        <stp/>
        <stp>VOLUME</stp>
        <stp>.SPXW250613P5930</stp>
        <tr r="I100" s="2"/>
        <tr r="I100" s="2"/>
      </tp>
      <tp t="s">
        <v>N/A</v>
        <stp/>
        <stp>VOLUME</stp>
        <stp>.NDXP250930P21550</stp>
        <tr r="R138" s="2"/>
      </tp>
      <tp t="s">
        <v>N/A</v>
        <stp/>
        <stp>VOLUME</stp>
        <stp>.NDXP250930P20550</stp>
        <tr r="R178" s="2"/>
      </tp>
      <tp t="s">
        <v>N/A</v>
        <stp/>
        <stp>VOLUME</stp>
        <stp>.NDXP250520P20550</stp>
        <tr r="BB177" s="1"/>
      </tp>
      <tp>
        <v>14</v>
        <stp/>
        <stp>VOLUME</stp>
        <stp>.NDXP250521P20450</stp>
        <tr r="D182" s="2"/>
        <tr r="D182" s="2"/>
      </tp>
      <tp t="s">
        <v>N/A</v>
        <stp/>
        <stp>VOLUME</stp>
        <stp>.NDXP250522P20750</stp>
        <tr r="E170" s="2"/>
      </tp>
      <tp>
        <v>13</v>
        <stp/>
        <stp>VOLUME</stp>
        <stp>.NDXP250523P20650</stp>
        <tr r="BD173" s="1"/>
        <tr r="BD173" s="1"/>
      </tp>
      <tp t="s">
        <v>N/A</v>
        <stp/>
        <stp>VOLUME</stp>
        <stp>.NDXP250530P21550</stp>
        <tr r="G138" s="2"/>
      </tp>
      <tp>
        <v>21</v>
        <stp/>
        <stp>VOLUME</stp>
        <stp>.NDXP250520P21550</stp>
        <tr r="BB137" s="1"/>
        <tr r="BB137" s="1"/>
      </tp>
      <tp>
        <v>1</v>
        <stp/>
        <stp>VOLUME</stp>
        <stp>.NDXP250521P21450</stp>
        <tr r="D142" s="2"/>
        <tr r="D142" s="2"/>
      </tp>
      <tp>
        <v>3</v>
        <stp/>
        <stp>VOLUME</stp>
        <stp>.NDXP250530P20550</stp>
        <tr r="G178" s="2"/>
        <tr r="G178" s="2"/>
      </tp>
      <tp t="s">
        <v>N/A</v>
        <stp/>
        <stp>VOLUME</stp>
        <stp>.NDXP250731P21450</stp>
        <tr r="N142" s="2"/>
      </tp>
      <tp t="s">
        <v>N/A</v>
        <stp/>
        <stp>VOLUME</stp>
        <stp>.NDXP250731P20450</stp>
        <tr r="N182" s="2"/>
      </tp>
      <tp t="s">
        <v>N/A</v>
        <stp/>
        <stp>VOLUME</stp>
        <stp>.NDXP250613P20650</stp>
        <tr r="I174" s="2"/>
      </tp>
      <tp t="s">
        <v>N/A</v>
        <stp/>
        <stp>VOLUME</stp>
        <stp>.NDXP250630P21550</stp>
        <tr r="L138" s="2"/>
      </tp>
      <tp>
        <v>2</v>
        <stp/>
        <stp>VOLUME</stp>
        <stp>.NDXP250630P20550</stp>
        <tr r="L178" s="2"/>
        <tr r="L178" s="2"/>
      </tp>
      <tp t="s">
        <v>N/A</v>
        <stp/>
        <stp>VOLUME</stp>
        <stp>.SPXW250613C5920</stp>
        <tr r="I101" s="2"/>
      </tp>
      <tp t="s">
        <v>N/A</v>
        <stp/>
        <stp>VOLUME</stp>
        <stp>.SPXW250613P5920</stp>
        <tr r="I101" s="2"/>
      </tp>
      <tp t="s">
        <v>N/A</v>
        <stp/>
        <stp>VOLUME</stp>
        <stp>.NDXP251031P21475</stp>
        <tr r="T141" s="2"/>
      </tp>
      <tp t="s">
        <v>N/A</v>
        <stp/>
        <stp>VOLUME</stp>
        <stp>.NDXP251031P20475</stp>
        <tr r="T181" s="2"/>
      </tp>
      <tp t="s">
        <v>N/A</v>
        <stp/>
        <stp>VOLUME</stp>
        <stp>.NDXP251231P21475</stp>
        <tr r="X141" s="2"/>
      </tp>
      <tp t="s">
        <v>N/A</v>
        <stp/>
        <stp>VOLUME</stp>
        <stp>.NDXP251231P20475</stp>
        <tr r="X181" s="2"/>
      </tp>
      <tp>
        <v>20</v>
        <stp/>
        <stp>VOLUME</stp>
        <stp>.SPXW250613C5910</stp>
        <tr r="I102" s="2"/>
        <tr r="I102" s="2"/>
      </tp>
      <tp>
        <v>5</v>
        <stp/>
        <stp>VOLUME</stp>
        <stp>.SPXW250613P5910</stp>
        <tr r="I102" s="2"/>
        <tr r="I102" s="2"/>
      </tp>
      <tp t="s">
        <v>N/A</v>
        <stp/>
        <stp>VOLUME</stp>
        <stp>.NDXP250930P20575</stp>
        <tr r="R177" s="2"/>
      </tp>
      <tp>
        <v>10</v>
        <stp/>
        <stp>VOLUME</stp>
        <stp>.NDXP250520P20575</stp>
        <tr r="BB176" s="1"/>
        <tr r="BB176" s="1"/>
      </tp>
      <tp>
        <v>6</v>
        <stp/>
        <stp>VOLUME</stp>
        <stp>.NDXP250521P20475</stp>
        <tr r="D181" s="2"/>
        <tr r="D181" s="2"/>
      </tp>
      <tp t="s">
        <v>N/A</v>
        <stp/>
        <stp>VOLUME</stp>
        <stp>.NDXP250522P20775</stp>
        <tr r="E169" s="2"/>
      </tp>
      <tp t="s">
        <v>N/A</v>
        <stp/>
        <stp>VOLUME</stp>
        <stp>.NDXP250523P20675</stp>
        <tr r="BD172" s="1"/>
      </tp>
      <tp t="s">
        <v>N/A</v>
        <stp/>
        <stp>VOLUME</stp>
        <stp>.NDXP250521P21475</stp>
        <tr r="D141" s="2"/>
      </tp>
      <tp t="s">
        <v>N/A</v>
        <stp/>
        <stp>VOLUME</stp>
        <stp>.NDXP250530P20575</stp>
        <tr r="G177" s="2"/>
      </tp>
      <tp t="s">
        <v>N/A</v>
        <stp/>
        <stp>VOLUME</stp>
        <stp>.NDXP250613P20675</stp>
        <tr r="I173" s="2"/>
      </tp>
      <tp t="s">
        <v>N/A</v>
        <stp/>
        <stp>VOLUME</stp>
        <stp>.NDXP250630P20575</stp>
        <tr r="L177" s="2"/>
      </tp>
      <tp t="s">
        <v>N/A</v>
        <stp/>
        <stp>VOLUME</stp>
        <stp>.NDXP250731P21475</stp>
        <tr r="N141" s="2"/>
      </tp>
      <tp t="s">
        <v>N/A</v>
        <stp/>
        <stp>VOLUME</stp>
        <stp>.NDXP250731P20475</stp>
        <tr r="N181" s="2"/>
      </tp>
      <tp>
        <v>31</v>
        <stp/>
        <stp>VOLUME</stp>
        <stp>.SPXW250613C5900</stp>
        <tr r="I103" s="2"/>
        <tr r="I103" s="2"/>
      </tp>
      <tp>
        <v>63</v>
        <stp/>
        <stp>VOLUME</stp>
        <stp>.SPXW250613P5900</stp>
        <tr r="I103" s="2"/>
        <tr r="I103" s="2"/>
      </tp>
      <tp t="s">
        <v>N/A</v>
        <stp/>
        <stp>VOLUME</stp>
        <stp>.NDXP250930P21500</stp>
        <tr r="R140" s="2"/>
      </tp>
      <tp t="s">
        <v>N/A</v>
        <stp/>
        <stp>VOLUME</stp>
        <stp>.NDXP250930P20500</stp>
        <tr r="R180" s="2"/>
      </tp>
      <tp>
        <v>88</v>
        <stp/>
        <stp>VOLUME</stp>
        <stp>.NDXP250520P20500</stp>
        <tr r="BB179" s="1"/>
        <tr r="BB179" s="1"/>
      </tp>
      <tp>
        <v>2</v>
        <stp/>
        <stp>VOLUME</stp>
        <stp>.NDXP250521P20400</stp>
        <tr r="D184" s="2"/>
        <tr r="D184" s="2"/>
      </tp>
      <tp>
        <v>2</v>
        <stp/>
        <stp>VOLUME</stp>
        <stp>.NDXP250522P20700</stp>
        <tr r="E172" s="2"/>
        <tr r="E172" s="2"/>
      </tp>
      <tp>
        <v>2</v>
        <stp/>
        <stp>VOLUME</stp>
        <stp>.NDXP250523P20600</stp>
        <tr r="BD175" s="1"/>
        <tr r="BD175" s="1"/>
      </tp>
      <tp t="s">
        <v>N/A</v>
        <stp/>
        <stp>VOLUME</stp>
        <stp>.NDXP250530P21500</stp>
        <tr r="G140" s="2"/>
      </tp>
      <tp>
        <v>19</v>
        <stp/>
        <stp>VOLUME</stp>
        <stp>.NDXP250520P21500</stp>
        <tr r="BB139" s="1"/>
        <tr r="BB139" s="1"/>
      </tp>
      <tp>
        <v>25</v>
        <stp/>
        <stp>VOLUME</stp>
        <stp>.NDXP250521P21400</stp>
        <tr r="D144" s="2"/>
        <tr r="D144" s="2"/>
      </tp>
      <tp>
        <v>11</v>
        <stp/>
        <stp>VOLUME</stp>
        <stp>.NDXP250530P20500</stp>
        <tr r="G180" s="2"/>
        <tr r="G180" s="2"/>
      </tp>
      <tp t="s">
        <v>N/A</v>
        <stp/>
        <stp>VOLUME</stp>
        <stp>.NDXP250731P21400</stp>
        <tr r="N144" s="2"/>
      </tp>
      <tp t="s">
        <v>N/A</v>
        <stp/>
        <stp>VOLUME</stp>
        <stp>.NDXP250731P20400</stp>
        <tr r="N184" s="2"/>
      </tp>
      <tp t="s">
        <v>N/A</v>
        <stp/>
        <stp>VOLUME</stp>
        <stp>.NDXP250613P20600</stp>
        <tr r="I176" s="2"/>
      </tp>
      <tp t="s">
        <v>N/A</v>
        <stp/>
        <stp>VOLUME</stp>
        <stp>.NDXP250630P21500</stp>
        <tr r="L140" s="2"/>
      </tp>
      <tp>
        <v>4</v>
        <stp/>
        <stp>VOLUME</stp>
        <stp>.NDXP250630P20500</stp>
        <tr r="L180" s="2"/>
        <tr r="L180" s="2"/>
      </tp>
      <tp>
        <v>89</v>
        <stp/>
        <stp>VOLUME</stp>
        <stp>.SPXW250613C5970</stp>
        <tr r="I96" s="2"/>
        <tr r="I96" s="2"/>
      </tp>
      <tp>
        <v>5</v>
        <stp/>
        <stp>VOLUME</stp>
        <stp>.SPXW250613P5970</stp>
        <tr r="I96" s="2"/>
        <tr r="I96" s="2"/>
      </tp>
      <tp t="s">
        <v>N/A</v>
        <stp/>
        <stp>VOLUME</stp>
        <stp>.NDXP251031P21400</stp>
        <tr r="T144" s="2"/>
      </tp>
      <tp t="s">
        <v>N/A</v>
        <stp/>
        <stp>VOLUME</stp>
        <stp>.NDXP251031P20400</stp>
        <tr r="T184" s="2"/>
      </tp>
      <tp t="s">
        <v>N/A</v>
        <stp/>
        <stp>VOLUME</stp>
        <stp>.NDXP251231P21400</stp>
        <tr r="X144" s="2"/>
      </tp>
      <tp t="s">
        <v>N/A</v>
        <stp/>
        <stp>VOLUME</stp>
        <stp>.NDXP251231P20400</stp>
        <tr r="X184" s="2"/>
      </tp>
      <tp>
        <v>76</v>
        <stp/>
        <stp>VOLUME</stp>
        <stp>.SPXW250613C5960</stp>
        <tr r="I97" s="2"/>
        <tr r="I97" s="2"/>
      </tp>
      <tp>
        <v>6</v>
        <stp/>
        <stp>VOLUME</stp>
        <stp>.SPXW250613P5960</stp>
        <tr r="I97" s="2"/>
        <tr r="I97" s="2"/>
      </tp>
      <tp t="s">
        <v>N/A</v>
        <stp/>
        <stp>VOLUME</stp>
        <stp>.NDXP250930P21525</stp>
        <tr r="R139" s="2"/>
      </tp>
      <tp t="s">
        <v>N/A</v>
        <stp/>
        <stp>VOLUME</stp>
        <stp>.NDXP250930P20525</stp>
        <tr r="R179" s="2"/>
      </tp>
      <tp>
        <v>16</v>
        <stp/>
        <stp>VOLUME</stp>
        <stp>.NDXP250520P20525</stp>
        <tr r="BB178" s="1"/>
        <tr r="BB178" s="1"/>
      </tp>
      <tp>
        <v>8</v>
        <stp/>
        <stp>VOLUME</stp>
        <stp>.NDXP250521P20425</stp>
        <tr r="D183" s="2"/>
        <tr r="D183" s="2"/>
      </tp>
      <tp t="s">
        <v>N/A</v>
        <stp/>
        <stp>VOLUME</stp>
        <stp>.NDXP250522P20725</stp>
        <tr r="E171" s="2"/>
      </tp>
      <tp t="s">
        <v>N/A</v>
        <stp/>
        <stp>VOLUME</stp>
        <stp>.NDXP250523P20625</stp>
        <tr r="BD174" s="1"/>
      </tp>
      <tp t="s">
        <v>N/A</v>
        <stp/>
        <stp>VOLUME</stp>
        <stp>.NDXP250530P21525</stp>
        <tr r="G139" s="2"/>
      </tp>
      <tp t="s">
        <v>N/A</v>
        <stp/>
        <stp>VOLUME</stp>
        <stp>.NDXP250520P21525</stp>
        <tr r="BB138" s="1"/>
      </tp>
      <tp>
        <v>1</v>
        <stp/>
        <stp>VOLUME</stp>
        <stp>.NDXP250521P21425</stp>
        <tr r="D143" s="2"/>
        <tr r="D143" s="2"/>
      </tp>
      <tp>
        <v>6</v>
        <stp/>
        <stp>VOLUME</stp>
        <stp>.NDXP250530P20525</stp>
        <tr r="G179" s="2"/>
        <tr r="G179" s="2"/>
      </tp>
      <tp t="s">
        <v>N/A</v>
        <stp/>
        <stp>VOLUME</stp>
        <stp>.NDXP250613P20625</stp>
        <tr r="I175" s="2"/>
      </tp>
      <tp t="s">
        <v>N/A</v>
        <stp/>
        <stp>VOLUME</stp>
        <stp>.NDXP250630P21525</stp>
        <tr r="L139" s="2"/>
      </tp>
      <tp t="s">
        <v>N/A</v>
        <stp/>
        <stp>VOLUME</stp>
        <stp>.NDXP250630P20525</stp>
        <tr r="L179" s="2"/>
      </tp>
      <tp t="s">
        <v>N/A</v>
        <stp/>
        <stp>VOLUME</stp>
        <stp>.NDXP250731P21425</stp>
        <tr r="N143" s="2"/>
      </tp>
      <tp t="s">
        <v>N/A</v>
        <stp/>
        <stp>VOLUME</stp>
        <stp>.NDXP250731P20425</stp>
        <tr r="N183" s="2"/>
      </tp>
      <tp>
        <v>274</v>
        <stp/>
        <stp>VOLUME</stp>
        <stp>.SPXW250613C5950</stp>
        <tr r="I98" s="2"/>
        <tr r="I98" s="2"/>
      </tp>
      <tp>
        <v>38</v>
        <stp/>
        <stp>VOLUME</stp>
        <stp>.SPXW250613P5950</stp>
        <tr r="I98" s="2"/>
        <tr r="I98" s="2"/>
      </tp>
      <tp t="s">
        <v>N/A</v>
        <stp/>
        <stp>VOLUME</stp>
        <stp>.NDXP251031P21425</stp>
        <tr r="T143" s="2"/>
      </tp>
      <tp t="s">
        <v>N/A</v>
        <stp/>
        <stp>VOLUME</stp>
        <stp>.NDXP251031P20425</stp>
        <tr r="T183" s="2"/>
      </tp>
      <tp t="s">
        <v>N/A</v>
        <stp/>
        <stp>VOLUME</stp>
        <stp>.NDXP251231P21425</stp>
        <tr r="X143" s="2"/>
      </tp>
      <tp t="s">
        <v>N/A</v>
        <stp/>
        <stp>VOLUME</stp>
        <stp>.NDXP251231P20425</stp>
        <tr r="X183" s="2"/>
      </tp>
      <tp>
        <v>64</v>
        <stp/>
        <stp>VOLUME</stp>
        <stp>.SPXW250613C5940</stp>
        <tr r="I99" s="2"/>
        <tr r="I99" s="2"/>
      </tp>
      <tp t="s">
        <v>N/A</v>
        <stp/>
        <stp>VOLUME</stp>
        <stp>.SPXW250613P5940</stp>
        <tr r="I99" s="2"/>
      </tp>
      <tp t="s">
        <v>N/A</v>
        <stp/>
        <stp>DELTA</stp>
        <stp>.NDXP250520P21525</stp>
        <tr r="CE138" s="1"/>
      </tp>
      <tp>
        <v>-0.05</v>
        <stp/>
        <stp>DELTA</stp>
        <stp>.NDXP250520P20525</stp>
        <tr r="CE178" s="1"/>
        <tr r="CE178" s="1"/>
      </tp>
      <tp>
        <v>-7.0000000000000007E-2</v>
        <stp/>
        <stp>DELTA</stp>
        <stp>.NDXP250523P20625</stp>
        <tr r="CG174" s="1"/>
        <tr r="CG174" s="1"/>
      </tp>
      <tp>
        <v>-1</v>
        <stp/>
        <stp>DELTA</stp>
        <stp>.NDXP250520P21500</stp>
        <tr r="CE139" s="1"/>
        <tr r="CE139" s="1"/>
      </tp>
      <tp>
        <v>0</v>
        <stp/>
        <stp>DELTA</stp>
        <stp>.NDXP250520P20500</stp>
        <tr r="CE179" s="1"/>
        <tr r="CE179" s="1"/>
      </tp>
      <tp>
        <v>-0.06</v>
        <stp/>
        <stp>DELTA</stp>
        <stp>.NDXP250523P20600</stp>
        <tr r="CG175" s="1"/>
        <tr r="CG175" s="1"/>
      </tp>
      <tp>
        <v>-0.05</v>
        <stp/>
        <stp>DELTA</stp>
        <stp>.NDXP250520P20575</stp>
        <tr r="CE176" s="1"/>
        <tr r="CE176" s="1"/>
      </tp>
      <tp>
        <v>-0.08</v>
        <stp/>
        <stp>DELTA</stp>
        <stp>.NDXP250523P20675</stp>
        <tr r="CG172" s="1"/>
        <tr r="CG172" s="1"/>
      </tp>
      <tp>
        <v>-1</v>
        <stp/>
        <stp>DELTA</stp>
        <stp>.NDXP250520P21550</stp>
        <tr r="CE137" s="1"/>
        <tr r="CE137" s="1"/>
      </tp>
      <tp>
        <v>-0.05</v>
        <stp/>
        <stp>DELTA</stp>
        <stp>.NDXP250520P20550</stp>
        <tr r="CE177" s="1"/>
        <tr r="CE177" s="1"/>
      </tp>
      <tp>
        <v>-7.0000000000000007E-2</v>
        <stp/>
        <stp>DELTA</stp>
        <stp>.NDXP250523P20650</stp>
        <tr r="CG173" s="1"/>
        <tr r="CG173" s="1"/>
      </tp>
      <tp>
        <v>0</v>
        <stp/>
        <stp>DELTA</stp>
        <stp>.NDXP250520C21500</stp>
        <tr r="CD139" s="1"/>
        <tr r="CD139" s="1"/>
      </tp>
      <tp>
        <v>0.99</v>
        <stp/>
        <stp>DELTA</stp>
        <stp>.NDXP250520C20500</stp>
        <tr r="CD179" s="1"/>
        <tr r="CD179" s="1"/>
      </tp>
      <tp>
        <v>1</v>
        <stp/>
        <stp>DELTA</stp>
        <stp>.NDXP250523C20600</stp>
        <tr r="CF175" s="1"/>
        <tr r="CF175" s="1"/>
      </tp>
      <tp t="s">
        <v>N/A</v>
        <stp/>
        <stp>DELTA</stp>
        <stp>.NDXP250520C21525</stp>
        <tr r="CD138" s="1"/>
      </tp>
      <tp>
        <v>0.99</v>
        <stp/>
        <stp>DELTA</stp>
        <stp>.NDXP250520C20525</stp>
        <tr r="CD178" s="1"/>
        <tr r="CD178" s="1"/>
      </tp>
      <tp>
        <v>1</v>
        <stp/>
        <stp>DELTA</stp>
        <stp>.NDXP250523C20625</stp>
        <tr r="CF174" s="1"/>
        <tr r="CF174" s="1"/>
      </tp>
      <tp>
        <v>0</v>
        <stp/>
        <stp>DELTA</stp>
        <stp>.NDXP250520C21550</stp>
        <tr r="CD137" s="1"/>
        <tr r="CD137" s="1"/>
      </tp>
      <tp>
        <v>0.97</v>
        <stp/>
        <stp>DELTA</stp>
        <stp>.NDXP250520C20550</stp>
        <tr r="CD177" s="1"/>
        <tr r="CD177" s="1"/>
      </tp>
      <tp>
        <v>1</v>
        <stp/>
        <stp>DELTA</stp>
        <stp>.NDXP250523C20650</stp>
        <tr r="CF173" s="1"/>
        <tr r="CF173" s="1"/>
      </tp>
      <tp>
        <v>0.97</v>
        <stp/>
        <stp>DELTA</stp>
        <stp>.NDXP250520C20575</stp>
        <tr r="CD176" s="1"/>
        <tr r="CD176" s="1"/>
      </tp>
      <tp>
        <v>1</v>
        <stp/>
        <stp>DELTA</stp>
        <stp>.NDXP250523C20675</stp>
        <tr r="CF172" s="1"/>
        <tr r="CF172" s="1"/>
      </tp>
      <tp t="s">
        <v>N/A</v>
        <stp/>
        <stp>VOLUME</stp>
        <stp>.NDXP250930C20675</stp>
        <tr r="R173" s="2"/>
      </tp>
      <tp t="s">
        <v>N/A</v>
        <stp/>
        <stp>VOLUME</stp>
        <stp>.NDXP250520C20675</stp>
        <tr r="BA172" s="1"/>
      </tp>
      <tp t="s">
        <v>N/A</v>
        <stp/>
        <stp>VOLUME</stp>
        <stp>.NDXP250521C20775</stp>
        <tr r="D169" s="2"/>
      </tp>
      <tp t="s">
        <v>N/A</v>
        <stp/>
        <stp>VOLUME</stp>
        <stp>.NDXP250522C20475</stp>
        <tr r="E181" s="2"/>
      </tp>
      <tp t="s">
        <v>N/A</v>
        <stp/>
        <stp>VOLUME</stp>
        <stp>.NDXP250523C20575</stp>
        <tr r="BC176" s="1"/>
      </tp>
      <tp>
        <v>1</v>
        <stp/>
        <stp>VOLUME</stp>
        <stp>.NDXP250522C21475</stp>
        <tr r="E141" s="2"/>
        <tr r="E141" s="2"/>
      </tp>
      <tp t="s">
        <v>N/A</v>
        <stp/>
        <stp>VOLUME</stp>
        <stp>.NDXP250530C20675</stp>
        <tr r="G173" s="2"/>
      </tp>
      <tp t="s">
        <v>N/A</v>
        <stp/>
        <stp>VOLUME</stp>
        <stp>.NDXP250613C20575</stp>
        <tr r="I177" s="2"/>
      </tp>
      <tp t="s">
        <v>N/A</v>
        <stp/>
        <stp>VOLUME</stp>
        <stp>.NDXP250630C20675</stp>
        <tr r="L173" s="2"/>
      </tp>
      <tp t="s">
        <v>N/A</v>
        <stp/>
        <stp>VOLUME</stp>
        <stp>.NDXP250731C20775</stp>
        <tr r="N169" s="2"/>
      </tp>
      <tp t="s">
        <v>N/A</v>
        <stp/>
        <stp>VOLUME</stp>
        <stp>.NDXP251031C20775</stp>
        <tr r="T169" s="2"/>
      </tp>
      <tp t="s">
        <v>N/A</v>
        <stp/>
        <stp>VOLUME</stp>
        <stp>.NDXP251231C20775</stp>
        <tr r="X169" s="2"/>
      </tp>
      <tp t="s">
        <v>N/A</v>
        <stp/>
        <stp>VOLUME</stp>
        <stp>.NDXP250930C20650</stp>
        <tr r="R174" s="2"/>
      </tp>
      <tp t="s">
        <v>N/A</v>
        <stp/>
        <stp>VOLUME</stp>
        <stp>.NDXP250520C20650</stp>
        <tr r="BA173" s="1"/>
      </tp>
      <tp>
        <v>1</v>
        <stp/>
        <stp>VOLUME</stp>
        <stp>.NDXP250521C20750</stp>
        <tr r="D170" s="2"/>
        <tr r="D170" s="2"/>
      </tp>
      <tp t="s">
        <v>N/A</v>
        <stp/>
        <stp>VOLUME</stp>
        <stp>.NDXP250522C20450</stp>
        <tr r="E182" s="2"/>
      </tp>
      <tp t="s">
        <v>N/A</v>
        <stp/>
        <stp>VOLUME</stp>
        <stp>.NDXP250523C20550</stp>
        <tr r="BC177" s="1"/>
      </tp>
      <tp>
        <v>3</v>
        <stp/>
        <stp>VOLUME</stp>
        <stp>.NDXP250522C21450</stp>
        <tr r="E142" s="2"/>
        <tr r="E142" s="2"/>
      </tp>
      <tp>
        <v>2</v>
        <stp/>
        <stp>VOLUME</stp>
        <stp>.NDXP250523C21550</stp>
        <tr r="BC137" s="1"/>
        <tr r="BC137" s="1"/>
      </tp>
      <tp t="s">
        <v>N/A</v>
        <stp/>
        <stp>VOLUME</stp>
        <stp>.NDXP250530C20650</stp>
        <tr r="G174" s="2"/>
      </tp>
      <tp t="s">
        <v>N/A</v>
        <stp/>
        <stp>VOLUME</stp>
        <stp>.NDXP250731C20750</stp>
        <tr r="N170" s="2"/>
      </tp>
      <tp t="s">
        <v>N/A</v>
        <stp/>
        <stp>VOLUME</stp>
        <stp>.NDXP250613C21550</stp>
        <tr r="I138" s="2"/>
      </tp>
      <tp t="s">
        <v>N/A</v>
        <stp/>
        <stp>VOLUME</stp>
        <stp>.NDXP250613C20550</stp>
        <tr r="I178" s="2"/>
      </tp>
      <tp t="s">
        <v>N/A</v>
        <stp/>
        <stp>VOLUME</stp>
        <stp>.NDXP250630C20650</stp>
        <tr r="L174" s="2"/>
      </tp>
      <tp t="s">
        <v>N/A</v>
        <stp/>
        <stp>VOLUME</stp>
        <stp>.NDXP251031C20750</stp>
        <tr r="T170" s="2"/>
      </tp>
      <tp t="s">
        <v>N/A</v>
        <stp/>
        <stp>VOLUME</stp>
        <stp>.NDXP251231C20750</stp>
        <tr r="X170" s="2"/>
      </tp>
      <tp t="s">
        <v>N/A</v>
        <stp/>
        <stp>VOLUME</stp>
        <stp>.NDXP251031C20725</stp>
        <tr r="T171" s="2"/>
      </tp>
      <tp t="s">
        <v>N/A</v>
        <stp/>
        <stp>VOLUME</stp>
        <stp>.NDXP251231C20725</stp>
        <tr r="X171" s="2"/>
      </tp>
      <tp t="s">
        <v>N/A</v>
        <stp/>
        <stp>VOLUME</stp>
        <stp>.NDXP250930C20625</stp>
        <tr r="R175" s="2"/>
      </tp>
      <tp t="s">
        <v>N/A</v>
        <stp/>
        <stp>VOLUME</stp>
        <stp>.NDXP250520C20625</stp>
        <tr r="BA174" s="1"/>
      </tp>
      <tp t="s">
        <v>N/A</v>
        <stp/>
        <stp>VOLUME</stp>
        <stp>.NDXP250521C20725</stp>
        <tr r="D171" s="2"/>
      </tp>
      <tp t="s">
        <v>N/A</v>
        <stp/>
        <stp>VOLUME</stp>
        <stp>.NDXP250522C20425</stp>
        <tr r="E183" s="2"/>
      </tp>
      <tp t="s">
        <v>N/A</v>
        <stp/>
        <stp>VOLUME</stp>
        <stp>.NDXP250523C20525</stp>
        <tr r="BC178" s="1"/>
      </tp>
      <tp t="s">
        <v>N/A</v>
        <stp/>
        <stp>VOLUME</stp>
        <stp>.NDXP250522C21425</stp>
        <tr r="E143" s="2"/>
      </tp>
      <tp t="s">
        <v>N/A</v>
        <stp/>
        <stp>VOLUME</stp>
        <stp>.NDXP250523C21525</stp>
        <tr r="BC138" s="1"/>
      </tp>
      <tp t="s">
        <v>N/A</v>
        <stp/>
        <stp>VOLUME</stp>
        <stp>.NDXP250530C20625</stp>
        <tr r="G175" s="2"/>
      </tp>
      <tp t="s">
        <v>N/A</v>
        <stp/>
        <stp>VOLUME</stp>
        <stp>.NDXP250613C21525</stp>
        <tr r="I139" s="2"/>
      </tp>
      <tp t="s">
        <v>N/A</v>
        <stp/>
        <stp>VOLUME</stp>
        <stp>.NDXP250613C20525</stp>
        <tr r="I179" s="2"/>
      </tp>
      <tp t="s">
        <v>N/A</v>
        <stp/>
        <stp>VOLUME</stp>
        <stp>.NDXP250630C20625</stp>
        <tr r="L175" s="2"/>
      </tp>
      <tp t="s">
        <v>N/A</v>
        <stp/>
        <stp>VOLUME</stp>
        <stp>.NDXP250731C20725</stp>
        <tr r="N171" s="2"/>
      </tp>
      <tp t="s">
        <v>N/A</v>
        <stp/>
        <stp>VOLUME</stp>
        <stp>.NDXP251031C20700</stp>
        <tr r="T172" s="2"/>
      </tp>
      <tp t="s">
        <v>N/A</v>
        <stp/>
        <stp>VOLUME</stp>
        <stp>.NDXP251231C20700</stp>
        <tr r="X172" s="2"/>
      </tp>
      <tp t="s">
        <v>N/A</v>
        <stp/>
        <stp>VOLUME</stp>
        <stp>.NDXP250930C20600</stp>
        <tr r="R176" s="2"/>
      </tp>
      <tp t="s">
        <v>N/A</v>
        <stp/>
        <stp>VOLUME</stp>
        <stp>.NDXP250520C20600</stp>
        <tr r="BA175" s="1"/>
      </tp>
      <tp t="s">
        <v>N/A</v>
        <stp/>
        <stp>VOLUME</stp>
        <stp>.NDXP250521C20700</stp>
        <tr r="D172" s="2"/>
      </tp>
      <tp t="s">
        <v>N/A</v>
        <stp/>
        <stp>VOLUME</stp>
        <stp>.NDXP250522C20400</stp>
        <tr r="E184" s="2"/>
      </tp>
      <tp>
        <v>19</v>
        <stp/>
        <stp>VOLUME</stp>
        <stp>.NDXP250523C20500</stp>
        <tr r="BC179" s="1"/>
        <tr r="BC179" s="1"/>
      </tp>
      <tp>
        <v>4</v>
        <stp/>
        <stp>VOLUME</stp>
        <stp>.NDXP250522C21400</stp>
        <tr r="E144" s="2"/>
        <tr r="E144" s="2"/>
      </tp>
      <tp>
        <v>30</v>
        <stp/>
        <stp>VOLUME</stp>
        <stp>.NDXP250523C21500</stp>
        <tr r="BC139" s="1"/>
        <tr r="BC139" s="1"/>
      </tp>
      <tp t="s">
        <v>N/A</v>
        <stp/>
        <stp>VOLUME</stp>
        <stp>.NDXP250530C20600</stp>
        <tr r="G176" s="2"/>
      </tp>
      <tp t="s">
        <v>N/A</v>
        <stp/>
        <stp>VOLUME</stp>
        <stp>.NDXP250731C20700</stp>
        <tr r="N172" s="2"/>
      </tp>
      <tp t="s">
        <v>N/A</v>
        <stp/>
        <stp>VOLUME</stp>
        <stp>.NDXP250613C21500</stp>
        <tr r="I140" s="2"/>
      </tp>
      <tp t="s">
        <v>N/A</v>
        <stp/>
        <stp>VOLUME</stp>
        <stp>.NDXP250613C20500</stp>
        <tr r="I180" s="2"/>
      </tp>
      <tp t="s">
        <v>N/A</v>
        <stp/>
        <stp>VOLUME</stp>
        <stp>.NDXP250630C20600</stp>
        <tr r="L176" s="2"/>
      </tp>
      <tp t="s">
        <v>N/A</v>
        <stp/>
        <stp>VOLUME</stp>
        <stp>.SPXW250930C5880</stp>
        <tr r="R105" s="2"/>
      </tp>
      <tp t="s">
        <v>N/A</v>
        <stp/>
        <stp>VOLUME</stp>
        <stp>.SPXW250829C5910</stp>
        <tr r="P102" s="2"/>
      </tp>
      <tp>
        <v>40830</v>
        <stp/>
        <stp>VOLUME</stp>
        <stp>.SPXW250520C5980</stp>
        <tr r="BA94" s="1"/>
        <tr r="BA94" s="1"/>
      </tp>
      <tp>
        <v>2758</v>
        <stp/>
        <stp>VOLUME</stp>
        <stp>.SPXW250521C5990</stp>
        <tr r="D94" s="2"/>
        <tr r="D94" s="2"/>
      </tp>
      <tp>
        <v>48</v>
        <stp/>
        <stp>VOLUME</stp>
        <stp>.SPXW250530C5880</stp>
        <tr r="G105" s="2"/>
        <tr r="G105" s="2"/>
      </tp>
      <tp t="s">
        <v>N/A</v>
        <stp/>
        <stp>VOLUME</stp>
        <stp>.SPXW250731C5890</stp>
        <tr r="N104" s="2"/>
      </tp>
      <tp t="s">
        <v>N/A</v>
        <stp/>
        <stp>VOLUME</stp>
        <stp>.SPXW250630C5880</stp>
        <tr r="L105" s="2"/>
      </tp>
      <tp t="s">
        <v>N/A</v>
        <stp/>
        <stp>VOLUME</stp>
        <stp>.SPXW251128C5900</stp>
        <tr r="V103" s="2"/>
      </tp>
      <tp t="s">
        <v>N/A</v>
        <stp/>
        <stp>VOLUME</stp>
        <stp>.SPXW251031C5890</stp>
        <tr r="T104" s="2"/>
      </tp>
      <tp t="s">
        <v>N/A</v>
        <stp/>
        <stp>VOLUME</stp>
        <stp>.SPXW251231C5890</stp>
        <tr r="X104" s="2"/>
      </tp>
      <tp t="s">
        <v>N/A</v>
        <stp/>
        <stp>VOLUME</stp>
        <stp>.SPXW251128P5900</stp>
        <tr r="V103" s="2"/>
      </tp>
      <tp t="s">
        <v>N/A</v>
        <stp/>
        <stp>VOLUME</stp>
        <stp>.SPXW251031P5890</stp>
        <tr r="T104" s="2"/>
      </tp>
      <tp>
        <v>2</v>
        <stp/>
        <stp>VOLUME</stp>
        <stp>.SPXW251231P5890</stp>
        <tr r="X104" s="2"/>
        <tr r="X104" s="2"/>
      </tp>
      <tp>
        <v>1</v>
        <stp/>
        <stp>VOLUME</stp>
        <stp>.SPXW250930P5880</stp>
        <tr r="R105" s="2"/>
        <tr r="R105" s="2"/>
      </tp>
      <tp t="s">
        <v>N/A</v>
        <stp/>
        <stp>VOLUME</stp>
        <stp>.SPXW250829P5910</stp>
        <tr r="P102" s="2"/>
      </tp>
      <tp>
        <v>1025</v>
        <stp/>
        <stp>VOLUME</stp>
        <stp>.SPXW250520P5980</stp>
        <tr r="BB94" s="1"/>
        <tr r="BB94" s="1"/>
      </tp>
      <tp>
        <v>95</v>
        <stp/>
        <stp>VOLUME</stp>
        <stp>.SPXW250521P5990</stp>
        <tr r="D94" s="2"/>
        <tr r="D94" s="2"/>
      </tp>
      <tp>
        <v>196</v>
        <stp/>
        <stp>VOLUME</stp>
        <stp>.SPXW250530P5880</stp>
        <tr r="G105" s="2"/>
        <tr r="G105" s="2"/>
      </tp>
      <tp t="s">
        <v>N/A</v>
        <stp/>
        <stp>VOLUME</stp>
        <stp>.SPXW250731P5890</stp>
        <tr r="N104" s="2"/>
      </tp>
      <tp>
        <v>81</v>
        <stp/>
        <stp>VOLUME</stp>
        <stp>.SPXW250630P5880</stp>
        <tr r="L105" s="2"/>
        <tr r="L105" s="2"/>
      </tp>
      <tp t="s">
        <v>N/A</v>
        <stp/>
        <stp>VOLUME</stp>
        <stp>.SPXW250930C5890</stp>
        <tr r="R104" s="2"/>
      </tp>
      <tp>
        <v>1</v>
        <stp/>
        <stp>VOLUME</stp>
        <stp>.SPXW250829C5900</stp>
        <tr r="P103" s="2"/>
        <tr r="P103" s="2"/>
      </tp>
      <tp>
        <v>34910</v>
        <stp/>
        <stp>VOLUME</stp>
        <stp>.SPXW250520C5990</stp>
        <tr r="BA93" s="1"/>
        <tr r="BA93" s="1"/>
      </tp>
      <tp>
        <v>4604</v>
        <stp/>
        <stp>VOLUME</stp>
        <stp>.SPXW250521C5980</stp>
        <tr r="D95" s="2"/>
        <tr r="D95" s="2"/>
      </tp>
      <tp>
        <v>51</v>
        <stp/>
        <stp>VOLUME</stp>
        <stp>.SPXW250530C5890</stp>
        <tr r="G104" s="2"/>
        <tr r="G104" s="2"/>
      </tp>
      <tp>
        <v>3</v>
        <stp/>
        <stp>VOLUME</stp>
        <stp>.SPXW250731C5880</stp>
        <tr r="N105" s="2"/>
        <tr r="N105" s="2"/>
      </tp>
      <tp>
        <v>7</v>
        <stp/>
        <stp>VOLUME</stp>
        <stp>.SPXW250630C5890</stp>
        <tr r="L104" s="2"/>
        <tr r="L104" s="2"/>
      </tp>
      <tp t="s">
        <v>N/A</v>
        <stp/>
        <stp>VOLUME</stp>
        <stp>.SPXW251128C5910</stp>
        <tr r="V102" s="2"/>
      </tp>
      <tp t="s">
        <v>N/A</v>
        <stp/>
        <stp>VOLUME</stp>
        <stp>.SPXW251031C5880</stp>
        <tr r="T105" s="2"/>
      </tp>
      <tp t="s">
        <v>N/A</v>
        <stp/>
        <stp>VOLUME</stp>
        <stp>.SPXW251231C5880</stp>
        <tr r="X105" s="2"/>
      </tp>
      <tp t="s">
        <v>N/A</v>
        <stp/>
        <stp>VOLUME</stp>
        <stp>.SPXW251128P5910</stp>
        <tr r="V102" s="2"/>
      </tp>
      <tp t="s">
        <v>N/A</v>
        <stp/>
        <stp>VOLUME</stp>
        <stp>.SPXW251031P5880</stp>
        <tr r="T105" s="2"/>
      </tp>
      <tp t="s">
        <v>N/A</v>
        <stp/>
        <stp>VOLUME</stp>
        <stp>.SPXW251231P5880</stp>
        <tr r="X105" s="2"/>
      </tp>
      <tp>
        <v>5</v>
        <stp/>
        <stp>VOLUME</stp>
        <stp>.SPXW250930P5890</stp>
        <tr r="R104" s="2"/>
        <tr r="R104" s="2"/>
      </tp>
      <tp>
        <v>6</v>
        <stp/>
        <stp>VOLUME</stp>
        <stp>.SPXW250829P5900</stp>
        <tr r="P103" s="2"/>
        <tr r="P103" s="2"/>
      </tp>
      <tp>
        <v>284</v>
        <stp/>
        <stp>VOLUME</stp>
        <stp>.SPXW250520P5990</stp>
        <tr r="BB93" s="1"/>
        <tr r="BB93" s="1"/>
      </tp>
      <tp>
        <v>81</v>
        <stp/>
        <stp>VOLUME</stp>
        <stp>.SPXW250521P5980</stp>
        <tr r="D95" s="2"/>
        <tr r="D95" s="2"/>
      </tp>
      <tp>
        <v>182</v>
        <stp/>
        <stp>VOLUME</stp>
        <stp>.SPXW250530P5890</stp>
        <tr r="G104" s="2"/>
        <tr r="G104" s="2"/>
      </tp>
      <tp t="s">
        <v>N/A</v>
        <stp/>
        <stp>VOLUME</stp>
        <stp>.SPXW250731P5880</stp>
        <tr r="N105" s="2"/>
      </tp>
      <tp>
        <v>24</v>
        <stp/>
        <stp>VOLUME</stp>
        <stp>.SPXW250630P5890</stp>
        <tr r="L104" s="2"/>
        <tr r="L104" s="2"/>
      </tp>
      <tp>
        <v>1</v>
        <stp/>
        <stp>VOLUME</stp>
        <stp>.SPXW250829C5930</stp>
        <tr r="P100" s="2"/>
        <tr r="P100" s="2"/>
      </tp>
      <tp>
        <v>728</v>
        <stp/>
        <stp>VOLUME</stp>
        <stp>.SPXW250522C5980</stp>
        <tr r="E95" s="2"/>
        <tr r="E95" s="2"/>
      </tp>
      <tp>
        <v>432</v>
        <stp/>
        <stp>VOLUME</stp>
        <stp>.SPXW250523C5990</stp>
        <tr r="BC93" s="1"/>
        <tr r="BC93" s="1"/>
      </tp>
      <tp t="s">
        <v>N/A</v>
        <stp/>
        <stp>VOLUME</stp>
        <stp>.SPXW251128C5920</stp>
        <tr r="V101" s="2"/>
      </tp>
      <tp t="s">
        <v>N/A</v>
        <stp/>
        <stp>VOLUME</stp>
        <stp>.SPXW251128P5920</stp>
        <tr r="V101" s="2"/>
      </tp>
      <tp t="s">
        <v>N/A</v>
        <stp/>
        <stp>VOLUME</stp>
        <stp>.SPXW250829P5930</stp>
        <tr r="P100" s="2"/>
      </tp>
      <tp>
        <v>39</v>
        <stp/>
        <stp>VOLUME</stp>
        <stp>.SPXW250522P5980</stp>
        <tr r="E95" s="2"/>
        <tr r="E95" s="2"/>
      </tp>
      <tp>
        <v>25</v>
        <stp/>
        <stp>VOLUME</stp>
        <stp>.SPXW250523P5990</stp>
        <tr r="BD93" s="1"/>
        <tr r="BD93" s="1"/>
      </tp>
      <tp t="s">
        <v>N/A</v>
        <stp/>
        <stp>VOLUME</stp>
        <stp>.SPXW250829C5920</stp>
        <tr r="P101" s="2"/>
      </tp>
      <tp>
        <v>418</v>
        <stp/>
        <stp>VOLUME</stp>
        <stp>.SPXW250522C5990</stp>
        <tr r="E94" s="2"/>
        <tr r="E94" s="2"/>
      </tp>
      <tp>
        <v>527</v>
        <stp/>
        <stp>VOLUME</stp>
        <stp>.SPXW250523C5980</stp>
        <tr r="BC94" s="1"/>
        <tr r="BC94" s="1"/>
      </tp>
      <tp t="s">
        <v>N/A</v>
        <stp/>
        <stp>VOLUME</stp>
        <stp>.SPXW251128C5930</stp>
        <tr r="V100" s="2"/>
      </tp>
      <tp t="s">
        <v>N/A</v>
        <stp/>
        <stp>VOLUME</stp>
        <stp>.SPXW251128P5930</stp>
        <tr r="V100" s="2"/>
      </tp>
      <tp t="s">
        <v>N/A</v>
        <stp/>
        <stp>VOLUME</stp>
        <stp>.SPXW250829P5920</stp>
        <tr r="P101" s="2"/>
      </tp>
      <tp>
        <v>14</v>
        <stp/>
        <stp>VOLUME</stp>
        <stp>.SPXW250522P5990</stp>
        <tr r="E94" s="2"/>
        <tr r="E94" s="2"/>
      </tp>
      <tp>
        <v>148</v>
        <stp/>
        <stp>VOLUME</stp>
        <stp>.SPXW250523P5980</stp>
        <tr r="BD94" s="1"/>
        <tr r="BD94" s="1"/>
      </tp>
      <tp t="s">
        <v>N/A</v>
        <stp/>
        <stp>VOLUME</stp>
        <stp>.SPXW250829C5950</stp>
        <tr r="P98" s="2"/>
      </tp>
      <tp t="s">
        <v>N/A</v>
        <stp/>
        <stp>VOLUME</stp>
        <stp>.SPXW251128C5940</stp>
        <tr r="V99" s="2"/>
      </tp>
      <tp t="s">
        <v>N/A</v>
        <stp/>
        <stp>VOLUME</stp>
        <stp>.SPXW251128P5940</stp>
        <tr r="V99" s="2"/>
      </tp>
      <tp>
        <v>1</v>
        <stp/>
        <stp>VOLUME</stp>
        <stp>.SPXW250829P5950</stp>
        <tr r="P98" s="2"/>
        <tr r="P98" s="2"/>
      </tp>
      <tp>
        <v>5</v>
        <stp/>
        <stp>VOLUME</stp>
        <stp>.SPXW250829C5940</stp>
        <tr r="P99" s="2"/>
        <tr r="P99" s="2"/>
      </tp>
      <tp t="s">
        <v>N/A</v>
        <stp/>
        <stp>VOLUME</stp>
        <stp>.SPXW251128C5950</stp>
        <tr r="V98" s="2"/>
      </tp>
      <tp t="s">
        <v>N/A</v>
        <stp/>
        <stp>VOLUME</stp>
        <stp>.SPXW251128P5950</stp>
        <tr r="V98" s="2"/>
      </tp>
      <tp t="s">
        <v>N/A</v>
        <stp/>
        <stp>VOLUME</stp>
        <stp>.SPXW250829P5940</stp>
        <tr r="P99" s="2"/>
      </tp>
      <tp t="s">
        <v>N/A</v>
        <stp/>
        <stp>VOLUME</stp>
        <stp>.SPXW250829C5970</stp>
        <tr r="P96" s="2"/>
      </tp>
      <tp t="s">
        <v>N/A</v>
        <stp/>
        <stp>VOLUME</stp>
        <stp>.SPXW251128C5960</stp>
        <tr r="V97" s="2"/>
      </tp>
      <tp t="s">
        <v>N/A</v>
        <stp/>
        <stp>VOLUME</stp>
        <stp>.SPXW251128P5960</stp>
        <tr r="V97" s="2"/>
      </tp>
      <tp>
        <v>4</v>
        <stp/>
        <stp>VOLUME</stp>
        <stp>.SPXW250829P5970</stp>
        <tr r="P96" s="2"/>
        <tr r="P96" s="2"/>
      </tp>
      <tp>
        <v>4</v>
        <stp/>
        <stp>VOLUME</stp>
        <stp>.SPXW250829C5960</stp>
        <tr r="P97" s="2"/>
        <tr r="P97" s="2"/>
      </tp>
      <tp t="s">
        <v>N/A</v>
        <stp/>
        <stp>VOLUME</stp>
        <stp>.SPXW251128C5970</stp>
        <tr r="V96" s="2"/>
      </tp>
      <tp t="s">
        <v>N/A</v>
        <stp/>
        <stp>VOLUME</stp>
        <stp>.SPXW251128P5970</stp>
        <tr r="V96" s="2"/>
      </tp>
      <tp t="s">
        <v>N/A</v>
        <stp/>
        <stp>VOLUME</stp>
        <stp>.SPXW250829P5960</stp>
        <tr r="P97" s="2"/>
      </tp>
      <tp t="s">
        <v>N/A</v>
        <stp/>
        <stp>VOLUME</stp>
        <stp>.NDXP251031P20750</stp>
        <tr r="T170" s="2"/>
      </tp>
      <tp t="s">
        <v>N/A</v>
        <stp/>
        <stp>VOLUME</stp>
        <stp>.NDXP251231P20750</stp>
        <tr r="X170" s="2"/>
      </tp>
      <tp t="s">
        <v>N/A</v>
        <stp/>
        <stp>VOLUME</stp>
        <stp>.SPXW250930C5800</stp>
        <tr r="R113" s="2"/>
      </tp>
      <tp>
        <v>1</v>
        <stp/>
        <stp>VOLUME</stp>
        <stp>.SPXW250829C5990</stp>
        <tr r="P94" s="2"/>
        <tr r="P94" s="2"/>
      </tp>
      <tp>
        <v>3598</v>
        <stp/>
        <stp>VOLUME</stp>
        <stp>.SPXW250520C5900</stp>
        <tr r="BA102" s="1"/>
        <tr r="BA102" s="1"/>
      </tp>
      <tp>
        <v>835</v>
        <stp/>
        <stp>VOLUME</stp>
        <stp>.SPXW250521C5910</stp>
        <tr r="D102" s="2"/>
        <tr r="D102" s="2"/>
      </tp>
      <tp>
        <v>361</v>
        <stp/>
        <stp>VOLUME</stp>
        <stp>.SPXW250522C5920</stp>
        <tr r="E101" s="2"/>
        <tr r="E101" s="2"/>
      </tp>
      <tp>
        <v>711</v>
        <stp/>
        <stp>VOLUME</stp>
        <stp>.SPXW250523C5930</stp>
        <tr r="BC99" s="1"/>
        <tr r="BC99" s="1"/>
      </tp>
      <tp>
        <v>282</v>
        <stp/>
        <stp>VOLUME</stp>
        <stp>.SPXW250530C5800</stp>
        <tr r="G113" s="2"/>
        <tr r="G113" s="2"/>
      </tp>
      <tp t="s">
        <v>N/A</v>
        <stp/>
        <stp>VOLUME</stp>
        <stp>.SPXW250731C5810</stp>
        <tr r="N112" s="2"/>
      </tp>
      <tp>
        <v>53</v>
        <stp/>
        <stp>VOLUME</stp>
        <stp>.SPXW250630C5800</stp>
        <tr r="L113" s="2"/>
        <tr r="L113" s="2"/>
      </tp>
      <tp t="s">
        <v>N/A</v>
        <stp/>
        <stp>VOLUME</stp>
        <stp>.SPXW251128C5980</stp>
        <tr r="V95" s="2"/>
      </tp>
      <tp t="s">
        <v>N/A</v>
        <stp/>
        <stp>VOLUME</stp>
        <stp>.SPXW251031C5810</stp>
        <tr r="T112" s="2"/>
      </tp>
      <tp>
        <v>2</v>
        <stp/>
        <stp>VOLUME</stp>
        <stp>.SPXW251231C5810</stp>
        <tr r="X112" s="2"/>
        <tr r="X112" s="2"/>
      </tp>
      <tp t="s">
        <v>N/A</v>
        <stp/>
        <stp>VOLUME</stp>
        <stp>.SPXW251128P5980</stp>
        <tr r="V95" s="2"/>
      </tp>
      <tp>
        <v>1</v>
        <stp/>
        <stp>VOLUME</stp>
        <stp>.SPXW251031P5810</stp>
        <tr r="T112" s="2"/>
        <tr r="T112" s="2"/>
      </tp>
      <tp>
        <v>30</v>
        <stp/>
        <stp>VOLUME</stp>
        <stp>.SPXW251231P5810</stp>
        <tr r="X112" s="2"/>
        <tr r="X112" s="2"/>
      </tp>
      <tp>
        <v>2</v>
        <stp/>
        <stp>VOLUME</stp>
        <stp>.SPXW250930P5800</stp>
        <tr r="R113" s="2"/>
        <tr r="R113" s="2"/>
      </tp>
      <tp>
        <v>2</v>
        <stp/>
        <stp>VOLUME</stp>
        <stp>.SPXW250829P5990</stp>
        <tr r="P94" s="2"/>
        <tr r="P94" s="2"/>
      </tp>
      <tp>
        <v>96703</v>
        <stp/>
        <stp>VOLUME</stp>
        <stp>.SPXW250520P5900</stp>
        <tr r="BB102" s="1"/>
        <tr r="BB102" s="1"/>
      </tp>
      <tp>
        <v>3094</v>
        <stp/>
        <stp>VOLUME</stp>
        <stp>.SPXW250521P5910</stp>
        <tr r="D102" s="2"/>
        <tr r="D102" s="2"/>
      </tp>
      <tp>
        <v>371</v>
        <stp/>
        <stp>VOLUME</stp>
        <stp>.SPXW250522P5920</stp>
        <tr r="E101" s="2"/>
        <tr r="E101" s="2"/>
      </tp>
      <tp>
        <v>776</v>
        <stp/>
        <stp>VOLUME</stp>
        <stp>.SPXW250523P5930</stp>
        <tr r="BD99" s="1"/>
        <tr r="BD99" s="1"/>
      </tp>
      <tp>
        <v>581</v>
        <stp/>
        <stp>VOLUME</stp>
        <stp>.SPXW250530P5800</stp>
        <tr r="G113" s="2"/>
        <tr r="G113" s="2"/>
      </tp>
      <tp>
        <v>61</v>
        <stp/>
        <stp>VOLUME</stp>
        <stp>.SPXW250731P5810</stp>
        <tr r="N112" s="2"/>
        <tr r="N112" s="2"/>
      </tp>
      <tp>
        <v>1458</v>
        <stp/>
        <stp>VOLUME</stp>
        <stp>.SPXW250630P5800</stp>
        <tr r="L113" s="2"/>
        <tr r="L113" s="2"/>
      </tp>
      <tp t="s">
        <v>N/A</v>
        <stp/>
        <stp>VOLUME</stp>
        <stp>.NDXP250930P20650</stp>
        <tr r="R174" s="2"/>
      </tp>
      <tp>
        <v>60</v>
        <stp/>
        <stp>VOLUME</stp>
        <stp>.NDXP250520P20650</stp>
        <tr r="BB173" s="1"/>
        <tr r="BB173" s="1"/>
      </tp>
      <tp>
        <v>65</v>
        <stp/>
        <stp>VOLUME</stp>
        <stp>.NDXP250521P20750</stp>
        <tr r="D170" s="2"/>
        <tr r="D170" s="2"/>
      </tp>
      <tp t="s">
        <v>N/A</v>
        <stp/>
        <stp>VOLUME</stp>
        <stp>.NDXP250522P20450</stp>
        <tr r="E182" s="2"/>
      </tp>
      <tp>
        <v>4</v>
        <stp/>
        <stp>VOLUME</stp>
        <stp>.NDXP250523P20550</stp>
        <tr r="BD177" s="1"/>
        <tr r="BD177" s="1"/>
      </tp>
      <tp t="s">
        <v>N/A</v>
        <stp/>
        <stp>VOLUME</stp>
        <stp>.NDXP250522P21450</stp>
        <tr r="E142" s="2"/>
      </tp>
      <tp t="s">
        <v>N/A</v>
        <stp/>
        <stp>VOLUME</stp>
        <stp>.NDXP250523P21550</stp>
        <tr r="BD137" s="1"/>
      </tp>
      <tp>
        <v>1</v>
        <stp/>
        <stp>VOLUME</stp>
        <stp>.NDXP250530P20650</stp>
        <tr r="G174" s="2"/>
        <tr r="G174" s="2"/>
      </tp>
      <tp t="s">
        <v>N/A</v>
        <stp/>
        <stp>VOLUME</stp>
        <stp>.NDXP250731P20750</stp>
        <tr r="N170" s="2"/>
      </tp>
      <tp t="s">
        <v>N/A</v>
        <stp/>
        <stp>VOLUME</stp>
        <stp>.NDXP250613P21550</stp>
        <tr r="I138" s="2"/>
      </tp>
      <tp t="s">
        <v>N/A</v>
        <stp/>
        <stp>VOLUME</stp>
        <stp>.NDXP250613P20550</stp>
        <tr r="I178" s="2"/>
      </tp>
      <tp t="s">
        <v>N/A</v>
        <stp/>
        <stp>VOLUME</stp>
        <stp>.NDXP250630P20650</stp>
        <tr r="L174" s="2"/>
      </tp>
      <tp t="s">
        <v>N/A</v>
        <stp/>
        <stp>VOLUME</stp>
        <stp>.SPXW250930C5810</stp>
        <tr r="R112" s="2"/>
      </tp>
      <tp>
        <v>1</v>
        <stp/>
        <stp>VOLUME</stp>
        <stp>.SPXW250829C5980</stp>
        <tr r="P95" s="2"/>
        <tr r="P95" s="2"/>
      </tp>
      <tp>
        <v>5871</v>
        <stp/>
        <stp>VOLUME</stp>
        <stp>.SPXW250520C5910</stp>
        <tr r="BA101" s="1"/>
        <tr r="BA101" s="1"/>
      </tp>
      <tp>
        <v>1164</v>
        <stp/>
        <stp>VOLUME</stp>
        <stp>.SPXW250521C5900</stp>
        <tr r="D103" s="2"/>
        <tr r="D103" s="2"/>
      </tp>
      <tp>
        <v>419</v>
        <stp/>
        <stp>VOLUME</stp>
        <stp>.SPXW250522C5930</stp>
        <tr r="E100" s="2"/>
        <tr r="E100" s="2"/>
      </tp>
      <tp>
        <v>245</v>
        <stp/>
        <stp>VOLUME</stp>
        <stp>.SPXW250523C5920</stp>
        <tr r="BC100" s="1"/>
        <tr r="BC100" s="1"/>
      </tp>
      <tp>
        <v>19</v>
        <stp/>
        <stp>VOLUME</stp>
        <stp>.SPXW250530C5810</stp>
        <tr r="G112" s="2"/>
        <tr r="G112" s="2"/>
      </tp>
      <tp>
        <v>27</v>
        <stp/>
        <stp>VOLUME</stp>
        <stp>.SPXW250731C5800</stp>
        <tr r="N113" s="2"/>
        <tr r="N113" s="2"/>
      </tp>
      <tp t="s">
        <v>N/A</v>
        <stp/>
        <stp>VOLUME</stp>
        <stp>.SPXW250630C5810</stp>
        <tr r="L112" s="2"/>
      </tp>
      <tp t="s">
        <v>N/A</v>
        <stp/>
        <stp>VOLUME</stp>
        <stp>.SPXW251128C5990</stp>
        <tr r="V94" s="2"/>
      </tp>
      <tp t="s">
        <v>N/A</v>
        <stp/>
        <stp>VOLUME</stp>
        <stp>.SPXW251031C5800</stp>
        <tr r="T113" s="2"/>
      </tp>
      <tp>
        <v>422</v>
        <stp/>
        <stp>VOLUME</stp>
        <stp>.SPXW251231C5800</stp>
        <tr r="X113" s="2"/>
        <tr r="X113" s="2"/>
      </tp>
      <tp t="s">
        <v>N/A</v>
        <stp/>
        <stp>VOLUME</stp>
        <stp>.SPXW251128P5990</stp>
        <tr r="V94" s="2"/>
      </tp>
      <tp>
        <v>209</v>
        <stp/>
        <stp>VOLUME</stp>
        <stp>.SPXW251031P5800</stp>
        <tr r="T113" s="2"/>
        <tr r="T113" s="2"/>
      </tp>
      <tp t="s">
        <v>N/A</v>
        <stp/>
        <stp>VOLUME</stp>
        <stp>.SPXW251231P5800</stp>
        <tr r="X113" s="2"/>
      </tp>
      <tp t="s">
        <v>N/A</v>
        <stp/>
        <stp>VOLUME</stp>
        <stp>.SPXW250930P5810</stp>
        <tr r="R112" s="2"/>
      </tp>
      <tp t="s">
        <v>N/A</v>
        <stp/>
        <stp>VOLUME</stp>
        <stp>.SPXW250829P5980</stp>
        <tr r="P95" s="2"/>
      </tp>
      <tp>
        <v>79168</v>
        <stp/>
        <stp>VOLUME</stp>
        <stp>.SPXW250520P5910</stp>
        <tr r="BB101" s="1"/>
        <tr r="BB101" s="1"/>
      </tp>
      <tp>
        <v>8040</v>
        <stp/>
        <stp>VOLUME</stp>
        <stp>.SPXW250521P5900</stp>
        <tr r="D103" s="2"/>
        <tr r="D103" s="2"/>
      </tp>
      <tp>
        <v>419</v>
        <stp/>
        <stp>VOLUME</stp>
        <stp>.SPXW250522P5930</stp>
        <tr r="E100" s="2"/>
        <tr r="E100" s="2"/>
      </tp>
      <tp>
        <v>880</v>
        <stp/>
        <stp>VOLUME</stp>
        <stp>.SPXW250523P5920</stp>
        <tr r="BD100" s="1"/>
        <tr r="BD100" s="1"/>
      </tp>
      <tp>
        <v>63</v>
        <stp/>
        <stp>VOLUME</stp>
        <stp>.SPXW250530P5810</stp>
        <tr r="G112" s="2"/>
        <tr r="G112" s="2"/>
      </tp>
      <tp>
        <v>60</v>
        <stp/>
        <stp>VOLUME</stp>
        <stp>.SPXW250731P5800</stp>
        <tr r="N113" s="2"/>
        <tr r="N113" s="2"/>
      </tp>
      <tp>
        <v>3</v>
        <stp/>
        <stp>VOLUME</stp>
        <stp>.SPXW250630P5810</stp>
        <tr r="L112" s="2"/>
        <tr r="L112" s="2"/>
      </tp>
      <tp t="s">
        <v>N/A</v>
        <stp/>
        <stp>VOLUME</stp>
        <stp>.NDXP251031P20775</stp>
        <tr r="T169" s="2"/>
      </tp>
      <tp t="s">
        <v>N/A</v>
        <stp/>
        <stp>VOLUME</stp>
        <stp>.NDXP251231P20775</stp>
        <tr r="X169" s="2"/>
      </tp>
      <tp t="s">
        <v>N/A</v>
        <stp/>
        <stp>VOLUME</stp>
        <stp>.SPXW250930C5820</stp>
        <tr r="R111" s="2"/>
      </tp>
      <tp>
        <v>21053</v>
        <stp/>
        <stp>VOLUME</stp>
        <stp>.SPXW250520C5920</stp>
        <tr r="BA100" s="1"/>
        <tr r="BA100" s="1"/>
      </tp>
      <tp>
        <v>2787</v>
        <stp/>
        <stp>VOLUME</stp>
        <stp>.SPXW250521C5930</stp>
        <tr r="D100" s="2"/>
        <tr r="D100" s="2"/>
      </tp>
      <tp>
        <v>99</v>
        <stp/>
        <stp>VOLUME</stp>
        <stp>.SPXW250522C5900</stp>
        <tr r="E103" s="2"/>
        <tr r="E103" s="2"/>
      </tp>
      <tp>
        <v>336</v>
        <stp/>
        <stp>VOLUME</stp>
        <stp>.SPXW250523C5910</stp>
        <tr r="BC101" s="1"/>
        <tr r="BC101" s="1"/>
      </tp>
      <tp>
        <v>3</v>
        <stp/>
        <stp>VOLUME</stp>
        <stp>.SPXW250530C5820</stp>
        <tr r="G111" s="2"/>
        <tr r="G111" s="2"/>
      </tp>
      <tp t="s">
        <v>N/A</v>
        <stp/>
        <stp>VOLUME</stp>
        <stp>.SPXW250731C5830</stp>
        <tr r="N110" s="2"/>
      </tp>
      <tp t="s">
        <v>N/A</v>
        <stp/>
        <stp>VOLUME</stp>
        <stp>.SPXW250630C5820</stp>
        <tr r="L111" s="2"/>
      </tp>
      <tp t="s">
        <v>N/A</v>
        <stp/>
        <stp>VOLUME</stp>
        <stp>.SPXW251031C5830</stp>
        <tr r="T110" s="2"/>
      </tp>
      <tp t="s">
        <v>N/A</v>
        <stp/>
        <stp>VOLUME</stp>
        <stp>.SPXW251231C5830</stp>
        <tr r="X110" s="2"/>
      </tp>
      <tp t="s">
        <v>N/A</v>
        <stp/>
        <stp>VOLUME</stp>
        <stp>.SPXW251031P5830</stp>
        <tr r="T110" s="2"/>
      </tp>
      <tp t="s">
        <v>N/A</v>
        <stp/>
        <stp>VOLUME</stp>
        <stp>.SPXW251231P5830</stp>
        <tr r="X110" s="2"/>
      </tp>
      <tp t="s">
        <v>N/A</v>
        <stp/>
        <stp>VOLUME</stp>
        <stp>.SPXW250930P5820</stp>
        <tr r="R111" s="2"/>
      </tp>
      <tp>
        <v>91735</v>
        <stp/>
        <stp>VOLUME</stp>
        <stp>.SPXW250520P5920</stp>
        <tr r="BB100" s="1"/>
        <tr r="BB100" s="1"/>
      </tp>
      <tp>
        <v>3621</v>
        <stp/>
        <stp>VOLUME</stp>
        <stp>.SPXW250521P5930</stp>
        <tr r="D100" s="2"/>
        <tr r="D100" s="2"/>
      </tp>
      <tp>
        <v>1182</v>
        <stp/>
        <stp>VOLUME</stp>
        <stp>.SPXW250522P5900</stp>
        <tr r="E103" s="2"/>
        <tr r="E103" s="2"/>
      </tp>
      <tp>
        <v>1332</v>
        <stp/>
        <stp>VOLUME</stp>
        <stp>.SPXW250523P5910</stp>
        <tr r="BD101" s="1"/>
        <tr r="BD101" s="1"/>
      </tp>
      <tp>
        <v>118</v>
        <stp/>
        <stp>VOLUME</stp>
        <stp>.SPXW250530P5820</stp>
        <tr r="G111" s="2"/>
        <tr r="G111" s="2"/>
      </tp>
      <tp>
        <v>2</v>
        <stp/>
        <stp>VOLUME</stp>
        <stp>.SPXW250731P5830</stp>
        <tr r="N110" s="2"/>
        <tr r="N110" s="2"/>
      </tp>
      <tp>
        <v>3</v>
        <stp/>
        <stp>VOLUME</stp>
        <stp>.SPXW250630P5820</stp>
        <tr r="L111" s="2"/>
        <tr r="L111" s="2"/>
      </tp>
      <tp t="s">
        <v>N/A</v>
        <stp/>
        <stp>VOLUME</stp>
        <stp>.NDXP250930P20675</stp>
        <tr r="R173" s="2"/>
      </tp>
      <tp>
        <v>8</v>
        <stp/>
        <stp>VOLUME</stp>
        <stp>.NDXP250520P20675</stp>
        <tr r="BB172" s="1"/>
        <tr r="BB172" s="1"/>
      </tp>
      <tp>
        <v>3</v>
        <stp/>
        <stp>VOLUME</stp>
        <stp>.NDXP250521P20775</stp>
        <tr r="D169" s="2"/>
        <tr r="D169" s="2"/>
      </tp>
      <tp t="s">
        <v>N/A</v>
        <stp/>
        <stp>VOLUME</stp>
        <stp>.NDXP250522P20475</stp>
        <tr r="E181" s="2"/>
      </tp>
      <tp t="s">
        <v>N/A</v>
        <stp/>
        <stp>VOLUME</stp>
        <stp>.NDXP250523P20575</stp>
        <tr r="BD176" s="1"/>
      </tp>
      <tp t="s">
        <v>N/A</v>
        <stp/>
        <stp>VOLUME</stp>
        <stp>.NDXP250522P21475</stp>
        <tr r="E141" s="2"/>
      </tp>
      <tp>
        <v>1</v>
        <stp/>
        <stp>VOLUME</stp>
        <stp>.NDXP250530P20675</stp>
        <tr r="G173" s="2"/>
        <tr r="G173" s="2"/>
      </tp>
      <tp t="s">
        <v>N/A</v>
        <stp/>
        <stp>VOLUME</stp>
        <stp>.NDXP250613P20575</stp>
        <tr r="I177" s="2"/>
      </tp>
      <tp t="s">
        <v>N/A</v>
        <stp/>
        <stp>VOLUME</stp>
        <stp>.NDXP250630P20675</stp>
        <tr r="L173" s="2"/>
      </tp>
      <tp t="s">
        <v>N/A</v>
        <stp/>
        <stp>VOLUME</stp>
        <stp>.NDXP250731P20775</stp>
        <tr r="N169" s="2"/>
      </tp>
      <tp t="s">
        <v>N/A</v>
        <stp/>
        <stp>VOLUME</stp>
        <stp>.SPXW250930C5830</stp>
        <tr r="R110" s="2"/>
      </tp>
      <tp>
        <v>44484</v>
        <stp/>
        <stp>VOLUME</stp>
        <stp>.SPXW250520C5930</stp>
        <tr r="BA99" s="1"/>
        <tr r="BA99" s="1"/>
      </tp>
      <tp>
        <v>1691</v>
        <stp/>
        <stp>VOLUME</stp>
        <stp>.SPXW250521C5920</stp>
        <tr r="D101" s="2"/>
        <tr r="D101" s="2"/>
      </tp>
      <tp>
        <v>66</v>
        <stp/>
        <stp>VOLUME</stp>
        <stp>.SPXW250522C5910</stp>
        <tr r="E102" s="2"/>
        <tr r="E102" s="2"/>
      </tp>
      <tp>
        <v>663</v>
        <stp/>
        <stp>VOLUME</stp>
        <stp>.SPXW250523C5900</stp>
        <tr r="BC102" s="1"/>
        <tr r="BC102" s="1"/>
      </tp>
      <tp>
        <v>3</v>
        <stp/>
        <stp>VOLUME</stp>
        <stp>.SPXW250530C5830</stp>
        <tr r="G110" s="2"/>
        <tr r="G110" s="2"/>
      </tp>
      <tp t="s">
        <v>N/A</v>
        <stp/>
        <stp>VOLUME</stp>
        <stp>.SPXW250731C5820</stp>
        <tr r="N111" s="2"/>
      </tp>
      <tp t="s">
        <v>N/A</v>
        <stp/>
        <stp>VOLUME</stp>
        <stp>.SPXW250630C5830</stp>
        <tr r="L110" s="2"/>
      </tp>
      <tp t="s">
        <v>N/A</v>
        <stp/>
        <stp>VOLUME</stp>
        <stp>.SPXW251031C5820</stp>
        <tr r="T111" s="2"/>
      </tp>
      <tp t="s">
        <v>N/A</v>
        <stp/>
        <stp>VOLUME</stp>
        <stp>.SPXW251231C5820</stp>
        <tr r="X111" s="2"/>
      </tp>
      <tp t="s">
        <v>N/A</v>
        <stp/>
        <stp>VOLUME</stp>
        <stp>.SPXW251031P5820</stp>
        <tr r="T111" s="2"/>
      </tp>
      <tp>
        <v>2</v>
        <stp/>
        <stp>VOLUME</stp>
        <stp>.SPXW251231P5820</stp>
        <tr r="X111" s="2"/>
        <tr r="X111" s="2"/>
      </tp>
      <tp t="s">
        <v>N/A</v>
        <stp/>
        <stp>VOLUME</stp>
        <stp>.SPXW250930P5830</stp>
        <tr r="R110" s="2"/>
      </tp>
      <tp>
        <v>78890</v>
        <stp/>
        <stp>VOLUME</stp>
        <stp>.SPXW250520P5930</stp>
        <tr r="BB99" s="1"/>
        <tr r="BB99" s="1"/>
      </tp>
      <tp>
        <v>5096</v>
        <stp/>
        <stp>VOLUME</stp>
        <stp>.SPXW250521P5920</stp>
        <tr r="D101" s="2"/>
        <tr r="D101" s="2"/>
      </tp>
      <tp>
        <v>393</v>
        <stp/>
        <stp>VOLUME</stp>
        <stp>.SPXW250522P5910</stp>
        <tr r="E102" s="2"/>
        <tr r="E102" s="2"/>
      </tp>
      <tp>
        <v>2580</v>
        <stp/>
        <stp>VOLUME</stp>
        <stp>.SPXW250523P5900</stp>
        <tr r="BD102" s="1"/>
        <tr r="BD102" s="1"/>
      </tp>
      <tp>
        <v>100</v>
        <stp/>
        <stp>VOLUME</stp>
        <stp>.SPXW250530P5830</stp>
        <tr r="G110" s="2"/>
        <tr r="G110" s="2"/>
      </tp>
      <tp t="s">
        <v>N/A</v>
        <stp/>
        <stp>VOLUME</stp>
        <stp>.SPXW250731P5820</stp>
        <tr r="N111" s="2"/>
      </tp>
      <tp t="s">
        <v>N/A</v>
        <stp/>
        <stp>VOLUME</stp>
        <stp>.SPXW250630P5830</stp>
        <tr r="L110" s="2"/>
      </tp>
      <tp t="s">
        <v>N/A</v>
        <stp/>
        <stp>VOLUME</stp>
        <stp>.NDXP250930P20600</stp>
        <tr r="R176" s="2"/>
      </tp>
      <tp>
        <v>85</v>
        <stp/>
        <stp>VOLUME</stp>
        <stp>.NDXP250520P20600</stp>
        <tr r="BB175" s="1"/>
        <tr r="BB175" s="1"/>
      </tp>
      <tp>
        <v>90</v>
        <stp/>
        <stp>VOLUME</stp>
        <stp>.NDXP250521P20700</stp>
        <tr r="D172" s="2"/>
        <tr r="D172" s="2"/>
      </tp>
      <tp t="s">
        <v>N/A</v>
        <stp/>
        <stp>VOLUME</stp>
        <stp>.NDXP250522P20400</stp>
        <tr r="E184" s="2"/>
      </tp>
      <tp>
        <v>15</v>
        <stp/>
        <stp>VOLUME</stp>
        <stp>.NDXP250523P20500</stp>
        <tr r="BD179" s="1"/>
        <tr r="BD179" s="1"/>
      </tp>
      <tp>
        <v>1</v>
        <stp/>
        <stp>VOLUME</stp>
        <stp>.NDXP250522P21400</stp>
        <tr r="E144" s="2"/>
        <tr r="E144" s="2"/>
      </tp>
      <tp>
        <v>1</v>
        <stp/>
        <stp>VOLUME</stp>
        <stp>.NDXP250523P21500</stp>
        <tr r="BD139" s="1"/>
        <tr r="BD139" s="1"/>
      </tp>
      <tp>
        <v>5</v>
        <stp/>
        <stp>VOLUME</stp>
        <stp>.NDXP250530P20600</stp>
        <tr r="G176" s="2"/>
        <tr r="G176" s="2"/>
      </tp>
      <tp t="s">
        <v>N/A</v>
        <stp/>
        <stp>VOLUME</stp>
        <stp>.NDXP250731P20700</stp>
        <tr r="N172" s="2"/>
      </tp>
      <tp t="s">
        <v>N/A</v>
        <stp/>
        <stp>VOLUME</stp>
        <stp>.NDXP250613P21500</stp>
        <tr r="I140" s="2"/>
      </tp>
      <tp t="s">
        <v>N/A</v>
        <stp/>
        <stp>VOLUME</stp>
        <stp>.NDXP250613P20500</stp>
        <tr r="I180" s="2"/>
      </tp>
      <tp t="s">
        <v>N/A</v>
        <stp/>
        <stp>VOLUME</stp>
        <stp>.NDXP250630P20600</stp>
        <tr r="L176" s="2"/>
      </tp>
      <tp t="s">
        <v>N/A</v>
        <stp/>
        <stp>VOLUME</stp>
        <stp>.SPXW250930C5840</stp>
        <tr r="R109" s="2"/>
      </tp>
      <tp>
        <v>107566</v>
        <stp/>
        <stp>VOLUME</stp>
        <stp>.SPXW250520C5940</stp>
        <tr r="BA98" s="1"/>
        <tr r="BA98" s="1"/>
      </tp>
      <tp>
        <v>8085</v>
        <stp/>
        <stp>VOLUME</stp>
        <stp>.SPXW250521C5950</stp>
        <tr r="D98" s="2"/>
        <tr r="D98" s="2"/>
      </tp>
      <tp>
        <v>552</v>
        <stp/>
        <stp>VOLUME</stp>
        <stp>.SPXW250522C5960</stp>
        <tr r="E97" s="2"/>
        <tr r="E97" s="2"/>
      </tp>
      <tp>
        <v>1744</v>
        <stp/>
        <stp>VOLUME</stp>
        <stp>.SPXW250523C5970</stp>
        <tr r="BC95" s="1"/>
        <tr r="BC95" s="1"/>
      </tp>
      <tp>
        <v>22</v>
        <stp/>
        <stp>VOLUME</stp>
        <stp>.SPXW250530C5840</stp>
        <tr r="G109" s="2"/>
        <tr r="G109" s="2"/>
      </tp>
      <tp t="s">
        <v>N/A</v>
        <stp/>
        <stp>VOLUME</stp>
        <stp>.SPXW250731C5850</stp>
        <tr r="N108" s="2"/>
      </tp>
      <tp t="s">
        <v>N/A</v>
        <stp/>
        <stp>VOLUME</stp>
        <stp>.SPXW250630C5840</stp>
        <tr r="L109" s="2"/>
      </tp>
      <tp t="s">
        <v>N/A</v>
        <stp/>
        <stp>VOLUME</stp>
        <stp>.SPXW251031C5850</stp>
        <tr r="T108" s="2"/>
      </tp>
      <tp t="s">
        <v>N/A</v>
        <stp/>
        <stp>VOLUME</stp>
        <stp>.SPXW251231C5850</stp>
        <tr r="X108" s="2"/>
      </tp>
      <tp t="s">
        <v>N/A</v>
        <stp/>
        <stp>VOLUME</stp>
        <stp>.SPXW251031P5850</stp>
        <tr r="T108" s="2"/>
      </tp>
      <tp>
        <v>30</v>
        <stp/>
        <stp>VOLUME</stp>
        <stp>.SPXW251231P5850</stp>
        <tr r="X108" s="2"/>
        <tr r="X108" s="2"/>
      </tp>
      <tp t="s">
        <v>N/A</v>
        <stp/>
        <stp>VOLUME</stp>
        <stp>.SPXW250930P5840</stp>
        <tr r="R109" s="2"/>
      </tp>
      <tp>
        <v>60582</v>
        <stp/>
        <stp>VOLUME</stp>
        <stp>.SPXW250520P5940</stp>
        <tr r="BB98" s="1"/>
        <tr r="BB98" s="1"/>
      </tp>
      <tp>
        <v>2869</v>
        <stp/>
        <stp>VOLUME</stp>
        <stp>.SPXW250521P5950</stp>
        <tr r="D98" s="2"/>
        <tr r="D98" s="2"/>
      </tp>
      <tp>
        <v>217</v>
        <stp/>
        <stp>VOLUME</stp>
        <stp>.SPXW250522P5960</stp>
        <tr r="E97" s="2"/>
        <tr r="E97" s="2"/>
      </tp>
      <tp>
        <v>294</v>
        <stp/>
        <stp>VOLUME</stp>
        <stp>.SPXW250523P5970</stp>
        <tr r="BD95" s="1"/>
        <tr r="BD95" s="1"/>
      </tp>
      <tp>
        <v>163</v>
        <stp/>
        <stp>VOLUME</stp>
        <stp>.SPXW250530P5840</stp>
        <tr r="G109" s="2"/>
        <tr r="G109" s="2"/>
      </tp>
      <tp>
        <v>2</v>
        <stp/>
        <stp>VOLUME</stp>
        <stp>.SPXW250731P5850</stp>
        <tr r="N108" s="2"/>
        <tr r="N108" s="2"/>
      </tp>
      <tp>
        <v>20</v>
        <stp/>
        <stp>VOLUME</stp>
        <stp>.SPXW250630P5840</stp>
        <tr r="L109" s="2"/>
        <tr r="L109" s="2"/>
      </tp>
      <tp t="s">
        <v>N/A</v>
        <stp/>
        <stp>VOLUME</stp>
        <stp>.NDXP251031P20700</stp>
        <tr r="T172" s="2"/>
      </tp>
      <tp t="s">
        <v>N/A</v>
        <stp/>
        <stp>VOLUME</stp>
        <stp>.NDXP251231P20700</stp>
        <tr r="X172" s="2"/>
      </tp>
      <tp>
        <v>1</v>
        <stp/>
        <stp>VOLUME</stp>
        <stp>.SPXW250930C5850</stp>
        <tr r="R108" s="2"/>
        <tr r="R108" s="2"/>
      </tp>
      <tp>
        <v>113803</v>
        <stp/>
        <stp>VOLUME</stp>
        <stp>.SPXW250520C5950</stp>
        <tr r="BA97" s="1"/>
        <tr r="BA97" s="1"/>
      </tp>
      <tp>
        <v>5224</v>
        <stp/>
        <stp>VOLUME</stp>
        <stp>.SPXW250521C5940</stp>
        <tr r="D99" s="2"/>
        <tr r="D99" s="2"/>
      </tp>
      <tp>
        <v>387</v>
        <stp/>
        <stp>VOLUME</stp>
        <stp>.SPXW250522C5970</stp>
        <tr r="E96" s="2"/>
        <tr r="E96" s="2"/>
      </tp>
      <tp>
        <v>756</v>
        <stp/>
        <stp>VOLUME</stp>
        <stp>.SPXW250523C5960</stp>
        <tr r="BC96" s="1"/>
        <tr r="BC96" s="1"/>
      </tp>
      <tp>
        <v>82</v>
        <stp/>
        <stp>VOLUME</stp>
        <stp>.SPXW250530C5850</stp>
        <tr r="G108" s="2"/>
        <tr r="G108" s="2"/>
      </tp>
      <tp>
        <v>1</v>
        <stp/>
        <stp>VOLUME</stp>
        <stp>.SPXW250731C5840</stp>
        <tr r="N109" s="2"/>
        <tr r="N109" s="2"/>
      </tp>
      <tp>
        <v>266</v>
        <stp/>
        <stp>VOLUME</stp>
        <stp>.SPXW250630C5850</stp>
        <tr r="L108" s="2"/>
        <tr r="L108" s="2"/>
      </tp>
      <tp>
        <v>2</v>
        <stp/>
        <stp>VOLUME</stp>
        <stp>.SPXW251031C5840</stp>
        <tr r="T109" s="2"/>
        <tr r="T109" s="2"/>
      </tp>
      <tp t="s">
        <v>N/A</v>
        <stp/>
        <stp>VOLUME</stp>
        <stp>.SPXW251231C5840</stp>
        <tr r="X109" s="2"/>
      </tp>
      <tp>
        <v>1</v>
        <stp/>
        <stp>VOLUME</stp>
        <stp>.SPXW251031P5840</stp>
        <tr r="T109" s="2"/>
        <tr r="T109" s="2"/>
      </tp>
      <tp t="s">
        <v>N/A</v>
        <stp/>
        <stp>VOLUME</stp>
        <stp>.SPXW251231P5840</stp>
        <tr r="X109" s="2"/>
      </tp>
      <tp t="s">
        <v>N/A</v>
        <stp/>
        <stp>VOLUME</stp>
        <stp>.SPXW250930P5850</stp>
        <tr r="R108" s="2"/>
      </tp>
      <tp>
        <v>30110</v>
        <stp/>
        <stp>VOLUME</stp>
        <stp>.SPXW250520P5950</stp>
        <tr r="BB97" s="1"/>
        <tr r="BB97" s="1"/>
      </tp>
      <tp>
        <v>5142</v>
        <stp/>
        <stp>VOLUME</stp>
        <stp>.SPXW250521P5940</stp>
        <tr r="D99" s="2"/>
        <tr r="D99" s="2"/>
      </tp>
      <tp>
        <v>64</v>
        <stp/>
        <stp>VOLUME</stp>
        <stp>.SPXW250522P5970</stp>
        <tr r="E96" s="2"/>
        <tr r="E96" s="2"/>
      </tp>
      <tp>
        <v>548</v>
        <stp/>
        <stp>VOLUME</stp>
        <stp>.SPXW250523P5960</stp>
        <tr r="BD96" s="1"/>
        <tr r="BD96" s="1"/>
      </tp>
      <tp>
        <v>1760</v>
        <stp/>
        <stp>VOLUME</stp>
        <stp>.SPXW250530P5850</stp>
        <tr r="G108" s="2"/>
        <tr r="G108" s="2"/>
      </tp>
      <tp t="s">
        <v>N/A</v>
        <stp/>
        <stp>VOLUME</stp>
        <stp>.SPXW250731P5840</stp>
        <tr r="N109" s="2"/>
      </tp>
      <tp>
        <v>58</v>
        <stp/>
        <stp>VOLUME</stp>
        <stp>.SPXW250630P5850</stp>
        <tr r="L108" s="2"/>
        <tr r="L108" s="2"/>
      </tp>
      <tp t="s">
        <v>N/A</v>
        <stp/>
        <stp>VOLUME</stp>
        <stp>.NDXP250930P20625</stp>
        <tr r="R175" s="2"/>
      </tp>
      <tp t="s">
        <v>N/A</v>
        <stp/>
        <stp>VOLUME</stp>
        <stp>.NDXP250520P20625</stp>
        <tr r="BB174" s="1"/>
      </tp>
      <tp>
        <v>5</v>
        <stp/>
        <stp>VOLUME</stp>
        <stp>.NDXP250521P20725</stp>
        <tr r="D171" s="2"/>
        <tr r="D171" s="2"/>
      </tp>
      <tp t="s">
        <v>N/A</v>
        <stp/>
        <stp>VOLUME</stp>
        <stp>.NDXP250522P20425</stp>
        <tr r="E183" s="2"/>
      </tp>
      <tp t="s">
        <v>N/A</v>
        <stp/>
        <stp>VOLUME</stp>
        <stp>.NDXP250523P20525</stp>
        <tr r="BD178" s="1"/>
      </tp>
      <tp t="s">
        <v>N/A</v>
        <stp/>
        <stp>VOLUME</stp>
        <stp>.NDXP250522P21425</stp>
        <tr r="E143" s="2"/>
      </tp>
      <tp t="s">
        <v>N/A</v>
        <stp/>
        <stp>VOLUME</stp>
        <stp>.NDXP250523P21525</stp>
        <tr r="BD138" s="1"/>
      </tp>
      <tp>
        <v>1</v>
        <stp/>
        <stp>VOLUME</stp>
        <stp>.NDXP250530P20625</stp>
        <tr r="G175" s="2"/>
        <tr r="G175" s="2"/>
      </tp>
      <tp t="s">
        <v>N/A</v>
        <stp/>
        <stp>VOLUME</stp>
        <stp>.NDXP250613P21525</stp>
        <tr r="I139" s="2"/>
      </tp>
      <tp t="s">
        <v>N/A</v>
        <stp/>
        <stp>VOLUME</stp>
        <stp>.NDXP250613P20525</stp>
        <tr r="I179" s="2"/>
      </tp>
      <tp t="s">
        <v>N/A</v>
        <stp/>
        <stp>VOLUME</stp>
        <stp>.NDXP250630P20625</stp>
        <tr r="L175" s="2"/>
      </tp>
      <tp t="s">
        <v>N/A</v>
        <stp/>
        <stp>VOLUME</stp>
        <stp>.NDXP250731P20725</stp>
        <tr r="N171" s="2"/>
      </tp>
      <tp t="s">
        <v>N/A</v>
        <stp/>
        <stp>VOLUME</stp>
        <stp>.SPXW250930C5860</stp>
        <tr r="R107" s="2"/>
      </tp>
      <tp>
        <v>70010</v>
        <stp/>
        <stp>VOLUME</stp>
        <stp>.SPXW250520C5960</stp>
        <tr r="BA96" s="1"/>
        <tr r="BA96" s="1"/>
      </tp>
      <tp>
        <v>3717</v>
        <stp/>
        <stp>VOLUME</stp>
        <stp>.SPXW250521C5970</stp>
        <tr r="D96" s="2"/>
        <tr r="D96" s="2"/>
      </tp>
      <tp>
        <v>1434</v>
        <stp/>
        <stp>VOLUME</stp>
        <stp>.SPXW250522C5940</stp>
        <tr r="E99" s="2"/>
        <tr r="E99" s="2"/>
      </tp>
      <tp>
        <v>2950</v>
        <stp/>
        <stp>VOLUME</stp>
        <stp>.SPXW250523C5950</stp>
        <tr r="BC97" s="1"/>
        <tr r="BC97" s="1"/>
      </tp>
      <tp>
        <v>17</v>
        <stp/>
        <stp>VOLUME</stp>
        <stp>.SPXW250530C5860</stp>
        <tr r="G107" s="2"/>
        <tr r="G107" s="2"/>
      </tp>
      <tp t="s">
        <v>N/A</v>
        <stp/>
        <stp>VOLUME</stp>
        <stp>.SPXW250731C5870</stp>
        <tr r="N106" s="2"/>
      </tp>
      <tp t="s">
        <v>N/A</v>
        <stp/>
        <stp>VOLUME</stp>
        <stp>.SPXW250630C5860</stp>
        <tr r="L107" s="2"/>
      </tp>
      <tp t="s">
        <v>N/A</v>
        <stp/>
        <stp>VOLUME</stp>
        <stp>.SPXW251031C5870</stp>
        <tr r="T106" s="2"/>
      </tp>
      <tp t="s">
        <v>N/A</v>
        <stp/>
        <stp>VOLUME</stp>
        <stp>.SPXW251231C5870</stp>
        <tr r="X106" s="2"/>
      </tp>
      <tp t="s">
        <v>N/A</v>
        <stp/>
        <stp>VOLUME</stp>
        <stp>.SPXW251031P5870</stp>
        <tr r="T106" s="2"/>
      </tp>
      <tp t="s">
        <v>N/A</v>
        <stp/>
        <stp>VOLUME</stp>
        <stp>.SPXW251231P5870</stp>
        <tr r="X106" s="2"/>
      </tp>
      <tp t="s">
        <v>N/A</v>
        <stp/>
        <stp>VOLUME</stp>
        <stp>.SPXW250930P5860</stp>
        <tr r="R107" s="2"/>
      </tp>
      <tp>
        <v>5440</v>
        <stp/>
        <stp>VOLUME</stp>
        <stp>.SPXW250520P5960</stp>
        <tr r="BB96" s="1"/>
        <tr r="BB96" s="1"/>
      </tp>
      <tp>
        <v>349</v>
        <stp/>
        <stp>VOLUME</stp>
        <stp>.SPXW250521P5970</stp>
        <tr r="D96" s="2"/>
        <tr r="D96" s="2"/>
      </tp>
      <tp>
        <v>463</v>
        <stp/>
        <stp>VOLUME</stp>
        <stp>.SPXW250522P5940</stp>
        <tr r="E99" s="2"/>
        <tr r="E99" s="2"/>
      </tp>
      <tp>
        <v>1027</v>
        <stp/>
        <stp>VOLUME</stp>
        <stp>.SPXW250523P5950</stp>
        <tr r="BD97" s="1"/>
        <tr r="BD97" s="1"/>
      </tp>
      <tp>
        <v>84</v>
        <stp/>
        <stp>VOLUME</stp>
        <stp>.SPXW250530P5860</stp>
        <tr r="G107" s="2"/>
        <tr r="G107" s="2"/>
      </tp>
      <tp>
        <v>1</v>
        <stp/>
        <stp>VOLUME</stp>
        <stp>.SPXW250731P5870</stp>
        <tr r="N106" s="2"/>
        <tr r="N106" s="2"/>
      </tp>
      <tp t="s">
        <v>N/A</v>
        <stp/>
        <stp>VOLUME</stp>
        <stp>.SPXW250630P5860</stp>
        <tr r="L107" s="2"/>
      </tp>
      <tp t="s">
        <v>N/A</v>
        <stp/>
        <stp>VOLUME</stp>
        <stp>.NDXP251031P20725</stp>
        <tr r="T171" s="2"/>
      </tp>
      <tp t="s">
        <v>N/A</v>
        <stp/>
        <stp>VOLUME</stp>
        <stp>.NDXP251231P20725</stp>
        <tr r="X171" s="2"/>
      </tp>
      <tp t="s">
        <v>N/A</v>
        <stp/>
        <stp>VOLUME</stp>
        <stp>.SPXW250930C5870</stp>
        <tr r="R106" s="2"/>
      </tp>
      <tp>
        <v>57706</v>
        <stp/>
        <stp>VOLUME</stp>
        <stp>.SPXW250520C5970</stp>
        <tr r="BA95" s="1"/>
        <tr r="BA95" s="1"/>
      </tp>
      <tp>
        <v>5510</v>
        <stp/>
        <stp>VOLUME</stp>
        <stp>.SPXW250521C5960</stp>
        <tr r="D97" s="2"/>
        <tr r="D97" s="2"/>
      </tp>
      <tp>
        <v>812</v>
        <stp/>
        <stp>VOLUME</stp>
        <stp>.SPXW250522C5950</stp>
        <tr r="E98" s="2"/>
        <tr r="E98" s="2"/>
      </tp>
      <tp>
        <v>889</v>
        <stp/>
        <stp>VOLUME</stp>
        <stp>.SPXW250523C5940</stp>
        <tr r="BC98" s="1"/>
        <tr r="BC98" s="1"/>
      </tp>
      <tp>
        <v>6</v>
        <stp/>
        <stp>VOLUME</stp>
        <stp>.SPXW250530C5870</stp>
        <tr r="G106" s="2"/>
        <tr r="G106" s="2"/>
      </tp>
      <tp>
        <v>1</v>
        <stp/>
        <stp>VOLUME</stp>
        <stp>.SPXW250731C5860</stp>
        <tr r="N107" s="2"/>
        <tr r="N107" s="2"/>
      </tp>
      <tp t="s">
        <v>N/A</v>
        <stp/>
        <stp>VOLUME</stp>
        <stp>.SPXW250630C5870</stp>
        <tr r="L106" s="2"/>
      </tp>
      <tp t="s">
        <v>N/A</v>
        <stp/>
        <stp>VOLUME</stp>
        <stp>.SPXW251031C5860</stp>
        <tr r="T107" s="2"/>
      </tp>
      <tp t="s">
        <v>N/A</v>
        <stp/>
        <stp>VOLUME</stp>
        <stp>.SPXW251231C5860</stp>
        <tr r="X107" s="2"/>
      </tp>
      <tp t="s">
        <v>N/A</v>
        <stp/>
        <stp>VOLUME</stp>
        <stp>.SPXW251031P5860</stp>
        <tr r="T107" s="2"/>
      </tp>
      <tp t="s">
        <v>N/A</v>
        <stp/>
        <stp>VOLUME</stp>
        <stp>.SPXW251231P5860</stp>
        <tr r="X107" s="2"/>
      </tp>
      <tp t="s">
        <v>N/A</v>
        <stp/>
        <stp>VOLUME</stp>
        <stp>.SPXW250930P5870</stp>
        <tr r="R106" s="2"/>
      </tp>
      <tp>
        <v>1477</v>
        <stp/>
        <stp>VOLUME</stp>
        <stp>.SPXW250520P5970</stp>
        <tr r="BB95" s="1"/>
        <tr r="BB95" s="1"/>
      </tp>
      <tp>
        <v>825</v>
        <stp/>
        <stp>VOLUME</stp>
        <stp>.SPXW250521P5960</stp>
        <tr r="D97" s="2"/>
        <tr r="D97" s="2"/>
      </tp>
      <tp>
        <v>438</v>
        <stp/>
        <stp>VOLUME</stp>
        <stp>.SPXW250522P5950</stp>
        <tr r="E98" s="2"/>
        <tr r="E98" s="2"/>
      </tp>
      <tp>
        <v>567</v>
        <stp/>
        <stp>VOLUME</stp>
        <stp>.SPXW250523P5940</stp>
        <tr r="BD98" s="1"/>
        <tr r="BD98" s="1"/>
      </tp>
      <tp>
        <v>138</v>
        <stp/>
        <stp>VOLUME</stp>
        <stp>.SPXW250530P5870</stp>
        <tr r="G106" s="2"/>
        <tr r="G106" s="2"/>
      </tp>
      <tp t="s">
        <v>N/A</v>
        <stp/>
        <stp>VOLUME</stp>
        <stp>.SPXW250731P5860</stp>
        <tr r="N107" s="2"/>
      </tp>
      <tp>
        <v>3</v>
        <stp/>
        <stp>VOLUME</stp>
        <stp>.SPXW250630P5870</stp>
        <tr r="L106" s="2"/>
        <tr r="L106" s="2"/>
      </tp>
      <tp>
        <v>-1</v>
        <stp/>
        <stp>DELTA</stp>
        <stp>.NDXP250520P21425</stp>
        <tr r="CE142" s="1"/>
        <tr r="CE142" s="1"/>
      </tp>
      <tp>
        <v>-0.04</v>
        <stp/>
        <stp>DELTA</stp>
        <stp>.NDXP250520P20425</stp>
        <tr r="CE182" s="1"/>
        <tr r="CE182" s="1"/>
      </tp>
      <tp>
        <v>-0.09</v>
        <stp/>
        <stp>DELTA</stp>
        <stp>.NDXP250523P20725</stp>
        <tr r="CG170" s="1"/>
        <tr r="CG170" s="1"/>
      </tp>
      <tp>
        <v>-1</v>
        <stp/>
        <stp>DELTA</stp>
        <stp>.NDXP250520P21400</stp>
        <tr r="CE143" s="1"/>
        <tr r="CE143" s="1"/>
      </tp>
      <tp>
        <v>-0.04</v>
        <stp/>
        <stp>DELTA</stp>
        <stp>.NDXP250520P20400</stp>
        <tr r="CE183" s="1"/>
        <tr r="CE183" s="1"/>
      </tp>
      <tp>
        <v>-0.08</v>
        <stp/>
        <stp>DELTA</stp>
        <stp>.NDXP250523P20700</stp>
        <tr r="CG171" s="1"/>
        <tr r="CG171" s="1"/>
      </tp>
      <tp>
        <v>-1</v>
        <stp/>
        <stp>DELTA</stp>
        <stp>.NDXP250520P21475</stp>
        <tr r="CE140" s="1"/>
        <tr r="CE140" s="1"/>
      </tp>
      <tp>
        <v>-0.04</v>
        <stp/>
        <stp>DELTA</stp>
        <stp>.NDXP250520P20475</stp>
        <tr r="CE180" s="1"/>
        <tr r="CE180" s="1"/>
      </tp>
      <tp>
        <v>-0.11</v>
        <stp/>
        <stp>DELTA</stp>
        <stp>.NDXP250523P20775</stp>
        <tr r="CG168" s="1"/>
        <tr r="CG168" s="1"/>
      </tp>
      <tp>
        <v>-1</v>
        <stp/>
        <stp>DELTA</stp>
        <stp>.NDXP250520P21450</stp>
        <tr r="CE141" s="1"/>
        <tr r="CE141" s="1"/>
      </tp>
      <tp>
        <v>-0.04</v>
        <stp/>
        <stp>DELTA</stp>
        <stp>.NDXP250520P20450</stp>
        <tr r="CE181" s="1"/>
        <tr r="CE181" s="1"/>
      </tp>
      <tp>
        <v>-0.1</v>
        <stp/>
        <stp>DELTA</stp>
        <stp>.NDXP250523P20750</stp>
        <tr r="CG169" s="1"/>
        <tr r="CG169" s="1"/>
      </tp>
      <tp>
        <v>0.02</v>
        <stp/>
        <stp>DELTA</stp>
        <stp>.NDXP250520C21400</stp>
        <tr r="CD143" s="1"/>
        <tr r="CD143" s="1"/>
      </tp>
      <tp>
        <v>1</v>
        <stp/>
        <stp>DELTA</stp>
        <stp>.NDXP250520C20400</stp>
        <tr r="CD183" s="1"/>
        <tr r="CD183" s="1"/>
      </tp>
      <tp>
        <v>1</v>
        <stp/>
        <stp>DELTA</stp>
        <stp>.NDXP250523C20700</stp>
        <tr r="CF171" s="1"/>
        <tr r="CF171" s="1"/>
      </tp>
      <tp>
        <v>0.01</v>
        <stp/>
        <stp>DELTA</stp>
        <stp>.NDXP250520C21425</stp>
        <tr r="CD142" s="1"/>
        <tr r="CD142" s="1"/>
      </tp>
      <tp>
        <v>1</v>
        <stp/>
        <stp>DELTA</stp>
        <stp>.NDXP250520C20425</stp>
        <tr r="CD182" s="1"/>
        <tr r="CD182" s="1"/>
      </tp>
      <tp>
        <v>1</v>
        <stp/>
        <stp>DELTA</stp>
        <stp>.NDXP250523C20725</stp>
        <tr r="CF170" s="1"/>
        <tr r="CF170" s="1"/>
      </tp>
      <tp>
        <v>0</v>
        <stp/>
        <stp>DELTA</stp>
        <stp>.NDXP250520C21450</stp>
        <tr r="CD141" s="1"/>
        <tr r="CD141" s="1"/>
      </tp>
      <tp>
        <v>1</v>
        <stp/>
        <stp>DELTA</stp>
        <stp>.NDXP250520C20450</stp>
        <tr r="CD181" s="1"/>
        <tr r="CD181" s="1"/>
      </tp>
      <tp>
        <v>1</v>
        <stp/>
        <stp>DELTA</stp>
        <stp>.NDXP250523C20750</stp>
        <tr r="CF169" s="1"/>
        <tr r="CF169" s="1"/>
      </tp>
      <tp>
        <v>0.05</v>
        <stp/>
        <stp>DELTA</stp>
        <stp>.NDXP250520C21475</stp>
        <tr r="CD140" s="1"/>
        <tr r="CD140" s="1"/>
      </tp>
      <tp>
        <v>1</v>
        <stp/>
        <stp>DELTA</stp>
        <stp>.NDXP250520C20475</stp>
        <tr r="CD180" s="1"/>
        <tr r="CD180" s="1"/>
      </tp>
      <tp>
        <v>1</v>
        <stp/>
        <stp>DELTA</stp>
        <stp>.NDXP250523C20775</stp>
        <tr r="CF168" s="1"/>
        <tr r="CF168" s="1"/>
      </tp>
      <tp t="s">
        <v>N/A</v>
        <stp/>
        <stp>VOLUME</stp>
        <stp>.NDXP250930C20775</stp>
        <tr r="R169" s="2"/>
      </tp>
      <tp t="s">
        <v>N/A</v>
        <stp/>
        <stp>VOLUME</stp>
        <stp>.NDXP250520C20775</stp>
        <tr r="BA168" s="1"/>
      </tp>
      <tp t="s">
        <v>N/A</v>
        <stp/>
        <stp>VOLUME</stp>
        <stp>.NDXP250521C20675</stp>
        <tr r="D173" s="2"/>
      </tp>
      <tp t="s">
        <v>N/A</v>
        <stp/>
        <stp>VOLUME</stp>
        <stp>.NDXP250522C20575</stp>
        <tr r="E177" s="2"/>
      </tp>
      <tp t="s">
        <v>N/A</v>
        <stp/>
        <stp>VOLUME</stp>
        <stp>.NDXP250523C20475</stp>
        <tr r="BC180" s="1"/>
      </tp>
      <tp t="s">
        <v>N/A</v>
        <stp/>
        <stp>VOLUME</stp>
        <stp>.NDXP250523C21475</stp>
        <tr r="BC140" s="1"/>
      </tp>
      <tp t="s">
        <v>N/A</v>
        <stp/>
        <stp>VOLUME</stp>
        <stp>.NDXP250530C20775</stp>
        <tr r="G169" s="2"/>
      </tp>
      <tp t="s">
        <v>N/A</v>
        <stp/>
        <stp>VOLUME</stp>
        <stp>.NDXP250613C21475</stp>
        <tr r="I141" s="2"/>
      </tp>
      <tp t="s">
        <v>N/A</v>
        <stp/>
        <stp>VOLUME</stp>
        <stp>.NDXP250613C20475</stp>
        <tr r="I181" s="2"/>
      </tp>
      <tp t="s">
        <v>N/A</v>
        <stp/>
        <stp>VOLUME</stp>
        <stp>.NDXP250630C20775</stp>
        <tr r="L169" s="2"/>
      </tp>
      <tp t="s">
        <v>N/A</v>
        <stp/>
        <stp>VOLUME</stp>
        <stp>.NDXP250731C20675</stp>
        <tr r="N173" s="2"/>
      </tp>
      <tp t="s">
        <v>N/A</v>
        <stp/>
        <stp>VOLUME</stp>
        <stp>.NDXP251031C20675</stp>
        <tr r="T173" s="2"/>
      </tp>
      <tp t="s">
        <v>N/A</v>
        <stp/>
        <stp>VOLUME</stp>
        <stp>.NDXP251231C20675</stp>
        <tr r="X173" s="2"/>
      </tp>
      <tp t="s">
        <v>N/A</v>
        <stp/>
        <stp>VOLUME</stp>
        <stp>.NDXP250930C20750</stp>
        <tr r="R170" s="2"/>
      </tp>
      <tp>
        <v>1</v>
        <stp/>
        <stp>VOLUME</stp>
        <stp>.NDXP250520C20750</stp>
        <tr r="BA169" s="1"/>
        <tr r="BA169" s="1"/>
      </tp>
      <tp t="s">
        <v>N/A</v>
        <stp/>
        <stp>VOLUME</stp>
        <stp>.NDXP250521C20650</stp>
        <tr r="D174" s="2"/>
      </tp>
      <tp t="s">
        <v>N/A</v>
        <stp/>
        <stp>VOLUME</stp>
        <stp>.NDXP250522C20550</stp>
        <tr r="E178" s="2"/>
      </tp>
      <tp t="s">
        <v>N/A</v>
        <stp/>
        <stp>VOLUME</stp>
        <stp>.NDXP250523C20450</stp>
        <tr r="BC181" s="1"/>
      </tp>
      <tp>
        <v>6</v>
        <stp/>
        <stp>VOLUME</stp>
        <stp>.NDXP250522C21550</stp>
        <tr r="E138" s="2"/>
        <tr r="E138" s="2"/>
      </tp>
      <tp>
        <v>7</v>
        <stp/>
        <stp>VOLUME</stp>
        <stp>.NDXP250523C21450</stp>
        <tr r="BC141" s="1"/>
        <tr r="BC141" s="1"/>
      </tp>
      <tp t="s">
        <v>N/A</v>
        <stp/>
        <stp>VOLUME</stp>
        <stp>.NDXP250530C20750</stp>
        <tr r="G170" s="2"/>
      </tp>
      <tp t="s">
        <v>N/A</v>
        <stp/>
        <stp>VOLUME</stp>
        <stp>.NDXP250731C20650</stp>
        <tr r="N174" s="2"/>
      </tp>
      <tp t="s">
        <v>N/A</v>
        <stp/>
        <stp>VOLUME</stp>
        <stp>.NDXP250613C21450</stp>
        <tr r="I142" s="2"/>
      </tp>
      <tp t="s">
        <v>N/A</v>
        <stp/>
        <stp>VOLUME</stp>
        <stp>.NDXP250613C20450</stp>
        <tr r="I182" s="2"/>
      </tp>
      <tp t="s">
        <v>N/A</v>
        <stp/>
        <stp>VOLUME</stp>
        <stp>.NDXP250630C20750</stp>
        <tr r="L170" s="2"/>
      </tp>
      <tp t="s">
        <v>N/A</v>
        <stp/>
        <stp>VOLUME</stp>
        <stp>.NDXP251031C20650</stp>
        <tr r="T174" s="2"/>
      </tp>
      <tp t="s">
        <v>N/A</v>
        <stp/>
        <stp>VOLUME</stp>
        <stp>.NDXP251231C20650</stp>
        <tr r="X174" s="2"/>
      </tp>
      <tp t="s">
        <v>N/A</v>
        <stp/>
        <stp>VOLUME</stp>
        <stp>.NDXP251031C20625</stp>
        <tr r="T175" s="2"/>
      </tp>
      <tp t="s">
        <v>N/A</v>
        <stp/>
        <stp>VOLUME</stp>
        <stp>.NDXP251231C20625</stp>
        <tr r="X175" s="2"/>
      </tp>
      <tp t="s">
        <v>N/A</v>
        <stp/>
        <stp>VOLUME</stp>
        <stp>.NDXP250930C20725</stp>
        <tr r="R171" s="2"/>
      </tp>
      <tp t="s">
        <v>N/A</v>
        <stp/>
        <stp>VOLUME</stp>
        <stp>.NDXP250520C20725</stp>
        <tr r="BA170" s="1"/>
      </tp>
      <tp t="s">
        <v>N/A</v>
        <stp/>
        <stp>VOLUME</stp>
        <stp>.NDXP250521C20625</stp>
        <tr r="D175" s="2"/>
      </tp>
      <tp t="s">
        <v>N/A</v>
        <stp/>
        <stp>VOLUME</stp>
        <stp>.NDXP250522C20525</stp>
        <tr r="E179" s="2"/>
      </tp>
      <tp t="s">
        <v>N/A</v>
        <stp/>
        <stp>VOLUME</stp>
        <stp>.NDXP250523C20425</stp>
        <tr r="BC182" s="1"/>
      </tp>
      <tp t="s">
        <v>N/A</v>
        <stp/>
        <stp>VOLUME</stp>
        <stp>.NDXP250522C21525</stp>
        <tr r="E139" s="2"/>
      </tp>
      <tp>
        <v>3</v>
        <stp/>
        <stp>VOLUME</stp>
        <stp>.NDXP250523C21425</stp>
        <tr r="BC142" s="1"/>
        <tr r="BC142" s="1"/>
      </tp>
      <tp t="s">
        <v>N/A</v>
        <stp/>
        <stp>VOLUME</stp>
        <stp>.NDXP250530C20725</stp>
        <tr r="G171" s="2"/>
      </tp>
      <tp t="s">
        <v>N/A</v>
        <stp/>
        <stp>VOLUME</stp>
        <stp>.NDXP250613C21425</stp>
        <tr r="I143" s="2"/>
      </tp>
      <tp t="s">
        <v>N/A</v>
        <stp/>
        <stp>VOLUME</stp>
        <stp>.NDXP250613C20425</stp>
        <tr r="I183" s="2"/>
      </tp>
      <tp t="s">
        <v>N/A</v>
        <stp/>
        <stp>VOLUME</stp>
        <stp>.NDXP250630C20725</stp>
        <tr r="L171" s="2"/>
      </tp>
      <tp t="s">
        <v>N/A</v>
        <stp/>
        <stp>VOLUME</stp>
        <stp>.NDXP250731C20625</stp>
        <tr r="N175" s="2"/>
      </tp>
      <tp t="s">
        <v>N/A</v>
        <stp/>
        <stp>VOLUME</stp>
        <stp>.NDXP251031C20600</stp>
        <tr r="T176" s="2"/>
      </tp>
      <tp t="s">
        <v>N/A</v>
        <stp/>
        <stp>VOLUME</stp>
        <stp>.NDXP251231C20600</stp>
        <tr r="X176" s="2"/>
      </tp>
      <tp t="s">
        <v>N/A</v>
        <stp/>
        <stp>VOLUME</stp>
        <stp>.NDXP250930C20700</stp>
        <tr r="R172" s="2"/>
      </tp>
      <tp t="s">
        <v>N/A</v>
        <stp/>
        <stp>VOLUME</stp>
        <stp>.NDXP250520C20700</stp>
        <tr r="BA171" s="1"/>
      </tp>
      <tp t="s">
        <v>N/A</v>
        <stp/>
        <stp>VOLUME</stp>
        <stp>.NDXP250521C20600</stp>
        <tr r="D176" s="2"/>
      </tp>
      <tp t="s">
        <v>N/A</v>
        <stp/>
        <stp>VOLUME</stp>
        <stp>.NDXP250522C20500</stp>
        <tr r="E180" s="2"/>
      </tp>
      <tp t="s">
        <v>N/A</v>
        <stp/>
        <stp>VOLUME</stp>
        <stp>.NDXP250523C20400</stp>
        <tr r="BC183" s="1"/>
      </tp>
      <tp>
        <v>9</v>
        <stp/>
        <stp>VOLUME</stp>
        <stp>.NDXP250522C21500</stp>
        <tr r="E140" s="2"/>
        <tr r="E140" s="2"/>
      </tp>
      <tp>
        <v>8</v>
        <stp/>
        <stp>VOLUME</stp>
        <stp>.NDXP250523C21400</stp>
        <tr r="BC143" s="1"/>
        <tr r="BC143" s="1"/>
      </tp>
      <tp t="s">
        <v>N/A</v>
        <stp/>
        <stp>VOLUME</stp>
        <stp>.NDXP250530C20700</stp>
        <tr r="G172" s="2"/>
      </tp>
      <tp t="s">
        <v>N/A</v>
        <stp/>
        <stp>VOLUME</stp>
        <stp>.NDXP250731C20600</stp>
        <tr r="N176" s="2"/>
      </tp>
      <tp t="s">
        <v>N/A</v>
        <stp/>
        <stp>VOLUME</stp>
        <stp>.NDXP250613C21400</stp>
        <tr r="I144" s="2"/>
      </tp>
      <tp t="s">
        <v>N/A</v>
        <stp/>
        <stp>VOLUME</stp>
        <stp>.NDXP250613C20400</stp>
        <tr r="I184" s="2"/>
      </tp>
      <tp t="s">
        <v>N/A</v>
        <stp/>
        <stp>VOLUME</stp>
        <stp>.NDXP250630C20700</stp>
        <tr r="L172" s="2"/>
      </tp>
      <tp t="s">
        <v>N/A</v>
        <stp/>
        <stp>VOLUME</stp>
        <stp>.SPXW250930C5980</stp>
        <tr r="R95" s="2"/>
      </tp>
      <tp>
        <v>5</v>
        <stp/>
        <stp>VOLUME</stp>
        <stp>.SPXW250829C5810</stp>
        <tr r="P112" s="2"/>
        <tr r="P112" s="2"/>
      </tp>
      <tp>
        <v>1054</v>
        <stp/>
        <stp>VOLUME</stp>
        <stp>.SPXW250520C5880</stp>
        <tr r="BA104" s="1"/>
        <tr r="BA104" s="1"/>
      </tp>
      <tp>
        <v>157</v>
        <stp/>
        <stp>VOLUME</stp>
        <stp>.SPXW250521C5890</stp>
        <tr r="D104" s="2"/>
        <tr r="D104" s="2"/>
      </tp>
      <tp>
        <v>86</v>
        <stp/>
        <stp>VOLUME</stp>
        <stp>.SPXW250530C5980</stp>
        <tr r="G95" s="2"/>
        <tr r="G95" s="2"/>
      </tp>
      <tp>
        <v>1</v>
        <stp/>
        <stp>VOLUME</stp>
        <stp>.SPXW250731C5990</stp>
        <tr r="N94" s="2"/>
        <tr r="N94" s="2"/>
      </tp>
      <tp>
        <v>6</v>
        <stp/>
        <stp>VOLUME</stp>
        <stp>.SPXW250630C5980</stp>
        <tr r="L95" s="2"/>
        <tr r="L95" s="2"/>
      </tp>
      <tp t="s">
        <v>N/A</v>
        <stp/>
        <stp>VOLUME</stp>
        <stp>.SPXW251128C5800</stp>
        <tr r="V113" s="2"/>
      </tp>
      <tp t="s">
        <v>N/A</v>
        <stp/>
        <stp>VOLUME</stp>
        <stp>.SPXW251031C5990</stp>
        <tr r="T94" s="2"/>
      </tp>
      <tp t="s">
        <v>N/A</v>
        <stp/>
        <stp>VOLUME</stp>
        <stp>.SPXW251231C5990</stp>
        <tr r="X94" s="2"/>
      </tp>
      <tp t="s">
        <v>N/A</v>
        <stp/>
        <stp>VOLUME</stp>
        <stp>.SPXW251128P5800</stp>
        <tr r="V113" s="2"/>
      </tp>
      <tp t="s">
        <v>N/A</v>
        <stp/>
        <stp>VOLUME</stp>
        <stp>.SPXW251031P5990</stp>
        <tr r="T94" s="2"/>
      </tp>
      <tp t="s">
        <v>N/A</v>
        <stp/>
        <stp>VOLUME</stp>
        <stp>.SPXW251231P5990</stp>
        <tr r="X94" s="2"/>
      </tp>
      <tp>
        <v>4</v>
        <stp/>
        <stp>VOLUME</stp>
        <stp>.SPXW250930P5980</stp>
        <tr r="R95" s="2"/>
        <tr r="R95" s="2"/>
      </tp>
      <tp t="s">
        <v>N/A</v>
        <stp/>
        <stp>VOLUME</stp>
        <stp>.SPXW250829P5810</stp>
        <tr r="P112" s="2"/>
      </tp>
      <tp>
        <v>26169</v>
        <stp/>
        <stp>VOLUME</stp>
        <stp>.SPXW250520P5880</stp>
        <tr r="BB104" s="1"/>
        <tr r="BB104" s="1"/>
      </tp>
      <tp>
        <v>2584</v>
        <stp/>
        <stp>VOLUME</stp>
        <stp>.SPXW250521P5890</stp>
        <tr r="D104" s="2"/>
        <tr r="D104" s="2"/>
      </tp>
      <tp>
        <v>24</v>
        <stp/>
        <stp>VOLUME</stp>
        <stp>.SPXW250530P5980</stp>
        <tr r="G95" s="2"/>
        <tr r="G95" s="2"/>
      </tp>
      <tp>
        <v>2</v>
        <stp/>
        <stp>VOLUME</stp>
        <stp>.SPXW250731P5990</stp>
        <tr r="N94" s="2"/>
        <tr r="N94" s="2"/>
      </tp>
      <tp t="s">
        <v>N/A</v>
        <stp/>
        <stp>VOLUME</stp>
        <stp>.SPXW250630P5980</stp>
        <tr r="L95" s="2"/>
      </tp>
      <tp>
        <v>1</v>
        <stp/>
        <stp>VOLUME</stp>
        <stp>.SPXW250930C5990</stp>
        <tr r="R94" s="2"/>
        <tr r="R94" s="2"/>
      </tp>
      <tp>
        <v>224</v>
        <stp/>
        <stp>VOLUME</stp>
        <stp>.SPXW250829C5800</stp>
        <tr r="P113" s="2"/>
        <tr r="P113" s="2"/>
      </tp>
      <tp>
        <v>579</v>
        <stp/>
        <stp>VOLUME</stp>
        <stp>.SPXW250520C5890</stp>
        <tr r="BA103" s="1"/>
        <tr r="BA103" s="1"/>
      </tp>
      <tp>
        <v>430</v>
        <stp/>
        <stp>VOLUME</stp>
        <stp>.SPXW250521C5880</stp>
        <tr r="D105" s="2"/>
        <tr r="D105" s="2"/>
      </tp>
      <tp>
        <v>83</v>
        <stp/>
        <stp>VOLUME</stp>
        <stp>.SPXW250530C5990</stp>
        <tr r="G94" s="2"/>
        <tr r="G94" s="2"/>
      </tp>
      <tp t="s">
        <v>N/A</v>
        <stp/>
        <stp>VOLUME</stp>
        <stp>.SPXW250731C5980</stp>
        <tr r="N95" s="2"/>
      </tp>
      <tp>
        <v>5</v>
        <stp/>
        <stp>VOLUME</stp>
        <stp>.SPXW250630C5990</stp>
        <tr r="L94" s="2"/>
        <tr r="L94" s="2"/>
      </tp>
      <tp t="s">
        <v>N/A</v>
        <stp/>
        <stp>VOLUME</stp>
        <stp>.SPXW251128C5810</stp>
        <tr r="V112" s="2"/>
      </tp>
      <tp t="s">
        <v>N/A</v>
        <stp/>
        <stp>VOLUME</stp>
        <stp>.SPXW251031C5980</stp>
        <tr r="T95" s="2"/>
      </tp>
      <tp t="s">
        <v>N/A</v>
        <stp/>
        <stp>VOLUME</stp>
        <stp>.SPXW251231C5980</stp>
        <tr r="X95" s="2"/>
      </tp>
      <tp t="s">
        <v>N/A</v>
        <stp/>
        <stp>VOLUME</stp>
        <stp>.SPXW251128P5810</stp>
        <tr r="V112" s="2"/>
      </tp>
      <tp t="s">
        <v>N/A</v>
        <stp/>
        <stp>VOLUME</stp>
        <stp>.SPXW251031P5980</stp>
        <tr r="T95" s="2"/>
      </tp>
      <tp t="s">
        <v>N/A</v>
        <stp/>
        <stp>VOLUME</stp>
        <stp>.SPXW251231P5980</stp>
        <tr r="X95" s="2"/>
      </tp>
      <tp t="s">
        <v>N/A</v>
        <stp/>
        <stp>VOLUME</stp>
        <stp>.SPXW250930P5990</stp>
        <tr r="R94" s="2"/>
      </tp>
      <tp>
        <v>1</v>
        <stp/>
        <stp>VOLUME</stp>
        <stp>.SPXW250829P5800</stp>
        <tr r="P113" s="2"/>
        <tr r="P113" s="2"/>
      </tp>
      <tp>
        <v>50684</v>
        <stp/>
        <stp>VOLUME</stp>
        <stp>.SPXW250520P5890</stp>
        <tr r="BB103" s="1"/>
        <tr r="BB103" s="1"/>
      </tp>
      <tp>
        <v>2739</v>
        <stp/>
        <stp>VOLUME</stp>
        <stp>.SPXW250521P5880</stp>
        <tr r="D105" s="2"/>
        <tr r="D105" s="2"/>
      </tp>
      <tp>
        <v>29</v>
        <stp/>
        <stp>VOLUME</stp>
        <stp>.SPXW250530P5990</stp>
        <tr r="G94" s="2"/>
        <tr r="G94" s="2"/>
      </tp>
      <tp t="s">
        <v>N/A</v>
        <stp/>
        <stp>VOLUME</stp>
        <stp>.SPXW250731P5980</stp>
        <tr r="N95" s="2"/>
      </tp>
      <tp t="s">
        <v>N/A</v>
        <stp/>
        <stp>VOLUME</stp>
        <stp>.SPXW250630P5990</stp>
        <tr r="L94" s="2"/>
      </tp>
      <tp t="s">
        <v>N/A</v>
        <stp/>
        <stp>VOLUME</stp>
        <stp>.SPXW250829C5830</stp>
        <tr r="P110" s="2"/>
      </tp>
      <tp>
        <v>764</v>
        <stp/>
        <stp>VOLUME</stp>
        <stp>.SPXW250522C5880</stp>
        <tr r="E105" s="2"/>
        <tr r="E105" s="2"/>
      </tp>
      <tp>
        <v>48</v>
        <stp/>
        <stp>VOLUME</stp>
        <stp>.SPXW250523C5890</stp>
        <tr r="BC103" s="1"/>
        <tr r="BC103" s="1"/>
      </tp>
      <tp t="s">
        <v>N/A</v>
        <stp/>
        <stp>VOLUME</stp>
        <stp>.SPXW251128C5820</stp>
        <tr r="V111" s="2"/>
      </tp>
      <tp t="s">
        <v>N/A</v>
        <stp/>
        <stp>VOLUME</stp>
        <stp>.SPXW251128P5820</stp>
        <tr r="V111" s="2"/>
      </tp>
      <tp>
        <v>1</v>
        <stp/>
        <stp>VOLUME</stp>
        <stp>.SPXW250829P5830</stp>
        <tr r="P110" s="2"/>
        <tr r="P110" s="2"/>
      </tp>
      <tp>
        <v>345</v>
        <stp/>
        <stp>VOLUME</stp>
        <stp>.SPXW250522P5880</stp>
        <tr r="E105" s="2"/>
        <tr r="E105" s="2"/>
      </tp>
      <tp>
        <v>1024</v>
        <stp/>
        <stp>VOLUME</stp>
        <stp>.SPXW250523P5890</stp>
        <tr r="BD103" s="1"/>
        <tr r="BD103" s="1"/>
      </tp>
      <tp t="s">
        <v>N/A</v>
        <stp/>
        <stp>VOLUME</stp>
        <stp>.SPXW250829C5820</stp>
        <tr r="P111" s="2"/>
      </tp>
      <tp>
        <v>37</v>
        <stp/>
        <stp>VOLUME</stp>
        <stp>.SPXW250522C5890</stp>
        <tr r="E104" s="2"/>
        <tr r="E104" s="2"/>
      </tp>
      <tp>
        <v>50</v>
        <stp/>
        <stp>VOLUME</stp>
        <stp>.SPXW250523C5880</stp>
        <tr r="BC104" s="1"/>
        <tr r="BC104" s="1"/>
      </tp>
      <tp t="s">
        <v>N/A</v>
        <stp/>
        <stp>VOLUME</stp>
        <stp>.SPXW251128C5830</stp>
        <tr r="V110" s="2"/>
      </tp>
      <tp t="s">
        <v>N/A</v>
        <stp/>
        <stp>VOLUME</stp>
        <stp>.SPXW251128P5830</stp>
        <tr r="V110" s="2"/>
      </tp>
      <tp t="s">
        <v>N/A</v>
        <stp/>
        <stp>VOLUME</stp>
        <stp>.SPXW250829P5820</stp>
        <tr r="P111" s="2"/>
      </tp>
      <tp>
        <v>319</v>
        <stp/>
        <stp>VOLUME</stp>
        <stp>.SPXW250522P5890</stp>
        <tr r="E104" s="2"/>
        <tr r="E104" s="2"/>
      </tp>
      <tp>
        <v>529</v>
        <stp/>
        <stp>VOLUME</stp>
        <stp>.SPXW250523P5880</stp>
        <tr r="BD104" s="1"/>
        <tr r="BD104" s="1"/>
      </tp>
      <tp>
        <v>1</v>
        <stp/>
        <stp>VOLUME</stp>
        <stp>.SPXW250829C5850</stp>
        <tr r="P108" s="2"/>
        <tr r="P108" s="2"/>
      </tp>
      <tp t="s">
        <v>N/A</v>
        <stp/>
        <stp>VOLUME</stp>
        <stp>.SPXW251128C5840</stp>
        <tr r="V109" s="2"/>
      </tp>
      <tp t="s">
        <v>N/A</v>
        <stp/>
        <stp>VOLUME</stp>
        <stp>.SPXW251128P5840</stp>
        <tr r="V109" s="2"/>
      </tp>
      <tp t="s">
        <v>N/A</v>
        <stp/>
        <stp>VOLUME</stp>
        <stp>.SPXW250829P5850</stp>
        <tr r="P108" s="2"/>
      </tp>
      <tp t="s">
        <v>N/A</v>
        <stp/>
        <stp>VOLUME</stp>
        <stp>.SPXW250829C5840</stp>
        <tr r="P109" s="2"/>
      </tp>
      <tp t="s">
        <v>N/A</v>
        <stp/>
        <stp>VOLUME</stp>
        <stp>.SPXW251128C5850</stp>
        <tr r="V108" s="2"/>
      </tp>
      <tp t="s">
        <v>N/A</v>
        <stp/>
        <stp>VOLUME</stp>
        <stp>.SPXW251128P5850</stp>
        <tr r="V108" s="2"/>
      </tp>
      <tp t="s">
        <v>N/A</v>
        <stp/>
        <stp>VOLUME</stp>
        <stp>.SPXW250829P5840</stp>
        <tr r="P109" s="2"/>
      </tp>
      <tp t="s">
        <v>N/A</v>
        <stp/>
        <stp>VOLUME</stp>
        <stp>.SPXW250829C5870</stp>
        <tr r="P106" s="2"/>
      </tp>
      <tp t="s">
        <v>N/A</v>
        <stp/>
        <stp>VOLUME</stp>
        <stp>.SPXW251128C5860</stp>
        <tr r="V107" s="2"/>
      </tp>
      <tp t="s">
        <v>N/A</v>
        <stp/>
        <stp>VOLUME</stp>
        <stp>.SPXW251128P5860</stp>
        <tr r="V107" s="2"/>
      </tp>
      <tp t="s">
        <v>N/A</v>
        <stp/>
        <stp>VOLUME</stp>
        <stp>.SPXW250829P5870</stp>
        <tr r="P106" s="2"/>
      </tp>
      <tp t="s">
        <v>N/A</v>
        <stp/>
        <stp>VOLUME</stp>
        <stp>.SPXW250829C5860</stp>
        <tr r="P107" s="2"/>
      </tp>
      <tp t="s">
        <v>N/A</v>
        <stp/>
        <stp>VOLUME</stp>
        <stp>.SPXW251128C5870</stp>
        <tr r="V106" s="2"/>
      </tp>
      <tp t="s">
        <v>N/A</v>
        <stp/>
        <stp>VOLUME</stp>
        <stp>.SPXW251128P5870</stp>
        <tr r="V106" s="2"/>
      </tp>
      <tp t="s">
        <v>N/A</v>
        <stp/>
        <stp>VOLUME</stp>
        <stp>.SPXW250829P5860</stp>
        <tr r="P107" s="2"/>
      </tp>
      <tp t="s">
        <v>N/A</v>
        <stp/>
        <stp>VOLUME</stp>
        <stp>.NDXP251031P20650</stp>
        <tr r="T174" s="2"/>
      </tp>
      <tp t="s">
        <v>N/A</v>
        <stp/>
        <stp>VOLUME</stp>
        <stp>.NDXP251231P20650</stp>
        <tr r="X174" s="2"/>
      </tp>
      <tp t="s">
        <v>N/A</v>
        <stp/>
        <stp>VOLUME</stp>
        <stp>.SPXW250930C5900</stp>
        <tr r="R103" s="2"/>
      </tp>
      <tp t="s">
        <v>N/A</v>
        <stp/>
        <stp>VOLUME</stp>
        <stp>.SPXW250829C5890</stp>
        <tr r="P104" s="2"/>
      </tp>
      <tp>
        <v>698</v>
        <stp/>
        <stp>VOLUME</stp>
        <stp>.SPXW250520C5800</stp>
        <tr r="BA112" s="1"/>
        <tr r="BA112" s="1"/>
      </tp>
      <tp>
        <v>589</v>
        <stp/>
        <stp>VOLUME</stp>
        <stp>.SPXW250521C5810</stp>
        <tr r="D112" s="2"/>
        <tr r="D112" s="2"/>
      </tp>
      <tp>
        <v>5</v>
        <stp/>
        <stp>VOLUME</stp>
        <stp>.SPXW250522C5820</stp>
        <tr r="E111" s="2"/>
        <tr r="E111" s="2"/>
      </tp>
      <tp>
        <v>14</v>
        <stp/>
        <stp>VOLUME</stp>
        <stp>.SPXW250523C5830</stp>
        <tr r="BC109" s="1"/>
        <tr r="BC109" s="1"/>
      </tp>
      <tp>
        <v>434</v>
        <stp/>
        <stp>VOLUME</stp>
        <stp>.SPXW250530C5900</stp>
        <tr r="G103" s="2"/>
        <tr r="G103" s="2"/>
      </tp>
      <tp t="s">
        <v>N/A</v>
        <stp/>
        <stp>VOLUME</stp>
        <stp>.SPXW250731C5910</stp>
        <tr r="N102" s="2"/>
      </tp>
      <tp>
        <v>135</v>
        <stp/>
        <stp>VOLUME</stp>
        <stp>.SPXW250630C5900</stp>
        <tr r="L103" s="2"/>
        <tr r="L103" s="2"/>
      </tp>
      <tp t="s">
        <v>N/A</v>
        <stp/>
        <stp>VOLUME</stp>
        <stp>.SPXW251128C5880</stp>
        <tr r="V105" s="2"/>
      </tp>
      <tp t="s">
        <v>N/A</v>
        <stp/>
        <stp>VOLUME</stp>
        <stp>.SPXW251031C5910</stp>
        <tr r="T102" s="2"/>
      </tp>
      <tp t="s">
        <v>N/A</v>
        <stp/>
        <stp>VOLUME</stp>
        <stp>.SPXW251231C5910</stp>
        <tr r="X102" s="2"/>
      </tp>
      <tp t="s">
        <v>N/A</v>
        <stp/>
        <stp>VOLUME</stp>
        <stp>.SPXW251128P5880</stp>
        <tr r="V105" s="2"/>
      </tp>
      <tp t="s">
        <v>N/A</v>
        <stp/>
        <stp>VOLUME</stp>
        <stp>.SPXW251031P5910</stp>
        <tr r="T102" s="2"/>
      </tp>
      <tp t="s">
        <v>N/A</v>
        <stp/>
        <stp>VOLUME</stp>
        <stp>.SPXW251231P5910</stp>
        <tr r="X102" s="2"/>
      </tp>
      <tp>
        <v>10</v>
        <stp/>
        <stp>VOLUME</stp>
        <stp>.SPXW250930P5900</stp>
        <tr r="R103" s="2"/>
        <tr r="R103" s="2"/>
      </tp>
      <tp t="s">
        <v>N/A</v>
        <stp/>
        <stp>VOLUME</stp>
        <stp>.SPXW250829P5890</stp>
        <tr r="P104" s="2"/>
      </tp>
      <tp>
        <v>7951</v>
        <stp/>
        <stp>VOLUME</stp>
        <stp>.SPXW250520P5800</stp>
        <tr r="BB112" s="1"/>
        <tr r="BB112" s="1"/>
      </tp>
      <tp>
        <v>2972</v>
        <stp/>
        <stp>VOLUME</stp>
        <stp>.SPXW250521P5810</stp>
        <tr r="D112" s="2"/>
        <tr r="D112" s="2"/>
      </tp>
      <tp>
        <v>246</v>
        <stp/>
        <stp>VOLUME</stp>
        <stp>.SPXW250522P5820</stp>
        <tr r="E111" s="2"/>
        <tr r="E111" s="2"/>
      </tp>
      <tp>
        <v>412</v>
        <stp/>
        <stp>VOLUME</stp>
        <stp>.SPXW250523P5830</stp>
        <tr r="BD109" s="1"/>
        <tr r="BD109" s="1"/>
      </tp>
      <tp>
        <v>657</v>
        <stp/>
        <stp>VOLUME</stp>
        <stp>.SPXW250530P5900</stp>
        <tr r="G103" s="2"/>
        <tr r="G103" s="2"/>
      </tp>
      <tp>
        <v>3</v>
        <stp/>
        <stp>VOLUME</stp>
        <stp>.SPXW250731P5910</stp>
        <tr r="N102" s="2"/>
        <tr r="N102" s="2"/>
      </tp>
      <tp>
        <v>730</v>
        <stp/>
        <stp>VOLUME</stp>
        <stp>.SPXW250630P5900</stp>
        <tr r="L103" s="2"/>
        <tr r="L103" s="2"/>
      </tp>
      <tp t="s">
        <v>N/A</v>
        <stp/>
        <stp>VOLUME</stp>
        <stp>.NDXP250930P20750</stp>
        <tr r="R170" s="2"/>
      </tp>
      <tp>
        <v>62</v>
        <stp/>
        <stp>VOLUME</stp>
        <stp>.NDXP250520P20750</stp>
        <tr r="BB169" s="1"/>
        <tr r="BB169" s="1"/>
      </tp>
      <tp>
        <v>26</v>
        <stp/>
        <stp>VOLUME</stp>
        <stp>.NDXP250521P20650</stp>
        <tr r="D174" s="2"/>
        <tr r="D174" s="2"/>
      </tp>
      <tp>
        <v>3</v>
        <stp/>
        <stp>VOLUME</stp>
        <stp>.NDXP250522P20550</stp>
        <tr r="E178" s="2"/>
        <tr r="E178" s="2"/>
      </tp>
      <tp>
        <v>2</v>
        <stp/>
        <stp>VOLUME</stp>
        <stp>.NDXP250523P20450</stp>
        <tr r="BD181" s="1"/>
        <tr r="BD181" s="1"/>
      </tp>
      <tp t="s">
        <v>N/A</v>
        <stp/>
        <stp>VOLUME</stp>
        <stp>.NDXP250522P21550</stp>
        <tr r="E138" s="2"/>
      </tp>
      <tp t="s">
        <v>N/A</v>
        <stp/>
        <stp>VOLUME</stp>
        <stp>.NDXP250523P21450</stp>
        <tr r="BD141" s="1"/>
      </tp>
      <tp>
        <v>3</v>
        <stp/>
        <stp>VOLUME</stp>
        <stp>.NDXP250530P20750</stp>
        <tr r="G170" s="2"/>
        <tr r="G170" s="2"/>
      </tp>
      <tp t="s">
        <v>N/A</v>
        <stp/>
        <stp>VOLUME</stp>
        <stp>.NDXP250731P20650</stp>
        <tr r="N174" s="2"/>
      </tp>
      <tp t="s">
        <v>N/A</v>
        <stp/>
        <stp>VOLUME</stp>
        <stp>.NDXP250613P21450</stp>
        <tr r="I142" s="2"/>
      </tp>
      <tp t="s">
        <v>N/A</v>
        <stp/>
        <stp>VOLUME</stp>
        <stp>.NDXP250613P20450</stp>
        <tr r="I182" s="2"/>
      </tp>
      <tp t="s">
        <v>N/A</v>
        <stp/>
        <stp>VOLUME</stp>
        <stp>.NDXP250630P20750</stp>
        <tr r="L170" s="2"/>
      </tp>
      <tp t="s">
        <v>N/A</v>
        <stp/>
        <stp>VOLUME</stp>
        <stp>.SPXW250930C5910</stp>
        <tr r="R102" s="2"/>
      </tp>
      <tp t="s">
        <v>N/A</v>
        <stp/>
        <stp>VOLUME</stp>
        <stp>.SPXW250829C5880</stp>
        <tr r="P105" s="2"/>
      </tp>
      <tp>
        <v>609</v>
        <stp/>
        <stp>VOLUME</stp>
        <stp>.SPXW250520C5810</stp>
        <tr r="BA111" s="1"/>
        <tr r="BA111" s="1"/>
      </tp>
      <tp>
        <v>727</v>
        <stp/>
        <stp>VOLUME</stp>
        <stp>.SPXW250521C5800</stp>
        <tr r="D113" s="2"/>
        <tr r="D113" s="2"/>
      </tp>
      <tp>
        <v>63</v>
        <stp/>
        <stp>VOLUME</stp>
        <stp>.SPXW250522C5830</stp>
        <tr r="E110" s="2"/>
        <tr r="E110" s="2"/>
      </tp>
      <tp t="s">
        <v>N/A</v>
        <stp/>
        <stp>VOLUME</stp>
        <stp>.SPXW250523C5820</stp>
        <tr r="BC110" s="1"/>
      </tp>
      <tp>
        <v>30</v>
        <stp/>
        <stp>VOLUME</stp>
        <stp>.SPXW250530C5910</stp>
        <tr r="G102" s="2"/>
        <tr r="G102" s="2"/>
      </tp>
      <tp>
        <v>12</v>
        <stp/>
        <stp>VOLUME</stp>
        <stp>.SPXW250731C5900</stp>
        <tr r="N103" s="2"/>
        <tr r="N103" s="2"/>
      </tp>
      <tp>
        <v>1</v>
        <stp/>
        <stp>VOLUME</stp>
        <stp>.SPXW250630C5910</stp>
        <tr r="L102" s="2"/>
        <tr r="L102" s="2"/>
      </tp>
      <tp t="s">
        <v>N/A</v>
        <stp/>
        <stp>VOLUME</stp>
        <stp>.SPXW251128C5890</stp>
        <tr r="V104" s="2"/>
      </tp>
      <tp>
        <v>2</v>
        <stp/>
        <stp>VOLUME</stp>
        <stp>.SPXW251031C5900</stp>
        <tr r="T103" s="2"/>
        <tr r="T103" s="2"/>
      </tp>
      <tp t="s">
        <v>N/A</v>
        <stp/>
        <stp>VOLUME</stp>
        <stp>.SPXW251231C5900</stp>
        <tr r="X103" s="2"/>
      </tp>
      <tp t="s">
        <v>N/A</v>
        <stp/>
        <stp>VOLUME</stp>
        <stp>.SPXW251128P5890</stp>
        <tr r="V104" s="2"/>
      </tp>
      <tp>
        <v>20</v>
        <stp/>
        <stp>VOLUME</stp>
        <stp>.SPXW251031P5900</stp>
        <tr r="T103" s="2"/>
        <tr r="T103" s="2"/>
      </tp>
      <tp>
        <v>42</v>
        <stp/>
        <stp>VOLUME</stp>
        <stp>.SPXW251231P5900</stp>
        <tr r="X103" s="2"/>
        <tr r="X103" s="2"/>
      </tp>
      <tp t="s">
        <v>N/A</v>
        <stp/>
        <stp>VOLUME</stp>
        <stp>.SPXW250930P5910</stp>
        <tr r="R102" s="2"/>
      </tp>
      <tp t="s">
        <v>N/A</v>
        <stp/>
        <stp>VOLUME</stp>
        <stp>.SPXW250829P5880</stp>
        <tr r="P105" s="2"/>
      </tp>
      <tp>
        <v>5284</v>
        <stp/>
        <stp>VOLUME</stp>
        <stp>.SPXW250520P5810</stp>
        <tr r="BB111" s="1"/>
        <tr r="BB111" s="1"/>
      </tp>
      <tp>
        <v>6862</v>
        <stp/>
        <stp>VOLUME</stp>
        <stp>.SPXW250521P5800</stp>
        <tr r="D113" s="2"/>
        <tr r="D113" s="2"/>
      </tp>
      <tp>
        <v>396</v>
        <stp/>
        <stp>VOLUME</stp>
        <stp>.SPXW250522P5830</stp>
        <tr r="E110" s="2"/>
        <tr r="E110" s="2"/>
      </tp>
      <tp t="s">
        <v>N/A</v>
        <stp/>
        <stp>VOLUME</stp>
        <stp>.SPXW250523P5820</stp>
        <tr r="BD110" s="1"/>
      </tp>
      <tp>
        <v>102</v>
        <stp/>
        <stp>VOLUME</stp>
        <stp>.SPXW250530P5910</stp>
        <tr r="G102" s="2"/>
        <tr r="G102" s="2"/>
      </tp>
      <tp>
        <v>32</v>
        <stp/>
        <stp>VOLUME</stp>
        <stp>.SPXW250731P5900</stp>
        <tr r="N103" s="2"/>
        <tr r="N103" s="2"/>
      </tp>
      <tp t="s">
        <v>N/A</v>
        <stp/>
        <stp>VOLUME</stp>
        <stp>.SPXW250630P5910</stp>
        <tr r="L102" s="2"/>
      </tp>
      <tp t="s">
        <v>N/A</v>
        <stp/>
        <stp>VOLUME</stp>
        <stp>.NDXP251031P20675</stp>
        <tr r="T173" s="2"/>
      </tp>
      <tp t="s">
        <v>N/A</v>
        <stp/>
        <stp>VOLUME</stp>
        <stp>.NDXP251231P20675</stp>
        <tr r="X173" s="2"/>
      </tp>
      <tp>
        <v>2</v>
        <stp/>
        <stp>VOLUME</stp>
        <stp>.SPXW250930C5920</stp>
        <tr r="R101" s="2"/>
        <tr r="R101" s="2"/>
      </tp>
      <tp>
        <v>67</v>
        <stp/>
        <stp>VOLUME</stp>
        <stp>.SPXW250520C5820</stp>
        <tr r="BA110" s="1"/>
        <tr r="BA110" s="1"/>
      </tp>
      <tp>
        <v>483</v>
        <stp/>
        <stp>VOLUME</stp>
        <stp>.SPXW250521C5830</stp>
        <tr r="D110" s="2"/>
        <tr r="D110" s="2"/>
      </tp>
      <tp>
        <v>4</v>
        <stp/>
        <stp>VOLUME</stp>
        <stp>.SPXW250522C5800</stp>
        <tr r="E113" s="2"/>
        <tr r="E113" s="2"/>
      </tp>
      <tp>
        <v>19</v>
        <stp/>
        <stp>VOLUME</stp>
        <stp>.SPXW250523C5810</stp>
        <tr r="BC111" s="1"/>
        <tr r="BC111" s="1"/>
      </tp>
      <tp>
        <v>114</v>
        <stp/>
        <stp>VOLUME</stp>
        <stp>.SPXW250530C5920</stp>
        <tr r="G101" s="2"/>
        <tr r="G101" s="2"/>
      </tp>
      <tp t="s">
        <v>N/A</v>
        <stp/>
        <stp>VOLUME</stp>
        <stp>.SPXW250731C5930</stp>
        <tr r="N100" s="2"/>
      </tp>
      <tp>
        <v>9</v>
        <stp/>
        <stp>VOLUME</stp>
        <stp>.SPXW250630C5920</stp>
        <tr r="L101" s="2"/>
        <tr r="L101" s="2"/>
      </tp>
      <tp t="s">
        <v>N/A</v>
        <stp/>
        <stp>VOLUME</stp>
        <stp>.SPXW251031C5930</stp>
        <tr r="T100" s="2"/>
      </tp>
      <tp>
        <v>3</v>
        <stp/>
        <stp>VOLUME</stp>
        <stp>.SPXW251231C5930</stp>
        <tr r="X100" s="2"/>
        <tr r="X100" s="2"/>
      </tp>
      <tp t="s">
        <v>N/A</v>
        <stp/>
        <stp>VOLUME</stp>
        <stp>.SPXW251031P5930</stp>
        <tr r="T100" s="2"/>
      </tp>
      <tp t="s">
        <v>N/A</v>
        <stp/>
        <stp>VOLUME</stp>
        <stp>.SPXW251231P5930</stp>
        <tr r="X100" s="2"/>
      </tp>
      <tp t="s">
        <v>N/A</v>
        <stp/>
        <stp>VOLUME</stp>
        <stp>.SPXW250930P5920</stp>
        <tr r="R101" s="2"/>
      </tp>
      <tp>
        <v>3293</v>
        <stp/>
        <stp>VOLUME</stp>
        <stp>.SPXW250520P5820</stp>
        <tr r="BB110" s="1"/>
        <tr r="BB110" s="1"/>
      </tp>
      <tp>
        <v>2529</v>
        <stp/>
        <stp>VOLUME</stp>
        <stp>.SPXW250521P5830</stp>
        <tr r="D110" s="2"/>
        <tr r="D110" s="2"/>
      </tp>
      <tp>
        <v>1924</v>
        <stp/>
        <stp>VOLUME</stp>
        <stp>.SPXW250522P5800</stp>
        <tr r="E113" s="2"/>
        <tr r="E113" s="2"/>
      </tp>
      <tp>
        <v>456</v>
        <stp/>
        <stp>VOLUME</stp>
        <stp>.SPXW250523P5810</stp>
        <tr r="BD111" s="1"/>
        <tr r="BD111" s="1"/>
      </tp>
      <tp>
        <v>150</v>
        <stp/>
        <stp>VOLUME</stp>
        <stp>.SPXW250530P5920</stp>
        <tr r="G101" s="2"/>
        <tr r="G101" s="2"/>
      </tp>
      <tp t="s">
        <v>N/A</v>
        <stp/>
        <stp>VOLUME</stp>
        <stp>.SPXW250731P5930</stp>
        <tr r="N100" s="2"/>
      </tp>
      <tp>
        <v>22</v>
        <stp/>
        <stp>VOLUME</stp>
        <stp>.SPXW250630P5920</stp>
        <tr r="L101" s="2"/>
        <tr r="L101" s="2"/>
      </tp>
      <tp t="s">
        <v>N/A</v>
        <stp/>
        <stp>VOLUME</stp>
        <stp>.NDXP250930P20775</stp>
        <tr r="R169" s="2"/>
      </tp>
      <tp>
        <v>1</v>
        <stp/>
        <stp>VOLUME</stp>
        <stp>.NDXP250520P20775</stp>
        <tr r="BB168" s="1"/>
        <tr r="BB168" s="1"/>
      </tp>
      <tp>
        <v>1</v>
        <stp/>
        <stp>VOLUME</stp>
        <stp>.NDXP250521P20675</stp>
        <tr r="D173" s="2"/>
        <tr r="D173" s="2"/>
      </tp>
      <tp t="s">
        <v>N/A</v>
        <stp/>
        <stp>VOLUME</stp>
        <stp>.NDXP250522P20575</stp>
        <tr r="E177" s="2"/>
      </tp>
      <tp>
        <v>3</v>
        <stp/>
        <stp>VOLUME</stp>
        <stp>.NDXP250523P20475</stp>
        <tr r="BD180" s="1"/>
        <tr r="BD180" s="1"/>
      </tp>
      <tp t="s">
        <v>N/A</v>
        <stp/>
        <stp>VOLUME</stp>
        <stp>.NDXP250523P21475</stp>
        <tr r="BD140" s="1"/>
      </tp>
      <tp t="s">
        <v>N/A</v>
        <stp/>
        <stp>VOLUME</stp>
        <stp>.NDXP250530P20775</stp>
        <tr r="G169" s="2"/>
      </tp>
      <tp t="s">
        <v>N/A</v>
        <stp/>
        <stp>VOLUME</stp>
        <stp>.NDXP250613P21475</stp>
        <tr r="I141" s="2"/>
      </tp>
      <tp t="s">
        <v>N/A</v>
        <stp/>
        <stp>VOLUME</stp>
        <stp>.NDXP250613P20475</stp>
        <tr r="I181" s="2"/>
      </tp>
      <tp t="s">
        <v>N/A</v>
        <stp/>
        <stp>VOLUME</stp>
        <stp>.NDXP250630P20775</stp>
        <tr r="L169" s="2"/>
      </tp>
      <tp t="s">
        <v>N/A</v>
        <stp/>
        <stp>VOLUME</stp>
        <stp>.NDXP250731P20675</stp>
        <tr r="N173" s="2"/>
      </tp>
      <tp t="s">
        <v>N/A</v>
        <stp/>
        <stp>VOLUME</stp>
        <stp>.SPXW250930C5930</stp>
        <tr r="R100" s="2"/>
      </tp>
      <tp>
        <v>164</v>
        <stp/>
        <stp>VOLUME</stp>
        <stp>.SPXW250520C5830</stp>
        <tr r="BA109" s="1"/>
        <tr r="BA109" s="1"/>
      </tp>
      <tp>
        <v>451</v>
        <stp/>
        <stp>VOLUME</stp>
        <stp>.SPXW250521C5820</stp>
        <tr r="D111" s="2"/>
        <tr r="D111" s="2"/>
      </tp>
      <tp>
        <v>9</v>
        <stp/>
        <stp>VOLUME</stp>
        <stp>.SPXW250522C5810</stp>
        <tr r="E112" s="2"/>
        <tr r="E112" s="2"/>
      </tp>
      <tp>
        <v>59</v>
        <stp/>
        <stp>VOLUME</stp>
        <stp>.SPXW250523C5800</stp>
        <tr r="BC112" s="1"/>
        <tr r="BC112" s="1"/>
      </tp>
      <tp>
        <v>60</v>
        <stp/>
        <stp>VOLUME</stp>
        <stp>.SPXW250530C5930</stp>
        <tr r="G100" s="2"/>
        <tr r="G100" s="2"/>
      </tp>
      <tp t="s">
        <v>N/A</v>
        <stp/>
        <stp>VOLUME</stp>
        <stp>.SPXW250731C5920</stp>
        <tr r="N101" s="2"/>
      </tp>
      <tp>
        <v>10</v>
        <stp/>
        <stp>VOLUME</stp>
        <stp>.SPXW250630C5930</stp>
        <tr r="L100" s="2"/>
        <tr r="L100" s="2"/>
      </tp>
      <tp t="s">
        <v>N/A</v>
        <stp/>
        <stp>VOLUME</stp>
        <stp>.SPXW251031C5920</stp>
        <tr r="T101" s="2"/>
      </tp>
      <tp t="s">
        <v>N/A</v>
        <stp/>
        <stp>VOLUME</stp>
        <stp>.SPXW251231C5920</stp>
        <tr r="X101" s="2"/>
      </tp>
      <tp>
        <v>5</v>
        <stp/>
        <stp>VOLUME</stp>
        <stp>.SPXW251031P5920</stp>
        <tr r="T101" s="2"/>
        <tr r="T101" s="2"/>
      </tp>
      <tp t="s">
        <v>N/A</v>
        <stp/>
        <stp>VOLUME</stp>
        <stp>.SPXW251231P5920</stp>
        <tr r="X101" s="2"/>
      </tp>
      <tp t="s">
        <v>N/A</v>
        <stp/>
        <stp>VOLUME</stp>
        <stp>.SPXW250930P5930</stp>
        <tr r="R100" s="2"/>
      </tp>
      <tp>
        <v>8153</v>
        <stp/>
        <stp>VOLUME</stp>
        <stp>.SPXW250520P5830</stp>
        <tr r="BB109" s="1"/>
        <tr r="BB109" s="1"/>
      </tp>
      <tp>
        <v>2551</v>
        <stp/>
        <stp>VOLUME</stp>
        <stp>.SPXW250521P5820</stp>
        <tr r="D111" s="2"/>
        <tr r="D111" s="2"/>
      </tp>
      <tp>
        <v>235</v>
        <stp/>
        <stp>VOLUME</stp>
        <stp>.SPXW250522P5810</stp>
        <tr r="E112" s="2"/>
        <tr r="E112" s="2"/>
      </tp>
      <tp>
        <v>2166</v>
        <stp/>
        <stp>VOLUME</stp>
        <stp>.SPXW250523P5800</stp>
        <tr r="BD112" s="1"/>
        <tr r="BD112" s="1"/>
      </tp>
      <tp>
        <v>215</v>
        <stp/>
        <stp>VOLUME</stp>
        <stp>.SPXW250530P5930</stp>
        <tr r="G100" s="2"/>
        <tr r="G100" s="2"/>
      </tp>
      <tp t="s">
        <v>N/A</v>
        <stp/>
        <stp>VOLUME</stp>
        <stp>.SPXW250731P5920</stp>
        <tr r="N101" s="2"/>
      </tp>
      <tp>
        <v>308</v>
        <stp/>
        <stp>VOLUME</stp>
        <stp>.SPXW250630P5930</stp>
        <tr r="L100" s="2"/>
        <tr r="L100" s="2"/>
      </tp>
      <tp t="s">
        <v>N/A</v>
        <stp/>
        <stp>VOLUME</stp>
        <stp>.NDXP250930P20700</stp>
        <tr r="R172" s="2"/>
      </tp>
      <tp>
        <v>51</v>
        <stp/>
        <stp>VOLUME</stp>
        <stp>.NDXP250520P20700</stp>
        <tr r="BB171" s="1"/>
        <tr r="BB171" s="1"/>
      </tp>
      <tp>
        <v>8</v>
        <stp/>
        <stp>VOLUME</stp>
        <stp>.NDXP250521P20600</stp>
        <tr r="D176" s="2"/>
        <tr r="D176" s="2"/>
      </tp>
      <tp>
        <v>1</v>
        <stp/>
        <stp>VOLUME</stp>
        <stp>.NDXP250522P20500</stp>
        <tr r="E180" s="2"/>
        <tr r="E180" s="2"/>
      </tp>
      <tp>
        <v>132</v>
        <stp/>
        <stp>VOLUME</stp>
        <stp>.NDXP250523P20400</stp>
        <tr r="BD183" s="1"/>
        <tr r="BD183" s="1"/>
      </tp>
      <tp t="s">
        <v>N/A</v>
        <stp/>
        <stp>VOLUME</stp>
        <stp>.NDXP250522P21500</stp>
        <tr r="E140" s="2"/>
      </tp>
      <tp>
        <v>1</v>
        <stp/>
        <stp>VOLUME</stp>
        <stp>.NDXP250523P21400</stp>
        <tr r="BD143" s="1"/>
        <tr r="BD143" s="1"/>
      </tp>
      <tp t="s">
        <v>N/A</v>
        <stp/>
        <stp>VOLUME</stp>
        <stp>.NDXP250530P20700</stp>
        <tr r="G172" s="2"/>
      </tp>
      <tp t="s">
        <v>N/A</v>
        <stp/>
        <stp>VOLUME</stp>
        <stp>.NDXP250731P20600</stp>
        <tr r="N176" s="2"/>
      </tp>
      <tp t="s">
        <v>N/A</v>
        <stp/>
        <stp>VOLUME</stp>
        <stp>.NDXP250613P21400</stp>
        <tr r="I144" s="2"/>
      </tp>
      <tp t="s">
        <v>N/A</v>
        <stp/>
        <stp>VOLUME</stp>
        <stp>.NDXP250613P20400</stp>
        <tr r="I184" s="2"/>
      </tp>
      <tp t="s">
        <v>N/A</v>
        <stp/>
        <stp>VOLUME</stp>
        <stp>.NDXP250630P20700</stp>
        <tr r="L172" s="2"/>
      </tp>
      <tp>
        <v>2</v>
        <stp/>
        <stp>VOLUME</stp>
        <stp>.SPXW250930C5940</stp>
        <tr r="R99" s="2"/>
        <tr r="R99" s="2"/>
      </tp>
      <tp>
        <v>28</v>
        <stp/>
        <stp>VOLUME</stp>
        <stp>.SPXW250520C5840</stp>
        <tr r="BA108" s="1"/>
        <tr r="BA108" s="1"/>
      </tp>
      <tp>
        <v>191</v>
        <stp/>
        <stp>VOLUME</stp>
        <stp>.SPXW250521C5850</stp>
        <tr r="D108" s="2"/>
        <tr r="D108" s="2"/>
      </tp>
      <tp>
        <v>161</v>
        <stp/>
        <stp>VOLUME</stp>
        <stp>.SPXW250522C5860</stp>
        <tr r="E107" s="2"/>
        <tr r="E107" s="2"/>
      </tp>
      <tp>
        <v>25</v>
        <stp/>
        <stp>VOLUME</stp>
        <stp>.SPXW250523C5870</stp>
        <tr r="BC105" s="1"/>
        <tr r="BC105" s="1"/>
      </tp>
      <tp>
        <v>333</v>
        <stp/>
        <stp>VOLUME</stp>
        <stp>.SPXW250530C5940</stp>
        <tr r="G99" s="2"/>
        <tr r="G99" s="2"/>
      </tp>
      <tp>
        <v>6</v>
        <stp/>
        <stp>VOLUME</stp>
        <stp>.SPXW250731C5950</stp>
        <tr r="N98" s="2"/>
        <tr r="N98" s="2"/>
      </tp>
      <tp>
        <v>20</v>
        <stp/>
        <stp>VOLUME</stp>
        <stp>.SPXW250630C5940</stp>
        <tr r="L99" s="2"/>
        <tr r="L99" s="2"/>
      </tp>
      <tp t="s">
        <v>N/A</v>
        <stp/>
        <stp>VOLUME</stp>
        <stp>.SPXW251031C5950</stp>
        <tr r="T98" s="2"/>
      </tp>
      <tp t="s">
        <v>N/A</v>
        <stp/>
        <stp>VOLUME</stp>
        <stp>.SPXW251231C5950</stp>
        <tr r="X98" s="2"/>
      </tp>
      <tp>
        <v>4</v>
        <stp/>
        <stp>VOLUME</stp>
        <stp>.SPXW251031P5950</stp>
        <tr r="T98" s="2"/>
        <tr r="T98" s="2"/>
      </tp>
      <tp>
        <v>6</v>
        <stp/>
        <stp>VOLUME</stp>
        <stp>.SPXW251231P5950</stp>
        <tr r="X98" s="2"/>
        <tr r="X98" s="2"/>
      </tp>
      <tp>
        <v>5</v>
        <stp/>
        <stp>VOLUME</stp>
        <stp>.SPXW250930P5940</stp>
        <tr r="R99" s="2"/>
        <tr r="R99" s="2"/>
      </tp>
      <tp>
        <v>11429</v>
        <stp/>
        <stp>VOLUME</stp>
        <stp>.SPXW250520P5840</stp>
        <tr r="BB108" s="1"/>
        <tr r="BB108" s="1"/>
      </tp>
      <tp>
        <v>5832</v>
        <stp/>
        <stp>VOLUME</stp>
        <stp>.SPXW250521P5850</stp>
        <tr r="D108" s="2"/>
        <tr r="D108" s="2"/>
      </tp>
      <tp>
        <v>455</v>
        <stp/>
        <stp>VOLUME</stp>
        <stp>.SPXW250522P5860</stp>
        <tr r="E107" s="2"/>
        <tr r="E107" s="2"/>
      </tp>
      <tp>
        <v>590</v>
        <stp/>
        <stp>VOLUME</stp>
        <stp>.SPXW250523P5870</stp>
        <tr r="BD105" s="1"/>
        <tr r="BD105" s="1"/>
      </tp>
      <tp>
        <v>269</v>
        <stp/>
        <stp>VOLUME</stp>
        <stp>.SPXW250530P5940</stp>
        <tr r="G99" s="2"/>
        <tr r="G99" s="2"/>
      </tp>
      <tp>
        <v>401</v>
        <stp/>
        <stp>VOLUME</stp>
        <stp>.SPXW250731P5950</stp>
        <tr r="N98" s="2"/>
        <tr r="N98" s="2"/>
      </tp>
      <tp>
        <v>14</v>
        <stp/>
        <stp>VOLUME</stp>
        <stp>.SPXW250630P5940</stp>
        <tr r="L99" s="2"/>
        <tr r="L99" s="2"/>
      </tp>
      <tp t="s">
        <v>N/A</v>
        <stp/>
        <stp>VOLUME</stp>
        <stp>.NDXP251031P20600</stp>
        <tr r="T176" s="2"/>
      </tp>
      <tp t="s">
        <v>N/A</v>
        <stp/>
        <stp>VOLUME</stp>
        <stp>.NDXP251231P20600</stp>
        <tr r="X176" s="2"/>
      </tp>
      <tp>
        <v>10</v>
        <stp/>
        <stp>VOLUME</stp>
        <stp>.SPXW250930C5950</stp>
        <tr r="R98" s="2"/>
        <tr r="R98" s="2"/>
      </tp>
      <tp>
        <v>143</v>
        <stp/>
        <stp>VOLUME</stp>
        <stp>.SPXW250520C5850</stp>
        <tr r="BA107" s="1"/>
        <tr r="BA107" s="1"/>
      </tp>
      <tp>
        <v>25</v>
        <stp/>
        <stp>VOLUME</stp>
        <stp>.SPXW250521C5840</stp>
        <tr r="D109" s="2"/>
        <tr r="D109" s="2"/>
      </tp>
      <tp>
        <v>141</v>
        <stp/>
        <stp>VOLUME</stp>
        <stp>.SPXW250522C5870</stp>
        <tr r="E106" s="2"/>
        <tr r="E106" s="2"/>
      </tp>
      <tp>
        <v>123</v>
        <stp/>
        <stp>VOLUME</stp>
        <stp>.SPXW250523C5860</stp>
        <tr r="BC106" s="1"/>
        <tr r="BC106" s="1"/>
      </tp>
      <tp>
        <v>720</v>
        <stp/>
        <stp>VOLUME</stp>
        <stp>.SPXW250530C5950</stp>
        <tr r="G98" s="2"/>
        <tr r="G98" s="2"/>
      </tp>
      <tp>
        <v>7</v>
        <stp/>
        <stp>VOLUME</stp>
        <stp>.SPXW250731C5940</stp>
        <tr r="N99" s="2"/>
        <tr r="N99" s="2"/>
      </tp>
      <tp>
        <v>26</v>
        <stp/>
        <stp>VOLUME</stp>
        <stp>.SPXW250630C5950</stp>
        <tr r="L98" s="2"/>
        <tr r="L98" s="2"/>
      </tp>
      <tp t="s">
        <v>N/A</v>
        <stp/>
        <stp>VOLUME</stp>
        <stp>.SPXW251031C5940</stp>
        <tr r="T99" s="2"/>
      </tp>
      <tp t="s">
        <v>N/A</v>
        <stp/>
        <stp>VOLUME</stp>
        <stp>.SPXW251231C5940</stp>
        <tr r="X99" s="2"/>
      </tp>
      <tp t="s">
        <v>N/A</v>
        <stp/>
        <stp>VOLUME</stp>
        <stp>.SPXW251031P5940</stp>
        <tr r="T99" s="2"/>
      </tp>
      <tp t="s">
        <v>N/A</v>
        <stp/>
        <stp>VOLUME</stp>
        <stp>.SPXW251231P5940</stp>
        <tr r="X99" s="2"/>
      </tp>
      <tp>
        <v>12</v>
        <stp/>
        <stp>VOLUME</stp>
        <stp>.SPXW250930P5950</stp>
        <tr r="R98" s="2"/>
        <tr r="R98" s="2"/>
      </tp>
      <tp>
        <v>11674</v>
        <stp/>
        <stp>VOLUME</stp>
        <stp>.SPXW250520P5850</stp>
        <tr r="BB107" s="1"/>
        <tr r="BB107" s="1"/>
      </tp>
      <tp>
        <v>3091</v>
        <stp/>
        <stp>VOLUME</stp>
        <stp>.SPXW250521P5840</stp>
        <tr r="D109" s="2"/>
        <tr r="D109" s="2"/>
      </tp>
      <tp>
        <v>854</v>
        <stp/>
        <stp>VOLUME</stp>
        <stp>.SPXW250522P5870</stp>
        <tr r="E106" s="2"/>
        <tr r="E106" s="2"/>
      </tp>
      <tp>
        <v>480</v>
        <stp/>
        <stp>VOLUME</stp>
        <stp>.SPXW250523P5860</stp>
        <tr r="BD106" s="1"/>
        <tr r="BD106" s="1"/>
      </tp>
      <tp>
        <v>586</v>
        <stp/>
        <stp>VOLUME</stp>
        <stp>.SPXW250530P5950</stp>
        <tr r="G98" s="2"/>
        <tr r="G98" s="2"/>
      </tp>
      <tp t="s">
        <v>N/A</v>
        <stp/>
        <stp>VOLUME</stp>
        <stp>.SPXW250731P5940</stp>
        <tr r="N99" s="2"/>
      </tp>
      <tp>
        <v>506</v>
        <stp/>
        <stp>VOLUME</stp>
        <stp>.SPXW250630P5950</stp>
        <tr r="L98" s="2"/>
        <tr r="L98" s="2"/>
      </tp>
      <tp t="s">
        <v>N/A</v>
        <stp/>
        <stp>VOLUME</stp>
        <stp>.NDXP250930P20725</stp>
        <tr r="R171" s="2"/>
      </tp>
      <tp t="s">
        <v>N/A</v>
        <stp/>
        <stp>VOLUME</stp>
        <stp>.NDXP250520P20725</stp>
        <tr r="BB170" s="1"/>
      </tp>
      <tp>
        <v>6</v>
        <stp/>
        <stp>VOLUME</stp>
        <stp>.NDXP250521P20625</stp>
        <tr r="D175" s="2"/>
        <tr r="D175" s="2"/>
      </tp>
      <tp>
        <v>2</v>
        <stp/>
        <stp>VOLUME</stp>
        <stp>.NDXP250522P20525</stp>
        <tr r="E179" s="2"/>
        <tr r="E179" s="2"/>
      </tp>
      <tp>
        <v>3</v>
        <stp/>
        <stp>VOLUME</stp>
        <stp>.NDXP250523P20425</stp>
        <tr r="BD182" s="1"/>
        <tr r="BD182" s="1"/>
      </tp>
      <tp t="s">
        <v>N/A</v>
        <stp/>
        <stp>VOLUME</stp>
        <stp>.NDXP250522P21525</stp>
        <tr r="E139" s="2"/>
      </tp>
      <tp t="s">
        <v>N/A</v>
        <stp/>
        <stp>VOLUME</stp>
        <stp>.NDXP250523P21425</stp>
        <tr r="BD142" s="1"/>
      </tp>
      <tp t="s">
        <v>N/A</v>
        <stp/>
        <stp>VOLUME</stp>
        <stp>.NDXP250530P20725</stp>
        <tr r="G171" s="2"/>
      </tp>
      <tp t="s">
        <v>N/A</v>
        <stp/>
        <stp>VOLUME</stp>
        <stp>.NDXP250613P21425</stp>
        <tr r="I143" s="2"/>
      </tp>
      <tp t="s">
        <v>N/A</v>
        <stp/>
        <stp>VOLUME</stp>
        <stp>.NDXP250613P20425</stp>
        <tr r="I183" s="2"/>
      </tp>
      <tp t="s">
        <v>N/A</v>
        <stp/>
        <stp>VOLUME</stp>
        <stp>.NDXP250630P20725</stp>
        <tr r="L171" s="2"/>
      </tp>
      <tp t="s">
        <v>N/A</v>
        <stp/>
        <stp>VOLUME</stp>
        <stp>.NDXP250731P20625</stp>
        <tr r="N175" s="2"/>
      </tp>
      <tp t="s">
        <v>N/A</v>
        <stp/>
        <stp>VOLUME</stp>
        <stp>.SPXW250930C5960</stp>
        <tr r="R97" s="2"/>
      </tp>
      <tp>
        <v>1359</v>
        <stp/>
        <stp>VOLUME</stp>
        <stp>.SPXW250520C5860</stp>
        <tr r="BA106" s="1"/>
        <tr r="BA106" s="1"/>
      </tp>
      <tp>
        <v>94</v>
        <stp/>
        <stp>VOLUME</stp>
        <stp>.SPXW250521C5870</stp>
        <tr r="D106" s="2"/>
        <tr r="D106" s="2"/>
      </tp>
      <tp>
        <v>22</v>
        <stp/>
        <stp>VOLUME</stp>
        <stp>.SPXW250522C5840</stp>
        <tr r="E109" s="2"/>
        <tr r="E109" s="2"/>
      </tp>
      <tp>
        <v>270</v>
        <stp/>
        <stp>VOLUME</stp>
        <stp>.SPXW250523C5850</stp>
        <tr r="BC107" s="1"/>
        <tr r="BC107" s="1"/>
      </tp>
      <tp>
        <v>152</v>
        <stp/>
        <stp>VOLUME</stp>
        <stp>.SPXW250530C5960</stp>
        <tr r="G97" s="2"/>
        <tr r="G97" s="2"/>
      </tp>
      <tp t="s">
        <v>N/A</v>
        <stp/>
        <stp>VOLUME</stp>
        <stp>.SPXW250731C5970</stp>
        <tr r="N96" s="2"/>
      </tp>
      <tp>
        <v>1</v>
        <stp/>
        <stp>VOLUME</stp>
        <stp>.SPXW250630C5960</stp>
        <tr r="L97" s="2"/>
        <tr r="L97" s="2"/>
      </tp>
      <tp t="s">
        <v>N/A</v>
        <stp/>
        <stp>VOLUME</stp>
        <stp>.SPXW251031C5970</stp>
        <tr r="T96" s="2"/>
      </tp>
      <tp t="s">
        <v>N/A</v>
        <stp/>
        <stp>VOLUME</stp>
        <stp>.SPXW251231C5970</stp>
        <tr r="X96" s="2"/>
      </tp>
      <tp t="s">
        <v>N/A</v>
        <stp/>
        <stp>VOLUME</stp>
        <stp>.SPXW251031P5970</stp>
        <tr r="T96" s="2"/>
      </tp>
      <tp t="s">
        <v>N/A</v>
        <stp/>
        <stp>VOLUME</stp>
        <stp>.SPXW251231P5970</stp>
        <tr r="X96" s="2"/>
      </tp>
      <tp t="s">
        <v>N/A</v>
        <stp/>
        <stp>VOLUME</stp>
        <stp>.SPXW250930P5960</stp>
        <tr r="R97" s="2"/>
      </tp>
      <tp>
        <v>12160</v>
        <stp/>
        <stp>VOLUME</stp>
        <stp>.SPXW250520P5860</stp>
        <tr r="BB106" s="1"/>
        <tr r="BB106" s="1"/>
      </tp>
      <tp>
        <v>3253</v>
        <stp/>
        <stp>VOLUME</stp>
        <stp>.SPXW250521P5870</stp>
        <tr r="D106" s="2"/>
        <tr r="D106" s="2"/>
      </tp>
      <tp>
        <v>698</v>
        <stp/>
        <stp>VOLUME</stp>
        <stp>.SPXW250522P5840</stp>
        <tr r="E109" s="2"/>
        <tr r="E109" s="2"/>
      </tp>
      <tp>
        <v>2649</v>
        <stp/>
        <stp>VOLUME</stp>
        <stp>.SPXW250523P5850</stp>
        <tr r="BD107" s="1"/>
        <tr r="BD107" s="1"/>
      </tp>
      <tp>
        <v>171</v>
        <stp/>
        <stp>VOLUME</stp>
        <stp>.SPXW250530P5960</stp>
        <tr r="G97" s="2"/>
        <tr r="G97" s="2"/>
      </tp>
      <tp t="s">
        <v>N/A</v>
        <stp/>
        <stp>VOLUME</stp>
        <stp>.SPXW250731P5970</stp>
        <tr r="N96" s="2"/>
      </tp>
      <tp>
        <v>1</v>
        <stp/>
        <stp>VOLUME</stp>
        <stp>.SPXW250630P5960</stp>
        <tr r="L97" s="2"/>
        <tr r="L97" s="2"/>
      </tp>
      <tp t="s">
        <v>N/A</v>
        <stp/>
        <stp>VOLUME</stp>
        <stp>.NDXP251031P20625</stp>
        <tr r="T175" s="2"/>
      </tp>
      <tp t="s">
        <v>N/A</v>
        <stp/>
        <stp>VOLUME</stp>
        <stp>.NDXP251231P20625</stp>
        <tr r="X175" s="2"/>
      </tp>
      <tp t="s">
        <v>N/A</v>
        <stp/>
        <stp>VOLUME</stp>
        <stp>.SPXW250930C5970</stp>
        <tr r="R96" s="2"/>
      </tp>
      <tp>
        <v>1052</v>
        <stp/>
        <stp>VOLUME</stp>
        <stp>.SPXW250520C5870</stp>
        <tr r="BA105" s="1"/>
        <tr r="BA105" s="1"/>
      </tp>
      <tp>
        <v>108</v>
        <stp/>
        <stp>VOLUME</stp>
        <stp>.SPXW250521C5860</stp>
        <tr r="D107" s="2"/>
        <tr r="D107" s="2"/>
      </tp>
      <tp>
        <v>777</v>
        <stp/>
        <stp>VOLUME</stp>
        <stp>.SPXW250522C5850</stp>
        <tr r="E108" s="2"/>
        <tr r="E108" s="2"/>
      </tp>
      <tp t="s">
        <v>N/A</v>
        <stp/>
        <stp>VOLUME</stp>
        <stp>.SPXW250523C5840</stp>
        <tr r="BC108" s="1"/>
      </tp>
      <tp>
        <v>113</v>
        <stp/>
        <stp>VOLUME</stp>
        <stp>.SPXW250530C5970</stp>
        <tr r="G96" s="2"/>
        <tr r="G96" s="2"/>
      </tp>
      <tp t="s">
        <v>N/A</v>
        <stp/>
        <stp>VOLUME</stp>
        <stp>.SPXW250731C5960</stp>
        <tr r="N97" s="2"/>
      </tp>
      <tp>
        <v>2</v>
        <stp/>
        <stp>VOLUME</stp>
        <stp>.SPXW250630C5970</stp>
        <tr r="L96" s="2"/>
        <tr r="L96" s="2"/>
      </tp>
      <tp t="s">
        <v>N/A</v>
        <stp/>
        <stp>VOLUME</stp>
        <stp>.SPXW251031C5960</stp>
        <tr r="T97" s="2"/>
      </tp>
      <tp t="s">
        <v>N/A</v>
        <stp/>
        <stp>VOLUME</stp>
        <stp>.SPXW251231C5960</stp>
        <tr r="X97" s="2"/>
      </tp>
      <tp t="s">
        <v>N/A</v>
        <stp/>
        <stp>VOLUME</stp>
        <stp>.SPXW251031P5960</stp>
        <tr r="T97" s="2"/>
      </tp>
      <tp t="s">
        <v>N/A</v>
        <stp/>
        <stp>VOLUME</stp>
        <stp>.SPXW251231P5960</stp>
        <tr r="X97" s="2"/>
      </tp>
      <tp t="s">
        <v>N/A</v>
        <stp/>
        <stp>VOLUME</stp>
        <stp>.SPXW250930P5970</stp>
        <tr r="R96" s="2"/>
      </tp>
      <tp>
        <v>17501</v>
        <stp/>
        <stp>VOLUME</stp>
        <stp>.SPXW250520P5870</stp>
        <tr r="BB105" s="1"/>
        <tr r="BB105" s="1"/>
      </tp>
      <tp>
        <v>1995</v>
        <stp/>
        <stp>VOLUME</stp>
        <stp>.SPXW250521P5860</stp>
        <tr r="D107" s="2"/>
        <tr r="D107" s="2"/>
      </tp>
      <tp>
        <v>2656</v>
        <stp/>
        <stp>VOLUME</stp>
        <stp>.SPXW250522P5850</stp>
        <tr r="E108" s="2"/>
        <tr r="E108" s="2"/>
      </tp>
      <tp t="s">
        <v>N/A</v>
        <stp/>
        <stp>VOLUME</stp>
        <stp>.SPXW250523P5840</stp>
        <tr r="BD108" s="1"/>
      </tp>
      <tp>
        <v>51</v>
        <stp/>
        <stp>VOLUME</stp>
        <stp>.SPXW250530P5970</stp>
        <tr r="G96" s="2"/>
        <tr r="G96" s="2"/>
      </tp>
      <tp t="s">
        <v>N/A</v>
        <stp/>
        <stp>VOLUME</stp>
        <stp>.SPXW250731P5960</stp>
        <tr r="N97" s="2"/>
      </tp>
      <tp t="s">
        <v>N/A</v>
        <stp/>
        <stp>VOLUME</stp>
        <stp>.SPXW250630P5970</stp>
        <tr r="L96" s="2"/>
      </tp>
      <tp>
        <v>7</v>
        <stp/>
        <stp>OPEN_INT</stp>
        <stp>.NDXP250520C20900</stp>
        <tr r="AS163" s="1"/>
        <tr r="AS163" s="1"/>
      </tp>
      <tp>
        <v>0</v>
        <stp/>
        <stp>OPEN_INT</stp>
        <stp>.NDXP250520C20925</stp>
        <tr r="AS162" s="1"/>
        <tr r="AS162" s="1"/>
      </tp>
      <tp>
        <v>0</v>
        <stp/>
        <stp>OPEN_INT</stp>
        <stp>.NDXP250520C20950</stp>
        <tr r="AS161" s="1"/>
        <tr r="AS161" s="1"/>
      </tp>
      <tp>
        <v>1</v>
        <stp/>
        <stp>OPEN_INT</stp>
        <stp>.NDXP250520C20975</stp>
        <tr r="AS160" s="1"/>
        <tr r="AS160" s="1"/>
      </tp>
      <tp>
        <v>5</v>
        <stp/>
        <stp>OPEN_INT</stp>
        <stp>.NDXP250520P20925</stp>
        <tr r="AT162" s="1"/>
        <tr r="AT162" s="1"/>
      </tp>
      <tp>
        <v>18</v>
        <stp/>
        <stp>OPEN_INT</stp>
        <stp>.NDXP250520P20900</stp>
        <tr r="AT163" s="1"/>
        <tr r="AT163" s="1"/>
      </tp>
      <tp>
        <v>1</v>
        <stp/>
        <stp>OPEN_INT</stp>
        <stp>.NDXP250520P20975</stp>
        <tr r="AT160" s="1"/>
        <tr r="AT160" s="1"/>
      </tp>
      <tp>
        <v>55</v>
        <stp/>
        <stp>OPEN_INT</stp>
        <stp>.NDXP250520P20950</stp>
        <tr r="AT161" s="1"/>
        <tr r="AT161" s="1"/>
      </tp>
      <tp>
        <v>-0.03</v>
        <stp/>
        <stp>DELTA</stp>
        <stp>.NDXP250520P21325</stp>
        <tr r="CE146" s="1"/>
        <tr r="CE146" s="1"/>
      </tp>
      <tp>
        <v>-0.22</v>
        <stp/>
        <stp>DELTA</stp>
        <stp>.NDXP250523P21025</stp>
        <tr r="CG158" s="1"/>
        <tr r="CG158" s="1"/>
      </tp>
      <tp>
        <v>-0.04</v>
        <stp/>
        <stp>DELTA</stp>
        <stp>.NDXP250520P20325</stp>
        <tr r="CE186" s="1"/>
        <tr r="CE186" s="1"/>
      </tp>
      <tp>
        <v>0</v>
        <stp/>
        <stp>DELTA</stp>
        <stp>.NDXP250520P21300</stp>
        <tr r="CE147" s="1"/>
        <tr r="CE147" s="1"/>
      </tp>
      <tp>
        <v>-0.21</v>
        <stp/>
        <stp>DELTA</stp>
        <stp>.NDXP250523P21000</stp>
        <tr r="CG159" s="1"/>
        <tr r="CG159" s="1"/>
      </tp>
      <tp>
        <v>0</v>
        <stp/>
        <stp>DELTA</stp>
        <stp>.NDXP250520P20300</stp>
        <tr r="CE187" s="1"/>
        <tr r="CE187" s="1"/>
      </tp>
      <tp>
        <v>-0.84</v>
        <stp/>
        <stp>DELTA</stp>
        <stp>.NDXP250520P21375</stp>
        <tr r="CE144" s="1"/>
        <tr r="CE144" s="1"/>
      </tp>
      <tp>
        <v>-0.25</v>
        <stp/>
        <stp>DELTA</stp>
        <stp>.NDXP250523P21075</stp>
        <tr r="CG156" s="1"/>
        <tr r="CG156" s="1"/>
      </tp>
      <tp>
        <v>-0.04</v>
        <stp/>
        <stp>DELTA</stp>
        <stp>.NDXP250520P20375</stp>
        <tr r="CE184" s="1"/>
        <tr r="CE184" s="1"/>
      </tp>
      <tp>
        <v>-0.03</v>
        <stp/>
        <stp>DELTA</stp>
        <stp>.NDXP250520P21350</stp>
        <tr r="CE145" s="1"/>
        <tr r="CE145" s="1"/>
      </tp>
      <tp>
        <v>-0.24</v>
        <stp/>
        <stp>DELTA</stp>
        <stp>.NDXP250523P21050</stp>
        <tr r="CG157" s="1"/>
        <tr r="CG157" s="1"/>
      </tp>
      <tp>
        <v>-0.04</v>
        <stp/>
        <stp>DELTA</stp>
        <stp>.NDXP250520P20350</stp>
        <tr r="CE185" s="1"/>
        <tr r="CE185" s="1"/>
      </tp>
      <tp>
        <v>0.85</v>
        <stp/>
        <stp>DELTA</stp>
        <stp>.NDXP250520C21300</stp>
        <tr r="CD147" s="1"/>
        <tr r="CD147" s="1"/>
      </tp>
      <tp>
        <v>0.86</v>
        <stp/>
        <stp>DELTA</stp>
        <stp>.NDXP250523C21000</stp>
        <tr r="CF159" s="1"/>
        <tr r="CF159" s="1"/>
      </tp>
      <tp>
        <v>1</v>
        <stp/>
        <stp>DELTA</stp>
        <stp>.NDXP250520C20300</stp>
        <tr r="CD187" s="1"/>
        <tr r="CD187" s="1"/>
      </tp>
      <tp>
        <v>0.79</v>
        <stp/>
        <stp>DELTA</stp>
        <stp>.NDXP250520C21325</stp>
        <tr r="CD146" s="1"/>
        <tr r="CD146" s="1"/>
      </tp>
      <tp>
        <v>0.84</v>
        <stp/>
        <stp>DELTA</stp>
        <stp>.NDXP250523C21025</stp>
        <tr r="CF158" s="1"/>
        <tr r="CF158" s="1"/>
      </tp>
      <tp>
        <v>1</v>
        <stp/>
        <stp>DELTA</stp>
        <stp>.NDXP250520C20325</stp>
        <tr r="CD186" s="1"/>
        <tr r="CD186" s="1"/>
      </tp>
      <tp>
        <v>0.73</v>
        <stp/>
        <stp>DELTA</stp>
        <stp>.NDXP250520C21350</stp>
        <tr r="CD145" s="1"/>
        <tr r="CD145" s="1"/>
      </tp>
      <tp>
        <v>0.82</v>
        <stp/>
        <stp>DELTA</stp>
        <stp>.NDXP250523C21050</stp>
        <tr r="CF157" s="1"/>
        <tr r="CF157" s="1"/>
      </tp>
      <tp>
        <v>1</v>
        <stp/>
        <stp>DELTA</stp>
        <stp>.NDXP250520C20350</stp>
        <tr r="CD185" s="1"/>
        <tr r="CD185" s="1"/>
      </tp>
      <tp>
        <v>0.17</v>
        <stp/>
        <stp>DELTA</stp>
        <stp>.NDXP250520C21375</stp>
        <tr r="CD144" s="1"/>
        <tr r="CD144" s="1"/>
      </tp>
      <tp>
        <v>0.81</v>
        <stp/>
        <stp>DELTA</stp>
        <stp>.NDXP250523C21075</stp>
        <tr r="CF156" s="1"/>
        <tr r="CF156" s="1"/>
      </tp>
      <tp>
        <v>1</v>
        <stp/>
        <stp>DELTA</stp>
        <stp>.NDXP250520C20375</stp>
        <tr r="CD184" s="1"/>
        <tr r="CD184" s="1"/>
      </tp>
      <tp t="s">
        <v>N/A</v>
        <stp/>
        <stp>VOLUME</stp>
        <stp>.NDXP250829C20975</stp>
        <tr r="P161" s="2"/>
      </tp>
      <tp t="s">
        <v>N/A</v>
        <stp/>
        <stp>VOLUME</stp>
        <stp>.NDXP250930C21075</stp>
        <tr r="R157" s="2"/>
      </tp>
      <tp t="s">
        <v>N/A</v>
        <stp/>
        <stp>VOLUME</stp>
        <stp>.NDXP250522C20275</stp>
        <tr r="E189" s="2"/>
      </tp>
      <tp t="s">
        <v>N/A</v>
        <stp/>
        <stp>VOLUME</stp>
        <stp>.NDXP250523C20375</stp>
        <tr r="BC184" s="1"/>
      </tp>
      <tp t="s">
        <v>N/A</v>
        <stp/>
        <stp>VOLUME</stp>
        <stp>.NDXP250530C21075</stp>
        <tr r="G157" s="2"/>
      </tp>
      <tp t="s">
        <v>N/A</v>
        <stp/>
        <stp>VOLUME</stp>
        <stp>.NDXP250520C21075</stp>
        <tr r="BA156" s="1"/>
      </tp>
      <tp t="s">
        <v>N/A</v>
        <stp/>
        <stp>VOLUME</stp>
        <stp>.NDXP250521C21175</stp>
        <tr r="D153" s="2"/>
      </tp>
      <tp t="s">
        <v>N/A</v>
        <stp/>
        <stp>VOLUME</stp>
        <stp>.NDXP250522C21275</stp>
        <tr r="E149" s="2"/>
      </tp>
      <tp>
        <v>1</v>
        <stp/>
        <stp>VOLUME</stp>
        <stp>.NDXP250523C21375</stp>
        <tr r="BC144" s="1"/>
        <tr r="BC144" s="1"/>
      </tp>
      <tp t="s">
        <v>N/A</v>
        <stp/>
        <stp>VOLUME</stp>
        <stp>.NDXP250613C21375</stp>
        <tr r="I145" s="2"/>
      </tp>
      <tp t="s">
        <v>N/A</v>
        <stp/>
        <stp>VOLUME</stp>
        <stp>.NDXP250613C20375</stp>
        <tr r="I185" s="2"/>
      </tp>
      <tp t="s">
        <v>N/A</v>
        <stp/>
        <stp>VOLUME</stp>
        <stp>.NDXP250630C21075</stp>
        <tr r="L157" s="2"/>
      </tp>
      <tp t="s">
        <v>N/A</v>
        <stp/>
        <stp>VOLUME</stp>
        <stp>.NDXP250731C21175</stp>
        <tr r="N153" s="2"/>
      </tp>
      <tp t="s">
        <v>N/A</v>
        <stp/>
        <stp>VOLUME</stp>
        <stp>.NDXP251031C21175</stp>
        <tr r="T153" s="2"/>
      </tp>
      <tp t="s">
        <v>N/A</v>
        <stp/>
        <stp>VOLUME</stp>
        <stp>.NDXP251128C20875</stp>
        <tr r="V165" s="2"/>
      </tp>
      <tp t="s">
        <v>N/A</v>
        <stp/>
        <stp>VOLUME</stp>
        <stp>.NDXP251231C21175</stp>
        <tr r="X153" s="2"/>
      </tp>
      <tp t="s">
        <v>N/A</v>
        <stp/>
        <stp>VOLUME</stp>
        <stp>.NDXP250930C21050</stp>
        <tr r="R158" s="2"/>
      </tp>
      <tp t="s">
        <v>N/A</v>
        <stp/>
        <stp>VOLUME</stp>
        <stp>.NDXP250829C20950</stp>
        <tr r="P162" s="2"/>
      </tp>
      <tp t="s">
        <v>N/A</v>
        <stp/>
        <stp>VOLUME</stp>
        <stp>.NDXP250522C20250</stp>
        <tr r="E190" s="2"/>
      </tp>
      <tp t="s">
        <v>N/A</v>
        <stp/>
        <stp>VOLUME</stp>
        <stp>.NDXP250523C20350</stp>
        <tr r="BC185" s="1"/>
      </tp>
      <tp t="s">
        <v>N/A</v>
        <stp/>
        <stp>VOLUME</stp>
        <stp>.NDXP250530C21050</stp>
        <tr r="G158" s="2"/>
      </tp>
      <tp t="s">
        <v>N/A</v>
        <stp/>
        <stp>VOLUME</stp>
        <stp>.NDXP250520C21050</stp>
        <tr r="BA157" s="1"/>
      </tp>
      <tp>
        <v>1</v>
        <stp/>
        <stp>VOLUME</stp>
        <stp>.NDXP250521C21150</stp>
        <tr r="D154" s="2"/>
        <tr r="D154" s="2"/>
      </tp>
      <tp>
        <v>6</v>
        <stp/>
        <stp>VOLUME</stp>
        <stp>.NDXP250522C21250</stp>
        <tr r="E150" s="2"/>
        <tr r="E150" s="2"/>
      </tp>
      <tp>
        <v>8</v>
        <stp/>
        <stp>VOLUME</stp>
        <stp>.NDXP250523C21350</stp>
        <tr r="BC145" s="1"/>
        <tr r="BC145" s="1"/>
      </tp>
      <tp t="s">
        <v>N/A</v>
        <stp/>
        <stp>VOLUME</stp>
        <stp>.NDXP250731C21150</stp>
        <tr r="N154" s="2"/>
      </tp>
      <tp t="s">
        <v>N/A</v>
        <stp/>
        <stp>VOLUME</stp>
        <stp>.NDXP250613C21350</stp>
        <tr r="I146" s="2"/>
      </tp>
      <tp t="s">
        <v>N/A</v>
        <stp/>
        <stp>VOLUME</stp>
        <stp>.NDXP250613C20350</stp>
        <tr r="I186" s="2"/>
      </tp>
      <tp t="s">
        <v>N/A</v>
        <stp/>
        <stp>VOLUME</stp>
        <stp>.NDXP250630C21050</stp>
        <tr r="L158" s="2"/>
      </tp>
      <tp t="s">
        <v>N/A</v>
        <stp/>
        <stp>VOLUME</stp>
        <stp>.NDXP251128C20850</stp>
        <tr r="V166" s="2"/>
      </tp>
      <tp t="s">
        <v>N/A</v>
        <stp/>
        <stp>VOLUME</stp>
        <stp>.NDXP251031C21150</stp>
        <tr r="T154" s="2"/>
      </tp>
      <tp t="s">
        <v>N/A</v>
        <stp/>
        <stp>VOLUME</stp>
        <stp>.NDXP251231C21150</stp>
        <tr r="X154" s="2"/>
      </tp>
      <tp t="s">
        <v>N/A</v>
        <stp/>
        <stp>VOLUME</stp>
        <stp>.NDXP251031C21125</stp>
        <tr r="T155" s="2"/>
      </tp>
      <tp t="s">
        <v>N/A</v>
        <stp/>
        <stp>VOLUME</stp>
        <stp>.NDXP251128C20825</stp>
        <tr r="V167" s="2"/>
      </tp>
      <tp t="s">
        <v>N/A</v>
        <stp/>
        <stp>VOLUME</stp>
        <stp>.NDXP251231C21125</stp>
        <tr r="X155" s="2"/>
      </tp>
      <tp t="s">
        <v>N/A</v>
        <stp/>
        <stp>VOLUME</stp>
        <stp>.NDXP250829C20925</stp>
        <tr r="P163" s="2"/>
      </tp>
      <tp t="s">
        <v>N/A</v>
        <stp/>
        <stp>VOLUME</stp>
        <stp>.NDXP250930C21025</stp>
        <tr r="R159" s="2"/>
      </tp>
      <tp t="s">
        <v>N/A</v>
        <stp/>
        <stp>VOLUME</stp>
        <stp>.NDXP250523C20325</stp>
        <tr r="BC186" s="1"/>
      </tp>
      <tp t="s">
        <v>N/A</v>
        <stp/>
        <stp>VOLUME</stp>
        <stp>.NDXP250530C21025</stp>
        <tr r="G159" s="2"/>
      </tp>
      <tp t="s">
        <v>N/A</v>
        <stp/>
        <stp>VOLUME</stp>
        <stp>.NDXP250520C21025</stp>
        <tr r="BA158" s="1"/>
      </tp>
      <tp t="s">
        <v>N/A</v>
        <stp/>
        <stp>VOLUME</stp>
        <stp>.NDXP250521C21125</stp>
        <tr r="D155" s="2"/>
      </tp>
      <tp t="s">
        <v>N/A</v>
        <stp/>
        <stp>VOLUME</stp>
        <stp>.NDXP250522C21225</stp>
        <tr r="E151" s="2"/>
      </tp>
      <tp t="s">
        <v>N/A</v>
        <stp/>
        <stp>VOLUME</stp>
        <stp>.NDXP250523C21325</stp>
        <tr r="BC146" s="1"/>
      </tp>
      <tp t="s">
        <v>N/A</v>
        <stp/>
        <stp>VOLUME</stp>
        <stp>.NDXP250613C21325</stp>
        <tr r="I147" s="2"/>
      </tp>
      <tp t="s">
        <v>N/A</v>
        <stp/>
        <stp>VOLUME</stp>
        <stp>.NDXP250613C20325</stp>
        <tr r="I187" s="2"/>
      </tp>
      <tp t="s">
        <v>N/A</v>
        <stp/>
        <stp>VOLUME</stp>
        <stp>.NDXP250630C21025</stp>
        <tr r="L159" s="2"/>
      </tp>
      <tp t="s">
        <v>N/A</v>
        <stp/>
        <stp>VOLUME</stp>
        <stp>.NDXP250731C21125</stp>
        <tr r="N155" s="2"/>
      </tp>
      <tp t="s">
        <v>N/A</v>
        <stp/>
        <stp>VOLUME</stp>
        <stp>.NDXP251128C20800</stp>
        <tr r="V168" s="2"/>
      </tp>
      <tp t="s">
        <v>N/A</v>
        <stp/>
        <stp>VOLUME</stp>
        <stp>.NDXP251031C21100</stp>
        <tr r="T156" s="2"/>
      </tp>
      <tp t="s">
        <v>N/A</v>
        <stp/>
        <stp>VOLUME</stp>
        <stp>.NDXP251231C21100</stp>
        <tr r="X156" s="2"/>
      </tp>
      <tp t="s">
        <v>N/A</v>
        <stp/>
        <stp>VOLUME</stp>
        <stp>.NDXP250930C21000</stp>
        <tr r="R160" s="2"/>
      </tp>
      <tp t="s">
        <v>N/A</v>
        <stp/>
        <stp>VOLUME</stp>
        <stp>.NDXP250829C20900</stp>
        <tr r="P164" s="2"/>
      </tp>
      <tp t="s">
        <v>N/A</v>
        <stp/>
        <stp>VOLUME</stp>
        <stp>.NDXP250523C20300</stp>
        <tr r="BC187" s="1"/>
      </tp>
      <tp>
        <v>1</v>
        <stp/>
        <stp>VOLUME</stp>
        <stp>.NDXP250530C21000</stp>
        <tr r="G160" s="2"/>
        <tr r="G160" s="2"/>
      </tp>
      <tp>
        <v>1</v>
        <stp/>
        <stp>VOLUME</stp>
        <stp>.NDXP250520C21000</stp>
        <tr r="BA159" s="1"/>
        <tr r="BA159" s="1"/>
      </tp>
      <tp>
        <v>4</v>
        <stp/>
        <stp>VOLUME</stp>
        <stp>.NDXP250521C21100</stp>
        <tr r="D156" s="2"/>
        <tr r="D156" s="2"/>
      </tp>
      <tp t="s">
        <v>N/A</v>
        <stp/>
        <stp>VOLUME</stp>
        <stp>.NDXP250522C21200</stp>
        <tr r="E152" s="2"/>
      </tp>
      <tp>
        <v>8</v>
        <stp/>
        <stp>VOLUME</stp>
        <stp>.NDXP250523C21300</stp>
        <tr r="BC147" s="1"/>
        <tr r="BC147" s="1"/>
      </tp>
      <tp t="s">
        <v>N/A</v>
        <stp/>
        <stp>VOLUME</stp>
        <stp>.NDXP250731C21100</stp>
        <tr r="N156" s="2"/>
      </tp>
      <tp t="s">
        <v>N/A</v>
        <stp/>
        <stp>VOLUME</stp>
        <stp>.NDXP250613C21300</stp>
        <tr r="I148" s="2"/>
      </tp>
      <tp t="s">
        <v>N/A</v>
        <stp/>
        <stp>VOLUME</stp>
        <stp>.NDXP250613C20300</stp>
        <tr r="I188" s="2"/>
      </tp>
      <tp>
        <v>1</v>
        <stp/>
        <stp>VOLUME</stp>
        <stp>.NDXP250630C21000</stp>
        <tr r="L160" s="2"/>
        <tr r="L160" s="2"/>
      </tp>
      <tp t="s">
        <v>N/A</v>
        <stp/>
        <stp>VOLUME</stp>
        <stp>.NDXP251128P20850</stp>
        <tr r="V166" s="2"/>
      </tp>
      <tp t="s">
        <v>N/A</v>
        <stp/>
        <stp>VOLUME</stp>
        <stp>.NDXP251031P21150</stp>
        <tr r="T154" s="2"/>
      </tp>
      <tp t="s">
        <v>N/A</v>
        <stp/>
        <stp>VOLUME</stp>
        <stp>.NDXP251231P21150</stp>
        <tr r="X154" s="2"/>
      </tp>
      <tp t="s">
        <v>N/A</v>
        <stp/>
        <stp>VOLUME</stp>
        <stp>.NDXP250930P21050</stp>
        <tr r="R158" s="2"/>
      </tp>
      <tp t="s">
        <v>N/A</v>
        <stp/>
        <stp>VOLUME</stp>
        <stp>.NDXP250829P20950</stp>
        <tr r="P162" s="2"/>
      </tp>
      <tp>
        <v>2</v>
        <stp/>
        <stp>VOLUME</stp>
        <stp>.NDXP250522P20250</stp>
        <tr r="E190" s="2"/>
        <tr r="E190" s="2"/>
      </tp>
      <tp>
        <v>1</v>
        <stp/>
        <stp>VOLUME</stp>
        <stp>.NDXP250523P20350</stp>
        <tr r="BD185" s="1"/>
        <tr r="BD185" s="1"/>
      </tp>
      <tp t="s">
        <v>N/A</v>
        <stp/>
        <stp>VOLUME</stp>
        <stp>.NDXP250530P21050</stp>
        <tr r="G158" s="2"/>
      </tp>
      <tp>
        <v>1863</v>
        <stp/>
        <stp>VOLUME</stp>
        <stp>.NDXP250520P21050</stp>
        <tr r="BB157" s="1"/>
        <tr r="BB157" s="1"/>
      </tp>
      <tp>
        <v>27</v>
        <stp/>
        <stp>VOLUME</stp>
        <stp>.NDXP250521P21150</stp>
        <tr r="D154" s="2"/>
        <tr r="D154" s="2"/>
      </tp>
      <tp>
        <v>6</v>
        <stp/>
        <stp>VOLUME</stp>
        <stp>.NDXP250522P21250</stp>
        <tr r="E150" s="2"/>
        <tr r="E150" s="2"/>
      </tp>
      <tp>
        <v>7</v>
        <stp/>
        <stp>VOLUME</stp>
        <stp>.NDXP250523P21350</stp>
        <tr r="BD145" s="1"/>
        <tr r="BD145" s="1"/>
      </tp>
      <tp t="s">
        <v>N/A</v>
        <stp/>
        <stp>VOLUME</stp>
        <stp>.NDXP250731P21150</stp>
        <tr r="N154" s="2"/>
      </tp>
      <tp t="s">
        <v>N/A</v>
        <stp/>
        <stp>VOLUME</stp>
        <stp>.NDXP250613P21350</stp>
        <tr r="I146" s="2"/>
      </tp>
      <tp t="s">
        <v>N/A</v>
        <stp/>
        <stp>VOLUME</stp>
        <stp>.NDXP250613P20350</stp>
        <tr r="I186" s="2"/>
      </tp>
      <tp t="s">
        <v>N/A</v>
        <stp/>
        <stp>VOLUME</stp>
        <stp>.NDXP250630P21050</stp>
        <tr r="L158" s="2"/>
      </tp>
      <tp t="s">
        <v>N/A</v>
        <stp/>
        <stp>VOLUME</stp>
        <stp>.NDXP251031P21175</stp>
        <tr r="T153" s="2"/>
      </tp>
      <tp t="s">
        <v>N/A</v>
        <stp/>
        <stp>VOLUME</stp>
        <stp>.NDXP251128P20875</stp>
        <tr r="V165" s="2"/>
      </tp>
      <tp t="s">
        <v>N/A</v>
        <stp/>
        <stp>VOLUME</stp>
        <stp>.NDXP251231P21175</stp>
        <tr r="X153" s="2"/>
      </tp>
      <tp t="s">
        <v>N/A</v>
        <stp/>
        <stp>VOLUME</stp>
        <stp>.NDXP250829P20975</stp>
        <tr r="P161" s="2"/>
      </tp>
      <tp t="s">
        <v>N/A</v>
        <stp/>
        <stp>VOLUME</stp>
        <stp>.NDXP250930P21075</stp>
        <tr r="R157" s="2"/>
      </tp>
      <tp>
        <v>1</v>
        <stp/>
        <stp>VOLUME</stp>
        <stp>.NDXP250522P20275</stp>
        <tr r="E189" s="2"/>
        <tr r="E189" s="2"/>
      </tp>
      <tp t="s">
        <v>N/A</v>
        <stp/>
        <stp>VOLUME</stp>
        <stp>.NDXP250523P20375</stp>
        <tr r="BD184" s="1"/>
      </tp>
      <tp t="s">
        <v>N/A</v>
        <stp/>
        <stp>VOLUME</stp>
        <stp>.NDXP250530P21075</stp>
        <tr r="G157" s="2"/>
      </tp>
      <tp>
        <v>64</v>
        <stp/>
        <stp>VOLUME</stp>
        <stp>.NDXP250520P21075</stp>
        <tr r="BB156" s="1"/>
        <tr r="BB156" s="1"/>
      </tp>
      <tp>
        <v>1</v>
        <stp/>
        <stp>VOLUME</stp>
        <stp>.NDXP250521P21175</stp>
        <tr r="D153" s="2"/>
        <tr r="D153" s="2"/>
      </tp>
      <tp>
        <v>6</v>
        <stp/>
        <stp>VOLUME</stp>
        <stp>.NDXP250522P21275</stp>
        <tr r="E149" s="2"/>
        <tr r="E149" s="2"/>
      </tp>
      <tp>
        <v>1</v>
        <stp/>
        <stp>VOLUME</stp>
        <stp>.NDXP250523P21375</stp>
        <tr r="BD144" s="1"/>
        <tr r="BD144" s="1"/>
      </tp>
      <tp t="s">
        <v>N/A</v>
        <stp/>
        <stp>VOLUME</stp>
        <stp>.NDXP250613P21375</stp>
        <tr r="I145" s="2"/>
      </tp>
      <tp t="s">
        <v>N/A</v>
        <stp/>
        <stp>VOLUME</stp>
        <stp>.NDXP250613P20375</stp>
        <tr r="I185" s="2"/>
      </tp>
      <tp t="s">
        <v>N/A</v>
        <stp/>
        <stp>VOLUME</stp>
        <stp>.NDXP250630P21075</stp>
        <tr r="L157" s="2"/>
      </tp>
      <tp t="s">
        <v>N/A</v>
        <stp/>
        <stp>VOLUME</stp>
        <stp>.NDXP250731P21175</stp>
        <tr r="N153" s="2"/>
      </tp>
      <tp t="s">
        <v>N/A</v>
        <stp/>
        <stp>VOLUME</stp>
        <stp>.NDXP250930P21000</stp>
        <tr r="R160" s="2"/>
      </tp>
      <tp t="s">
        <v>N/A</v>
        <stp/>
        <stp>VOLUME</stp>
        <stp>.NDXP250829P20900</stp>
        <tr r="P164" s="2"/>
      </tp>
      <tp>
        <v>9</v>
        <stp/>
        <stp>VOLUME</stp>
        <stp>.NDXP250523P20300</stp>
        <tr r="BD187" s="1"/>
        <tr r="BD187" s="1"/>
      </tp>
      <tp>
        <v>6</v>
        <stp/>
        <stp>VOLUME</stp>
        <stp>.NDXP250530P21000</stp>
        <tr r="G160" s="2"/>
        <tr r="G160" s="2"/>
      </tp>
      <tp>
        <v>620</v>
        <stp/>
        <stp>VOLUME</stp>
        <stp>.NDXP250520P21000</stp>
        <tr r="BB159" s="1"/>
        <tr r="BB159" s="1"/>
      </tp>
      <tp>
        <v>26</v>
        <stp/>
        <stp>VOLUME</stp>
        <stp>.NDXP250521P21100</stp>
        <tr r="D156" s="2"/>
        <tr r="D156" s="2"/>
      </tp>
      <tp>
        <v>2</v>
        <stp/>
        <stp>VOLUME</stp>
        <stp>.NDXP250522P21200</stp>
        <tr r="E152" s="2"/>
        <tr r="E152" s="2"/>
      </tp>
      <tp>
        <v>4</v>
        <stp/>
        <stp>VOLUME</stp>
        <stp>.NDXP250523P21300</stp>
        <tr r="BD147" s="1"/>
        <tr r="BD147" s="1"/>
      </tp>
      <tp t="s">
        <v>N/A</v>
        <stp/>
        <stp>VOLUME</stp>
        <stp>.NDXP250731P21100</stp>
        <tr r="N156" s="2"/>
      </tp>
      <tp t="s">
        <v>N/A</v>
        <stp/>
        <stp>VOLUME</stp>
        <stp>.NDXP250613P21300</stp>
        <tr r="I148" s="2"/>
      </tp>
      <tp t="s">
        <v>N/A</v>
        <stp/>
        <stp>VOLUME</stp>
        <stp>.NDXP250613P20300</stp>
        <tr r="I188" s="2"/>
      </tp>
      <tp>
        <v>13</v>
        <stp/>
        <stp>VOLUME</stp>
        <stp>.NDXP250630P21000</stp>
        <tr r="L160" s="2"/>
        <tr r="L160" s="2"/>
      </tp>
      <tp t="s">
        <v>N/A</v>
        <stp/>
        <stp>VOLUME</stp>
        <stp>.NDXP251128P20800</stp>
        <tr r="V168" s="2"/>
      </tp>
      <tp t="s">
        <v>N/A</v>
        <stp/>
        <stp>VOLUME</stp>
        <stp>.NDXP251031P21100</stp>
        <tr r="T156" s="2"/>
      </tp>
      <tp t="s">
        <v>N/A</v>
        <stp/>
        <stp>VOLUME</stp>
        <stp>.NDXP251231P21100</stp>
        <tr r="X156" s="2"/>
      </tp>
      <tp t="s">
        <v>N/A</v>
        <stp/>
        <stp>VOLUME</stp>
        <stp>.NDXP250829P20925</stp>
        <tr r="P163" s="2"/>
      </tp>
      <tp t="s">
        <v>N/A</v>
        <stp/>
        <stp>VOLUME</stp>
        <stp>.NDXP250930P21025</stp>
        <tr r="R159" s="2"/>
      </tp>
      <tp t="s">
        <v>N/A</v>
        <stp/>
        <stp>VOLUME</stp>
        <stp>.NDXP250523P20325</stp>
        <tr r="BD186" s="1"/>
      </tp>
      <tp t="s">
        <v>N/A</v>
        <stp/>
        <stp>VOLUME</stp>
        <stp>.NDXP250530P21025</stp>
        <tr r="G159" s="2"/>
      </tp>
      <tp>
        <v>36</v>
        <stp/>
        <stp>VOLUME</stp>
        <stp>.NDXP250520P21025</stp>
        <tr r="BB158" s="1"/>
        <tr r="BB158" s="1"/>
      </tp>
      <tp>
        <v>2</v>
        <stp/>
        <stp>VOLUME</stp>
        <stp>.NDXP250521P21125</stp>
        <tr r="D155" s="2"/>
        <tr r="D155" s="2"/>
      </tp>
      <tp t="s">
        <v>N/A</v>
        <stp/>
        <stp>VOLUME</stp>
        <stp>.NDXP250522P21225</stp>
        <tr r="E151" s="2"/>
      </tp>
      <tp>
        <v>1</v>
        <stp/>
        <stp>VOLUME</stp>
        <stp>.NDXP250523P21325</stp>
        <tr r="BD146" s="1"/>
        <tr r="BD146" s="1"/>
      </tp>
      <tp t="s">
        <v>N/A</v>
        <stp/>
        <stp>VOLUME</stp>
        <stp>.NDXP250613P21325</stp>
        <tr r="I147" s="2"/>
      </tp>
      <tp t="s">
        <v>N/A</v>
        <stp/>
        <stp>VOLUME</stp>
        <stp>.NDXP250613P20325</stp>
        <tr r="I187" s="2"/>
      </tp>
      <tp t="s">
        <v>N/A</v>
        <stp/>
        <stp>VOLUME</stp>
        <stp>.NDXP250630P21025</stp>
        <tr r="L159" s="2"/>
      </tp>
      <tp t="s">
        <v>N/A</v>
        <stp/>
        <stp>VOLUME</stp>
        <stp>.NDXP250731P21125</stp>
        <tr r="N155" s="2"/>
      </tp>
      <tp t="s">
        <v>N/A</v>
        <stp/>
        <stp>VOLUME</stp>
        <stp>.NDXP251031P21125</stp>
        <tr r="T155" s="2"/>
      </tp>
      <tp t="s">
        <v>N/A</v>
        <stp/>
        <stp>VOLUME</stp>
        <stp>.NDXP251128P20825</stp>
        <tr r="V167" s="2"/>
      </tp>
      <tp t="s">
        <v>N/A</v>
        <stp/>
        <stp>VOLUME</stp>
        <stp>.NDXP251231P21125</stp>
        <tr r="X155" s="2"/>
      </tp>
      <tp>
        <v>8</v>
        <stp/>
        <stp>OPEN_INT</stp>
        <stp>.NDXP250520C20800</stp>
        <tr r="AS167" s="1"/>
        <tr r="AS167" s="1"/>
      </tp>
      <tp>
        <v>0</v>
        <stp/>
        <stp>OPEN_INT</stp>
        <stp>.NDXP250520C20825</stp>
        <tr r="AS166" s="1"/>
        <tr r="AS166" s="1"/>
      </tp>
      <tp>
        <v>2</v>
        <stp/>
        <stp>OPEN_INT</stp>
        <stp>.NDXP250520C20850</stp>
        <tr r="AS165" s="1"/>
        <tr r="AS165" s="1"/>
      </tp>
      <tp>
        <v>2</v>
        <stp/>
        <stp>OPEN_INT</stp>
        <stp>.NDXP250520C20875</stp>
        <tr r="AS164" s="1"/>
        <tr r="AS164" s="1"/>
      </tp>
      <tp>
        <v>17</v>
        <stp/>
        <stp>OPEN_INT</stp>
        <stp>.NDXP250520P20825</stp>
        <tr r="AT166" s="1"/>
        <tr r="AT166" s="1"/>
      </tp>
      <tp>
        <v>39</v>
        <stp/>
        <stp>OPEN_INT</stp>
        <stp>.NDXP250520P20800</stp>
        <tr r="AT167" s="1"/>
        <tr r="AT167" s="1"/>
      </tp>
      <tp>
        <v>6</v>
        <stp/>
        <stp>OPEN_INT</stp>
        <stp>.NDXP250520P20875</stp>
        <tr r="AT164" s="1"/>
        <tr r="AT164" s="1"/>
      </tp>
      <tp>
        <v>5</v>
        <stp/>
        <stp>OPEN_INT</stp>
        <stp>.NDXP250520P20850</stp>
        <tr r="AT165" s="1"/>
        <tr r="AT165" s="1"/>
      </tp>
      <tp>
        <v>-0.14000000000000001</v>
        <stp/>
        <stp>DELTA</stp>
        <stp>.NDXP250520P21225</stp>
        <tr r="CE150" s="1"/>
        <tr r="CE150" s="1"/>
      </tp>
      <tp>
        <v>-0.28999999999999998</v>
        <stp/>
        <stp>DELTA</stp>
        <stp>.NDXP250523P21125</stp>
        <tr r="CG154" s="1"/>
        <tr r="CG154" s="1"/>
      </tp>
      <tp>
        <v>-0.13</v>
        <stp/>
        <stp>DELTA</stp>
        <stp>.NDXP250520P21200</stp>
        <tr r="CE151" s="1"/>
        <tr r="CE151" s="1"/>
      </tp>
      <tp>
        <v>-0.27</v>
        <stp/>
        <stp>DELTA</stp>
        <stp>.NDXP250523P21100</stp>
        <tr r="CG155" s="1"/>
        <tr r="CG155" s="1"/>
      </tp>
      <tp>
        <v>0</v>
        <stp/>
        <stp>DELTA</stp>
        <stp>.NDXP250520P21275</stp>
        <tr r="CE148" s="1"/>
        <tr r="CE148" s="1"/>
      </tp>
      <tp>
        <v>-0.32</v>
        <stp/>
        <stp>DELTA</stp>
        <stp>.NDXP250523P21175</stp>
        <tr r="CG152" s="1"/>
        <tr r="CG152" s="1"/>
      </tp>
      <tp>
        <v>-0.04</v>
        <stp/>
        <stp>DELTA</stp>
        <stp>.NDXP250520P20275</stp>
        <tr r="CE188" s="1"/>
        <tr r="CE188" s="1"/>
      </tp>
      <tp>
        <v>-0.01</v>
        <stp/>
        <stp>DELTA</stp>
        <stp>.NDXP250520P21250</stp>
        <tr r="CE149" s="1"/>
        <tr r="CE149" s="1"/>
      </tp>
      <tp>
        <v>-0.31</v>
        <stp/>
        <stp>DELTA</stp>
        <stp>.NDXP250523P21150</stp>
        <tr r="CG153" s="1"/>
        <tr r="CG153" s="1"/>
      </tp>
      <tp>
        <v>-0.04</v>
        <stp/>
        <stp>DELTA</stp>
        <stp>.NDXP250520P20250</stp>
        <tr r="CE189" s="1"/>
        <tr r="CE189" s="1"/>
      </tp>
      <tp>
        <v>0.91</v>
        <stp/>
        <stp>DELTA</stp>
        <stp>.NDXP250520C21200</stp>
        <tr r="CD151" s="1"/>
        <tr r="CD151" s="1"/>
      </tp>
      <tp>
        <v>0.78</v>
        <stp/>
        <stp>DELTA</stp>
        <stp>.NDXP250523C21100</stp>
        <tr r="CF155" s="1"/>
        <tr r="CF155" s="1"/>
      </tp>
      <tp>
        <v>0.9</v>
        <stp/>
        <stp>DELTA</stp>
        <stp>.NDXP250520C21225</stp>
        <tr r="CD150" s="1"/>
        <tr r="CD150" s="1"/>
      </tp>
      <tp>
        <v>0.76</v>
        <stp/>
        <stp>DELTA</stp>
        <stp>.NDXP250523C21125</stp>
        <tr r="CF154" s="1"/>
        <tr r="CF154" s="1"/>
      </tp>
      <tp>
        <v>0.88</v>
        <stp/>
        <stp>DELTA</stp>
        <stp>.NDXP250520C21250</stp>
        <tr r="CD149" s="1"/>
        <tr r="CD149" s="1"/>
      </tp>
      <tp>
        <v>0.74</v>
        <stp/>
        <stp>DELTA</stp>
        <stp>.NDXP250523C21150</stp>
        <tr r="CF153" s="1"/>
        <tr r="CF153" s="1"/>
      </tp>
      <tp>
        <v>1</v>
        <stp/>
        <stp>DELTA</stp>
        <stp>.NDXP250520C20250</stp>
        <tr r="CD189" s="1"/>
        <tr r="CD189" s="1"/>
      </tp>
      <tp>
        <v>0.87</v>
        <stp/>
        <stp>DELTA</stp>
        <stp>.NDXP250520C21275</stp>
        <tr r="CD148" s="1"/>
        <tr r="CD148" s="1"/>
      </tp>
      <tp>
        <v>0.72</v>
        <stp/>
        <stp>DELTA</stp>
        <stp>.NDXP250523C21175</stp>
        <tr r="CF152" s="1"/>
        <tr r="CF152" s="1"/>
      </tp>
      <tp>
        <v>1</v>
        <stp/>
        <stp>DELTA</stp>
        <stp>.NDXP250520C20275</stp>
        <tr r="CD188" s="1"/>
        <tr r="CD188" s="1"/>
      </tp>
      <tp t="s">
        <v>N/A</v>
        <stp/>
        <stp>VOLUME</stp>
        <stp>.NDXP250829C20875</stp>
        <tr r="P165" s="2"/>
      </tp>
      <tp t="s">
        <v>N/A</v>
        <stp/>
        <stp>VOLUME</stp>
        <stp>.NDXP250930C21175</stp>
        <tr r="R153" s="2"/>
      </tp>
      <tp t="s">
        <v>N/A</v>
        <stp/>
        <stp>VOLUME</stp>
        <stp>.NDXP250522C20375</stp>
        <tr r="E185" s="2"/>
      </tp>
      <tp t="s">
        <v>N/A</v>
        <stp/>
        <stp>VOLUME</stp>
        <stp>.NDXP250523C20275</stp>
        <tr r="BC188" s="1"/>
      </tp>
      <tp t="s">
        <v>N/A</v>
        <stp/>
        <stp>VOLUME</stp>
        <stp>.NDXP250530C21175</stp>
        <tr r="G153" s="2"/>
      </tp>
      <tp>
        <v>10</v>
        <stp/>
        <stp>VOLUME</stp>
        <stp>.NDXP250520C21175</stp>
        <tr r="BA152" s="1"/>
        <tr r="BA152" s="1"/>
      </tp>
      <tp t="s">
        <v>N/A</v>
        <stp/>
        <stp>VOLUME</stp>
        <stp>.NDXP250521C21075</stp>
        <tr r="D157" s="2"/>
      </tp>
      <tp>
        <v>1</v>
        <stp/>
        <stp>VOLUME</stp>
        <stp>.NDXP250522C21375</stp>
        <tr r="E145" s="2"/>
        <tr r="E145" s="2"/>
      </tp>
      <tp>
        <v>1</v>
        <stp/>
        <stp>VOLUME</stp>
        <stp>.NDXP250523C21275</stp>
        <tr r="BC148" s="1"/>
        <tr r="BC148" s="1"/>
      </tp>
      <tp t="s">
        <v>N/A</v>
        <stp/>
        <stp>VOLUME</stp>
        <stp>.NDXP250613C21275</stp>
        <tr r="I149" s="2"/>
      </tp>
      <tp t="s">
        <v>N/A</v>
        <stp/>
        <stp>VOLUME</stp>
        <stp>.NDXP250613C20275</stp>
        <tr r="I189" s="2"/>
      </tp>
      <tp t="s">
        <v>N/A</v>
        <stp/>
        <stp>VOLUME</stp>
        <stp>.NDXP250630C21175</stp>
        <tr r="L153" s="2"/>
      </tp>
      <tp t="s">
        <v>N/A</v>
        <stp/>
        <stp>VOLUME</stp>
        <stp>.NDXP250731C21075</stp>
        <tr r="N157" s="2"/>
      </tp>
      <tp t="s">
        <v>N/A</v>
        <stp/>
        <stp>VOLUME</stp>
        <stp>.NDXP251031C21075</stp>
        <tr r="T157" s="2"/>
      </tp>
      <tp t="s">
        <v>N/A</v>
        <stp/>
        <stp>VOLUME</stp>
        <stp>.NDXP251128C20975</stp>
        <tr r="V161" s="2"/>
      </tp>
      <tp t="s">
        <v>N/A</v>
        <stp/>
        <stp>VOLUME</stp>
        <stp>.NDXP251231C21075</stp>
        <tr r="X157" s="2"/>
      </tp>
      <tp t="s">
        <v>N/A</v>
        <stp/>
        <stp>VOLUME</stp>
        <stp>.NDXP250930C21150</stp>
        <tr r="R154" s="2"/>
      </tp>
      <tp t="s">
        <v>N/A</v>
        <stp/>
        <stp>VOLUME</stp>
        <stp>.NDXP250829C20850</stp>
        <tr r="P166" s="2"/>
      </tp>
      <tp t="s">
        <v>N/A</v>
        <stp/>
        <stp>VOLUME</stp>
        <stp>.NDXP250522C20350</stp>
        <tr r="E186" s="2"/>
      </tp>
      <tp t="s">
        <v>N/A</v>
        <stp/>
        <stp>VOLUME</stp>
        <stp>.NDXP250523C20250</stp>
        <tr r="BC189" s="1"/>
      </tp>
      <tp t="s">
        <v>N/A</v>
        <stp/>
        <stp>VOLUME</stp>
        <stp>.NDXP250530C21150</stp>
        <tr r="G154" s="2"/>
      </tp>
      <tp>
        <v>21</v>
        <stp/>
        <stp>VOLUME</stp>
        <stp>.NDXP250520C21150</stp>
        <tr r="BA153" s="1"/>
        <tr r="BA153" s="1"/>
      </tp>
      <tp t="s">
        <v>N/A</v>
        <stp/>
        <stp>VOLUME</stp>
        <stp>.NDXP250521C21050</stp>
        <tr r="D158" s="2"/>
      </tp>
      <tp>
        <v>6</v>
        <stp/>
        <stp>VOLUME</stp>
        <stp>.NDXP250522C21350</stp>
        <tr r="E146" s="2"/>
        <tr r="E146" s="2"/>
      </tp>
      <tp>
        <v>9</v>
        <stp/>
        <stp>VOLUME</stp>
        <stp>.NDXP250523C21250</stp>
        <tr r="BC149" s="1"/>
        <tr r="BC149" s="1"/>
      </tp>
      <tp t="s">
        <v>N/A</v>
        <stp/>
        <stp>VOLUME</stp>
        <stp>.NDXP250731C21050</stp>
        <tr r="N158" s="2"/>
      </tp>
      <tp t="s">
        <v>N/A</v>
        <stp/>
        <stp>VOLUME</stp>
        <stp>.NDXP250613C21250</stp>
        <tr r="I150" s="2"/>
      </tp>
      <tp t="s">
        <v>N/A</v>
        <stp/>
        <stp>VOLUME</stp>
        <stp>.NDXP250613C20250</stp>
        <tr r="I190" s="2"/>
      </tp>
      <tp t="s">
        <v>N/A</v>
        <stp/>
        <stp>VOLUME</stp>
        <stp>.NDXP250630C21150</stp>
        <tr r="L154" s="2"/>
      </tp>
      <tp t="s">
        <v>N/A</v>
        <stp/>
        <stp>VOLUME</stp>
        <stp>.NDXP251128C20950</stp>
        <tr r="V162" s="2"/>
      </tp>
      <tp t="s">
        <v>N/A</v>
        <stp/>
        <stp>VOLUME</stp>
        <stp>.NDXP251031C21050</stp>
        <tr r="T158" s="2"/>
      </tp>
      <tp t="s">
        <v>N/A</v>
        <stp/>
        <stp>VOLUME</stp>
        <stp>.NDXP251231C21050</stp>
        <tr r="X158" s="2"/>
      </tp>
      <tp t="s">
        <v>N/A</v>
        <stp/>
        <stp>VOLUME</stp>
        <stp>.NDXP251031C21025</stp>
        <tr r="T159" s="2"/>
      </tp>
      <tp t="s">
        <v>N/A</v>
        <stp/>
        <stp>VOLUME</stp>
        <stp>.NDXP251128C20925</stp>
        <tr r="V163" s="2"/>
      </tp>
      <tp t="s">
        <v>N/A</v>
        <stp/>
        <stp>VOLUME</stp>
        <stp>.NDXP251231C21025</stp>
        <tr r="X159" s="2"/>
      </tp>
      <tp t="s">
        <v>N/A</v>
        <stp/>
        <stp>VOLUME</stp>
        <stp>.NDXP250829C20825</stp>
        <tr r="P167" s="2"/>
      </tp>
      <tp t="s">
        <v>N/A</v>
        <stp/>
        <stp>VOLUME</stp>
        <stp>.NDXP250930C21125</stp>
        <tr r="R155" s="2"/>
      </tp>
      <tp t="s">
        <v>N/A</v>
        <stp/>
        <stp>VOLUME</stp>
        <stp>.NDXP250522C20325</stp>
        <tr r="E187" s="2"/>
      </tp>
      <tp t="s">
        <v>N/A</v>
        <stp/>
        <stp>VOLUME</stp>
        <stp>.NDXP250530C21125</stp>
        <tr r="G155" s="2"/>
      </tp>
      <tp>
        <v>2</v>
        <stp/>
        <stp>VOLUME</stp>
        <stp>.NDXP250520C21125</stp>
        <tr r="BA154" s="1"/>
        <tr r="BA154" s="1"/>
      </tp>
      <tp>
        <v>1</v>
        <stp/>
        <stp>VOLUME</stp>
        <stp>.NDXP250521C21025</stp>
        <tr r="D159" s="2"/>
        <tr r="D159" s="2"/>
      </tp>
      <tp t="s">
        <v>N/A</v>
        <stp/>
        <stp>VOLUME</stp>
        <stp>.NDXP250522C21325</stp>
        <tr r="E147" s="2"/>
      </tp>
      <tp t="s">
        <v>N/A</v>
        <stp/>
        <stp>VOLUME</stp>
        <stp>.NDXP250523C21225</stp>
        <tr r="BC150" s="1"/>
      </tp>
      <tp t="s">
        <v>N/A</v>
        <stp/>
        <stp>VOLUME</stp>
        <stp>.NDXP250613C21225</stp>
        <tr r="I151" s="2"/>
      </tp>
      <tp t="s">
        <v>N/A</v>
        <stp/>
        <stp>VOLUME</stp>
        <stp>.NDXP250630C21125</stp>
        <tr r="L155" s="2"/>
      </tp>
      <tp t="s">
        <v>N/A</v>
        <stp/>
        <stp>VOLUME</stp>
        <stp>.NDXP250731C21025</stp>
        <tr r="N159" s="2"/>
      </tp>
      <tp t="s">
        <v>N/A</v>
        <stp/>
        <stp>VOLUME</stp>
        <stp>.NDXP251128C20900</stp>
        <tr r="V164" s="2"/>
      </tp>
      <tp t="s">
        <v>N/A</v>
        <stp/>
        <stp>VOLUME</stp>
        <stp>.NDXP251031C21000</stp>
        <tr r="T160" s="2"/>
      </tp>
      <tp t="s">
        <v>N/A</v>
        <stp/>
        <stp>VOLUME</stp>
        <stp>.NDXP251231C21000</stp>
        <tr r="X160" s="2"/>
      </tp>
      <tp t="s">
        <v>N/A</v>
        <stp/>
        <stp>VOLUME</stp>
        <stp>.NDXP250930C21100</stp>
        <tr r="R156" s="2"/>
      </tp>
      <tp t="s">
        <v>N/A</v>
        <stp/>
        <stp>VOLUME</stp>
        <stp>.NDXP250829C20800</stp>
        <tr r="P168" s="2"/>
      </tp>
      <tp t="s">
        <v>N/A</v>
        <stp/>
        <stp>VOLUME</stp>
        <stp>.NDXP250522C20300</stp>
        <tr r="E188" s="2"/>
      </tp>
      <tp t="s">
        <v>N/A</v>
        <stp/>
        <stp>VOLUME</stp>
        <stp>.NDXP250530C21100</stp>
        <tr r="G156" s="2"/>
      </tp>
      <tp>
        <v>5</v>
        <stp/>
        <stp>VOLUME</stp>
        <stp>.NDXP250520C21100</stp>
        <tr r="BA155" s="1"/>
        <tr r="BA155" s="1"/>
      </tp>
      <tp t="s">
        <v>N/A</v>
        <stp/>
        <stp>VOLUME</stp>
        <stp>.NDXP250521C21000</stp>
        <tr r="D160" s="2"/>
      </tp>
      <tp>
        <v>4</v>
        <stp/>
        <stp>VOLUME</stp>
        <stp>.NDXP250522C21300</stp>
        <tr r="E148" s="2"/>
        <tr r="E148" s="2"/>
      </tp>
      <tp>
        <v>2</v>
        <stp/>
        <stp>VOLUME</stp>
        <stp>.NDXP250523C21200</stp>
        <tr r="BC151" s="1"/>
        <tr r="BC151" s="1"/>
      </tp>
      <tp t="s">
        <v>N/A</v>
        <stp/>
        <stp>VOLUME</stp>
        <stp>.NDXP250731C21000</stp>
        <tr r="N160" s="2"/>
      </tp>
      <tp t="s">
        <v>N/A</v>
        <stp/>
        <stp>VOLUME</stp>
        <stp>.NDXP250613C21200</stp>
        <tr r="I152" s="2"/>
      </tp>
      <tp t="s">
        <v>N/A</v>
        <stp/>
        <stp>VOLUME</stp>
        <stp>.NDXP250630C21100</stp>
        <tr r="L156" s="2"/>
      </tp>
      <tp t="s">
        <v>N/A</v>
        <stp/>
        <stp>VOLUME</stp>
        <stp>.NDXP251128P20950</stp>
        <tr r="V162" s="2"/>
      </tp>
      <tp t="s">
        <v>N/A</v>
        <stp/>
        <stp>VOLUME</stp>
        <stp>.NDXP251031P21050</stp>
        <tr r="T158" s="2"/>
      </tp>
      <tp t="s">
        <v>N/A</v>
        <stp/>
        <stp>VOLUME</stp>
        <stp>.NDXP251231P21050</stp>
        <tr r="X158" s="2"/>
      </tp>
      <tp t="s">
        <v>N/A</v>
        <stp/>
        <stp>VOLUME</stp>
        <stp>.NDXP250930P21150</stp>
        <tr r="R154" s="2"/>
      </tp>
      <tp t="s">
        <v>N/A</v>
        <stp/>
        <stp>VOLUME</stp>
        <stp>.NDXP250829P20850</stp>
        <tr r="P166" s="2"/>
      </tp>
      <tp t="s">
        <v>N/A</v>
        <stp/>
        <stp>VOLUME</stp>
        <stp>.NDXP250522P20350</stp>
        <tr r="E186" s="2"/>
      </tp>
      <tp t="s">
        <v>N/A</v>
        <stp/>
        <stp>VOLUME</stp>
        <stp>.NDXP250523P20250</stp>
        <tr r="BD189" s="1"/>
      </tp>
      <tp>
        <v>1</v>
        <stp/>
        <stp>VOLUME</stp>
        <stp>.NDXP250530P21150</stp>
        <tr r="G154" s="2"/>
        <tr r="G154" s="2"/>
      </tp>
      <tp>
        <v>755</v>
        <stp/>
        <stp>VOLUME</stp>
        <stp>.NDXP250520P21150</stp>
        <tr r="BB153" s="1"/>
        <tr r="BB153" s="1"/>
      </tp>
      <tp>
        <v>24</v>
        <stp/>
        <stp>VOLUME</stp>
        <stp>.NDXP250521P21050</stp>
        <tr r="D158" s="2"/>
        <tr r="D158" s="2"/>
      </tp>
      <tp>
        <v>5</v>
        <stp/>
        <stp>VOLUME</stp>
        <stp>.NDXP250522P21350</stp>
        <tr r="E146" s="2"/>
        <tr r="E146" s="2"/>
      </tp>
      <tp>
        <v>2</v>
        <stp/>
        <stp>VOLUME</stp>
        <stp>.NDXP250523P21250</stp>
        <tr r="BD149" s="1"/>
        <tr r="BD149" s="1"/>
      </tp>
      <tp t="s">
        <v>N/A</v>
        <stp/>
        <stp>VOLUME</stp>
        <stp>.NDXP250731P21050</stp>
        <tr r="N158" s="2"/>
      </tp>
      <tp t="s">
        <v>N/A</v>
        <stp/>
        <stp>VOLUME</stp>
        <stp>.NDXP250613P21250</stp>
        <tr r="I150" s="2"/>
      </tp>
      <tp t="s">
        <v>N/A</v>
        <stp/>
        <stp>VOLUME</stp>
        <stp>.NDXP250613P20250</stp>
        <tr r="I190" s="2"/>
      </tp>
      <tp t="s">
        <v>N/A</v>
        <stp/>
        <stp>VOLUME</stp>
        <stp>.NDXP250630P21150</stp>
        <tr r="L154" s="2"/>
      </tp>
      <tp t="s">
        <v>N/A</v>
        <stp/>
        <stp>VOLUME</stp>
        <stp>.NDXP251031P21075</stp>
        <tr r="T157" s="2"/>
      </tp>
      <tp t="s">
        <v>N/A</v>
        <stp/>
        <stp>VOLUME</stp>
        <stp>.NDXP251128P20975</stp>
        <tr r="V161" s="2"/>
      </tp>
      <tp t="s">
        <v>N/A</v>
        <stp/>
        <stp>VOLUME</stp>
        <stp>.NDXP251231P21075</stp>
        <tr r="X157" s="2"/>
      </tp>
      <tp t="s">
        <v>N/A</v>
        <stp/>
        <stp>VOLUME</stp>
        <stp>.NDXP250829P20875</stp>
        <tr r="P165" s="2"/>
      </tp>
      <tp t="s">
        <v>N/A</v>
        <stp/>
        <stp>VOLUME</stp>
        <stp>.NDXP250930P21175</stp>
        <tr r="R153" s="2"/>
      </tp>
      <tp t="s">
        <v>N/A</v>
        <stp/>
        <stp>VOLUME</stp>
        <stp>.NDXP250522P20375</stp>
        <tr r="E185" s="2"/>
      </tp>
      <tp>
        <v>5</v>
        <stp/>
        <stp>VOLUME</stp>
        <stp>.NDXP250523P20275</stp>
        <tr r="BD188" s="1"/>
        <tr r="BD188" s="1"/>
      </tp>
      <tp t="s">
        <v>N/A</v>
        <stp/>
        <stp>VOLUME</stp>
        <stp>.NDXP250530P21175</stp>
        <tr r="G153" s="2"/>
      </tp>
      <tp>
        <v>244</v>
        <stp/>
        <stp>VOLUME</stp>
        <stp>.NDXP250520P21175</stp>
        <tr r="BB152" s="1"/>
        <tr r="BB152" s="1"/>
      </tp>
      <tp>
        <v>13</v>
        <stp/>
        <stp>VOLUME</stp>
        <stp>.NDXP250521P21075</stp>
        <tr r="D157" s="2"/>
        <tr r="D157" s="2"/>
      </tp>
      <tp>
        <v>1</v>
        <stp/>
        <stp>VOLUME</stp>
        <stp>.NDXP250522P21375</stp>
        <tr r="E145" s="2"/>
        <tr r="E145" s="2"/>
      </tp>
      <tp>
        <v>2</v>
        <stp/>
        <stp>VOLUME</stp>
        <stp>.NDXP250523P21275</stp>
        <tr r="BD148" s="1"/>
        <tr r="BD148" s="1"/>
      </tp>
      <tp t="s">
        <v>N/A</v>
        <stp/>
        <stp>VOLUME</stp>
        <stp>.NDXP250613P21275</stp>
        <tr r="I149" s="2"/>
      </tp>
      <tp t="s">
        <v>N/A</v>
        <stp/>
        <stp>VOLUME</stp>
        <stp>.NDXP250613P20275</stp>
        <tr r="I189" s="2"/>
      </tp>
      <tp t="s">
        <v>N/A</v>
        <stp/>
        <stp>VOLUME</stp>
        <stp>.NDXP250630P21175</stp>
        <tr r="L153" s="2"/>
      </tp>
      <tp t="s">
        <v>N/A</v>
        <stp/>
        <stp>VOLUME</stp>
        <stp>.NDXP250731P21075</stp>
        <tr r="N157" s="2"/>
      </tp>
      <tp t="s">
        <v>N/A</v>
        <stp/>
        <stp>VOLUME</stp>
        <stp>.NDXP250930P21100</stp>
        <tr r="R156" s="2"/>
      </tp>
      <tp t="s">
        <v>N/A</v>
        <stp/>
        <stp>VOLUME</stp>
        <stp>.NDXP250829P20800</stp>
        <tr r="P168" s="2"/>
      </tp>
      <tp t="s">
        <v>N/A</v>
        <stp/>
        <stp>VOLUME</stp>
        <stp>.NDXP250522P20300</stp>
        <tr r="E188" s="2"/>
      </tp>
      <tp>
        <v>4</v>
        <stp/>
        <stp>VOLUME</stp>
        <stp>.NDXP250530P21100</stp>
        <tr r="G156" s="2"/>
        <tr r="G156" s="2"/>
      </tp>
      <tp>
        <v>1236</v>
        <stp/>
        <stp>VOLUME</stp>
        <stp>.NDXP250520P21100</stp>
        <tr r="BB155" s="1"/>
        <tr r="BB155" s="1"/>
      </tp>
      <tp>
        <v>51</v>
        <stp/>
        <stp>VOLUME</stp>
        <stp>.NDXP250521P21000</stp>
        <tr r="D160" s="2"/>
        <tr r="D160" s="2"/>
      </tp>
      <tp>
        <v>12</v>
        <stp/>
        <stp>VOLUME</stp>
        <stp>.NDXP250522P21300</stp>
        <tr r="E148" s="2"/>
        <tr r="E148" s="2"/>
      </tp>
      <tp>
        <v>6</v>
        <stp/>
        <stp>VOLUME</stp>
        <stp>.NDXP250523P21200</stp>
        <tr r="BD151" s="1"/>
        <tr r="BD151" s="1"/>
      </tp>
      <tp t="s">
        <v>N/A</v>
        <stp/>
        <stp>VOLUME</stp>
        <stp>.NDXP250731P21000</stp>
        <tr r="N160" s="2"/>
      </tp>
      <tp>
        <v>1</v>
        <stp/>
        <stp>VOLUME</stp>
        <stp>.NDXP250613P21200</stp>
        <tr r="I152" s="2"/>
        <tr r="I152" s="2"/>
      </tp>
      <tp t="s">
        <v>N/A</v>
        <stp/>
        <stp>VOLUME</stp>
        <stp>.NDXP250630P21100</stp>
        <tr r="L156" s="2"/>
      </tp>
      <tp t="s">
        <v>N/A</v>
        <stp/>
        <stp>VOLUME</stp>
        <stp>.NDXP251128P20900</stp>
        <tr r="V164" s="2"/>
      </tp>
      <tp t="s">
        <v>N/A</v>
        <stp/>
        <stp>VOLUME</stp>
        <stp>.NDXP251031P21000</stp>
        <tr r="T160" s="2"/>
      </tp>
      <tp t="s">
        <v>N/A</v>
        <stp/>
        <stp>VOLUME</stp>
        <stp>.NDXP251231P21000</stp>
        <tr r="X160" s="2"/>
      </tp>
      <tp t="s">
        <v>N/A</v>
        <stp/>
        <stp>VOLUME</stp>
        <stp>.NDXP250829P20825</stp>
        <tr r="P167" s="2"/>
      </tp>
      <tp t="s">
        <v>N/A</v>
        <stp/>
        <stp>VOLUME</stp>
        <stp>.NDXP250930P21125</stp>
        <tr r="R155" s="2"/>
      </tp>
      <tp t="s">
        <v>N/A</v>
        <stp/>
        <stp>VOLUME</stp>
        <stp>.NDXP250522P20325</stp>
        <tr r="E187" s="2"/>
      </tp>
      <tp>
        <v>2</v>
        <stp/>
        <stp>VOLUME</stp>
        <stp>.NDXP250530P21125</stp>
        <tr r="G155" s="2"/>
        <tr r="G155" s="2"/>
      </tp>
      <tp>
        <v>498</v>
        <stp/>
        <stp>VOLUME</stp>
        <stp>.NDXP250520P21125</stp>
        <tr r="BB154" s="1"/>
        <tr r="BB154" s="1"/>
      </tp>
      <tp>
        <v>3</v>
        <stp/>
        <stp>VOLUME</stp>
        <stp>.NDXP250521P21025</stp>
        <tr r="D159" s="2"/>
        <tr r="D159" s="2"/>
      </tp>
      <tp t="s">
        <v>N/A</v>
        <stp/>
        <stp>VOLUME</stp>
        <stp>.NDXP250522P21325</stp>
        <tr r="E147" s="2"/>
      </tp>
      <tp t="s">
        <v>N/A</v>
        <stp/>
        <stp>VOLUME</stp>
        <stp>.NDXP250523P21225</stp>
        <tr r="BD150" s="1"/>
      </tp>
      <tp>
        <v>1</v>
        <stp/>
        <stp>VOLUME</stp>
        <stp>.NDXP250613P21225</stp>
        <tr r="I151" s="2"/>
        <tr r="I151" s="2"/>
      </tp>
      <tp t="s">
        <v>N/A</v>
        <stp/>
        <stp>VOLUME</stp>
        <stp>.NDXP250630P21125</stp>
        <tr r="L155" s="2"/>
      </tp>
      <tp t="s">
        <v>N/A</v>
        <stp/>
        <stp>VOLUME</stp>
        <stp>.NDXP250731P21025</stp>
        <tr r="N159" s="2"/>
      </tp>
      <tp t="s">
        <v>N/A</v>
        <stp/>
        <stp>VOLUME</stp>
        <stp>.NDXP251031P21025</stp>
        <tr r="T159" s="2"/>
      </tp>
      <tp t="s">
        <v>N/A</v>
        <stp/>
        <stp>VOLUME</stp>
        <stp>.NDXP251128P20925</stp>
        <tr r="V163" s="2"/>
      </tp>
      <tp t="s">
        <v>N/A</v>
        <stp/>
        <stp>VOLUME</stp>
        <stp>.NDXP251231P21025</stp>
        <tr r="X159" s="2"/>
      </tp>
      <tp>
        <v>3</v>
        <stp/>
        <stp>OPEN_INT</stp>
        <stp>.NDXP250523C20800</stp>
        <tr r="AU167" s="1"/>
        <tr r="AU167" s="1"/>
      </tp>
      <tp>
        <v>5</v>
        <stp/>
        <stp>OPEN_INT</stp>
        <stp>.NDXP250523C20825</stp>
        <tr r="AU166" s="1"/>
        <tr r="AU166" s="1"/>
      </tp>
      <tp>
        <v>2</v>
        <stp/>
        <stp>OPEN_INT</stp>
        <stp>.NDXP250523C20850</stp>
        <tr r="AU165" s="1"/>
        <tr r="AU165" s="1"/>
      </tp>
      <tp>
        <v>0</v>
        <stp/>
        <stp>OPEN_INT</stp>
        <stp>.NDXP250523C20875</stp>
        <tr r="AU164" s="1"/>
        <tr r="AU164" s="1"/>
      </tp>
      <tp>
        <v>9</v>
        <stp/>
        <stp>OPEN_INT</stp>
        <stp>.NDXP250523P20825</stp>
        <tr r="AV166" s="1"/>
        <tr r="AV166" s="1"/>
      </tp>
      <tp>
        <v>19</v>
        <stp/>
        <stp>OPEN_INT</stp>
        <stp>.NDXP250523P20800</stp>
        <tr r="AV167" s="1"/>
        <tr r="AV167" s="1"/>
      </tp>
      <tp>
        <v>8</v>
        <stp/>
        <stp>OPEN_INT</stp>
        <stp>.NDXP250523P20875</stp>
        <tr r="AV164" s="1"/>
        <tr r="AV164" s="1"/>
      </tp>
      <tp>
        <v>5</v>
        <stp/>
        <stp>OPEN_INT</stp>
        <stp>.NDXP250523P20850</stp>
        <tr r="AV165" s="1"/>
        <tr r="AV165" s="1"/>
      </tp>
      <tp>
        <v>-0.11</v>
        <stp/>
        <stp>DELTA</stp>
        <stp>.NDXP250520P21125</stp>
        <tr r="CE154" s="1"/>
        <tr r="CE154" s="1"/>
      </tp>
      <tp>
        <v>-0.36</v>
        <stp/>
        <stp>DELTA</stp>
        <stp>.NDXP250523P21225</stp>
        <tr r="CG150" s="1"/>
        <tr r="CG150" s="1"/>
      </tp>
      <tp>
        <v>0</v>
        <stp/>
        <stp>DELTA</stp>
        <stp>.NDXP250520P21100</stp>
        <tr r="CE155" s="1"/>
        <tr r="CE155" s="1"/>
      </tp>
      <tp>
        <v>-0.34</v>
        <stp/>
        <stp>DELTA</stp>
        <stp>.NDXP250523P21200</stp>
        <tr r="CG151" s="1"/>
        <tr r="CG151" s="1"/>
      </tp>
      <tp>
        <v>-0.1</v>
        <stp/>
        <stp>DELTA</stp>
        <stp>.NDXP250520P21175</stp>
        <tr r="CE152" s="1"/>
        <tr r="CE152" s="1"/>
      </tp>
      <tp>
        <v>-0.41</v>
        <stp/>
        <stp>DELTA</stp>
        <stp>.NDXP250523P21275</stp>
        <tr r="CG148" s="1"/>
        <tr r="CG148" s="1"/>
      </tp>
      <tp>
        <v>-0.02</v>
        <stp/>
        <stp>DELTA</stp>
        <stp>.NDXP250523P20275</stp>
        <tr r="CG188" s="1"/>
        <tr r="CG188" s="1"/>
      </tp>
      <tp>
        <v>-0.03</v>
        <stp/>
        <stp>DELTA</stp>
        <stp>.NDXP250520P21150</stp>
        <tr r="CE153" s="1"/>
        <tr r="CE153" s="1"/>
      </tp>
      <tp>
        <v>-0.39</v>
        <stp/>
        <stp>DELTA</stp>
        <stp>.NDXP250523P21250</stp>
        <tr r="CG149" s="1"/>
        <tr r="CG149" s="1"/>
      </tp>
      <tp>
        <v>-0.02</v>
        <stp/>
        <stp>DELTA</stp>
        <stp>.NDXP250523P20250</stp>
        <tr r="CG189" s="1"/>
        <tr r="CG189" s="1"/>
      </tp>
      <tp>
        <v>0.95</v>
        <stp/>
        <stp>DELTA</stp>
        <stp>.NDXP250520C21100</stp>
        <tr r="CD155" s="1"/>
        <tr r="CD155" s="1"/>
      </tp>
      <tp>
        <v>0.69</v>
        <stp/>
        <stp>DELTA</stp>
        <stp>.NDXP250523C21200</stp>
        <tr r="CF151" s="1"/>
        <tr r="CF151" s="1"/>
      </tp>
      <tp>
        <v>0.92</v>
        <stp/>
        <stp>DELTA</stp>
        <stp>.NDXP250520C21125</stp>
        <tr r="CD154" s="1"/>
        <tr r="CD154" s="1"/>
      </tp>
      <tp>
        <v>0.67</v>
        <stp/>
        <stp>DELTA</stp>
        <stp>.NDXP250523C21225</stp>
        <tr r="CF150" s="1"/>
        <tr r="CF150" s="1"/>
      </tp>
      <tp>
        <v>0.91</v>
        <stp/>
        <stp>DELTA</stp>
        <stp>.NDXP250520C21150</stp>
        <tr r="CD153" s="1"/>
        <tr r="CD153" s="1"/>
      </tp>
      <tp>
        <v>0.64</v>
        <stp/>
        <stp>DELTA</stp>
        <stp>.NDXP250523C21250</stp>
        <tr r="CF149" s="1"/>
        <tr r="CF149" s="1"/>
      </tp>
      <tp>
        <v>1</v>
        <stp/>
        <stp>DELTA</stp>
        <stp>.NDXP250523C20250</stp>
        <tr r="CF189" s="1"/>
        <tr r="CF189" s="1"/>
      </tp>
      <tp>
        <v>0.92</v>
        <stp/>
        <stp>DELTA</stp>
        <stp>.NDXP250520C21175</stp>
        <tr r="CD152" s="1"/>
        <tr r="CD152" s="1"/>
      </tp>
      <tp>
        <v>0.62</v>
        <stp/>
        <stp>DELTA</stp>
        <stp>.NDXP250523C21275</stp>
        <tr r="CF148" s="1"/>
        <tr r="CF148" s="1"/>
      </tp>
      <tp>
        <v>1</v>
        <stp/>
        <stp>DELTA</stp>
        <stp>.NDXP250523C20275</stp>
        <tr r="CF188" s="1"/>
        <tr r="CF188" s="1"/>
      </tp>
      <tp t="s">
        <v>N/A</v>
        <stp/>
        <stp>VOLUME</stp>
        <stp>.NDXP250930C21275</stp>
        <tr r="R149" s="2"/>
      </tp>
      <tp t="s">
        <v>N/A</v>
        <stp/>
        <stp>VOLUME</stp>
        <stp>.NDXP250930C20275</stp>
        <tr r="R189" s="2"/>
      </tp>
      <tp t="s">
        <v>N/A</v>
        <stp/>
        <stp>VOLUME</stp>
        <stp>.NDXP250520C20275</stp>
        <tr r="BA188" s="1"/>
      </tp>
      <tp t="s">
        <v>N/A</v>
        <stp/>
        <stp>VOLUME</stp>
        <stp>.NDXP250521C20375</stp>
        <tr r="D185" s="2"/>
      </tp>
      <tp t="s">
        <v>N/A</v>
        <stp/>
        <stp>VOLUME</stp>
        <stp>.NDXP250530C21275</stp>
        <tr r="G149" s="2"/>
      </tp>
      <tp>
        <v>167</v>
        <stp/>
        <stp>VOLUME</stp>
        <stp>.NDXP250520C21275</stp>
        <tr r="BA148" s="1"/>
        <tr r="BA148" s="1"/>
      </tp>
      <tp>
        <v>16</v>
        <stp/>
        <stp>VOLUME</stp>
        <stp>.NDXP250521C21375</stp>
        <tr r="D145" s="2"/>
        <tr r="D145" s="2"/>
      </tp>
      <tp t="s">
        <v>N/A</v>
        <stp/>
        <stp>VOLUME</stp>
        <stp>.NDXP250522C21075</stp>
        <tr r="E157" s="2"/>
      </tp>
      <tp t="s">
        <v>N/A</v>
        <stp/>
        <stp>VOLUME</stp>
        <stp>.NDXP250523C21175</stp>
        <tr r="BC152" s="1"/>
      </tp>
      <tp t="s">
        <v>N/A</v>
        <stp/>
        <stp>VOLUME</stp>
        <stp>.NDXP250530C20275</stp>
        <tr r="G189" s="2"/>
      </tp>
      <tp t="s">
        <v>N/A</v>
        <stp/>
        <stp>VOLUME</stp>
        <stp>.NDXP250613C21175</stp>
        <tr r="I153" s="2"/>
      </tp>
      <tp t="s">
        <v>N/A</v>
        <stp/>
        <stp>VOLUME</stp>
        <stp>.NDXP250630C21275</stp>
        <tr r="L149" s="2"/>
      </tp>
      <tp t="s">
        <v>N/A</v>
        <stp/>
        <stp>VOLUME</stp>
        <stp>.NDXP250630C20275</stp>
        <tr r="L189" s="2"/>
      </tp>
      <tp t="s">
        <v>N/A</v>
        <stp/>
        <stp>VOLUME</stp>
        <stp>.NDXP250731C21375</stp>
        <tr r="N145" s="2"/>
      </tp>
      <tp t="s">
        <v>N/A</v>
        <stp/>
        <stp>VOLUME</stp>
        <stp>.NDXP250731C20375</stp>
        <tr r="N185" s="2"/>
      </tp>
      <tp t="s">
        <v>N/A</v>
        <stp/>
        <stp>VOLUME</stp>
        <stp>.NDXP251031C21375</stp>
        <tr r="T145" s="2"/>
      </tp>
      <tp t="s">
        <v>N/A</v>
        <stp/>
        <stp>VOLUME</stp>
        <stp>.NDXP251031C20375</stp>
        <tr r="T185" s="2"/>
      </tp>
      <tp t="s">
        <v>N/A</v>
        <stp/>
        <stp>VOLUME</stp>
        <stp>.NDXP251231C21375</stp>
        <tr r="X145" s="2"/>
      </tp>
      <tp t="s">
        <v>N/A</v>
        <stp/>
        <stp>VOLUME</stp>
        <stp>.NDXP251231C20375</stp>
        <tr r="X185" s="2"/>
      </tp>
      <tp t="s">
        <v>N/A</v>
        <stp/>
        <stp>VOLUME</stp>
        <stp>.NDXP250930C21250</stp>
        <tr r="R150" s="2"/>
      </tp>
      <tp t="s">
        <v>N/A</v>
        <stp/>
        <stp>VOLUME</stp>
        <stp>.NDXP250930C20250</stp>
        <tr r="R190" s="2"/>
      </tp>
      <tp t="s">
        <v>N/A</v>
        <stp/>
        <stp>VOLUME</stp>
        <stp>.NDXP250520C20250</stp>
        <tr r="BA189" s="1"/>
      </tp>
      <tp t="s">
        <v>N/A</v>
        <stp/>
        <stp>VOLUME</stp>
        <stp>.NDXP250521C20350</stp>
        <tr r="D186" s="2"/>
      </tp>
      <tp t="s">
        <v>N/A</v>
        <stp/>
        <stp>VOLUME</stp>
        <stp>.NDXP250530C21250</stp>
        <tr r="G150" s="2"/>
      </tp>
      <tp>
        <v>47</v>
        <stp/>
        <stp>VOLUME</stp>
        <stp>.NDXP250520C21250</stp>
        <tr r="BA149" s="1"/>
        <tr r="BA149" s="1"/>
      </tp>
      <tp>
        <v>140</v>
        <stp/>
        <stp>VOLUME</stp>
        <stp>.NDXP250521C21350</stp>
        <tr r="D146" s="2"/>
        <tr r="D146" s="2"/>
      </tp>
      <tp t="s">
        <v>N/A</v>
        <stp/>
        <stp>VOLUME</stp>
        <stp>.NDXP250522C21050</stp>
        <tr r="E158" s="2"/>
      </tp>
      <tp t="s">
        <v>N/A</v>
        <stp/>
        <stp>VOLUME</stp>
        <stp>.NDXP250523C21150</stp>
        <tr r="BC153" s="1"/>
      </tp>
      <tp t="s">
        <v>N/A</v>
        <stp/>
        <stp>VOLUME</stp>
        <stp>.NDXP250530C20250</stp>
        <tr r="G190" s="2"/>
      </tp>
      <tp t="s">
        <v>N/A</v>
        <stp/>
        <stp>VOLUME</stp>
        <stp>.NDXP250731C21350</stp>
        <tr r="N146" s="2"/>
      </tp>
      <tp t="s">
        <v>N/A</v>
        <stp/>
        <stp>VOLUME</stp>
        <stp>.NDXP250731C20350</stp>
        <tr r="N186" s="2"/>
      </tp>
      <tp t="s">
        <v>N/A</v>
        <stp/>
        <stp>VOLUME</stp>
        <stp>.NDXP250613C21150</stp>
        <tr r="I154" s="2"/>
      </tp>
      <tp t="s">
        <v>N/A</v>
        <stp/>
        <stp>VOLUME</stp>
        <stp>.NDXP250630C21250</stp>
        <tr r="L150" s="2"/>
      </tp>
      <tp t="s">
        <v>N/A</v>
        <stp/>
        <stp>VOLUME</stp>
        <stp>.NDXP250630C20250</stp>
        <tr r="L190" s="2"/>
      </tp>
      <tp t="s">
        <v>N/A</v>
        <stp/>
        <stp>VOLUME</stp>
        <stp>.NDXP251031C21350</stp>
        <tr r="T146" s="2"/>
      </tp>
      <tp t="s">
        <v>N/A</v>
        <stp/>
        <stp>VOLUME</stp>
        <stp>.NDXP251031C20350</stp>
        <tr r="T186" s="2"/>
      </tp>
      <tp t="s">
        <v>N/A</v>
        <stp/>
        <stp>VOLUME</stp>
        <stp>.NDXP251231C21350</stp>
        <tr r="X146" s="2"/>
      </tp>
      <tp t="s">
        <v>N/A</v>
        <stp/>
        <stp>VOLUME</stp>
        <stp>.NDXP251231C20350</stp>
        <tr r="X186" s="2"/>
      </tp>
      <tp t="s">
        <v>N/A</v>
        <stp/>
        <stp>VOLUME</stp>
        <stp>.NDXP251031C21325</stp>
        <tr r="T147" s="2"/>
      </tp>
      <tp t="s">
        <v>N/A</v>
        <stp/>
        <stp>VOLUME</stp>
        <stp>.NDXP251031C20325</stp>
        <tr r="T187" s="2"/>
      </tp>
      <tp t="s">
        <v>N/A</v>
        <stp/>
        <stp>VOLUME</stp>
        <stp>.NDXP251231C21325</stp>
        <tr r="X147" s="2"/>
      </tp>
      <tp t="s">
        <v>N/A</v>
        <stp/>
        <stp>VOLUME</stp>
        <stp>.NDXP251231C20325</stp>
        <tr r="X187" s="2"/>
      </tp>
      <tp t="s">
        <v>N/A</v>
        <stp/>
        <stp>VOLUME</stp>
        <stp>.NDXP250930C21225</stp>
        <tr r="R151" s="2"/>
      </tp>
      <tp t="s">
        <v>N/A</v>
        <stp/>
        <stp>VOLUME</stp>
        <stp>.NDXP250521C20325</stp>
        <tr r="D187" s="2"/>
      </tp>
      <tp t="s">
        <v>N/A</v>
        <stp/>
        <stp>VOLUME</stp>
        <stp>.NDXP250530C21225</stp>
        <tr r="G151" s="2"/>
      </tp>
      <tp>
        <v>9</v>
        <stp/>
        <stp>VOLUME</stp>
        <stp>.NDXP250520C21225</stp>
        <tr r="BA150" s="1"/>
        <tr r="BA150" s="1"/>
      </tp>
      <tp>
        <v>56</v>
        <stp/>
        <stp>VOLUME</stp>
        <stp>.NDXP250521C21325</stp>
        <tr r="D147" s="2"/>
        <tr r="D147" s="2"/>
      </tp>
      <tp>
        <v>1</v>
        <stp/>
        <stp>VOLUME</stp>
        <stp>.NDXP250522C21025</stp>
        <tr r="E159" s="2"/>
        <tr r="E159" s="2"/>
      </tp>
      <tp t="s">
        <v>N/A</v>
        <stp/>
        <stp>VOLUME</stp>
        <stp>.NDXP250523C21125</stp>
        <tr r="BC154" s="1"/>
      </tp>
      <tp t="s">
        <v>N/A</v>
        <stp/>
        <stp>VOLUME</stp>
        <stp>.NDXP250613C21125</stp>
        <tr r="I155" s="2"/>
      </tp>
      <tp t="s">
        <v>N/A</v>
        <stp/>
        <stp>VOLUME</stp>
        <stp>.NDXP250630C21225</stp>
        <tr r="L151" s="2"/>
      </tp>
      <tp t="s">
        <v>N/A</v>
        <stp/>
        <stp>VOLUME</stp>
        <stp>.NDXP250731C21325</stp>
        <tr r="N147" s="2"/>
      </tp>
      <tp t="s">
        <v>N/A</v>
        <stp/>
        <stp>VOLUME</stp>
        <stp>.NDXP250731C20325</stp>
        <tr r="N187" s="2"/>
      </tp>
      <tp t="s">
        <v>N/A</v>
        <stp/>
        <stp>VOLUME</stp>
        <stp>.NDXP251031C21300</stp>
        <tr r="T148" s="2"/>
      </tp>
      <tp t="s">
        <v>N/A</v>
        <stp/>
        <stp>VOLUME</stp>
        <stp>.NDXP251031C20300</stp>
        <tr r="T188" s="2"/>
      </tp>
      <tp t="s">
        <v>N/A</v>
        <stp/>
        <stp>VOLUME</stp>
        <stp>.NDXP251231C21300</stp>
        <tr r="X148" s="2"/>
      </tp>
      <tp t="s">
        <v>N/A</v>
        <stp/>
        <stp>VOLUME</stp>
        <stp>.NDXP251231C20300</stp>
        <tr r="X188" s="2"/>
      </tp>
      <tp t="s">
        <v>N/A</v>
        <stp/>
        <stp>VOLUME</stp>
        <stp>.NDXP250930C21200</stp>
        <tr r="R152" s="2"/>
      </tp>
      <tp t="s">
        <v>N/A</v>
        <stp/>
        <stp>VOLUME</stp>
        <stp>.NDXP250521C20300</stp>
        <tr r="D188" s="2"/>
      </tp>
      <tp t="s">
        <v>N/A</v>
        <stp/>
        <stp>VOLUME</stp>
        <stp>.NDXP250530C21200</stp>
        <tr r="G152" s="2"/>
      </tp>
      <tp>
        <v>23</v>
        <stp/>
        <stp>VOLUME</stp>
        <stp>.NDXP250520C21200</stp>
        <tr r="BA151" s="1"/>
        <tr r="BA151" s="1"/>
      </tp>
      <tp>
        <v>75</v>
        <stp/>
        <stp>VOLUME</stp>
        <stp>.NDXP250521C21300</stp>
        <tr r="D148" s="2"/>
        <tr r="D148" s="2"/>
      </tp>
      <tp>
        <v>3</v>
        <stp/>
        <stp>VOLUME</stp>
        <stp>.NDXP250522C21000</stp>
        <tr r="E160" s="2"/>
        <tr r="E160" s="2"/>
      </tp>
      <tp>
        <v>18</v>
        <stp/>
        <stp>VOLUME</stp>
        <stp>.NDXP250523C21100</stp>
        <tr r="BC155" s="1"/>
        <tr r="BC155" s="1"/>
      </tp>
      <tp t="s">
        <v>N/A</v>
        <stp/>
        <stp>VOLUME</stp>
        <stp>.NDXP250731C21300</stp>
        <tr r="N148" s="2"/>
      </tp>
      <tp t="s">
        <v>N/A</v>
        <stp/>
        <stp>VOLUME</stp>
        <stp>.NDXP250731C20300</stp>
        <tr r="N188" s="2"/>
      </tp>
      <tp t="s">
        <v>N/A</v>
        <stp/>
        <stp>VOLUME</stp>
        <stp>.NDXP250613C21100</stp>
        <tr r="I156" s="2"/>
      </tp>
      <tp>
        <v>4</v>
        <stp/>
        <stp>VOLUME</stp>
        <stp>.NDXP250630C21200</stp>
        <tr r="L152" s="2"/>
        <tr r="L152" s="2"/>
      </tp>
      <tp t="s">
        <v>N/A</v>
        <stp/>
        <stp>VOLUME</stp>
        <stp>.NDXP251031P21350</stp>
        <tr r="T146" s="2"/>
      </tp>
      <tp t="s">
        <v>N/A</v>
        <stp/>
        <stp>VOLUME</stp>
        <stp>.NDXP251031P20350</stp>
        <tr r="T186" s="2"/>
      </tp>
      <tp t="s">
        <v>N/A</v>
        <stp/>
        <stp>VOLUME</stp>
        <stp>.NDXP251231P21350</stp>
        <tr r="X146" s="2"/>
      </tp>
      <tp t="s">
        <v>N/A</v>
        <stp/>
        <stp>VOLUME</stp>
        <stp>.NDXP251231P20350</stp>
        <tr r="X186" s="2"/>
      </tp>
      <tp t="s">
        <v>N/A</v>
        <stp/>
        <stp>VOLUME</stp>
        <stp>.NDXP250930P21250</stp>
        <tr r="R150" s="2"/>
      </tp>
      <tp t="s">
        <v>N/A</v>
        <stp/>
        <stp>VOLUME</stp>
        <stp>.NDXP250930P20250</stp>
        <tr r="R190" s="2"/>
      </tp>
      <tp>
        <v>2</v>
        <stp/>
        <stp>VOLUME</stp>
        <stp>.NDXP250520P20250</stp>
        <tr r="BB189" s="1"/>
        <tr r="BB189" s="1"/>
      </tp>
      <tp>
        <v>3</v>
        <stp/>
        <stp>VOLUME</stp>
        <stp>.NDXP250521P20350</stp>
        <tr r="D186" s="2"/>
        <tr r="D186" s="2"/>
      </tp>
      <tp>
        <v>2</v>
        <stp/>
        <stp>VOLUME</stp>
        <stp>.NDXP250530P21250</stp>
        <tr r="G150" s="2"/>
        <tr r="G150" s="2"/>
      </tp>
      <tp>
        <v>780</v>
        <stp/>
        <stp>VOLUME</stp>
        <stp>.NDXP250520P21250</stp>
        <tr r="BB149" s="1"/>
        <tr r="BB149" s="1"/>
      </tp>
      <tp>
        <v>45</v>
        <stp/>
        <stp>VOLUME</stp>
        <stp>.NDXP250521P21350</stp>
        <tr r="D146" s="2"/>
        <tr r="D146" s="2"/>
      </tp>
      <tp>
        <v>2</v>
        <stp/>
        <stp>VOLUME</stp>
        <stp>.NDXP250522P21050</stp>
        <tr r="E158" s="2"/>
        <tr r="E158" s="2"/>
      </tp>
      <tp>
        <v>4</v>
        <stp/>
        <stp>VOLUME</stp>
        <stp>.NDXP250523P21150</stp>
        <tr r="BD153" s="1"/>
        <tr r="BD153" s="1"/>
      </tp>
      <tp t="s">
        <v>N/A</v>
        <stp/>
        <stp>VOLUME</stp>
        <stp>.NDXP250530P20250</stp>
        <tr r="G190" s="2"/>
      </tp>
      <tp t="s">
        <v>N/A</v>
        <stp/>
        <stp>VOLUME</stp>
        <stp>.NDXP250731P21350</stp>
        <tr r="N146" s="2"/>
      </tp>
      <tp t="s">
        <v>N/A</v>
        <stp/>
        <stp>VOLUME</stp>
        <stp>.NDXP250731P20350</stp>
        <tr r="N186" s="2"/>
      </tp>
      <tp t="s">
        <v>N/A</v>
        <stp/>
        <stp>VOLUME</stp>
        <stp>.NDXP250613P21150</stp>
        <tr r="I154" s="2"/>
      </tp>
      <tp>
        <v>5</v>
        <stp/>
        <stp>VOLUME</stp>
        <stp>.NDXP250630P21250</stp>
        <tr r="L150" s="2"/>
        <tr r="L150" s="2"/>
      </tp>
      <tp t="s">
        <v>N/A</v>
        <stp/>
        <stp>VOLUME</stp>
        <stp>.NDXP250630P20250</stp>
        <tr r="L190" s="2"/>
      </tp>
      <tp t="s">
        <v>N/A</v>
        <stp/>
        <stp>VOLUME</stp>
        <stp>.NDXP251031P21375</stp>
        <tr r="T145" s="2"/>
      </tp>
      <tp t="s">
        <v>N/A</v>
        <stp/>
        <stp>VOLUME</stp>
        <stp>.NDXP251031P20375</stp>
        <tr r="T185" s="2"/>
      </tp>
      <tp t="s">
        <v>N/A</v>
        <stp/>
        <stp>VOLUME</stp>
        <stp>.NDXP251231P21375</stp>
        <tr r="X145" s="2"/>
      </tp>
      <tp t="s">
        <v>N/A</v>
        <stp/>
        <stp>VOLUME</stp>
        <stp>.NDXP251231P20375</stp>
        <tr r="X185" s="2"/>
      </tp>
      <tp t="s">
        <v>N/A</v>
        <stp/>
        <stp>VOLUME</stp>
        <stp>.NDXP250930P21275</stp>
        <tr r="R149" s="2"/>
      </tp>
      <tp t="s">
        <v>N/A</v>
        <stp/>
        <stp>VOLUME</stp>
        <stp>.NDXP250930P20275</stp>
        <tr r="R189" s="2"/>
      </tp>
      <tp t="s">
        <v>N/A</v>
        <stp/>
        <stp>VOLUME</stp>
        <stp>.NDXP250520P20275</stp>
        <tr r="BB188" s="1"/>
      </tp>
      <tp t="s">
        <v>N/A</v>
        <stp/>
        <stp>VOLUME</stp>
        <stp>.NDXP250521P20375</stp>
        <tr r="D185" s="2"/>
      </tp>
      <tp>
        <v>6</v>
        <stp/>
        <stp>VOLUME</stp>
        <stp>.NDXP250530P21275</stp>
        <tr r="G149" s="2"/>
        <tr r="G149" s="2"/>
      </tp>
      <tp>
        <v>312</v>
        <stp/>
        <stp>VOLUME</stp>
        <stp>.NDXP250520P21275</stp>
        <tr r="BB148" s="1"/>
        <tr r="BB148" s="1"/>
      </tp>
      <tp>
        <v>8</v>
        <stp/>
        <stp>VOLUME</stp>
        <stp>.NDXP250521P21375</stp>
        <tr r="D145" s="2"/>
        <tr r="D145" s="2"/>
      </tp>
      <tp t="s">
        <v>N/A</v>
        <stp/>
        <stp>VOLUME</stp>
        <stp>.NDXP250522P21075</stp>
        <tr r="E157" s="2"/>
      </tp>
      <tp>
        <v>30</v>
        <stp/>
        <stp>VOLUME</stp>
        <stp>.NDXP250523P21175</stp>
        <tr r="BD152" s="1"/>
        <tr r="BD152" s="1"/>
      </tp>
      <tp t="s">
        <v>N/A</v>
        <stp/>
        <stp>VOLUME</stp>
        <stp>.NDXP250530P20275</stp>
        <tr r="G189" s="2"/>
      </tp>
      <tp t="s">
        <v>N/A</v>
        <stp/>
        <stp>VOLUME</stp>
        <stp>.NDXP250613P21175</stp>
        <tr r="I153" s="2"/>
      </tp>
      <tp>
        <v>1</v>
        <stp/>
        <stp>VOLUME</stp>
        <stp>.NDXP250630P21275</stp>
        <tr r="L149" s="2"/>
        <tr r="L149" s="2"/>
      </tp>
      <tp t="s">
        <v>N/A</v>
        <stp/>
        <stp>VOLUME</stp>
        <stp>.NDXP250630P20275</stp>
        <tr r="L189" s="2"/>
      </tp>
      <tp t="s">
        <v>N/A</v>
        <stp/>
        <stp>VOLUME</stp>
        <stp>.NDXP250731P21375</stp>
        <tr r="N145" s="2"/>
      </tp>
      <tp t="s">
        <v>N/A</v>
        <stp/>
        <stp>VOLUME</stp>
        <stp>.NDXP250731P20375</stp>
        <tr r="N185" s="2"/>
      </tp>
      <tp t="s">
        <v>N/A</v>
        <stp/>
        <stp>VOLUME</stp>
        <stp>.NDXP250930P21200</stp>
        <tr r="R152" s="2"/>
      </tp>
      <tp>
        <v>9</v>
        <stp/>
        <stp>VOLUME</stp>
        <stp>.NDXP250521P20300</stp>
        <tr r="D188" s="2"/>
        <tr r="D188" s="2"/>
      </tp>
      <tp>
        <v>6</v>
        <stp/>
        <stp>VOLUME</stp>
        <stp>.NDXP250530P21200</stp>
        <tr r="G152" s="2"/>
        <tr r="G152" s="2"/>
      </tp>
      <tp>
        <v>782</v>
        <stp/>
        <stp>VOLUME</stp>
        <stp>.NDXP250520P21200</stp>
        <tr r="BB151" s="1"/>
        <tr r="BB151" s="1"/>
      </tp>
      <tp>
        <v>96</v>
        <stp/>
        <stp>VOLUME</stp>
        <stp>.NDXP250521P21300</stp>
        <tr r="D148" s="2"/>
        <tr r="D148" s="2"/>
      </tp>
      <tp>
        <v>13</v>
        <stp/>
        <stp>VOLUME</stp>
        <stp>.NDXP250522P21000</stp>
        <tr r="E160" s="2"/>
        <tr r="E160" s="2"/>
      </tp>
      <tp>
        <v>1</v>
        <stp/>
        <stp>VOLUME</stp>
        <stp>.NDXP250523P21100</stp>
        <tr r="BD155" s="1"/>
        <tr r="BD155" s="1"/>
      </tp>
      <tp t="s">
        <v>N/A</v>
        <stp/>
        <stp>VOLUME</stp>
        <stp>.NDXP250731P21300</stp>
        <tr r="N148" s="2"/>
      </tp>
      <tp t="s">
        <v>N/A</v>
        <stp/>
        <stp>VOLUME</stp>
        <stp>.NDXP250731P20300</stp>
        <tr r="N188" s="2"/>
      </tp>
      <tp t="s">
        <v>N/A</v>
        <stp/>
        <stp>VOLUME</stp>
        <stp>.NDXP250613P21100</stp>
        <tr r="I156" s="2"/>
      </tp>
      <tp t="s">
        <v>N/A</v>
        <stp/>
        <stp>VOLUME</stp>
        <stp>.NDXP250630P21200</stp>
        <tr r="L152" s="2"/>
      </tp>
      <tp t="s">
        <v>N/A</v>
        <stp/>
        <stp>VOLUME</stp>
        <stp>.NDXP251031P21300</stp>
        <tr r="T148" s="2"/>
      </tp>
      <tp t="s">
        <v>N/A</v>
        <stp/>
        <stp>VOLUME</stp>
        <stp>.NDXP251031P20300</stp>
        <tr r="T188" s="2"/>
      </tp>
      <tp t="s">
        <v>N/A</v>
        <stp/>
        <stp>VOLUME</stp>
        <stp>.NDXP251231P21300</stp>
        <tr r="X148" s="2"/>
      </tp>
      <tp t="s">
        <v>N/A</v>
        <stp/>
        <stp>VOLUME</stp>
        <stp>.NDXP251231P20300</stp>
        <tr r="X188" s="2"/>
      </tp>
      <tp t="s">
        <v>N/A</v>
        <stp/>
        <stp>VOLUME</stp>
        <stp>.NDXP250930P21225</stp>
        <tr r="R151" s="2"/>
      </tp>
      <tp>
        <v>3</v>
        <stp/>
        <stp>VOLUME</stp>
        <stp>.NDXP250521P20325</stp>
        <tr r="D187" s="2"/>
        <tr r="D187" s="2"/>
      </tp>
      <tp t="s">
        <v>N/A</v>
        <stp/>
        <stp>VOLUME</stp>
        <stp>.NDXP250530P21225</stp>
        <tr r="G151" s="2"/>
      </tp>
      <tp>
        <v>171</v>
        <stp/>
        <stp>VOLUME</stp>
        <stp>.NDXP250520P21225</stp>
        <tr r="BB150" s="1"/>
        <tr r="BB150" s="1"/>
      </tp>
      <tp>
        <v>22</v>
        <stp/>
        <stp>VOLUME</stp>
        <stp>.NDXP250521P21325</stp>
        <tr r="D147" s="2"/>
        <tr r="D147" s="2"/>
      </tp>
      <tp t="s">
        <v>N/A</v>
        <stp/>
        <stp>VOLUME</stp>
        <stp>.NDXP250522P21025</stp>
        <tr r="E159" s="2"/>
      </tp>
      <tp t="s">
        <v>N/A</v>
        <stp/>
        <stp>VOLUME</stp>
        <stp>.NDXP250523P21125</stp>
        <tr r="BD154" s="1"/>
      </tp>
      <tp t="s">
        <v>N/A</v>
        <stp/>
        <stp>VOLUME</stp>
        <stp>.NDXP250613P21125</stp>
        <tr r="I155" s="2"/>
      </tp>
      <tp t="s">
        <v>N/A</v>
        <stp/>
        <stp>VOLUME</stp>
        <stp>.NDXP250630P21225</stp>
        <tr r="L151" s="2"/>
      </tp>
      <tp t="s">
        <v>N/A</v>
        <stp/>
        <stp>VOLUME</stp>
        <stp>.NDXP250731P21325</stp>
        <tr r="N147" s="2"/>
      </tp>
      <tp t="s">
        <v>N/A</v>
        <stp/>
        <stp>VOLUME</stp>
        <stp>.NDXP250731P20325</stp>
        <tr r="N187" s="2"/>
      </tp>
      <tp t="s">
        <v>N/A</v>
        <stp/>
        <stp>VOLUME</stp>
        <stp>.NDXP251031P21325</stp>
        <tr r="T147" s="2"/>
      </tp>
      <tp t="s">
        <v>N/A</v>
        <stp/>
        <stp>VOLUME</stp>
        <stp>.NDXP251031P20325</stp>
        <tr r="T187" s="2"/>
      </tp>
      <tp t="s">
        <v>N/A</v>
        <stp/>
        <stp>VOLUME</stp>
        <stp>.NDXP251231P21325</stp>
        <tr r="X147" s="2"/>
      </tp>
      <tp t="s">
        <v>N/A</v>
        <stp/>
        <stp>VOLUME</stp>
        <stp>.NDXP251231P20325</stp>
        <tr r="X187" s="2"/>
      </tp>
      <tp>
        <v>2</v>
        <stp/>
        <stp>OPEN_INT</stp>
        <stp>.NDXP250523C20900</stp>
        <tr r="AU163" s="1"/>
        <tr r="AU163" s="1"/>
      </tp>
      <tp>
        <v>4</v>
        <stp/>
        <stp>OPEN_INT</stp>
        <stp>.NDXP250523C20925</stp>
        <tr r="AU162" s="1"/>
        <tr r="AU162" s="1"/>
      </tp>
      <tp>
        <v>4</v>
        <stp/>
        <stp>OPEN_INT</stp>
        <stp>.NDXP250523C20950</stp>
        <tr r="AU161" s="1"/>
        <tr r="AU161" s="1"/>
      </tp>
      <tp>
        <v>3</v>
        <stp/>
        <stp>OPEN_INT</stp>
        <stp>.NDXP250523C20975</stp>
        <tr r="AU160" s="1"/>
        <tr r="AU160" s="1"/>
      </tp>
      <tp>
        <v>5</v>
        <stp/>
        <stp>OPEN_INT</stp>
        <stp>.NDXP250523P20925</stp>
        <tr r="AV162" s="1"/>
        <tr r="AV162" s="1"/>
      </tp>
      <tp>
        <v>14</v>
        <stp/>
        <stp>OPEN_INT</stp>
        <stp>.NDXP250523P20900</stp>
        <tr r="AV163" s="1"/>
        <tr r="AV163" s="1"/>
      </tp>
      <tp>
        <v>15</v>
        <stp/>
        <stp>OPEN_INT</stp>
        <stp>.NDXP250523P20975</stp>
        <tr r="AV160" s="1"/>
        <tr r="AV160" s="1"/>
      </tp>
      <tp>
        <v>7</v>
        <stp/>
        <stp>OPEN_INT</stp>
        <stp>.NDXP250523P20950</stp>
        <tr r="AV161" s="1"/>
        <tr r="AV161" s="1"/>
      </tp>
      <tp>
        <v>-0.09</v>
        <stp/>
        <stp>DELTA</stp>
        <stp>.NDXP250520P21025</stp>
        <tr r="CE158" s="1"/>
        <tr r="CE158" s="1"/>
      </tp>
      <tp>
        <v>-0.45</v>
        <stp/>
        <stp>DELTA</stp>
        <stp>.NDXP250523P21325</stp>
        <tr r="CG146" s="1"/>
        <tr r="CG146" s="1"/>
      </tp>
      <tp>
        <v>-0.03</v>
        <stp/>
        <stp>DELTA</stp>
        <stp>.NDXP250523P20325</stp>
        <tr r="CG186" s="1"/>
        <tr r="CG186" s="1"/>
      </tp>
      <tp>
        <v>0</v>
        <stp/>
        <stp>DELTA</stp>
        <stp>.NDXP250520P21000</stp>
        <tr r="CE159" s="1"/>
        <tr r="CE159" s="1"/>
      </tp>
      <tp>
        <v>-0.43</v>
        <stp/>
        <stp>DELTA</stp>
        <stp>.NDXP250523P21300</stp>
        <tr r="CG147" s="1"/>
        <tr r="CG147" s="1"/>
      </tp>
      <tp>
        <v>-0.02</v>
        <stp/>
        <stp>DELTA</stp>
        <stp>.NDXP250523P20300</stp>
        <tr r="CG187" s="1"/>
        <tr r="CG187" s="1"/>
      </tp>
      <tp>
        <v>-0.09</v>
        <stp/>
        <stp>DELTA</stp>
        <stp>.NDXP250520P21075</stp>
        <tr r="CE156" s="1"/>
        <tr r="CE156" s="1"/>
      </tp>
      <tp>
        <v>-0.5</v>
        <stp/>
        <stp>DELTA</stp>
        <stp>.NDXP250523P21375</stp>
        <tr r="CG144" s="1"/>
        <tr r="CG144" s="1"/>
      </tp>
      <tp>
        <v>-0.03</v>
        <stp/>
        <stp>DELTA</stp>
        <stp>.NDXP250523P20375</stp>
        <tr r="CG184" s="1"/>
        <tr r="CG184" s="1"/>
      </tp>
      <tp>
        <v>-0.09</v>
        <stp/>
        <stp>DELTA</stp>
        <stp>.NDXP250520P21050</stp>
        <tr r="CE157" s="1"/>
        <tr r="CE157" s="1"/>
      </tp>
      <tp>
        <v>-0.47</v>
        <stp/>
        <stp>DELTA</stp>
        <stp>.NDXP250523P21350</stp>
        <tr r="CG145" s="1"/>
        <tr r="CG145" s="1"/>
      </tp>
      <tp>
        <v>-0.03</v>
        <stp/>
        <stp>DELTA</stp>
        <stp>.NDXP250523P20350</stp>
        <tr r="CG185" s="1"/>
        <tr r="CG185" s="1"/>
      </tp>
      <tp>
        <v>0.97</v>
        <stp/>
        <stp>DELTA</stp>
        <stp>.NDXP250520C21000</stp>
        <tr r="CD159" s="1"/>
        <tr r="CD159" s="1"/>
      </tp>
      <tp>
        <v>0.59</v>
        <stp/>
        <stp>DELTA</stp>
        <stp>.NDXP250523C21300</stp>
        <tr r="CF147" s="1"/>
        <tr r="CF147" s="1"/>
      </tp>
      <tp>
        <v>1</v>
        <stp/>
        <stp>DELTA</stp>
        <stp>.NDXP250523C20300</stp>
        <tr r="CF187" s="1"/>
        <tr r="CF187" s="1"/>
      </tp>
      <tp>
        <v>0.94</v>
        <stp/>
        <stp>DELTA</stp>
        <stp>.NDXP250520C21025</stp>
        <tr r="CD158" s="1"/>
        <tr r="CD158" s="1"/>
      </tp>
      <tp>
        <v>0.56000000000000005</v>
        <stp/>
        <stp>DELTA</stp>
        <stp>.NDXP250523C21325</stp>
        <tr r="CF146" s="1"/>
        <tr r="CF146" s="1"/>
      </tp>
      <tp>
        <v>1</v>
        <stp/>
        <stp>DELTA</stp>
        <stp>.NDXP250523C20325</stp>
        <tr r="CF186" s="1"/>
        <tr r="CF186" s="1"/>
      </tp>
      <tp>
        <v>0.93</v>
        <stp/>
        <stp>DELTA</stp>
        <stp>.NDXP250520C21050</stp>
        <tr r="CD157" s="1"/>
        <tr r="CD157" s="1"/>
      </tp>
      <tp>
        <v>0.53</v>
        <stp/>
        <stp>DELTA</stp>
        <stp>.NDXP250523C21350</stp>
        <tr r="CF145" s="1"/>
        <tr r="CF145" s="1"/>
      </tp>
      <tp>
        <v>0.99</v>
        <stp/>
        <stp>DELTA</stp>
        <stp>.NDXP250523C20350</stp>
        <tr r="CF185" s="1"/>
        <tr r="CF185" s="1"/>
      </tp>
      <tp>
        <v>0.97</v>
        <stp/>
        <stp>DELTA</stp>
        <stp>.NDXP250520C21075</stp>
        <tr r="CD156" s="1"/>
        <tr r="CD156" s="1"/>
      </tp>
      <tp>
        <v>0.5</v>
        <stp/>
        <stp>DELTA</stp>
        <stp>.NDXP250523C21375</stp>
        <tr r="CF144" s="1"/>
        <tr r="CF144" s="1"/>
      </tp>
      <tp>
        <v>1</v>
        <stp/>
        <stp>DELTA</stp>
        <stp>.NDXP250523C20375</stp>
        <tr r="CF184" s="1"/>
        <tr r="CF184" s="1"/>
      </tp>
      <tp t="s">
        <v>N/A</v>
        <stp/>
        <stp>VOLUME</stp>
        <stp>.NDXP250930C21375</stp>
        <tr r="R145" s="2"/>
      </tp>
      <tp t="s">
        <v>N/A</v>
        <stp/>
        <stp>VOLUME</stp>
        <stp>.NDXP250930C20375</stp>
        <tr r="R185" s="2"/>
      </tp>
      <tp t="s">
        <v>N/A</v>
        <stp/>
        <stp>VOLUME</stp>
        <stp>.NDXP250520C20375</stp>
        <tr r="BA184" s="1"/>
      </tp>
      <tp t="s">
        <v>N/A</v>
        <stp/>
        <stp>VOLUME</stp>
        <stp>.NDXP250521C20275</stp>
        <tr r="D189" s="2"/>
      </tp>
      <tp>
        <v>3</v>
        <stp/>
        <stp>VOLUME</stp>
        <stp>.NDXP250530C21375</stp>
        <tr r="G145" s="2"/>
        <tr r="G145" s="2"/>
      </tp>
      <tp>
        <v>430</v>
        <stp/>
        <stp>VOLUME</stp>
        <stp>.NDXP250520C21375</stp>
        <tr r="BA144" s="1"/>
        <tr r="BA144" s="1"/>
      </tp>
      <tp>
        <v>26</v>
        <stp/>
        <stp>VOLUME</stp>
        <stp>.NDXP250521C21275</stp>
        <tr r="D149" s="2"/>
        <tr r="D149" s="2"/>
      </tp>
      <tp t="s">
        <v>N/A</v>
        <stp/>
        <stp>VOLUME</stp>
        <stp>.NDXP250522C21175</stp>
        <tr r="E153" s="2"/>
      </tp>
      <tp t="s">
        <v>N/A</v>
        <stp/>
        <stp>VOLUME</stp>
        <stp>.NDXP250523C21075</stp>
        <tr r="BC156" s="1"/>
      </tp>
      <tp t="s">
        <v>N/A</v>
        <stp/>
        <stp>VOLUME</stp>
        <stp>.NDXP250530C20375</stp>
        <tr r="G185" s="2"/>
      </tp>
      <tp t="s">
        <v>N/A</v>
        <stp/>
        <stp>VOLUME</stp>
        <stp>.NDXP250613C21075</stp>
        <tr r="I157" s="2"/>
      </tp>
      <tp t="s">
        <v>N/A</v>
        <stp/>
        <stp>VOLUME</stp>
        <stp>.NDXP250630C21375</stp>
        <tr r="L145" s="2"/>
      </tp>
      <tp t="s">
        <v>N/A</v>
        <stp/>
        <stp>VOLUME</stp>
        <stp>.NDXP250630C20375</stp>
        <tr r="L185" s="2"/>
      </tp>
      <tp t="s">
        <v>N/A</v>
        <stp/>
        <stp>VOLUME</stp>
        <stp>.NDXP250731C21275</stp>
        <tr r="N149" s="2"/>
      </tp>
      <tp t="s">
        <v>N/A</v>
        <stp/>
        <stp>VOLUME</stp>
        <stp>.NDXP250731C20275</stp>
        <tr r="N189" s="2"/>
      </tp>
      <tp t="s">
        <v>N/A</v>
        <stp/>
        <stp>VOLUME</stp>
        <stp>.NDXP251031C21275</stp>
        <tr r="T149" s="2"/>
      </tp>
      <tp t="s">
        <v>N/A</v>
        <stp/>
        <stp>VOLUME</stp>
        <stp>.NDXP251031C20275</stp>
        <tr r="T189" s="2"/>
      </tp>
      <tp t="s">
        <v>N/A</v>
        <stp/>
        <stp>VOLUME</stp>
        <stp>.NDXP251231C21275</stp>
        <tr r="X149" s="2"/>
      </tp>
      <tp t="s">
        <v>N/A</v>
        <stp/>
        <stp>VOLUME</stp>
        <stp>.NDXP251231C20275</stp>
        <tr r="X189" s="2"/>
      </tp>
      <tp t="s">
        <v>N/A</v>
        <stp/>
        <stp>VOLUME</stp>
        <stp>.NDXP250930C21350</stp>
        <tr r="R146" s="2"/>
      </tp>
      <tp t="s">
        <v>N/A</v>
        <stp/>
        <stp>VOLUME</stp>
        <stp>.NDXP250930C20350</stp>
        <tr r="R186" s="2"/>
      </tp>
      <tp t="s">
        <v>N/A</v>
        <stp/>
        <stp>VOLUME</stp>
        <stp>.NDXP250520C20350</stp>
        <tr r="BA185" s="1"/>
      </tp>
      <tp t="s">
        <v>N/A</v>
        <stp/>
        <stp>VOLUME</stp>
        <stp>.NDXP250521C20250</stp>
        <tr r="D190" s="2"/>
      </tp>
      <tp>
        <v>2</v>
        <stp/>
        <stp>VOLUME</stp>
        <stp>.NDXP250530C21350</stp>
        <tr r="G146" s="2"/>
        <tr r="G146" s="2"/>
      </tp>
      <tp>
        <v>932</v>
        <stp/>
        <stp>VOLUME</stp>
        <stp>.NDXP250520C21350</stp>
        <tr r="BA145" s="1"/>
        <tr r="BA145" s="1"/>
      </tp>
      <tp>
        <v>19</v>
        <stp/>
        <stp>VOLUME</stp>
        <stp>.NDXP250521C21250</stp>
        <tr r="D150" s="2"/>
        <tr r="D150" s="2"/>
      </tp>
      <tp>
        <v>19</v>
        <stp/>
        <stp>VOLUME</stp>
        <stp>.NDXP250522C21150</stp>
        <tr r="E154" s="2"/>
        <tr r="E154" s="2"/>
      </tp>
      <tp t="s">
        <v>N/A</v>
        <stp/>
        <stp>VOLUME</stp>
        <stp>.NDXP250523C21050</stp>
        <tr r="BC157" s="1"/>
      </tp>
      <tp t="s">
        <v>N/A</v>
        <stp/>
        <stp>VOLUME</stp>
        <stp>.NDXP250530C20350</stp>
        <tr r="G186" s="2"/>
      </tp>
      <tp t="s">
        <v>N/A</v>
        <stp/>
        <stp>VOLUME</stp>
        <stp>.NDXP250731C21250</stp>
        <tr r="N150" s="2"/>
      </tp>
      <tp t="s">
        <v>N/A</v>
        <stp/>
        <stp>VOLUME</stp>
        <stp>.NDXP250731C20250</stp>
        <tr r="N190" s="2"/>
      </tp>
      <tp t="s">
        <v>N/A</v>
        <stp/>
        <stp>VOLUME</stp>
        <stp>.NDXP250613C21050</stp>
        <tr r="I158" s="2"/>
      </tp>
      <tp t="s">
        <v>N/A</v>
        <stp/>
        <stp>VOLUME</stp>
        <stp>.NDXP250630C21350</stp>
        <tr r="L146" s="2"/>
      </tp>
      <tp t="s">
        <v>N/A</v>
        <stp/>
        <stp>VOLUME</stp>
        <stp>.NDXP250630C20350</stp>
        <tr r="L186" s="2"/>
      </tp>
      <tp t="s">
        <v>N/A</v>
        <stp/>
        <stp>VOLUME</stp>
        <stp>.NDXP251031C21250</stp>
        <tr r="T150" s="2"/>
      </tp>
      <tp t="s">
        <v>N/A</v>
        <stp/>
        <stp>VOLUME</stp>
        <stp>.NDXP251031C20250</stp>
        <tr r="T190" s="2"/>
      </tp>
      <tp t="s">
        <v>N/A</v>
        <stp/>
        <stp>VOLUME</stp>
        <stp>.NDXP251231C21250</stp>
        <tr r="X150" s="2"/>
      </tp>
      <tp t="s">
        <v>N/A</v>
        <stp/>
        <stp>VOLUME</stp>
        <stp>.NDXP251231C20250</stp>
        <tr r="X190" s="2"/>
      </tp>
      <tp t="s">
        <v>N/A</v>
        <stp/>
        <stp>VOLUME</stp>
        <stp>.NDXP251031C21225</stp>
        <tr r="T151" s="2"/>
      </tp>
      <tp t="s">
        <v>N/A</v>
        <stp/>
        <stp>VOLUME</stp>
        <stp>.NDXP251231C21225</stp>
        <tr r="X151" s="2"/>
      </tp>
      <tp t="s">
        <v>N/A</v>
        <stp/>
        <stp>VOLUME</stp>
        <stp>.NDXP250930C21325</stp>
        <tr r="R147" s="2"/>
      </tp>
      <tp t="s">
        <v>N/A</v>
        <stp/>
        <stp>VOLUME</stp>
        <stp>.NDXP250930C20325</stp>
        <tr r="R187" s="2"/>
      </tp>
      <tp t="s">
        <v>N/A</v>
        <stp/>
        <stp>VOLUME</stp>
        <stp>.NDXP250520C20325</stp>
        <tr r="BA186" s="1"/>
      </tp>
      <tp>
        <v>6</v>
        <stp/>
        <stp>VOLUME</stp>
        <stp>.NDXP250530C21325</stp>
        <tr r="G147" s="2"/>
        <tr r="G147" s="2"/>
      </tp>
      <tp>
        <v>198</v>
        <stp/>
        <stp>VOLUME</stp>
        <stp>.NDXP250520C21325</stp>
        <tr r="BA146" s="1"/>
        <tr r="BA146" s="1"/>
      </tp>
      <tp>
        <v>3</v>
        <stp/>
        <stp>VOLUME</stp>
        <stp>.NDXP250521C21225</stp>
        <tr r="D151" s="2"/>
        <tr r="D151" s="2"/>
      </tp>
      <tp t="s">
        <v>N/A</v>
        <stp/>
        <stp>VOLUME</stp>
        <stp>.NDXP250522C21125</stp>
        <tr r="E155" s="2"/>
      </tp>
      <tp t="s">
        <v>N/A</v>
        <stp/>
        <stp>VOLUME</stp>
        <stp>.NDXP250523C21025</stp>
        <tr r="BC158" s="1"/>
      </tp>
      <tp t="s">
        <v>N/A</v>
        <stp/>
        <stp>VOLUME</stp>
        <stp>.NDXP250530C20325</stp>
        <tr r="G187" s="2"/>
      </tp>
      <tp t="s">
        <v>N/A</v>
        <stp/>
        <stp>VOLUME</stp>
        <stp>.NDXP250613C21025</stp>
        <tr r="I159" s="2"/>
      </tp>
      <tp t="s">
        <v>N/A</v>
        <stp/>
        <stp>VOLUME</stp>
        <stp>.NDXP250630C21325</stp>
        <tr r="L147" s="2"/>
      </tp>
      <tp t="s">
        <v>N/A</v>
        <stp/>
        <stp>VOLUME</stp>
        <stp>.NDXP250630C20325</stp>
        <tr r="L187" s="2"/>
      </tp>
      <tp t="s">
        <v>N/A</v>
        <stp/>
        <stp>VOLUME</stp>
        <stp>.NDXP250731C21225</stp>
        <tr r="N151" s="2"/>
      </tp>
      <tp t="s">
        <v>N/A</v>
        <stp/>
        <stp>VOLUME</stp>
        <stp>.NDXP251031C21200</stp>
        <tr r="T152" s="2"/>
      </tp>
      <tp>
        <v>1</v>
        <stp/>
        <stp>VOLUME</stp>
        <stp>.NDXP251231C21200</stp>
        <tr r="X152" s="2"/>
        <tr r="X152" s="2"/>
      </tp>
      <tp>
        <v>1</v>
        <stp/>
        <stp>VOLUME</stp>
        <stp>.NDXP250930C21300</stp>
        <tr r="R148" s="2"/>
        <tr r="R148" s="2"/>
      </tp>
      <tp t="s">
        <v>N/A</v>
        <stp/>
        <stp>VOLUME</stp>
        <stp>.NDXP250930C20300</stp>
        <tr r="R188" s="2"/>
      </tp>
      <tp t="s">
        <v>N/A</v>
        <stp/>
        <stp>VOLUME</stp>
        <stp>.NDXP250520C20300</stp>
        <tr r="BA187" s="1"/>
      </tp>
      <tp>
        <v>1</v>
        <stp/>
        <stp>VOLUME</stp>
        <stp>.NDXP250530C21300</stp>
        <tr r="G148" s="2"/>
        <tr r="G148" s="2"/>
      </tp>
      <tp>
        <v>360</v>
        <stp/>
        <stp>VOLUME</stp>
        <stp>.NDXP250520C21300</stp>
        <tr r="BA147" s="1"/>
        <tr r="BA147" s="1"/>
      </tp>
      <tp>
        <v>4</v>
        <stp/>
        <stp>VOLUME</stp>
        <stp>.NDXP250521C21200</stp>
        <tr r="D152" s="2"/>
        <tr r="D152" s="2"/>
      </tp>
      <tp>
        <v>2</v>
        <stp/>
        <stp>VOLUME</stp>
        <stp>.NDXP250522C21100</stp>
        <tr r="E156" s="2"/>
        <tr r="E156" s="2"/>
      </tp>
      <tp>
        <v>15</v>
        <stp/>
        <stp>VOLUME</stp>
        <stp>.NDXP250523C21000</stp>
        <tr r="BC159" s="1"/>
        <tr r="BC159" s="1"/>
      </tp>
      <tp t="s">
        <v>N/A</v>
        <stp/>
        <stp>VOLUME</stp>
        <stp>.NDXP250530C20300</stp>
        <tr r="G188" s="2"/>
      </tp>
      <tp t="s">
        <v>N/A</v>
        <stp/>
        <stp>VOLUME</stp>
        <stp>.NDXP250731C21200</stp>
        <tr r="N152" s="2"/>
      </tp>
      <tp t="s">
        <v>N/A</v>
        <stp/>
        <stp>VOLUME</stp>
        <stp>.NDXP250613C21000</stp>
        <tr r="I160" s="2"/>
      </tp>
      <tp t="s">
        <v>N/A</v>
        <stp/>
        <stp>VOLUME</stp>
        <stp>.NDXP250630C21300</stp>
        <tr r="L148" s="2"/>
      </tp>
      <tp t="s">
        <v>N/A</v>
        <stp/>
        <stp>VOLUME</stp>
        <stp>.NDXP250630C20300</stp>
        <tr r="L188" s="2"/>
      </tp>
      <tp t="s">
        <v>N/A</v>
        <stp/>
        <stp>VOLUME</stp>
        <stp>.NDXP251031P21250</stp>
        <tr r="T150" s="2"/>
      </tp>
      <tp t="s">
        <v>N/A</v>
        <stp/>
        <stp>VOLUME</stp>
        <stp>.NDXP251031P20250</stp>
        <tr r="T190" s="2"/>
      </tp>
      <tp t="s">
        <v>N/A</v>
        <stp/>
        <stp>VOLUME</stp>
        <stp>.NDXP251231P21250</stp>
        <tr r="X150" s="2"/>
      </tp>
      <tp t="s">
        <v>N/A</v>
        <stp/>
        <stp>VOLUME</stp>
        <stp>.NDXP251231P20250</stp>
        <tr r="X190" s="2"/>
      </tp>
      <tp t="s">
        <v>N/A</v>
        <stp/>
        <stp>VOLUME</stp>
        <stp>.NDXP250930P21350</stp>
        <tr r="R146" s="2"/>
      </tp>
      <tp t="s">
        <v>N/A</v>
        <stp/>
        <stp>VOLUME</stp>
        <stp>.NDXP250930P20350</stp>
        <tr r="R186" s="2"/>
      </tp>
      <tp>
        <v>29</v>
        <stp/>
        <stp>VOLUME</stp>
        <stp>.NDXP250520P20350</stp>
        <tr r="BB185" s="1"/>
        <tr r="BB185" s="1"/>
      </tp>
      <tp>
        <v>6</v>
        <stp/>
        <stp>VOLUME</stp>
        <stp>.NDXP250521P20250</stp>
        <tr r="D190" s="2"/>
        <tr r="D190" s="2"/>
      </tp>
      <tp>
        <v>2</v>
        <stp/>
        <stp>VOLUME</stp>
        <stp>.NDXP250530P21350</stp>
        <tr r="G146" s="2"/>
        <tr r="G146" s="2"/>
      </tp>
      <tp>
        <v>447</v>
        <stp/>
        <stp>VOLUME</stp>
        <stp>.NDXP250520P21350</stp>
        <tr r="BB145" s="1"/>
        <tr r="BB145" s="1"/>
      </tp>
      <tp>
        <v>91</v>
        <stp/>
        <stp>VOLUME</stp>
        <stp>.NDXP250521P21250</stp>
        <tr r="D150" s="2"/>
        <tr r="D150" s="2"/>
      </tp>
      <tp>
        <v>2</v>
        <stp/>
        <stp>VOLUME</stp>
        <stp>.NDXP250522P21150</stp>
        <tr r="E154" s="2"/>
        <tr r="E154" s="2"/>
      </tp>
      <tp t="s">
        <v>N/A</v>
        <stp/>
        <stp>VOLUME</stp>
        <stp>.NDXP250523P21050</stp>
        <tr r="BD157" s="1"/>
      </tp>
      <tp t="s">
        <v>N/A</v>
        <stp/>
        <stp>VOLUME</stp>
        <stp>.NDXP250530P20350</stp>
        <tr r="G186" s="2"/>
      </tp>
      <tp t="s">
        <v>N/A</v>
        <stp/>
        <stp>VOLUME</stp>
        <stp>.NDXP250731P21250</stp>
        <tr r="N150" s="2"/>
      </tp>
      <tp t="s">
        <v>N/A</v>
        <stp/>
        <stp>VOLUME</stp>
        <stp>.NDXP250731P20250</stp>
        <tr r="N190" s="2"/>
      </tp>
      <tp t="s">
        <v>N/A</v>
        <stp/>
        <stp>VOLUME</stp>
        <stp>.NDXP250613P21050</stp>
        <tr r="I158" s="2"/>
      </tp>
      <tp>
        <v>12</v>
        <stp/>
        <stp>VOLUME</stp>
        <stp>.NDXP250630P21350</stp>
        <tr r="L146" s="2"/>
        <tr r="L146" s="2"/>
      </tp>
      <tp t="s">
        <v>N/A</v>
        <stp/>
        <stp>VOLUME</stp>
        <stp>.NDXP250630P20350</stp>
        <tr r="L186" s="2"/>
      </tp>
      <tp t="s">
        <v>N/A</v>
        <stp/>
        <stp>VOLUME</stp>
        <stp>.NDXP251031P21275</stp>
        <tr r="T149" s="2"/>
      </tp>
      <tp t="s">
        <v>N/A</v>
        <stp/>
        <stp>VOLUME</stp>
        <stp>.NDXP251031P20275</stp>
        <tr r="T189" s="2"/>
      </tp>
      <tp t="s">
        <v>N/A</v>
        <stp/>
        <stp>VOLUME</stp>
        <stp>.NDXP251231P21275</stp>
        <tr r="X149" s="2"/>
      </tp>
      <tp t="s">
        <v>N/A</v>
        <stp/>
        <stp>VOLUME</stp>
        <stp>.NDXP251231P20275</stp>
        <tr r="X189" s="2"/>
      </tp>
      <tp t="s">
        <v>N/A</v>
        <stp/>
        <stp>VOLUME</stp>
        <stp>.NDXP250930P21375</stp>
        <tr r="R145" s="2"/>
      </tp>
      <tp t="s">
        <v>N/A</v>
        <stp/>
        <stp>VOLUME</stp>
        <stp>.NDXP250930P20375</stp>
        <tr r="R185" s="2"/>
      </tp>
      <tp>
        <v>1</v>
        <stp/>
        <stp>VOLUME</stp>
        <stp>.NDXP250520P20375</stp>
        <tr r="BB184" s="1"/>
        <tr r="BB184" s="1"/>
      </tp>
      <tp>
        <v>3</v>
        <stp/>
        <stp>VOLUME</stp>
        <stp>.NDXP250521P20275</stp>
        <tr r="D189" s="2"/>
        <tr r="D189" s="2"/>
      </tp>
      <tp t="s">
        <v>N/A</v>
        <stp/>
        <stp>VOLUME</stp>
        <stp>.NDXP250530P21375</stp>
        <tr r="G145" s="2"/>
      </tp>
      <tp>
        <v>53</v>
        <stp/>
        <stp>VOLUME</stp>
        <stp>.NDXP250520P21375</stp>
        <tr r="BB144" s="1"/>
        <tr r="BB144" s="1"/>
      </tp>
      <tp>
        <v>25</v>
        <stp/>
        <stp>VOLUME</stp>
        <stp>.NDXP250521P21275</stp>
        <tr r="D149" s="2"/>
        <tr r="D149" s="2"/>
      </tp>
      <tp t="s">
        <v>N/A</v>
        <stp/>
        <stp>VOLUME</stp>
        <stp>.NDXP250522P21175</stp>
        <tr r="E153" s="2"/>
      </tp>
      <tp t="s">
        <v>N/A</v>
        <stp/>
        <stp>VOLUME</stp>
        <stp>.NDXP250523P21075</stp>
        <tr r="BD156" s="1"/>
      </tp>
      <tp t="s">
        <v>N/A</v>
        <stp/>
        <stp>VOLUME</stp>
        <stp>.NDXP250530P20375</stp>
        <tr r="G185" s="2"/>
      </tp>
      <tp t="s">
        <v>N/A</v>
        <stp/>
        <stp>VOLUME</stp>
        <stp>.NDXP250613P21075</stp>
        <tr r="I157" s="2"/>
      </tp>
      <tp>
        <v>1</v>
        <stp/>
        <stp>VOLUME</stp>
        <stp>.NDXP250630P21375</stp>
        <tr r="L145" s="2"/>
        <tr r="L145" s="2"/>
      </tp>
      <tp t="s">
        <v>N/A</v>
        <stp/>
        <stp>VOLUME</stp>
        <stp>.NDXP250630P20375</stp>
        <tr r="L185" s="2"/>
      </tp>
      <tp t="s">
        <v>N/A</v>
        <stp/>
        <stp>VOLUME</stp>
        <stp>.NDXP250731P21275</stp>
        <tr r="N149" s="2"/>
      </tp>
      <tp t="s">
        <v>N/A</v>
        <stp/>
        <stp>VOLUME</stp>
        <stp>.NDXP250731P20275</stp>
        <tr r="N189" s="2"/>
      </tp>
      <tp t="s">
        <v>N/A</v>
        <stp/>
        <stp>VOLUME</stp>
        <stp>.NDXP250930P21300</stp>
        <tr r="R148" s="2"/>
      </tp>
      <tp t="s">
        <v>N/A</v>
        <stp/>
        <stp>VOLUME</stp>
        <stp>.NDXP250930P20300</stp>
        <tr r="R188" s="2"/>
      </tp>
      <tp>
        <v>36</v>
        <stp/>
        <stp>VOLUME</stp>
        <stp>.NDXP250520P20300</stp>
        <tr r="BB187" s="1"/>
        <tr r="BB187" s="1"/>
      </tp>
      <tp>
        <v>5</v>
        <stp/>
        <stp>VOLUME</stp>
        <stp>.NDXP250530P21300</stp>
        <tr r="G148" s="2"/>
        <tr r="G148" s="2"/>
      </tp>
      <tp>
        <v>882</v>
        <stp/>
        <stp>VOLUME</stp>
        <stp>.NDXP250520P21300</stp>
        <tr r="BB147" s="1"/>
        <tr r="BB147" s="1"/>
      </tp>
      <tp>
        <v>85</v>
        <stp/>
        <stp>VOLUME</stp>
        <stp>.NDXP250521P21200</stp>
        <tr r="D152" s="2"/>
        <tr r="D152" s="2"/>
      </tp>
      <tp>
        <v>36</v>
        <stp/>
        <stp>VOLUME</stp>
        <stp>.NDXP250522P21100</stp>
        <tr r="E156" s="2"/>
        <tr r="E156" s="2"/>
      </tp>
      <tp>
        <v>27</v>
        <stp/>
        <stp>VOLUME</stp>
        <stp>.NDXP250523P21000</stp>
        <tr r="BD159" s="1"/>
        <tr r="BD159" s="1"/>
      </tp>
      <tp>
        <v>13</v>
        <stp/>
        <stp>VOLUME</stp>
        <stp>.NDXP250530P20300</stp>
        <tr r="G188" s="2"/>
        <tr r="G188" s="2"/>
      </tp>
      <tp t="s">
        <v>N/A</v>
        <stp/>
        <stp>VOLUME</stp>
        <stp>.NDXP250731P21200</stp>
        <tr r="N152" s="2"/>
      </tp>
      <tp t="s">
        <v>N/A</v>
        <stp/>
        <stp>VOLUME</stp>
        <stp>.NDXP250613P21000</stp>
        <tr r="I160" s="2"/>
      </tp>
      <tp>
        <v>1</v>
        <stp/>
        <stp>VOLUME</stp>
        <stp>.NDXP250630P21300</stp>
        <tr r="L148" s="2"/>
        <tr r="L148" s="2"/>
      </tp>
      <tp>
        <v>3</v>
        <stp/>
        <stp>VOLUME</stp>
        <stp>.NDXP250630P20300</stp>
        <tr r="L188" s="2"/>
        <tr r="L188" s="2"/>
      </tp>
      <tp t="s">
        <v>N/A</v>
        <stp/>
        <stp>VOLUME</stp>
        <stp>.NDXP251031P21200</stp>
        <tr r="T152" s="2"/>
      </tp>
      <tp t="s">
        <v>N/A</v>
        <stp/>
        <stp>VOLUME</stp>
        <stp>.NDXP251231P21200</stp>
        <tr r="X152" s="2"/>
      </tp>
      <tp t="s">
        <v>N/A</v>
        <stp/>
        <stp>VOLUME</stp>
        <stp>.NDXP250930P21325</stp>
        <tr r="R147" s="2"/>
      </tp>
      <tp t="s">
        <v>N/A</v>
        <stp/>
        <stp>VOLUME</stp>
        <stp>.NDXP250930P20325</stp>
        <tr r="R187" s="2"/>
      </tp>
      <tp t="s">
        <v>N/A</v>
        <stp/>
        <stp>VOLUME</stp>
        <stp>.NDXP250520P20325</stp>
        <tr r="BB186" s="1"/>
      </tp>
      <tp>
        <v>1</v>
        <stp/>
        <stp>VOLUME</stp>
        <stp>.NDXP250530P21325</stp>
        <tr r="G147" s="2"/>
        <tr r="G147" s="2"/>
      </tp>
      <tp>
        <v>255</v>
        <stp/>
        <stp>VOLUME</stp>
        <stp>.NDXP250520P21325</stp>
        <tr r="BB146" s="1"/>
        <tr r="BB146" s="1"/>
      </tp>
      <tp>
        <v>22</v>
        <stp/>
        <stp>VOLUME</stp>
        <stp>.NDXP250521P21225</stp>
        <tr r="D151" s="2"/>
        <tr r="D151" s="2"/>
      </tp>
      <tp>
        <v>1</v>
        <stp/>
        <stp>VOLUME</stp>
        <stp>.NDXP250522P21125</stp>
        <tr r="E155" s="2"/>
        <tr r="E155" s="2"/>
      </tp>
      <tp t="s">
        <v>N/A</v>
        <stp/>
        <stp>VOLUME</stp>
        <stp>.NDXP250523P21025</stp>
        <tr r="BD158" s="1"/>
      </tp>
      <tp t="s">
        <v>N/A</v>
        <stp/>
        <stp>VOLUME</stp>
        <stp>.NDXP250530P20325</stp>
        <tr r="G187" s="2"/>
      </tp>
      <tp t="s">
        <v>N/A</v>
        <stp/>
        <stp>VOLUME</stp>
        <stp>.NDXP250613P21025</stp>
        <tr r="I159" s="2"/>
      </tp>
      <tp t="s">
        <v>N/A</v>
        <stp/>
        <stp>VOLUME</stp>
        <stp>.NDXP250630P21325</stp>
        <tr r="L147" s="2"/>
      </tp>
      <tp t="s">
        <v>N/A</v>
        <stp/>
        <stp>VOLUME</stp>
        <stp>.NDXP250630P20325</stp>
        <tr r="L187" s="2"/>
      </tp>
      <tp t="s">
        <v>N/A</v>
        <stp/>
        <stp>VOLUME</stp>
        <stp>.NDXP250731P21225</stp>
        <tr r="N151" s="2"/>
      </tp>
      <tp t="s">
        <v>N/A</v>
        <stp/>
        <stp>VOLUME</stp>
        <stp>.NDXP251031P21225</stp>
        <tr r="T151" s="2"/>
      </tp>
      <tp t="s">
        <v>N/A</v>
        <stp/>
        <stp>VOLUME</stp>
        <stp>.NDXP251231P21225</stp>
        <tr r="X151" s="2"/>
      </tp>
      <tp t="s">
        <v>N/A</v>
        <stp/>
        <stp>VOLUME</stp>
        <stp>.NDX251128P21300</stp>
        <tr r="U148" s="2"/>
      </tp>
      <tp t="s">
        <v>N/A</v>
        <stp/>
        <stp>VOLUME</stp>
        <stp>.NDX251128P20300</stp>
        <tr r="U188" s="2"/>
      </tp>
      <tp t="s">
        <v>N/A</v>
        <stp/>
        <stp>VOLUME</stp>
        <stp>.NDX250822P20900</stp>
        <tr r="O164" s="2"/>
      </tp>
      <tp t="s">
        <v>N/A</v>
        <stp/>
        <stp>VOLUME</stp>
        <stp>.NDX251128P21325</stp>
        <tr r="U147" s="2"/>
      </tp>
      <tp t="s">
        <v>N/A</v>
        <stp/>
        <stp>VOLUME</stp>
        <stp>.NDX251128P20325</stp>
        <tr r="U187" s="2"/>
      </tp>
      <tp t="s">
        <v>N/A</v>
        <stp/>
        <stp>VOLUME</stp>
        <stp>.NDX250822P20925</stp>
        <tr r="O163" s="2"/>
      </tp>
      <tp t="s">
        <v>N/A</v>
        <stp/>
        <stp>VOLUME</stp>
        <stp>.NDX250822P20950</stp>
        <tr r="O162" s="2"/>
      </tp>
      <tp t="s">
        <v>N/A</v>
        <stp/>
        <stp>VOLUME</stp>
        <stp>.NDX251128P21350</stp>
        <tr r="U146" s="2"/>
      </tp>
      <tp t="s">
        <v>N/A</v>
        <stp/>
        <stp>VOLUME</stp>
        <stp>.NDX251128P20350</stp>
        <tr r="U186" s="2"/>
      </tp>
      <tp t="s">
        <v>N/A</v>
        <stp/>
        <stp>VOLUME</stp>
        <stp>.NDX250822P20975</stp>
        <tr r="O161" s="2"/>
      </tp>
      <tp t="s">
        <v>N/A</v>
        <stp/>
        <stp>VOLUME</stp>
        <stp>.NDX251128P21375</stp>
        <tr r="U145" s="2"/>
      </tp>
      <tp t="s">
        <v>N/A</v>
        <stp/>
        <stp>VOLUME</stp>
        <stp>.NDX251128P20375</stp>
        <tr r="U185" s="2"/>
      </tp>
      <tp t="s">
        <v>N/A</v>
        <stp/>
        <stp>VOLUME</stp>
        <stp>.NDX250822C20925</stp>
        <tr r="O163" s="2"/>
      </tp>
      <tp t="s">
        <v>N/A</v>
        <stp/>
        <stp>VOLUME</stp>
        <stp>.NDX251128C21325</stp>
        <tr r="U147" s="2"/>
      </tp>
      <tp t="s">
        <v>N/A</v>
        <stp/>
        <stp>VOLUME</stp>
        <stp>.NDX251128C20325</stp>
        <tr r="U187" s="2"/>
      </tp>
      <tp t="s">
        <v>N/A</v>
        <stp/>
        <stp>VOLUME</stp>
        <stp>.NDX250822C20900</stp>
        <tr r="O164" s="2"/>
      </tp>
      <tp t="s">
        <v>N/A</v>
        <stp/>
        <stp>VOLUME</stp>
        <stp>.NDX251128C21300</stp>
        <tr r="U148" s="2"/>
      </tp>
      <tp t="s">
        <v>N/A</v>
        <stp/>
        <stp>VOLUME</stp>
        <stp>.NDX251128C20300</stp>
        <tr r="U188" s="2"/>
      </tp>
      <tp t="s">
        <v>N/A</v>
        <stp/>
        <stp>VOLUME</stp>
        <stp>.NDX251128C21375</stp>
        <tr r="U145" s="2"/>
      </tp>
      <tp t="s">
        <v>N/A</v>
        <stp/>
        <stp>VOLUME</stp>
        <stp>.NDX251128C20375</stp>
        <tr r="U185" s="2"/>
      </tp>
      <tp t="s">
        <v>N/A</v>
        <stp/>
        <stp>VOLUME</stp>
        <stp>.NDX250822C20975</stp>
        <tr r="O161" s="2"/>
      </tp>
      <tp t="s">
        <v>N/A</v>
        <stp/>
        <stp>VOLUME</stp>
        <stp>.NDX251128C21350</stp>
        <tr r="U146" s="2"/>
      </tp>
      <tp t="s">
        <v>N/A</v>
        <stp/>
        <stp>VOLUME</stp>
        <stp>.NDX251128C20350</stp>
        <tr r="U186" s="2"/>
      </tp>
      <tp t="s">
        <v>N/A</v>
        <stp/>
        <stp>VOLUME</stp>
        <stp>.NDX250822C20950</stp>
        <tr r="O162" s="2"/>
      </tp>
      <tp t="s">
        <v>N/A</v>
        <stp/>
        <stp>VOLUME</stp>
        <stp>.NDX251128P21200</stp>
        <tr r="U152" s="2"/>
      </tp>
      <tp t="s">
        <v>N/A</v>
        <stp/>
        <stp>VOLUME</stp>
        <stp>.NDX250822P20800</stp>
        <tr r="O168" s="2"/>
      </tp>
      <tp t="s">
        <v>N/A</v>
        <stp/>
        <stp>VOLUME</stp>
        <stp>.NDX251128P21225</stp>
        <tr r="U151" s="2"/>
      </tp>
      <tp t="s">
        <v>N/A</v>
        <stp/>
        <stp>VOLUME</stp>
        <stp>.NDX250822P20825</stp>
        <tr r="O167" s="2"/>
      </tp>
      <tp t="s">
        <v>N/A</v>
        <stp/>
        <stp>VOLUME</stp>
        <stp>.NDX250822P20850</stp>
        <tr r="O166" s="2"/>
      </tp>
      <tp t="s">
        <v>N/A</v>
        <stp/>
        <stp>VOLUME</stp>
        <stp>.NDX251128P21250</stp>
        <tr r="U150" s="2"/>
      </tp>
      <tp t="s">
        <v>N/A</v>
        <stp/>
        <stp>VOLUME</stp>
        <stp>.NDX251128P20250</stp>
        <tr r="U190" s="2"/>
      </tp>
      <tp t="s">
        <v>N/A</v>
        <stp/>
        <stp>VOLUME</stp>
        <stp>.NDX250822P20875</stp>
        <tr r="O165" s="2"/>
      </tp>
      <tp t="s">
        <v>N/A</v>
        <stp/>
        <stp>VOLUME</stp>
        <stp>.NDX251128P21275</stp>
        <tr r="U149" s="2"/>
      </tp>
      <tp t="s">
        <v>N/A</v>
        <stp/>
        <stp>VOLUME</stp>
        <stp>.NDX251128P20275</stp>
        <tr r="U189" s="2"/>
      </tp>
      <tp t="s">
        <v>N/A</v>
        <stp/>
        <stp>VOLUME</stp>
        <stp>.NDX250822C20825</stp>
        <tr r="O167" s="2"/>
      </tp>
      <tp t="s">
        <v>N/A</v>
        <stp/>
        <stp>VOLUME</stp>
        <stp>.NDX251128C21225</stp>
        <tr r="U151" s="2"/>
      </tp>
      <tp t="s">
        <v>N/A</v>
        <stp/>
        <stp>VOLUME</stp>
        <stp>.NDX250822C20800</stp>
        <tr r="O168" s="2"/>
      </tp>
      <tp t="s">
        <v>N/A</v>
        <stp/>
        <stp>VOLUME</stp>
        <stp>.NDX251128C21200</stp>
        <tr r="U152" s="2"/>
      </tp>
      <tp t="s">
        <v>N/A</v>
        <stp/>
        <stp>VOLUME</stp>
        <stp>.NDX251128C21275</stp>
        <tr r="U149" s="2"/>
      </tp>
      <tp t="s">
        <v>N/A</v>
        <stp/>
        <stp>VOLUME</stp>
        <stp>.NDX251128C20275</stp>
        <tr r="U189" s="2"/>
      </tp>
      <tp t="s">
        <v>N/A</v>
        <stp/>
        <stp>VOLUME</stp>
        <stp>.NDX250822C20875</stp>
        <tr r="O165" s="2"/>
      </tp>
      <tp t="s">
        <v>N/A</v>
        <stp/>
        <stp>VOLUME</stp>
        <stp>.NDX251128C21250</stp>
        <tr r="U150" s="2"/>
      </tp>
      <tp t="s">
        <v>N/A</v>
        <stp/>
        <stp>VOLUME</stp>
        <stp>.NDX251128C20250</stp>
        <tr r="U190" s="2"/>
      </tp>
      <tp t="s">
        <v>N/A</v>
        <stp/>
        <stp>VOLUME</stp>
        <stp>.NDX250822C20850</stp>
        <tr r="O166" s="2"/>
      </tp>
      <tp t="s">
        <v>N/A</v>
        <stp/>
        <stp>VOLUME</stp>
        <stp>.NDX251128P21100</stp>
        <tr r="U156" s="2"/>
      </tp>
      <tp>
        <v>1</v>
        <stp/>
        <stp>VOLUME</stp>
        <stp>.NDX250620P20900</stp>
        <tr r="BF163" s="1"/>
        <tr r="BF163" s="1"/>
      </tp>
      <tp t="s">
        <v>N/A</v>
        <stp/>
        <stp>VOLUME</stp>
        <stp>.NDX251128P21125</stp>
        <tr r="U155" s="2"/>
      </tp>
      <tp t="s">
        <v>N/A</v>
        <stp/>
        <stp>VOLUME</stp>
        <stp>.NDX250620P20925</stp>
        <tr r="BF162" s="1"/>
      </tp>
      <tp t="s">
        <v>N/A</v>
        <stp/>
        <stp>VOLUME</stp>
        <stp>.NDX250620P20950</stp>
        <tr r="BF161" s="1"/>
      </tp>
      <tp t="s">
        <v>N/A</v>
        <stp/>
        <stp>VOLUME</stp>
        <stp>.NDX251128P21150</stp>
        <tr r="U154" s="2"/>
      </tp>
      <tp t="s">
        <v>N/A</v>
        <stp/>
        <stp>VOLUME</stp>
        <stp>.NDX250620P20975</stp>
        <tr r="BF160" s="1"/>
      </tp>
      <tp t="s">
        <v>N/A</v>
        <stp/>
        <stp>VOLUME</stp>
        <stp>.NDX251128P21175</stp>
        <tr r="U153" s="2"/>
      </tp>
      <tp t="s">
        <v>N/A</v>
        <stp/>
        <stp>VOLUME</stp>
        <stp>.NDX250620C20925</stp>
        <tr r="BE162" s="1"/>
      </tp>
      <tp t="s">
        <v>N/A</v>
        <stp/>
        <stp>VOLUME</stp>
        <stp>.NDX251128C21125</stp>
        <tr r="U155" s="2"/>
      </tp>
      <tp t="s">
        <v>N/A</v>
        <stp/>
        <stp>VOLUME</stp>
        <stp>.NDX250620C20900</stp>
        <tr r="BE163" s="1"/>
      </tp>
      <tp t="s">
        <v>N/A</v>
        <stp/>
        <stp>VOLUME</stp>
        <stp>.NDX251128C21100</stp>
        <tr r="U156" s="2"/>
      </tp>
      <tp t="s">
        <v>N/A</v>
        <stp/>
        <stp>VOLUME</stp>
        <stp>.NDX251128C21175</stp>
        <tr r="U153" s="2"/>
      </tp>
      <tp t="s">
        <v>N/A</v>
        <stp/>
        <stp>VOLUME</stp>
        <stp>.NDX250620C20975</stp>
        <tr r="BE160" s="1"/>
      </tp>
      <tp t="s">
        <v>N/A</v>
        <stp/>
        <stp>VOLUME</stp>
        <stp>.NDX251128C21150</stp>
        <tr r="U154" s="2"/>
      </tp>
      <tp t="s">
        <v>N/A</v>
        <stp/>
        <stp>VOLUME</stp>
        <stp>.NDX250620C20950</stp>
        <tr r="BE161" s="1"/>
      </tp>
      <tp>
        <v>0.59</v>
        <stp/>
        <stp>DELTA</stp>
        <stp>.SPX250620C5910</stp>
        <tr r="CH101" s="1"/>
        <tr r="CH101" s="1"/>
      </tp>
      <tp>
        <v>-0.42</v>
        <stp/>
        <stp>DELTA</stp>
        <stp>.SPX250620P5910</stp>
        <tr r="CI101" s="1"/>
        <tr r="CI101" s="1"/>
      </tp>
      <tp>
        <v>0.6</v>
        <stp/>
        <stp>DELTA</stp>
        <stp>.SPX250620C5900</stp>
        <tr r="CH102" s="1"/>
        <tr r="CH102" s="1"/>
      </tp>
      <tp>
        <v>-0.4</v>
        <stp/>
        <stp>DELTA</stp>
        <stp>.SPX250620P5900</stp>
        <tr r="CI102" s="1"/>
        <tr r="CI102" s="1"/>
      </tp>
      <tp>
        <v>0.56000000000000005</v>
        <stp/>
        <stp>DELTA</stp>
        <stp>.SPX250620C5930</stp>
        <tr r="CH99" s="1"/>
        <tr r="CH99" s="1"/>
      </tp>
      <tp>
        <v>-0.44</v>
        <stp/>
        <stp>DELTA</stp>
        <stp>.SPX250620P5930</stp>
        <tr r="CI99" s="1"/>
        <tr r="CI99" s="1"/>
      </tp>
      <tp>
        <v>0.57999999999999996</v>
        <stp/>
        <stp>DELTA</stp>
        <stp>.SPX250620C5920</stp>
        <tr r="CH100" s="1"/>
        <tr r="CH100" s="1"/>
      </tp>
      <tp>
        <v>-0.43</v>
        <stp/>
        <stp>DELTA</stp>
        <stp>.SPX250620P5920</stp>
        <tr r="CI100" s="1"/>
        <tr r="CI100" s="1"/>
      </tp>
      <tp>
        <v>0.53</v>
        <stp/>
        <stp>DELTA</stp>
        <stp>.SPX250620C5950</stp>
        <tr r="CH97" s="1"/>
        <tr r="CH97" s="1"/>
      </tp>
      <tp>
        <v>-0.47</v>
        <stp/>
        <stp>DELTA</stp>
        <stp>.SPX250620P5950</stp>
        <tr r="CI97" s="1"/>
        <tr r="CI97" s="1"/>
      </tp>
      <tp>
        <v>0.54</v>
        <stp/>
        <stp>DELTA</stp>
        <stp>.SPX250620C5940</stp>
        <tr r="CH98" s="1"/>
        <tr r="CH98" s="1"/>
      </tp>
      <tp>
        <v>-0.46</v>
        <stp/>
        <stp>DELTA</stp>
        <stp>.SPX250620P5940</stp>
        <tr r="CI98" s="1"/>
        <tr r="CI98" s="1"/>
      </tp>
      <tp>
        <v>0.5</v>
        <stp/>
        <stp>DELTA</stp>
        <stp>.SPX250620C5970</stp>
        <tr r="CH95" s="1"/>
        <tr r="CH95" s="1"/>
      </tp>
      <tp>
        <v>-0.5</v>
        <stp/>
        <stp>DELTA</stp>
        <stp>.SPX250620P5970</stp>
        <tr r="CI95" s="1"/>
        <tr r="CI95" s="1"/>
      </tp>
      <tp>
        <v>0.51</v>
        <stp/>
        <stp>DELTA</stp>
        <stp>.SPX250620C5960</stp>
        <tr r="CH96" s="1"/>
        <tr r="CH96" s="1"/>
      </tp>
      <tp>
        <v>-0.49</v>
        <stp/>
        <stp>DELTA</stp>
        <stp>.SPX250620P5960</stp>
        <tr r="CI96" s="1"/>
        <tr r="CI96" s="1"/>
      </tp>
      <tp>
        <v>0.46</v>
        <stp/>
        <stp>DELTA</stp>
        <stp>.SPX250620C5990</stp>
        <tr r="CH93" s="1"/>
        <tr r="CH93" s="1"/>
      </tp>
      <tp>
        <v>-0.53</v>
        <stp/>
        <stp>DELTA</stp>
        <stp>.SPX250620P5990</stp>
        <tr r="CI93" s="1"/>
        <tr r="CI93" s="1"/>
      </tp>
      <tp>
        <v>0.48</v>
        <stp/>
        <stp>DELTA</stp>
        <stp>.SPX250620C5980</stp>
        <tr r="CH94" s="1"/>
        <tr r="CH94" s="1"/>
      </tp>
      <tp>
        <v>-0.52</v>
        <stp/>
        <stp>DELTA</stp>
        <stp>.SPX250620P5980</stp>
        <tr r="CI94" s="1"/>
        <tr r="CI94" s="1"/>
      </tp>
      <tp t="s">
        <v>N/A</v>
        <stp/>
        <stp>VOLUME</stp>
        <stp>.NDX251128P21000</stp>
        <tr r="U160" s="2"/>
      </tp>
      <tp>
        <v>61</v>
        <stp/>
        <stp>VOLUME</stp>
        <stp>.NDX250620P20800</stp>
        <tr r="BF167" s="1"/>
        <tr r="BF167" s="1"/>
      </tp>
      <tp t="s">
        <v>N/A</v>
        <stp/>
        <stp>VOLUME</stp>
        <stp>.NDX251128P21025</stp>
        <tr r="U159" s="2"/>
      </tp>
      <tp t="s">
        <v>N/A</v>
        <stp/>
        <stp>VOLUME</stp>
        <stp>.NDX250620P20825</stp>
        <tr r="BF166" s="1"/>
      </tp>
      <tp t="s">
        <v>N/A</v>
        <stp/>
        <stp>VOLUME</stp>
        <stp>.NDX250620P20850</stp>
        <tr r="BF165" s="1"/>
      </tp>
      <tp t="s">
        <v>N/A</v>
        <stp/>
        <stp>VOLUME</stp>
        <stp>.NDX251128P21050</stp>
        <tr r="U158" s="2"/>
      </tp>
      <tp>
        <v>3</v>
        <stp/>
        <stp>VOLUME</stp>
        <stp>.NDX250620P20875</stp>
        <tr r="BF164" s="1"/>
        <tr r="BF164" s="1"/>
      </tp>
      <tp t="s">
        <v>N/A</v>
        <stp/>
        <stp>VOLUME</stp>
        <stp>.NDX251128P21075</stp>
        <tr r="U157" s="2"/>
      </tp>
      <tp t="s">
        <v>N/A</v>
        <stp/>
        <stp>VOLUME</stp>
        <stp>.NDX250620C20825</stp>
        <tr r="BE166" s="1"/>
      </tp>
      <tp t="s">
        <v>N/A</v>
        <stp/>
        <stp>VOLUME</stp>
        <stp>.NDX251128C21025</stp>
        <tr r="U159" s="2"/>
      </tp>
      <tp>
        <v>2</v>
        <stp/>
        <stp>VOLUME</stp>
        <stp>.NDX250620C20800</stp>
        <tr r="BE167" s="1"/>
        <tr r="BE167" s="1"/>
      </tp>
      <tp t="s">
        <v>N/A</v>
        <stp/>
        <stp>VOLUME</stp>
        <stp>.NDX251128C21000</stp>
        <tr r="U160" s="2"/>
      </tp>
      <tp t="s">
        <v>N/A</v>
        <stp/>
        <stp>VOLUME</stp>
        <stp>.NDX251128C21075</stp>
        <tr r="U157" s="2"/>
      </tp>
      <tp t="s">
        <v>N/A</v>
        <stp/>
        <stp>VOLUME</stp>
        <stp>.NDX250620C20875</stp>
        <tr r="BE164" s="1"/>
      </tp>
      <tp t="s">
        <v>N/A</v>
        <stp/>
        <stp>VOLUME</stp>
        <stp>.NDX251128C21050</stp>
        <tr r="U158" s="2"/>
      </tp>
      <tp t="s">
        <v>N/A</v>
        <stp/>
        <stp>VOLUME</stp>
        <stp>.NDX250620C20850</stp>
        <tr r="BE165" s="1"/>
      </tp>
      <tp>
        <v>0.72</v>
        <stp/>
        <stp>DELTA</stp>
        <stp>.SPX250620C5810</stp>
        <tr r="CH111" s="1"/>
        <tr r="CH111" s="1"/>
      </tp>
      <tp>
        <v>-0.3</v>
        <stp/>
        <stp>DELTA</stp>
        <stp>.SPX250620P5810</stp>
        <tr r="CI111" s="1"/>
        <tr r="CI111" s="1"/>
      </tp>
      <tp>
        <v>0.73</v>
        <stp/>
        <stp>DELTA</stp>
        <stp>.SPX250620C5800</stp>
        <tr r="CH112" s="1"/>
        <tr r="CH112" s="1"/>
      </tp>
      <tp>
        <v>-0.28999999999999998</v>
        <stp/>
        <stp>DELTA</stp>
        <stp>.SPX250620P5800</stp>
        <tr r="CI112" s="1"/>
        <tr r="CI112" s="1"/>
      </tp>
      <tp>
        <v>0.69</v>
        <stp/>
        <stp>DELTA</stp>
        <stp>.SPX250620C5830</stp>
        <tr r="CH109" s="1"/>
        <tr r="CH109" s="1"/>
      </tp>
      <tp>
        <v>-0.32</v>
        <stp/>
        <stp>DELTA</stp>
        <stp>.SPX250620P5830</stp>
        <tr r="CI109" s="1"/>
        <tr r="CI109" s="1"/>
      </tp>
      <tp>
        <v>0.71</v>
        <stp/>
        <stp>DELTA</stp>
        <stp>.SPX250620C5820</stp>
        <tr r="CH110" s="1"/>
        <tr r="CH110" s="1"/>
      </tp>
      <tp>
        <v>-0.31</v>
        <stp/>
        <stp>DELTA</stp>
        <stp>.SPX250620P5820</stp>
        <tr r="CI110" s="1"/>
        <tr r="CI110" s="1"/>
      </tp>
      <tp>
        <v>0.67</v>
        <stp/>
        <stp>DELTA</stp>
        <stp>.SPX250620C5850</stp>
        <tr r="CH107" s="1"/>
        <tr r="CH107" s="1"/>
      </tp>
      <tp>
        <v>-0.34</v>
        <stp/>
        <stp>DELTA</stp>
        <stp>.SPX250620P5850</stp>
        <tr r="CI107" s="1"/>
        <tr r="CI107" s="1"/>
      </tp>
      <tp>
        <v>0.68</v>
        <stp/>
        <stp>DELTA</stp>
        <stp>.SPX250620C5840</stp>
        <tr r="CH108" s="1"/>
        <tr r="CH108" s="1"/>
      </tp>
      <tp>
        <v>-0.33</v>
        <stp/>
        <stp>DELTA</stp>
        <stp>.SPX250620P5840</stp>
        <tr r="CI108" s="1"/>
        <tr r="CI108" s="1"/>
      </tp>
      <tp>
        <v>0.65</v>
        <stp/>
        <stp>DELTA</stp>
        <stp>.SPX250620C5870</stp>
        <tr r="CH105" s="1"/>
        <tr r="CH105" s="1"/>
      </tp>
      <tp>
        <v>-0.36</v>
        <stp/>
        <stp>DELTA</stp>
        <stp>.SPX250620P5870</stp>
        <tr r="CI105" s="1"/>
        <tr r="CI105" s="1"/>
      </tp>
      <tp>
        <v>0.66</v>
        <stp/>
        <stp>DELTA</stp>
        <stp>.SPX250620C5860</stp>
        <tr r="CH106" s="1"/>
        <tr r="CH106" s="1"/>
      </tp>
      <tp>
        <v>-0.35</v>
        <stp/>
        <stp>DELTA</stp>
        <stp>.SPX250620P5860</stp>
        <tr r="CI106" s="1"/>
        <tr r="CI106" s="1"/>
      </tp>
      <tp>
        <v>0.62</v>
        <stp/>
        <stp>DELTA</stp>
        <stp>.SPX250620C5890</stp>
        <tr r="CH103" s="1"/>
        <tr r="CH103" s="1"/>
      </tp>
      <tp>
        <v>-0.39</v>
        <stp/>
        <stp>DELTA</stp>
        <stp>.SPX250620P5890</stp>
        <tr r="CI103" s="1"/>
        <tr r="CI103" s="1"/>
      </tp>
      <tp>
        <v>0.63</v>
        <stp/>
        <stp>DELTA</stp>
        <stp>.SPX250620C5880</stp>
        <tr r="CH104" s="1"/>
        <tr r="CH104" s="1"/>
      </tp>
      <tp>
        <v>-0.38</v>
        <stp/>
        <stp>DELTA</stp>
        <stp>.SPX250620P5880</stp>
        <tr r="CI104" s="1"/>
        <tr r="CI104" s="1"/>
      </tp>
      <tp t="s">
        <v>16.46%</v>
        <stp/>
        <stp>IMPL_VOL</stp>
        <stp>.NDXP250523C20875</stp>
        <tr r="EN164" s="1"/>
      </tp>
      <tp t="s">
        <v>19.91%</v>
        <stp/>
        <stp>IMPL_VOL</stp>
        <stp>.NDXP250523C20850</stp>
        <tr r="EN165" s="1"/>
      </tp>
      <tp t="s">
        <v>14.30%</v>
        <stp/>
        <stp>IMPL_VOL</stp>
        <stp>.NDXP250523C20825</stp>
        <tr r="EN166" s="1"/>
      </tp>
      <tp t="s">
        <v>--</v>
        <stp/>
        <stp>IMPL_VOL</stp>
        <stp>.NDXP250523C20800</stp>
        <tr r="EN167" s="1"/>
      </tp>
      <tp t="s">
        <v>N/A</v>
        <stp/>
        <stp>VOLUME</stp>
        <stp>.NDX251226P20900</stp>
        <tr r="W164" s="2"/>
      </tp>
      <tp t="s">
        <v>N/A</v>
        <stp/>
        <stp>VOLUME</stp>
        <stp>.NDX251128P20700</stp>
        <tr r="U172" s="2"/>
      </tp>
      <tp t="s">
        <v>N/A</v>
        <stp/>
        <stp>VOLUME</stp>
        <stp>.NDX250926P20900</stp>
        <tr r="Q164" s="2"/>
      </tp>
      <tp t="s">
        <v>N/A</v>
        <stp/>
        <stp>VOLUME</stp>
        <stp>.NDX250606P20900</stp>
        <tr r="H164" s="2"/>
      </tp>
      <tp t="s">
        <v>N/A</v>
        <stp/>
        <stp>VOLUME</stp>
        <stp>.NDX250627P20800</stp>
        <tr r="K168" s="2"/>
      </tp>
      <tp t="s">
        <v>N/A</v>
        <stp/>
        <stp>VOLUME</stp>
        <stp>.NDX251226P20925</stp>
        <tr r="W163" s="2"/>
      </tp>
      <tp t="s">
        <v>N/A</v>
        <stp/>
        <stp>VOLUME</stp>
        <stp>.NDX251128P20725</stp>
        <tr r="U171" s="2"/>
      </tp>
      <tp t="s">
        <v>N/A</v>
        <stp/>
        <stp>VOLUME</stp>
        <stp>.NDX250926P20925</stp>
        <tr r="Q163" s="2"/>
      </tp>
      <tp t="s">
        <v>N/A</v>
        <stp/>
        <stp>VOLUME</stp>
        <stp>.NDX250606P20925</stp>
        <tr r="H163" s="2"/>
      </tp>
      <tp t="s">
        <v>N/A</v>
        <stp/>
        <stp>VOLUME</stp>
        <stp>.NDX250627P20825</stp>
        <tr r="K167" s="2"/>
      </tp>
      <tp t="s">
        <v>N/A</v>
        <stp/>
        <stp>VOLUME</stp>
        <stp>.NDX250926P20950</stp>
        <tr r="Q162" s="2"/>
      </tp>
      <tp t="s">
        <v>N/A</v>
        <stp/>
        <stp>VOLUME</stp>
        <stp>.NDX250606P20950</stp>
        <tr r="H162" s="2"/>
      </tp>
      <tp t="s">
        <v>N/A</v>
        <stp/>
        <stp>VOLUME</stp>
        <stp>.NDX250627P20850</stp>
        <tr r="K166" s="2"/>
      </tp>
      <tp t="s">
        <v>N/A</v>
        <stp/>
        <stp>VOLUME</stp>
        <stp>.NDX251226P20950</stp>
        <tr r="W162" s="2"/>
      </tp>
      <tp t="s">
        <v>N/A</v>
        <stp/>
        <stp>VOLUME</stp>
        <stp>.NDX251128P20750</stp>
        <tr r="U170" s="2"/>
      </tp>
      <tp t="s">
        <v>N/A</v>
        <stp/>
        <stp>VOLUME</stp>
        <stp>.NDX250926P20975</stp>
        <tr r="Q161" s="2"/>
      </tp>
      <tp t="s">
        <v>N/A</v>
        <stp/>
        <stp>VOLUME</stp>
        <stp>.NDX250606P20975</stp>
        <tr r="H161" s="2"/>
      </tp>
      <tp t="s">
        <v>N/A</v>
        <stp/>
        <stp>VOLUME</stp>
        <stp>.NDX250627P20875</stp>
        <tr r="K165" s="2"/>
      </tp>
      <tp t="s">
        <v>N/A</v>
        <stp/>
        <stp>VOLUME</stp>
        <stp>.NDX251226P20975</stp>
        <tr r="W161" s="2"/>
      </tp>
      <tp t="s">
        <v>N/A</v>
        <stp/>
        <stp>VOLUME</stp>
        <stp>.NDX251128P20775</stp>
        <tr r="U169" s="2"/>
      </tp>
      <tp t="s">
        <v>25.09%</v>
        <stp/>
        <stp>IMPL_VOL</stp>
        <stp>.NDXP250523P20850</stp>
        <tr r="EO165" s="1"/>
      </tp>
      <tp t="s">
        <v>24.95%</v>
        <stp/>
        <stp>IMPL_VOL</stp>
        <stp>.NDXP250523P20875</stp>
        <tr r="EO164" s="1"/>
      </tp>
      <tp t="s">
        <v>25.40%</v>
        <stp/>
        <stp>IMPL_VOL</stp>
        <stp>.NDXP250523P20800</stp>
        <tr r="EO167" s="1"/>
      </tp>
      <tp t="s">
        <v>25.24%</v>
        <stp/>
        <stp>IMPL_VOL</stp>
        <stp>.NDXP250523P20825</stp>
        <tr r="EO166" s="1"/>
      </tp>
      <tp t="s">
        <v>N/A</v>
        <stp/>
        <stp>VOLUME</stp>
        <stp>.NDX250926C20925</stp>
        <tr r="Q163" s="2"/>
      </tp>
      <tp t="s">
        <v>N/A</v>
        <stp/>
        <stp>VOLUME</stp>
        <stp>.NDX250606C20925</stp>
        <tr r="H163" s="2"/>
      </tp>
      <tp t="s">
        <v>N/A</v>
        <stp/>
        <stp>VOLUME</stp>
        <stp>.NDX250627C20825</stp>
        <tr r="K167" s="2"/>
      </tp>
      <tp t="s">
        <v>N/A</v>
        <stp/>
        <stp>VOLUME</stp>
        <stp>.NDX251226C20925</stp>
        <tr r="W163" s="2"/>
      </tp>
      <tp t="s">
        <v>N/A</v>
        <stp/>
        <stp>VOLUME</stp>
        <stp>.NDX251128C20725</stp>
        <tr r="U171" s="2"/>
      </tp>
      <tp t="s">
        <v>N/A</v>
        <stp/>
        <stp>VOLUME</stp>
        <stp>.NDX250926C20900</stp>
        <tr r="Q164" s="2"/>
      </tp>
      <tp t="s">
        <v>N/A</v>
        <stp/>
        <stp>VOLUME</stp>
        <stp>.NDX250606C20900</stp>
        <tr r="H164" s="2"/>
      </tp>
      <tp t="s">
        <v>N/A</v>
        <stp/>
        <stp>VOLUME</stp>
        <stp>.NDX250627C20800</stp>
        <tr r="K168" s="2"/>
      </tp>
      <tp t="s">
        <v>N/A</v>
        <stp/>
        <stp>VOLUME</stp>
        <stp>.NDX251226C20900</stp>
        <tr r="W164" s="2"/>
      </tp>
      <tp t="s">
        <v>N/A</v>
        <stp/>
        <stp>VOLUME</stp>
        <stp>.NDX251128C20700</stp>
        <tr r="U172" s="2"/>
      </tp>
      <tp t="s">
        <v>N/A</v>
        <stp/>
        <stp>VOLUME</stp>
        <stp>.NDX251226C20975</stp>
        <tr r="W161" s="2"/>
      </tp>
      <tp t="s">
        <v>N/A</v>
        <stp/>
        <stp>VOLUME</stp>
        <stp>.NDX251128C20775</stp>
        <tr r="U169" s="2"/>
      </tp>
      <tp t="s">
        <v>N/A</v>
        <stp/>
        <stp>VOLUME</stp>
        <stp>.NDX250926C20975</stp>
        <tr r="Q161" s="2"/>
      </tp>
      <tp t="s">
        <v>N/A</v>
        <stp/>
        <stp>VOLUME</stp>
        <stp>.NDX250606C20975</stp>
        <tr r="H161" s="2"/>
      </tp>
      <tp t="s">
        <v>N/A</v>
        <stp/>
        <stp>VOLUME</stp>
        <stp>.NDX250627C20875</stp>
        <tr r="K165" s="2"/>
      </tp>
      <tp t="s">
        <v>N/A</v>
        <stp/>
        <stp>VOLUME</stp>
        <stp>.NDX251226C20950</stp>
        <tr r="W162" s="2"/>
      </tp>
      <tp t="s">
        <v>N/A</v>
        <stp/>
        <stp>VOLUME</stp>
        <stp>.NDX251128C20750</stp>
        <tr r="U170" s="2"/>
      </tp>
      <tp t="s">
        <v>N/A</v>
        <stp/>
        <stp>VOLUME</stp>
        <stp>.NDX250926C20950</stp>
        <tr r="Q162" s="2"/>
      </tp>
      <tp t="s">
        <v>N/A</v>
        <stp/>
        <stp>VOLUME</stp>
        <stp>.NDX250606C20950</stp>
        <tr r="H162" s="2"/>
      </tp>
      <tp t="s">
        <v>N/A</v>
        <stp/>
        <stp>VOLUME</stp>
        <stp>.NDX250627C20850</stp>
        <tr r="K166" s="2"/>
      </tp>
      <tp t="s">
        <v>18.09%</v>
        <stp/>
        <stp>IMPL_VOL</stp>
        <stp>.NDXP250523C20975</stp>
        <tr r="EN160" s="1"/>
      </tp>
      <tp t="s">
        <v>15.71%</v>
        <stp/>
        <stp>IMPL_VOL</stp>
        <stp>.NDXP250523C20950</stp>
        <tr r="EN161" s="1"/>
      </tp>
      <tp t="s">
        <v>17.61%</v>
        <stp/>
        <stp>IMPL_VOL</stp>
        <stp>.NDXP250523C20925</stp>
        <tr r="EN162" s="1"/>
      </tp>
      <tp t="s">
        <v>15.03%</v>
        <stp/>
        <stp>IMPL_VOL</stp>
        <stp>.NDXP250523C20900</stp>
        <tr r="EN163" s="1"/>
      </tp>
      <tp t="s">
        <v>N/A</v>
        <stp/>
        <stp>VOLUME</stp>
        <stp>.NDX251226P20800</stp>
        <tr r="W168" s="2"/>
      </tp>
      <tp t="s">
        <v>N/A</v>
        <stp/>
        <stp>VOLUME</stp>
        <stp>.NDX251128P20600</stp>
        <tr r="U176" s="2"/>
      </tp>
      <tp t="s">
        <v>N/A</v>
        <stp/>
        <stp>VOLUME</stp>
        <stp>.NDX250926P20800</stp>
        <tr r="Q168" s="2"/>
      </tp>
      <tp t="s">
        <v>N/A</v>
        <stp/>
        <stp>VOLUME</stp>
        <stp>.NDX250606P20800</stp>
        <tr r="H168" s="2"/>
      </tp>
      <tp t="s">
        <v>N/A</v>
        <stp/>
        <stp>VOLUME</stp>
        <stp>.NDX250627P20900</stp>
        <tr r="K164" s="2"/>
      </tp>
      <tp t="s">
        <v>N/A</v>
        <stp/>
        <stp>VOLUME</stp>
        <stp>.NDX251226P20825</stp>
        <tr r="W167" s="2"/>
      </tp>
      <tp t="s">
        <v>N/A</v>
        <stp/>
        <stp>VOLUME</stp>
        <stp>.NDX251128P20625</stp>
        <tr r="U175" s="2"/>
      </tp>
      <tp t="s">
        <v>N/A</v>
        <stp/>
        <stp>VOLUME</stp>
        <stp>.NDX250926P20825</stp>
        <tr r="Q167" s="2"/>
      </tp>
      <tp t="s">
        <v>N/A</v>
        <stp/>
        <stp>VOLUME</stp>
        <stp>.NDX250606P20825</stp>
        <tr r="H167" s="2"/>
      </tp>
      <tp t="s">
        <v>N/A</v>
        <stp/>
        <stp>VOLUME</stp>
        <stp>.NDX250627P20925</stp>
        <tr r="K163" s="2"/>
      </tp>
      <tp t="s">
        <v>N/A</v>
        <stp/>
        <stp>VOLUME</stp>
        <stp>.NDX250926P20850</stp>
        <tr r="Q166" s="2"/>
      </tp>
      <tp t="s">
        <v>N/A</v>
        <stp/>
        <stp>VOLUME</stp>
        <stp>.NDX250606P20850</stp>
        <tr r="H166" s="2"/>
      </tp>
      <tp t="s">
        <v>N/A</v>
        <stp/>
        <stp>VOLUME</stp>
        <stp>.NDX250627P20950</stp>
        <tr r="K162" s="2"/>
      </tp>
      <tp t="s">
        <v>N/A</v>
        <stp/>
        <stp>VOLUME</stp>
        <stp>.NDX251226P20850</stp>
        <tr r="W166" s="2"/>
      </tp>
      <tp t="s">
        <v>N/A</v>
        <stp/>
        <stp>VOLUME</stp>
        <stp>.NDX251128P20650</stp>
        <tr r="U174" s="2"/>
      </tp>
      <tp t="s">
        <v>N/A</v>
        <stp/>
        <stp>VOLUME</stp>
        <stp>.NDX250926P20875</stp>
        <tr r="Q165" s="2"/>
      </tp>
      <tp t="s">
        <v>N/A</v>
        <stp/>
        <stp>VOLUME</stp>
        <stp>.NDX250606P20875</stp>
        <tr r="H165" s="2"/>
      </tp>
      <tp t="s">
        <v>N/A</v>
        <stp/>
        <stp>VOLUME</stp>
        <stp>.NDX250627P20975</stp>
        <tr r="K161" s="2"/>
      </tp>
      <tp t="s">
        <v>N/A</v>
        <stp/>
        <stp>VOLUME</stp>
        <stp>.NDX251226P20875</stp>
        <tr r="W165" s="2"/>
      </tp>
      <tp t="s">
        <v>N/A</v>
        <stp/>
        <stp>VOLUME</stp>
        <stp>.NDX251128P20675</stp>
        <tr r="U173" s="2"/>
      </tp>
      <tp t="s">
        <v>24.51%</v>
        <stp/>
        <stp>IMPL_VOL</stp>
        <stp>.NDXP250523P20950</stp>
        <tr r="EO161" s="1"/>
      </tp>
      <tp t="s">
        <v>24.38%</v>
        <stp/>
        <stp>IMPL_VOL</stp>
        <stp>.NDXP250523P20975</stp>
        <tr r="EO160" s="1"/>
      </tp>
      <tp t="s">
        <v>24.80%</v>
        <stp/>
        <stp>IMPL_VOL</stp>
        <stp>.NDXP250523P20900</stp>
        <tr r="EO163" s="1"/>
      </tp>
      <tp t="s">
        <v>24.65%</v>
        <stp/>
        <stp>IMPL_VOL</stp>
        <stp>.NDXP250523P20925</stp>
        <tr r="EO162" s="1"/>
      </tp>
      <tp t="s">
        <v>N/A</v>
        <stp/>
        <stp>VOLUME</stp>
        <stp>.NDX250926C20825</stp>
        <tr r="Q167" s="2"/>
      </tp>
      <tp t="s">
        <v>N/A</v>
        <stp/>
        <stp>VOLUME</stp>
        <stp>.NDX250606C20825</stp>
        <tr r="H167" s="2"/>
      </tp>
      <tp t="s">
        <v>N/A</v>
        <stp/>
        <stp>VOLUME</stp>
        <stp>.NDX250627C20925</stp>
        <tr r="K163" s="2"/>
      </tp>
      <tp t="s">
        <v>N/A</v>
        <stp/>
        <stp>VOLUME</stp>
        <stp>.NDX251226C20825</stp>
        <tr r="W167" s="2"/>
      </tp>
      <tp t="s">
        <v>N/A</v>
        <stp/>
        <stp>VOLUME</stp>
        <stp>.NDX251128C20625</stp>
        <tr r="U175" s="2"/>
      </tp>
      <tp t="s">
        <v>N/A</v>
        <stp/>
        <stp>VOLUME</stp>
        <stp>.NDX250926C20800</stp>
        <tr r="Q168" s="2"/>
      </tp>
      <tp t="s">
        <v>N/A</v>
        <stp/>
        <stp>VOLUME</stp>
        <stp>.NDX250606C20800</stp>
        <tr r="H168" s="2"/>
      </tp>
      <tp t="s">
        <v>N/A</v>
        <stp/>
        <stp>VOLUME</stp>
        <stp>.NDX250627C20900</stp>
        <tr r="K164" s="2"/>
      </tp>
      <tp t="s">
        <v>N/A</v>
        <stp/>
        <stp>VOLUME</stp>
        <stp>.NDX251226C20800</stp>
        <tr r="W168" s="2"/>
      </tp>
      <tp t="s">
        <v>N/A</v>
        <stp/>
        <stp>VOLUME</stp>
        <stp>.NDX251128C20600</stp>
        <tr r="U176" s="2"/>
      </tp>
      <tp t="s">
        <v>N/A</v>
        <stp/>
        <stp>VOLUME</stp>
        <stp>.NDX251226C20875</stp>
        <tr r="W165" s="2"/>
      </tp>
      <tp t="s">
        <v>N/A</v>
        <stp/>
        <stp>VOLUME</stp>
        <stp>.NDX251128C20675</stp>
        <tr r="U173" s="2"/>
      </tp>
      <tp t="s">
        <v>N/A</v>
        <stp/>
        <stp>VOLUME</stp>
        <stp>.NDX250926C20875</stp>
        <tr r="Q165" s="2"/>
      </tp>
      <tp t="s">
        <v>N/A</v>
        <stp/>
        <stp>VOLUME</stp>
        <stp>.NDX250606C20875</stp>
        <tr r="H165" s="2"/>
      </tp>
      <tp t="s">
        <v>N/A</v>
        <stp/>
        <stp>VOLUME</stp>
        <stp>.NDX250627C20975</stp>
        <tr r="K161" s="2"/>
      </tp>
      <tp t="s">
        <v>N/A</v>
        <stp/>
        <stp>VOLUME</stp>
        <stp>.NDX251226C20850</stp>
        <tr r="W166" s="2"/>
      </tp>
      <tp t="s">
        <v>N/A</v>
        <stp/>
        <stp>VOLUME</stp>
        <stp>.NDX251128C20650</stp>
        <tr r="U174" s="2"/>
      </tp>
      <tp t="s">
        <v>N/A</v>
        <stp/>
        <stp>VOLUME</stp>
        <stp>.NDX250926C20850</stp>
        <tr r="Q166" s="2"/>
      </tp>
      <tp t="s">
        <v>N/A</v>
        <stp/>
        <stp>VOLUME</stp>
        <stp>.NDX250606C20850</stp>
        <tr r="H166" s="2"/>
      </tp>
      <tp t="s">
        <v>N/A</v>
        <stp/>
        <stp>VOLUME</stp>
        <stp>.NDX250627C20950</stp>
        <tr r="K162" s="2"/>
      </tp>
      <tp t="s">
        <v>116.35%</v>
        <stp/>
        <stp>IMPL_VOL</stp>
        <stp>.NDXP250520C20975</stp>
        <tr r="EL160" s="1"/>
      </tp>
      <tp t="s">
        <v>136.95%</v>
        <stp/>
        <stp>IMPL_VOL</stp>
        <stp>.NDXP250520C20950</stp>
        <tr r="EL161" s="1"/>
      </tp>
      <tp t="s">
        <v>118.57%</v>
        <stp/>
        <stp>IMPL_VOL</stp>
        <stp>.NDXP250520C20925</stp>
        <tr r="EL162" s="1"/>
      </tp>
      <tp t="s">
        <v>--</v>
        <stp/>
        <stp>IMPL_VOL</stp>
        <stp>.NDXP250520C20900</stp>
        <tr r="EL163" s="1"/>
      </tp>
      <tp t="s">
        <v>N/A</v>
        <stp/>
        <stp>VOLUME</stp>
        <stp>.NDX251128P21500</stp>
        <tr r="U140" s="2"/>
      </tp>
      <tp t="s">
        <v>N/A</v>
        <stp/>
        <stp>VOLUME</stp>
        <stp>.NDX251128P20500</stp>
        <tr r="U180" s="2"/>
      </tp>
      <tp t="s">
        <v>N/A</v>
        <stp/>
        <stp>VOLUME</stp>
        <stp>.NDX251024P20900</stp>
        <tr r="S164" s="2"/>
      </tp>
      <tp t="s">
        <v>N/A</v>
        <stp/>
        <stp>VOLUME</stp>
        <stp>.NDX250725P20800</stp>
        <tr r="M168" s="2"/>
      </tp>
      <tp t="s">
        <v>N/A</v>
        <stp/>
        <stp>VOLUME</stp>
        <stp>.NDX251024P20925</stp>
        <tr r="S163" s="2"/>
      </tp>
      <tp t="s">
        <v>N/A</v>
        <stp/>
        <stp>VOLUME</stp>
        <stp>.NDX251128P21525</stp>
        <tr r="U139" s="2"/>
      </tp>
      <tp t="s">
        <v>N/A</v>
        <stp/>
        <stp>VOLUME</stp>
        <stp>.NDX251128P20525</stp>
        <tr r="U179" s="2"/>
      </tp>
      <tp t="s">
        <v>N/A</v>
        <stp/>
        <stp>VOLUME</stp>
        <stp>.NDX250725P20825</stp>
        <tr r="M167" s="2"/>
      </tp>
      <tp t="s">
        <v>N/A</v>
        <stp/>
        <stp>VOLUME</stp>
        <stp>.NDX250725P20850</stp>
        <tr r="M166" s="2"/>
      </tp>
      <tp t="s">
        <v>N/A</v>
        <stp/>
        <stp>VOLUME</stp>
        <stp>.NDX251128P21550</stp>
        <tr r="U138" s="2"/>
      </tp>
      <tp t="s">
        <v>N/A</v>
        <stp/>
        <stp>VOLUME</stp>
        <stp>.NDX251128P20550</stp>
        <tr r="U178" s="2"/>
      </tp>
      <tp t="s">
        <v>N/A</v>
        <stp/>
        <stp>VOLUME</stp>
        <stp>.NDX251024P20950</stp>
        <tr r="S162" s="2"/>
      </tp>
      <tp t="s">
        <v>N/A</v>
        <stp/>
        <stp>VOLUME</stp>
        <stp>.NDX250725P20875</stp>
        <tr r="M165" s="2"/>
      </tp>
      <tp t="s">
        <v>N/A</v>
        <stp/>
        <stp>VOLUME</stp>
        <stp>.NDX251024P20975</stp>
        <tr r="S161" s="2"/>
      </tp>
      <tp t="s">
        <v>N/A</v>
        <stp/>
        <stp>VOLUME</stp>
        <stp>.NDX251128P20575</stp>
        <tr r="U177" s="2"/>
      </tp>
      <tp t="s">
        <v>182.17%</v>
        <stp/>
        <stp>IMPL_VOL</stp>
        <stp>.NDXP250520P20950</stp>
        <tr r="EM161" s="1"/>
      </tp>
      <tp t="s">
        <v>173.72%</v>
        <stp/>
        <stp>IMPL_VOL</stp>
        <stp>.NDXP250520P20975</stp>
        <tr r="EM160" s="1"/>
      </tp>
      <tp t="s">
        <v>162.25%</v>
        <stp/>
        <stp>IMPL_VOL</stp>
        <stp>.NDXP250520P20900</stp>
        <tr r="EM163" s="1"/>
      </tp>
      <tp t="s">
        <v>190.56%</v>
        <stp/>
        <stp>IMPL_VOL</stp>
        <stp>.NDXP250520P20925</stp>
        <tr r="EM162" s="1"/>
      </tp>
      <tp t="s">
        <v>N/A</v>
        <stp/>
        <stp>VOLUME</stp>
        <stp>.NDX250725C20825</stp>
        <tr r="M167" s="2"/>
      </tp>
      <tp t="s">
        <v>N/A</v>
        <stp/>
        <stp>VOLUME</stp>
        <stp>.NDX251024C20925</stp>
        <tr r="S163" s="2"/>
      </tp>
      <tp t="s">
        <v>N/A</v>
        <stp/>
        <stp>VOLUME</stp>
        <stp>.NDX251128C21525</stp>
        <tr r="U139" s="2"/>
      </tp>
      <tp t="s">
        <v>N/A</v>
        <stp/>
        <stp>VOLUME</stp>
        <stp>.NDX251128C20525</stp>
        <tr r="U179" s="2"/>
      </tp>
      <tp t="s">
        <v>N/A</v>
        <stp/>
        <stp>VOLUME</stp>
        <stp>.NDX250725C20800</stp>
        <tr r="M168" s="2"/>
      </tp>
      <tp t="s">
        <v>N/A</v>
        <stp/>
        <stp>VOLUME</stp>
        <stp>.NDX251128C21500</stp>
        <tr r="U140" s="2"/>
      </tp>
      <tp t="s">
        <v>N/A</v>
        <stp/>
        <stp>VOLUME</stp>
        <stp>.NDX251128C20500</stp>
        <tr r="U180" s="2"/>
      </tp>
      <tp t="s">
        <v>N/A</v>
        <stp/>
        <stp>VOLUME</stp>
        <stp>.NDX251024C20900</stp>
        <tr r="S164" s="2"/>
      </tp>
      <tp t="s">
        <v>N/A</v>
        <stp/>
        <stp>VOLUME</stp>
        <stp>.NDX251024C20975</stp>
        <tr r="S161" s="2"/>
      </tp>
      <tp t="s">
        <v>N/A</v>
        <stp/>
        <stp>VOLUME</stp>
        <stp>.NDX251128C20575</stp>
        <tr r="U177" s="2"/>
      </tp>
      <tp t="s">
        <v>N/A</v>
        <stp/>
        <stp>VOLUME</stp>
        <stp>.NDX250725C20875</stp>
        <tr r="M165" s="2"/>
      </tp>
      <tp t="s">
        <v>N/A</v>
        <stp/>
        <stp>VOLUME</stp>
        <stp>.NDX251128C21550</stp>
        <tr r="U138" s="2"/>
      </tp>
      <tp t="s">
        <v>N/A</v>
        <stp/>
        <stp>VOLUME</stp>
        <stp>.NDX251128C20550</stp>
        <tr r="U178" s="2"/>
      </tp>
      <tp t="s">
        <v>N/A</v>
        <stp/>
        <stp>VOLUME</stp>
        <stp>.NDX251024C20950</stp>
        <tr r="S162" s="2"/>
      </tp>
      <tp t="s">
        <v>N/A</v>
        <stp/>
        <stp>VOLUME</stp>
        <stp>.NDX250725C20850</stp>
        <tr r="M166" s="2"/>
      </tp>
      <tp>
        <v>21420.75</v>
        <stp/>
        <stp>MARK</stp>
        <stp>/NQ:XCME</stp>
        <tr r="F136" s="1"/>
        <tr r="F44" s="1"/>
      </tp>
      <tp t="s">
        <v>--</v>
        <stp/>
        <stp>IMPL_VOL</stp>
        <stp>.NDXP250520C20875</stp>
        <tr r="EL164" s="1"/>
      </tp>
      <tp t="s">
        <v>--</v>
        <stp/>
        <stp>IMPL_VOL</stp>
        <stp>.NDXP250520C20850</stp>
        <tr r="EL165" s="1"/>
      </tp>
      <tp t="s">
        <v>185.21%</v>
        <stp/>
        <stp>IMPL_VOL</stp>
        <stp>.NDXP250520C20825</stp>
        <tr r="EL166" s="1"/>
      </tp>
      <tp t="s">
        <v>--</v>
        <stp/>
        <stp>IMPL_VOL</stp>
        <stp>.NDXP250520C20800</stp>
        <tr r="EL167" s="1"/>
      </tp>
      <tp t="s">
        <v>N/A</v>
        <stp/>
        <stp>VOLUME</stp>
        <stp>.NDX251128P21400</stp>
        <tr r="U144" s="2"/>
      </tp>
      <tp t="s">
        <v>N/A</v>
        <stp/>
        <stp>VOLUME</stp>
        <stp>.NDX251128P20400</stp>
        <tr r="U184" s="2"/>
      </tp>
      <tp t="s">
        <v>N/A</v>
        <stp/>
        <stp>VOLUME</stp>
        <stp>.NDX251024P20800</stp>
        <tr r="S168" s="2"/>
      </tp>
      <tp t="s">
        <v>N/A</v>
        <stp/>
        <stp>VOLUME</stp>
        <stp>.NDX250725P20900</stp>
        <tr r="M164" s="2"/>
      </tp>
      <tp t="s">
        <v>N/A</v>
        <stp/>
        <stp>VOLUME</stp>
        <stp>.NDX251024P20825</stp>
        <tr r="S167" s="2"/>
      </tp>
      <tp t="s">
        <v>N/A</v>
        <stp/>
        <stp>VOLUME</stp>
        <stp>.NDX251128P21425</stp>
        <tr r="U143" s="2"/>
      </tp>
      <tp t="s">
        <v>N/A</v>
        <stp/>
        <stp>VOLUME</stp>
        <stp>.NDX251128P20425</stp>
        <tr r="U183" s="2"/>
      </tp>
      <tp t="s">
        <v>N/A</v>
        <stp/>
        <stp>VOLUME</stp>
        <stp>.NDX250725P20925</stp>
        <tr r="M163" s="2"/>
      </tp>
      <tp t="s">
        <v>N/A</v>
        <stp/>
        <stp>VOLUME</stp>
        <stp>.NDX250725P20950</stp>
        <tr r="M162" s="2"/>
      </tp>
      <tp t="s">
        <v>N/A</v>
        <stp/>
        <stp>VOLUME</stp>
        <stp>.NDX251128P21450</stp>
        <tr r="U142" s="2"/>
      </tp>
      <tp t="s">
        <v>N/A</v>
        <stp/>
        <stp>VOLUME</stp>
        <stp>.NDX251128P20450</stp>
        <tr r="U182" s="2"/>
      </tp>
      <tp t="s">
        <v>N/A</v>
        <stp/>
        <stp>VOLUME</stp>
        <stp>.NDX251024P20850</stp>
        <tr r="S166" s="2"/>
      </tp>
      <tp t="s">
        <v>N/A</v>
        <stp/>
        <stp>VOLUME</stp>
        <stp>.NDX250725P20975</stp>
        <tr r="M161" s="2"/>
      </tp>
      <tp t="s">
        <v>N/A</v>
        <stp/>
        <stp>VOLUME</stp>
        <stp>.NDX251024P20875</stp>
        <tr r="S165" s="2"/>
      </tp>
      <tp t="s">
        <v>N/A</v>
        <stp/>
        <stp>VOLUME</stp>
        <stp>.NDX251128P21475</stp>
        <tr r="U141" s="2"/>
      </tp>
      <tp t="s">
        <v>N/A</v>
        <stp/>
        <stp>VOLUME</stp>
        <stp>.NDX251128P20475</stp>
        <tr r="U181" s="2"/>
      </tp>
      <tp t="s">
        <v>215.37%</v>
        <stp/>
        <stp>IMPL_VOL</stp>
        <stp>.NDXP250520P20850</stp>
        <tr r="EM165" s="1"/>
      </tp>
      <tp t="s">
        <v>207.15%</v>
        <stp/>
        <stp>IMPL_VOL</stp>
        <stp>.NDXP250520P20875</stp>
        <tr r="EM164" s="1"/>
      </tp>
      <tp t="s">
        <v>151.33%</v>
        <stp/>
        <stp>IMPL_VOL</stp>
        <stp>.NDXP250520P20800</stp>
        <tr r="EM167" s="1"/>
      </tp>
      <tp t="s">
        <v>223.54%</v>
        <stp/>
        <stp>IMPL_VOL</stp>
        <stp>.NDXP250520P20825</stp>
        <tr r="EM166" s="1"/>
      </tp>
      <tp t="s">
        <v>N/A</v>
        <stp/>
        <stp>VOLUME</stp>
        <stp>.NDX250725C20925</stp>
        <tr r="M163" s="2"/>
      </tp>
      <tp t="s">
        <v>N/A</v>
        <stp/>
        <stp>VOLUME</stp>
        <stp>.NDX251024C20825</stp>
        <tr r="S167" s="2"/>
      </tp>
      <tp t="s">
        <v>N/A</v>
        <stp/>
        <stp>VOLUME</stp>
        <stp>.NDX251128C21425</stp>
        <tr r="U143" s="2"/>
      </tp>
      <tp t="s">
        <v>N/A</v>
        <stp/>
        <stp>VOLUME</stp>
        <stp>.NDX251128C20425</stp>
        <tr r="U183" s="2"/>
      </tp>
      <tp t="s">
        <v>N/A</v>
        <stp/>
        <stp>VOLUME</stp>
        <stp>.NDX250725C20900</stp>
        <tr r="M164" s="2"/>
      </tp>
      <tp t="s">
        <v>N/A</v>
        <stp/>
        <stp>VOLUME</stp>
        <stp>.NDX251128C21400</stp>
        <tr r="U144" s="2"/>
      </tp>
      <tp t="s">
        <v>N/A</v>
        <stp/>
        <stp>VOLUME</stp>
        <stp>.NDX251128C20400</stp>
        <tr r="U184" s="2"/>
      </tp>
      <tp t="s">
        <v>N/A</v>
        <stp/>
        <stp>VOLUME</stp>
        <stp>.NDX251024C20800</stp>
        <tr r="S168" s="2"/>
      </tp>
      <tp t="s">
        <v>N/A</v>
        <stp/>
        <stp>VOLUME</stp>
        <stp>.NDX251024C20875</stp>
        <tr r="S165" s="2"/>
      </tp>
      <tp t="s">
        <v>N/A</v>
        <stp/>
        <stp>VOLUME</stp>
        <stp>.NDX251128C21475</stp>
        <tr r="U141" s="2"/>
      </tp>
      <tp t="s">
        <v>N/A</v>
        <stp/>
        <stp>VOLUME</stp>
        <stp>.NDX251128C20475</stp>
        <tr r="U181" s="2"/>
      </tp>
      <tp t="s">
        <v>N/A</v>
        <stp/>
        <stp>VOLUME</stp>
        <stp>.NDX250725C20975</stp>
        <tr r="M161" s="2"/>
      </tp>
      <tp t="s">
        <v>N/A</v>
        <stp/>
        <stp>VOLUME</stp>
        <stp>.NDX251128C21450</stp>
        <tr r="U142" s="2"/>
      </tp>
      <tp t="s">
        <v>N/A</v>
        <stp/>
        <stp>VOLUME</stp>
        <stp>.NDX251128C20450</stp>
        <tr r="U182" s="2"/>
      </tp>
      <tp t="s">
        <v>N/A</v>
        <stp/>
        <stp>VOLUME</stp>
        <stp>.NDX251024C20850</stp>
        <tr r="S166" s="2"/>
      </tp>
      <tp t="s">
        <v>N/A</v>
        <stp/>
        <stp>VOLUME</stp>
        <stp>.NDX250725C20950</stp>
        <tr r="M162" s="2"/>
      </tp>
      <tp t="s">
        <v>174.29%</v>
        <stp/>
        <stp>IMPL_VOL</stp>
        <stp>.NDXP250520C20775</stp>
        <tr r="EL168" s="1"/>
      </tp>
      <tp t="s">
        <v>26.84%</v>
        <stp/>
        <stp>IMPL_VOL</stp>
        <stp>.NDXP250523C20475</stp>
        <tr r="EN180" s="1"/>
      </tp>
      <tp t="s">
        <v>18.09%</v>
        <stp/>
        <stp>IMPL_VOL</stp>
        <stp>.NDXP250523C21475</stp>
        <tr r="EN140" s="1"/>
      </tp>
      <tp t="s">
        <v>179.88%</v>
        <stp/>
        <stp>IMPL_VOL</stp>
        <stp>.NDXP250520C20750</stp>
        <tr r="EL169" s="1"/>
      </tp>
      <tp t="s">
        <v>--</v>
        <stp/>
        <stp>IMPL_VOL</stp>
        <stp>.NDXP250523C20450</stp>
        <tr r="EN181" s="1"/>
      </tp>
      <tp t="s">
        <v>18.12%</v>
        <stp/>
        <stp>IMPL_VOL</stp>
        <stp>.NDXP250523C21450</stp>
        <tr r="EN141" s="1"/>
      </tp>
      <tp t="s">
        <v>200.87%</v>
        <stp/>
        <stp>IMPL_VOL</stp>
        <stp>.NDXP250520C20725</stp>
        <tr r="EL170" s="1"/>
      </tp>
      <tp t="s">
        <v>28.66%</v>
        <stp/>
        <stp>IMPL_VOL</stp>
        <stp>.NDXP250523C20425</stp>
        <tr r="EN182" s="1"/>
      </tp>
      <tp t="s">
        <v>18.14%</v>
        <stp/>
        <stp>IMPL_VOL</stp>
        <stp>.NDXP250523C21425</stp>
        <tr r="EN142" s="1"/>
      </tp>
      <tp t="s">
        <v>225.69%</v>
        <stp/>
        <stp>IMPL_VOL</stp>
        <stp>.NDXP250520C20700</stp>
        <tr r="EL171" s="1"/>
      </tp>
      <tp t="s">
        <v>--</v>
        <stp/>
        <stp>IMPL_VOL</stp>
        <stp>.NDXP250523C20400</stp>
        <tr r="EN183" s="1"/>
      </tp>
      <tp t="s">
        <v>18.17%</v>
        <stp/>
        <stp>IMPL_VOL</stp>
        <stp>.NDXP250523C21400</stp>
        <tr r="EN143" s="1"/>
      </tp>
      <tp t="s">
        <v>N/A</v>
        <stp/>
        <stp>VOLUME</stp>
        <stp>.NDX251226P21500</stp>
        <tr r="W140" s="2"/>
      </tp>
      <tp t="s">
        <v>N/A</v>
        <stp/>
        <stp>VOLUME</stp>
        <stp>.NDX251226P20500</stp>
        <tr r="W180" s="2"/>
      </tp>
      <tp t="s">
        <v>N/A</v>
        <stp/>
        <stp>VOLUME</stp>
        <stp>.NDX251024P20700</stp>
        <tr r="S172" s="2"/>
      </tp>
      <tp t="s">
        <v>N/A</v>
        <stp/>
        <stp>VOLUME</stp>
        <stp>.NDX250926P21500</stp>
        <tr r="Q140" s="2"/>
      </tp>
      <tp t="s">
        <v>N/A</v>
        <stp/>
        <stp>VOLUME</stp>
        <stp>.NDX250926P20500</stp>
        <tr r="Q180" s="2"/>
      </tp>
      <tp t="s">
        <v>N/A</v>
        <stp/>
        <stp>VOLUME</stp>
        <stp>.NDX250822P21100</stp>
        <tr r="O156" s="2"/>
      </tp>
      <tp t="s">
        <v>N/A</v>
        <stp/>
        <stp>VOLUME</stp>
        <stp>.NDX250725P20600</stp>
        <tr r="M176" s="2"/>
      </tp>
      <tp t="s">
        <v>N/A</v>
        <stp/>
        <stp>VOLUME</stp>
        <stp>.NDX250606P21500</stp>
        <tr r="H140" s="2"/>
      </tp>
      <tp t="s">
        <v>N/A</v>
        <stp/>
        <stp>VOLUME</stp>
        <stp>.NDX250606P20500</stp>
        <tr r="H180" s="2"/>
      </tp>
      <tp>
        <v>5</v>
        <stp/>
        <stp>VOLUME</stp>
        <stp>.NDX250620P21300</stp>
        <tr r="BF147" s="1"/>
        <tr r="BF147" s="1"/>
      </tp>
      <tp t="s">
        <v>N/A</v>
        <stp/>
        <stp>VOLUME</stp>
        <stp>.NDX250627P21400</stp>
        <tr r="K144" s="2"/>
      </tp>
      <tp t="s">
        <v>N/A</v>
        <stp/>
        <stp>VOLUME</stp>
        <stp>.NDX250620P20300</stp>
        <tr r="BF187" s="1"/>
      </tp>
      <tp t="s">
        <v>N/A</v>
        <stp/>
        <stp>VOLUME</stp>
        <stp>.NDX250627P20400</stp>
        <tr r="K184" s="2"/>
      </tp>
      <tp t="s">
        <v>N/A</v>
        <stp/>
        <stp>VOLUME</stp>
        <stp>.NDX251226P21525</stp>
        <tr r="W139" s="2"/>
      </tp>
      <tp t="s">
        <v>N/A</v>
        <stp/>
        <stp>VOLUME</stp>
        <stp>.NDX251226P20525</stp>
        <tr r="W179" s="2"/>
      </tp>
      <tp t="s">
        <v>N/A</v>
        <stp/>
        <stp>VOLUME</stp>
        <stp>.NDX251024P20725</stp>
        <tr r="S171" s="2"/>
      </tp>
      <tp t="s">
        <v>N/A</v>
        <stp/>
        <stp>VOLUME</stp>
        <stp>.NDX250822P21125</stp>
        <tr r="O155" s="2"/>
      </tp>
      <tp t="s">
        <v>N/A</v>
        <stp/>
        <stp>VOLUME</stp>
        <stp>.NDX250926P21525</stp>
        <tr r="Q139" s="2"/>
      </tp>
      <tp t="s">
        <v>N/A</v>
        <stp/>
        <stp>VOLUME</stp>
        <stp>.NDX250926P20525</stp>
        <tr r="Q179" s="2"/>
      </tp>
      <tp t="s">
        <v>N/A</v>
        <stp/>
        <stp>VOLUME</stp>
        <stp>.NDX250606P21525</stp>
        <tr r="H139" s="2"/>
      </tp>
      <tp t="s">
        <v>N/A</v>
        <stp/>
        <stp>VOLUME</stp>
        <stp>.NDX250606P20525</stp>
        <tr r="H179" s="2"/>
      </tp>
      <tp>
        <v>12</v>
        <stp/>
        <stp>VOLUME</stp>
        <stp>.NDX250620P21325</stp>
        <tr r="BF146" s="1"/>
        <tr r="BF146" s="1"/>
      </tp>
      <tp t="s">
        <v>N/A</v>
        <stp/>
        <stp>VOLUME</stp>
        <stp>.NDX250627P21425</stp>
        <tr r="K143" s="2"/>
      </tp>
      <tp t="s">
        <v>N/A</v>
        <stp/>
        <stp>VOLUME</stp>
        <stp>.NDX250620P20325</stp>
        <tr r="BF186" s="1"/>
      </tp>
      <tp t="s">
        <v>N/A</v>
        <stp/>
        <stp>VOLUME</stp>
        <stp>.NDX250627P20425</stp>
        <tr r="K183" s="2"/>
      </tp>
      <tp t="s">
        <v>N/A</v>
        <stp/>
        <stp>VOLUME</stp>
        <stp>.NDX250725P20625</stp>
        <tr r="M175" s="2"/>
      </tp>
      <tp t="s">
        <v>N/A</v>
        <stp/>
        <stp>VOLUME</stp>
        <stp>.NDX250926P21550</stp>
        <tr r="Q138" s="2"/>
      </tp>
      <tp t="s">
        <v>N/A</v>
        <stp/>
        <stp>VOLUME</stp>
        <stp>.NDX250926P20550</stp>
        <tr r="Q178" s="2"/>
      </tp>
      <tp t="s">
        <v>N/A</v>
        <stp/>
        <stp>VOLUME</stp>
        <stp>.NDX250822P21150</stp>
        <tr r="O154" s="2"/>
      </tp>
      <tp t="s">
        <v>N/A</v>
        <stp/>
        <stp>VOLUME</stp>
        <stp>.NDX250725P20650</stp>
        <tr r="M174" s="2"/>
      </tp>
      <tp t="s">
        <v>N/A</v>
        <stp/>
        <stp>VOLUME</stp>
        <stp>.NDX250606P21550</stp>
        <tr r="H138" s="2"/>
      </tp>
      <tp t="s">
        <v>N/A</v>
        <stp/>
        <stp>VOLUME</stp>
        <stp>.NDX250606P20550</stp>
        <tr r="H178" s="2"/>
      </tp>
      <tp>
        <v>10</v>
        <stp/>
        <stp>VOLUME</stp>
        <stp>.NDX250620P21350</stp>
        <tr r="BF145" s="1"/>
        <tr r="BF145" s="1"/>
      </tp>
      <tp t="s">
        <v>N/A</v>
        <stp/>
        <stp>VOLUME</stp>
        <stp>.NDX250627P21450</stp>
        <tr r="K142" s="2"/>
      </tp>
      <tp>
        <v>2</v>
        <stp/>
        <stp>VOLUME</stp>
        <stp>.NDX250620P20350</stp>
        <tr r="BF185" s="1"/>
        <tr r="BF185" s="1"/>
      </tp>
      <tp t="s">
        <v>N/A</v>
        <stp/>
        <stp>VOLUME</stp>
        <stp>.NDX250627P20450</stp>
        <tr r="K182" s="2"/>
      </tp>
      <tp t="s">
        <v>N/A</v>
        <stp/>
        <stp>VOLUME</stp>
        <stp>.NDX251226P21550</stp>
        <tr r="W138" s="2"/>
      </tp>
      <tp t="s">
        <v>N/A</v>
        <stp/>
        <stp>VOLUME</stp>
        <stp>.NDX251226P20550</stp>
        <tr r="W178" s="2"/>
      </tp>
      <tp t="s">
        <v>N/A</v>
        <stp/>
        <stp>VOLUME</stp>
        <stp>.NDX251024P20750</stp>
        <tr r="S170" s="2"/>
      </tp>
      <tp t="s">
        <v>N/A</v>
        <stp/>
        <stp>VOLUME</stp>
        <stp>.NDX250822P21175</stp>
        <tr r="O153" s="2"/>
      </tp>
      <tp t="s">
        <v>N/A</v>
        <stp/>
        <stp>VOLUME</stp>
        <stp>.NDX250926P20575</stp>
        <tr r="Q177" s="2"/>
      </tp>
      <tp t="s">
        <v>N/A</v>
        <stp/>
        <stp>VOLUME</stp>
        <stp>.NDX250606P20575</stp>
        <tr r="H177" s="2"/>
      </tp>
      <tp>
        <v>31</v>
        <stp/>
        <stp>VOLUME</stp>
        <stp>.NDX250620P21375</stp>
        <tr r="BF144" s="1"/>
        <tr r="BF144" s="1"/>
      </tp>
      <tp t="s">
        <v>N/A</v>
        <stp/>
        <stp>VOLUME</stp>
        <stp>.NDX250627P21475</stp>
        <tr r="K141" s="2"/>
      </tp>
      <tp t="s">
        <v>N/A</v>
        <stp/>
        <stp>VOLUME</stp>
        <stp>.NDX250620P20375</stp>
        <tr r="BF184" s="1"/>
      </tp>
      <tp t="s">
        <v>N/A</v>
        <stp/>
        <stp>VOLUME</stp>
        <stp>.NDX250627P20475</stp>
        <tr r="K181" s="2"/>
      </tp>
      <tp t="s">
        <v>N/A</v>
        <stp/>
        <stp>VOLUME</stp>
        <stp>.NDX250725P20675</stp>
        <tr r="M173" s="2"/>
      </tp>
      <tp t="s">
        <v>N/A</v>
        <stp/>
        <stp>VOLUME</stp>
        <stp>.NDX251226P20575</stp>
        <tr r="W177" s="2"/>
      </tp>
      <tp t="s">
        <v>N/A</v>
        <stp/>
        <stp>VOLUME</stp>
        <stp>.NDX251024P20775</stp>
        <tr r="S169" s="2"/>
      </tp>
      <tp t="s">
        <v>247.79%</v>
        <stp/>
        <stp>IMPL_VOL</stp>
        <stp>.NDXP250520P20750</stp>
        <tr r="EM169" s="1"/>
      </tp>
      <tp t="s">
        <v>27.73%</v>
        <stp/>
        <stp>IMPL_VOL</stp>
        <stp>.NDXP250523P20450</stp>
        <tr r="EO181" s="1"/>
      </tp>
      <tp t="s">
        <v>22.81%</v>
        <stp/>
        <stp>IMPL_VOL</stp>
        <stp>.NDXP250523P21450</stp>
        <tr r="EO141" s="1"/>
      </tp>
      <tp t="s">
        <v>239.75%</v>
        <stp/>
        <stp>IMPL_VOL</stp>
        <stp>.NDXP250520P20775</stp>
        <tr r="EM168" s="1"/>
      </tp>
      <tp t="s">
        <v>27.58%</v>
        <stp/>
        <stp>IMPL_VOL</stp>
        <stp>.NDXP250523P20475</stp>
        <tr r="EO180" s="1"/>
      </tp>
      <tp t="s">
        <v>22.54%</v>
        <stp/>
        <stp>IMPL_VOL</stp>
        <stp>.NDXP250523P21475</stp>
        <tr r="EO140" s="1"/>
      </tp>
      <tp t="s">
        <v>147.38%</v>
        <stp/>
        <stp>IMPL_VOL</stp>
        <stp>.NDXP250520P20700</stp>
        <tr r="EM171" s="1"/>
      </tp>
      <tp t="s">
        <v>28.10%</v>
        <stp/>
        <stp>IMPL_VOL</stp>
        <stp>.NDXP250523P20400</stp>
        <tr r="EO183" s="1"/>
      </tp>
      <tp t="s">
        <v>22.61%</v>
        <stp/>
        <stp>IMPL_VOL</stp>
        <stp>.NDXP250523P21400</stp>
        <tr r="EO143" s="1"/>
      </tp>
      <tp t="s">
        <v>255.80%</v>
        <stp/>
        <stp>IMPL_VOL</stp>
        <stp>.NDXP250520P20725</stp>
        <tr r="EM170" s="1"/>
      </tp>
      <tp t="s">
        <v>27.90%</v>
        <stp/>
        <stp>IMPL_VOL</stp>
        <stp>.NDXP250523P20425</stp>
        <tr r="EO182" s="1"/>
      </tp>
      <tp t="s">
        <v>22.86%</v>
        <stp/>
        <stp>IMPL_VOL</stp>
        <stp>.NDXP250523P21425</stp>
        <tr r="EO142" s="1"/>
      </tp>
      <tp t="s">
        <v>N/A</v>
        <stp/>
        <stp>VOLUME</stp>
        <stp>.NDX250822C21125</stp>
        <tr r="O155" s="2"/>
      </tp>
      <tp t="s">
        <v>N/A</v>
        <stp/>
        <stp>VOLUME</stp>
        <stp>.NDX250926C21525</stp>
        <tr r="Q139" s="2"/>
      </tp>
      <tp t="s">
        <v>N/A</v>
        <stp/>
        <stp>VOLUME</stp>
        <stp>.NDX250926C20525</stp>
        <tr r="Q179" s="2"/>
      </tp>
      <tp t="s">
        <v>N/A</v>
        <stp/>
        <stp>VOLUME</stp>
        <stp>.NDX250606C21525</stp>
        <tr r="H139" s="2"/>
      </tp>
      <tp t="s">
        <v>N/A</v>
        <stp/>
        <stp>VOLUME</stp>
        <stp>.NDX250606C20525</stp>
        <tr r="H179" s="2"/>
      </tp>
      <tp>
        <v>24</v>
        <stp/>
        <stp>VOLUME</stp>
        <stp>.NDX250620C21325</stp>
        <tr r="BE146" s="1"/>
        <tr r="BE146" s="1"/>
      </tp>
      <tp t="s">
        <v>N/A</v>
        <stp/>
        <stp>VOLUME</stp>
        <stp>.NDX250627C21425</stp>
        <tr r="K143" s="2"/>
      </tp>
      <tp t="s">
        <v>N/A</v>
        <stp/>
        <stp>VOLUME</stp>
        <stp>.NDX250620C20325</stp>
        <tr r="BE186" s="1"/>
      </tp>
      <tp t="s">
        <v>N/A</v>
        <stp/>
        <stp>VOLUME</stp>
        <stp>.NDX250627C20425</stp>
        <tr r="K183" s="2"/>
      </tp>
      <tp t="s">
        <v>N/A</v>
        <stp/>
        <stp>VOLUME</stp>
        <stp>.NDX250725C20625</stp>
        <tr r="M175" s="2"/>
      </tp>
      <tp t="s">
        <v>N/A</v>
        <stp/>
        <stp>VOLUME</stp>
        <stp>.NDX251226C21525</stp>
        <tr r="W139" s="2"/>
      </tp>
      <tp t="s">
        <v>N/A</v>
        <stp/>
        <stp>VOLUME</stp>
        <stp>.NDX251226C20525</stp>
        <tr r="W179" s="2"/>
      </tp>
      <tp t="s">
        <v>N/A</v>
        <stp/>
        <stp>VOLUME</stp>
        <stp>.NDX251024C20725</stp>
        <tr r="S171" s="2"/>
      </tp>
      <tp t="s">
        <v>N/A</v>
        <stp/>
        <stp>VOLUME</stp>
        <stp>.NDX250926C21500</stp>
        <tr r="Q140" s="2"/>
      </tp>
      <tp t="s">
        <v>N/A</v>
        <stp/>
        <stp>VOLUME</stp>
        <stp>.NDX250926C20500</stp>
        <tr r="Q180" s="2"/>
      </tp>
      <tp t="s">
        <v>N/A</v>
        <stp/>
        <stp>VOLUME</stp>
        <stp>.NDX250822C21100</stp>
        <tr r="O156" s="2"/>
      </tp>
      <tp t="s">
        <v>N/A</v>
        <stp/>
        <stp>VOLUME</stp>
        <stp>.NDX250725C20600</stp>
        <tr r="M176" s="2"/>
      </tp>
      <tp t="s">
        <v>N/A</v>
        <stp/>
        <stp>VOLUME</stp>
        <stp>.NDX250606C21500</stp>
        <tr r="H140" s="2"/>
      </tp>
      <tp t="s">
        <v>N/A</v>
        <stp/>
        <stp>VOLUME</stp>
        <stp>.NDX250606C20500</stp>
        <tr r="H180" s="2"/>
      </tp>
      <tp>
        <v>1</v>
        <stp/>
        <stp>VOLUME</stp>
        <stp>.NDX250620C21300</stp>
        <tr r="BE147" s="1"/>
        <tr r="BE147" s="1"/>
      </tp>
      <tp t="s">
        <v>N/A</v>
        <stp/>
        <stp>VOLUME</stp>
        <stp>.NDX250627C21400</stp>
        <tr r="K144" s="2"/>
      </tp>
      <tp t="s">
        <v>N/A</v>
        <stp/>
        <stp>VOLUME</stp>
        <stp>.NDX250620C20300</stp>
        <tr r="BE187" s="1"/>
      </tp>
      <tp t="s">
        <v>N/A</v>
        <stp/>
        <stp>VOLUME</stp>
        <stp>.NDX250627C20400</stp>
        <tr r="K184" s="2"/>
      </tp>
      <tp t="s">
        <v>N/A</v>
        <stp/>
        <stp>VOLUME</stp>
        <stp>.NDX251226C21500</stp>
        <tr r="W140" s="2"/>
      </tp>
      <tp t="s">
        <v>N/A</v>
        <stp/>
        <stp>VOLUME</stp>
        <stp>.NDX251226C20500</stp>
        <tr r="W180" s="2"/>
      </tp>
      <tp t="s">
        <v>N/A</v>
        <stp/>
        <stp>VOLUME</stp>
        <stp>.NDX251024C20700</stp>
        <tr r="S172" s="2"/>
      </tp>
      <tp t="s">
        <v>N/A</v>
        <stp/>
        <stp>VOLUME</stp>
        <stp>.NDX251226C20575</stp>
        <tr r="W177" s="2"/>
      </tp>
      <tp t="s">
        <v>N/A</v>
        <stp/>
        <stp>VOLUME</stp>
        <stp>.NDX251024C20775</stp>
        <tr r="S169" s="2"/>
      </tp>
      <tp t="s">
        <v>N/A</v>
        <stp/>
        <stp>VOLUME</stp>
        <stp>.NDX250822C21175</stp>
        <tr r="O153" s="2"/>
      </tp>
      <tp t="s">
        <v>N/A</v>
        <stp/>
        <stp>VOLUME</stp>
        <stp>.NDX250926C20575</stp>
        <tr r="Q177" s="2"/>
      </tp>
      <tp t="s">
        <v>N/A</v>
        <stp/>
        <stp>VOLUME</stp>
        <stp>.NDX250606C20575</stp>
        <tr r="H177" s="2"/>
      </tp>
      <tp>
        <v>26</v>
        <stp/>
        <stp>VOLUME</stp>
        <stp>.NDX250620C21375</stp>
        <tr r="BE144" s="1"/>
        <tr r="BE144" s="1"/>
      </tp>
      <tp t="s">
        <v>N/A</v>
        <stp/>
        <stp>VOLUME</stp>
        <stp>.NDX250627C21475</stp>
        <tr r="K141" s="2"/>
      </tp>
      <tp t="s">
        <v>N/A</v>
        <stp/>
        <stp>VOLUME</stp>
        <stp>.NDX250620C20375</stp>
        <tr r="BE184" s="1"/>
      </tp>
      <tp t="s">
        <v>N/A</v>
        <stp/>
        <stp>VOLUME</stp>
        <stp>.NDX250627C20475</stp>
        <tr r="K181" s="2"/>
      </tp>
      <tp t="s">
        <v>N/A</v>
        <stp/>
        <stp>VOLUME</stp>
        <stp>.NDX250725C20675</stp>
        <tr r="M173" s="2"/>
      </tp>
      <tp t="s">
        <v>N/A</v>
        <stp/>
        <stp>VOLUME</stp>
        <stp>.NDX251226C21550</stp>
        <tr r="W138" s="2"/>
      </tp>
      <tp t="s">
        <v>N/A</v>
        <stp/>
        <stp>VOLUME</stp>
        <stp>.NDX251226C20550</stp>
        <tr r="W178" s="2"/>
      </tp>
      <tp t="s">
        <v>N/A</v>
        <stp/>
        <stp>VOLUME</stp>
        <stp>.NDX251024C20750</stp>
        <tr r="S170" s="2"/>
      </tp>
      <tp t="s">
        <v>N/A</v>
        <stp/>
        <stp>VOLUME</stp>
        <stp>.NDX250926C21550</stp>
        <tr r="Q138" s="2"/>
      </tp>
      <tp t="s">
        <v>N/A</v>
        <stp/>
        <stp>VOLUME</stp>
        <stp>.NDX250926C20550</stp>
        <tr r="Q178" s="2"/>
      </tp>
      <tp t="s">
        <v>N/A</v>
        <stp/>
        <stp>VOLUME</stp>
        <stp>.NDX250822C21150</stp>
        <tr r="O154" s="2"/>
      </tp>
      <tp t="s">
        <v>N/A</v>
        <stp/>
        <stp>VOLUME</stp>
        <stp>.NDX250725C20650</stp>
        <tr r="M174" s="2"/>
      </tp>
      <tp t="s">
        <v>N/A</v>
        <stp/>
        <stp>VOLUME</stp>
        <stp>.NDX250606C21550</stp>
        <tr r="H138" s="2"/>
      </tp>
      <tp t="s">
        <v>N/A</v>
        <stp/>
        <stp>VOLUME</stp>
        <stp>.NDX250606C20550</stp>
        <tr r="H178" s="2"/>
      </tp>
      <tp>
        <v>6</v>
        <stp/>
        <stp>VOLUME</stp>
        <stp>.NDX250620C21350</stp>
        <tr r="BE145" s="1"/>
        <tr r="BE145" s="1"/>
      </tp>
      <tp t="s">
        <v>N/A</v>
        <stp/>
        <stp>VOLUME</stp>
        <stp>.NDX250627C21450</stp>
        <tr r="K142" s="2"/>
      </tp>
      <tp t="s">
        <v>N/A</v>
        <stp/>
        <stp>VOLUME</stp>
        <stp>.NDX250620C20350</stp>
        <tr r="BE185" s="1"/>
      </tp>
      <tp t="s">
        <v>N/A</v>
        <stp/>
        <stp>VOLUME</stp>
        <stp>.NDX250627C20450</stp>
        <tr r="K182" s="2"/>
      </tp>
      <tp t="s">
        <v>220.76%</v>
        <stp/>
        <stp>IMPL_VOL</stp>
        <stp>.NDXP250520C20675</stp>
        <tr r="EL172" s="1"/>
      </tp>
      <tp t="s">
        <v>--</v>
        <stp/>
        <stp>IMPL_VOL</stp>
        <stp>.NDXP250523C20575</stp>
        <tr r="EN176" s="1"/>
      </tp>
      <tp t="s">
        <v>227.57%</v>
        <stp/>
        <stp>IMPL_VOL</stp>
        <stp>.NDXP250520C20650</stp>
        <tr r="EL173" s="1"/>
      </tp>
      <tp t="s">
        <v>--</v>
        <stp/>
        <stp>IMPL_VOL</stp>
        <stp>.NDXP250523C20550</stp>
        <tr r="EN177" s="1"/>
      </tp>
      <tp t="s">
        <v>18.02%</v>
        <stp/>
        <stp>IMPL_VOL</stp>
        <stp>.NDXP250523C21550</stp>
        <tr r="EN137" s="1"/>
      </tp>
      <tp t="s">
        <v>239.93%</v>
        <stp/>
        <stp>IMPL_VOL</stp>
        <stp>.NDXP250520C20625</stp>
        <tr r="EL174" s="1"/>
      </tp>
      <tp t="s">
        <v>--</v>
        <stp/>
        <stp>IMPL_VOL</stp>
        <stp>.NDXP250523C20525</stp>
        <tr r="EN178" s="1"/>
      </tp>
      <tp t="s">
        <v>18.05%</v>
        <stp/>
        <stp>IMPL_VOL</stp>
        <stp>.NDXP250523C21525</stp>
        <tr r="EN138" s="1"/>
      </tp>
      <tp t="s">
        <v>258.73%</v>
        <stp/>
        <stp>IMPL_VOL</stp>
        <stp>.NDXP250520C20600</stp>
        <tr r="EL175" s="1"/>
      </tp>
      <tp t="s">
        <v>--</v>
        <stp/>
        <stp>IMPL_VOL</stp>
        <stp>.NDXP250523C20500</stp>
        <tr r="EN179" s="1"/>
      </tp>
      <tp t="s">
        <v>18.07%</v>
        <stp/>
        <stp>IMPL_VOL</stp>
        <stp>.NDXP250523C21500</stp>
        <tr r="EN139" s="1"/>
      </tp>
      <tp t="s">
        <v>N/A</v>
        <stp/>
        <stp>VOLUME</stp>
        <stp>.NDX251226P21400</stp>
        <tr r="W144" s="2"/>
      </tp>
      <tp t="s">
        <v>N/A</v>
        <stp/>
        <stp>VOLUME</stp>
        <stp>.NDX251226P20400</stp>
        <tr r="W184" s="2"/>
      </tp>
      <tp t="s">
        <v>N/A</v>
        <stp/>
        <stp>VOLUME</stp>
        <stp>.NDX251024P20600</stp>
        <tr r="S176" s="2"/>
      </tp>
      <tp t="s">
        <v>N/A</v>
        <stp/>
        <stp>VOLUME</stp>
        <stp>.NDX250926P21400</stp>
        <tr r="Q144" s="2"/>
      </tp>
      <tp t="s">
        <v>N/A</v>
        <stp/>
        <stp>VOLUME</stp>
        <stp>.NDX250926P20400</stp>
        <tr r="Q184" s="2"/>
      </tp>
      <tp t="s">
        <v>N/A</v>
        <stp/>
        <stp>VOLUME</stp>
        <stp>.NDX250822P21000</stp>
        <tr r="O160" s="2"/>
      </tp>
      <tp t="s">
        <v>N/A</v>
        <stp/>
        <stp>VOLUME</stp>
        <stp>.NDX250725P20700</stp>
        <tr r="M172" s="2"/>
      </tp>
      <tp t="s">
        <v>N/A</v>
        <stp/>
        <stp>VOLUME</stp>
        <stp>.NDX250606P21400</stp>
        <tr r="H144" s="2"/>
      </tp>
      <tp t="s">
        <v>N/A</v>
        <stp/>
        <stp>VOLUME</stp>
        <stp>.NDX250606P20400</stp>
        <tr r="H184" s="2"/>
      </tp>
      <tp>
        <v>3</v>
        <stp/>
        <stp>VOLUME</stp>
        <stp>.NDX250620P21200</stp>
        <tr r="BF151" s="1"/>
        <tr r="BF151" s="1"/>
      </tp>
      <tp t="s">
        <v>N/A</v>
        <stp/>
        <stp>VOLUME</stp>
        <stp>.NDX250627P21500</stp>
        <tr r="K140" s="2"/>
      </tp>
      <tp t="s">
        <v>N/A</v>
        <stp/>
        <stp>VOLUME</stp>
        <stp>.NDX250627P20500</stp>
        <tr r="K180" s="2"/>
      </tp>
      <tp t="s">
        <v>N/A</v>
        <stp/>
        <stp>VOLUME</stp>
        <stp>.NDX251226P21425</stp>
        <tr r="W143" s="2"/>
      </tp>
      <tp t="s">
        <v>N/A</v>
        <stp/>
        <stp>VOLUME</stp>
        <stp>.NDX251226P20425</stp>
        <tr r="W183" s="2"/>
      </tp>
      <tp t="s">
        <v>N/A</v>
        <stp/>
        <stp>VOLUME</stp>
        <stp>.NDX251024P20625</stp>
        <tr r="S175" s="2"/>
      </tp>
      <tp t="s">
        <v>N/A</v>
        <stp/>
        <stp>VOLUME</stp>
        <stp>.NDX250822P21025</stp>
        <tr r="O159" s="2"/>
      </tp>
      <tp t="s">
        <v>N/A</v>
        <stp/>
        <stp>VOLUME</stp>
        <stp>.NDX250926P21425</stp>
        <tr r="Q143" s="2"/>
      </tp>
      <tp t="s">
        <v>N/A</v>
        <stp/>
        <stp>VOLUME</stp>
        <stp>.NDX250926P20425</stp>
        <tr r="Q183" s="2"/>
      </tp>
      <tp t="s">
        <v>N/A</v>
        <stp/>
        <stp>VOLUME</stp>
        <stp>.NDX250606P21425</stp>
        <tr r="H143" s="2"/>
      </tp>
      <tp t="s">
        <v>N/A</v>
        <stp/>
        <stp>VOLUME</stp>
        <stp>.NDX250606P20425</stp>
        <tr r="H183" s="2"/>
      </tp>
      <tp>
        <v>1</v>
        <stp/>
        <stp>VOLUME</stp>
        <stp>.NDX250620P21225</stp>
        <tr r="BF150" s="1"/>
        <tr r="BF150" s="1"/>
      </tp>
      <tp t="s">
        <v>N/A</v>
        <stp/>
        <stp>VOLUME</stp>
        <stp>.NDX250627P21525</stp>
        <tr r="K139" s="2"/>
      </tp>
      <tp t="s">
        <v>N/A</v>
        <stp/>
        <stp>VOLUME</stp>
        <stp>.NDX250627P20525</stp>
        <tr r="K179" s="2"/>
      </tp>
      <tp t="s">
        <v>N/A</v>
        <stp/>
        <stp>VOLUME</stp>
        <stp>.NDX250725P20725</stp>
        <tr r="M171" s="2"/>
      </tp>
      <tp t="s">
        <v>N/A</v>
        <stp/>
        <stp>VOLUME</stp>
        <stp>.NDX250926P21450</stp>
        <tr r="Q142" s="2"/>
      </tp>
      <tp t="s">
        <v>N/A</v>
        <stp/>
        <stp>VOLUME</stp>
        <stp>.NDX250926P20450</stp>
        <tr r="Q182" s="2"/>
      </tp>
      <tp t="s">
        <v>N/A</v>
        <stp/>
        <stp>VOLUME</stp>
        <stp>.NDX250822P21050</stp>
        <tr r="O158" s="2"/>
      </tp>
      <tp t="s">
        <v>N/A</v>
        <stp/>
        <stp>VOLUME</stp>
        <stp>.NDX250725P20750</stp>
        <tr r="M170" s="2"/>
      </tp>
      <tp t="s">
        <v>N/A</v>
        <stp/>
        <stp>VOLUME</stp>
        <stp>.NDX250606P21450</stp>
        <tr r="H142" s="2"/>
      </tp>
      <tp t="s">
        <v>N/A</v>
        <stp/>
        <stp>VOLUME</stp>
        <stp>.NDX250606P20450</stp>
        <tr r="H182" s="2"/>
      </tp>
      <tp>
        <v>7</v>
        <stp/>
        <stp>VOLUME</stp>
        <stp>.NDX250620P21250</stp>
        <tr r="BF149" s="1"/>
        <tr r="BF149" s="1"/>
      </tp>
      <tp t="s">
        <v>N/A</v>
        <stp/>
        <stp>VOLUME</stp>
        <stp>.NDX250627P21550</stp>
        <tr r="K138" s="2"/>
      </tp>
      <tp t="s">
        <v>N/A</v>
        <stp/>
        <stp>VOLUME</stp>
        <stp>.NDX250620P20250</stp>
        <tr r="BF189" s="1"/>
      </tp>
      <tp t="s">
        <v>N/A</v>
        <stp/>
        <stp>VOLUME</stp>
        <stp>.NDX250627P20550</stp>
        <tr r="K178" s="2"/>
      </tp>
      <tp t="s">
        <v>N/A</v>
        <stp/>
        <stp>VOLUME</stp>
        <stp>.NDX251226P21450</stp>
        <tr r="W142" s="2"/>
      </tp>
      <tp t="s">
        <v>N/A</v>
        <stp/>
        <stp>VOLUME</stp>
        <stp>.NDX251226P20450</stp>
        <tr r="W182" s="2"/>
      </tp>
      <tp t="s">
        <v>N/A</v>
        <stp/>
        <stp>VOLUME</stp>
        <stp>.NDX251024P20650</stp>
        <tr r="S174" s="2"/>
      </tp>
      <tp t="s">
        <v>N/A</v>
        <stp/>
        <stp>VOLUME</stp>
        <stp>.NDX250822P21075</stp>
        <tr r="O157" s="2"/>
      </tp>
      <tp t="s">
        <v>N/A</v>
        <stp/>
        <stp>VOLUME</stp>
        <stp>.NDX250926P21475</stp>
        <tr r="Q141" s="2"/>
      </tp>
      <tp t="s">
        <v>N/A</v>
        <stp/>
        <stp>VOLUME</stp>
        <stp>.NDX250926P20475</stp>
        <tr r="Q181" s="2"/>
      </tp>
      <tp t="s">
        <v>N/A</v>
        <stp/>
        <stp>VOLUME</stp>
        <stp>.NDX250606P21475</stp>
        <tr r="H141" s="2"/>
      </tp>
      <tp t="s">
        <v>N/A</v>
        <stp/>
        <stp>VOLUME</stp>
        <stp>.NDX250606P20475</stp>
        <tr r="H181" s="2"/>
      </tp>
      <tp>
        <v>3</v>
        <stp/>
        <stp>VOLUME</stp>
        <stp>.NDX250620P21275</stp>
        <tr r="BF148" s="1"/>
        <tr r="BF148" s="1"/>
      </tp>
      <tp>
        <v>8</v>
        <stp/>
        <stp>VOLUME</stp>
        <stp>.NDX250620P20275</stp>
        <tr r="BF188" s="1"/>
        <tr r="BF188" s="1"/>
      </tp>
      <tp t="s">
        <v>N/A</v>
        <stp/>
        <stp>VOLUME</stp>
        <stp>.NDX250627P20575</stp>
        <tr r="K177" s="2"/>
      </tp>
      <tp t="s">
        <v>N/A</v>
        <stp/>
        <stp>VOLUME</stp>
        <stp>.NDX250725P20775</stp>
        <tr r="M169" s="2"/>
      </tp>
      <tp t="s">
        <v>N/A</v>
        <stp/>
        <stp>VOLUME</stp>
        <stp>.NDX251226P21475</stp>
        <tr r="W141" s="2"/>
      </tp>
      <tp t="s">
        <v>N/A</v>
        <stp/>
        <stp>VOLUME</stp>
        <stp>.NDX251226P20475</stp>
        <tr r="W181" s="2"/>
      </tp>
      <tp t="s">
        <v>N/A</v>
        <stp/>
        <stp>VOLUME</stp>
        <stp>.NDX251024P20675</stp>
        <tr r="S173" s="2"/>
      </tp>
      <tp t="s">
        <v>279.63%</v>
        <stp/>
        <stp>IMPL_VOL</stp>
        <stp>.NDXP250520P20650</stp>
        <tr r="EM173" s="1"/>
      </tp>
      <tp t="s">
        <v>27.06%</v>
        <stp/>
        <stp>IMPL_VOL</stp>
        <stp>.NDXP250523P20550</stp>
        <tr r="EO177" s="1"/>
      </tp>
      <tp t="s">
        <v>22.37%</v>
        <stp/>
        <stp>IMPL_VOL</stp>
        <stp>.NDXP250523P21550</stp>
        <tr r="EO137" s="1"/>
      </tp>
      <tp t="s">
        <v>271.72%</v>
        <stp/>
        <stp>IMPL_VOL</stp>
        <stp>.NDXP250520P20675</stp>
        <tr r="EM172" s="1"/>
      </tp>
      <tp t="s">
        <v>26.90%</v>
        <stp/>
        <stp>IMPL_VOL</stp>
        <stp>.NDXP250523P20575</stp>
        <tr r="EO176" s="1"/>
      </tp>
      <tp t="s">
        <v>295.37%</v>
        <stp/>
        <stp>IMPL_VOL</stp>
        <stp>.NDXP250520P20600</stp>
        <tr r="EM175" s="1"/>
      </tp>
      <tp t="s">
        <v>27.42%</v>
        <stp/>
        <stp>IMPL_VOL</stp>
        <stp>.NDXP250523P20500</stp>
        <tr r="EO179" s="1"/>
      </tp>
      <tp t="s">
        <v>22.04%</v>
        <stp/>
        <stp>IMPL_VOL</stp>
        <stp>.NDXP250523P21500</stp>
        <tr r="EO139" s="1"/>
      </tp>
      <tp t="s">
        <v>287.51%</v>
        <stp/>
        <stp>IMPL_VOL</stp>
        <stp>.NDXP250520P20625</stp>
        <tr r="EM174" s="1"/>
      </tp>
      <tp t="s">
        <v>27.25%</v>
        <stp/>
        <stp>IMPL_VOL</stp>
        <stp>.NDXP250523P20525</stp>
        <tr r="EO178" s="1"/>
      </tp>
      <tp t="s">
        <v>22.10%</v>
        <stp/>
        <stp>IMPL_VOL</stp>
        <stp>.NDXP250523P21525</stp>
        <tr r="EO138" s="1"/>
      </tp>
      <tp t="s">
        <v>N/A</v>
        <stp/>
        <stp>VOLUME</stp>
        <stp>.NDX250822C21025</stp>
        <tr r="O159" s="2"/>
      </tp>
      <tp t="s">
        <v>N/A</v>
        <stp/>
        <stp>VOLUME</stp>
        <stp>.NDX250926C21425</stp>
        <tr r="Q143" s="2"/>
      </tp>
      <tp t="s">
        <v>N/A</v>
        <stp/>
        <stp>VOLUME</stp>
        <stp>.NDX250926C20425</stp>
        <tr r="Q183" s="2"/>
      </tp>
      <tp t="s">
        <v>N/A</v>
        <stp/>
        <stp>VOLUME</stp>
        <stp>.NDX250606C21425</stp>
        <tr r="H143" s="2"/>
      </tp>
      <tp t="s">
        <v>N/A</v>
        <stp/>
        <stp>VOLUME</stp>
        <stp>.NDX250606C20425</stp>
        <tr r="H183" s="2"/>
      </tp>
      <tp t="s">
        <v>N/A</v>
        <stp/>
        <stp>VOLUME</stp>
        <stp>.NDX250620C21225</stp>
        <tr r="BE150" s="1"/>
      </tp>
      <tp t="s">
        <v>N/A</v>
        <stp/>
        <stp>VOLUME</stp>
        <stp>.NDX250627C21525</stp>
        <tr r="K139" s="2"/>
      </tp>
      <tp t="s">
        <v>N/A</v>
        <stp/>
        <stp>VOLUME</stp>
        <stp>.NDX250627C20525</stp>
        <tr r="K179" s="2"/>
      </tp>
      <tp t="s">
        <v>N/A</v>
        <stp/>
        <stp>VOLUME</stp>
        <stp>.NDX250725C20725</stp>
        <tr r="M171" s="2"/>
      </tp>
      <tp t="s">
        <v>N/A</v>
        <stp/>
        <stp>VOLUME</stp>
        <stp>.NDX251226C21425</stp>
        <tr r="W143" s="2"/>
      </tp>
      <tp t="s">
        <v>N/A</v>
        <stp/>
        <stp>VOLUME</stp>
        <stp>.NDX251226C20425</stp>
        <tr r="W183" s="2"/>
      </tp>
      <tp t="s">
        <v>N/A</v>
        <stp/>
        <stp>VOLUME</stp>
        <stp>.NDX251024C20625</stp>
        <tr r="S175" s="2"/>
      </tp>
      <tp t="s">
        <v>N/A</v>
        <stp/>
        <stp>VOLUME</stp>
        <stp>.NDX250926C21400</stp>
        <tr r="Q144" s="2"/>
      </tp>
      <tp t="s">
        <v>N/A</v>
        <stp/>
        <stp>VOLUME</stp>
        <stp>.NDX250926C20400</stp>
        <tr r="Q184" s="2"/>
      </tp>
      <tp t="s">
        <v>N/A</v>
        <stp/>
        <stp>VOLUME</stp>
        <stp>.NDX250822C21000</stp>
        <tr r="O160" s="2"/>
      </tp>
      <tp t="s">
        <v>N/A</v>
        <stp/>
        <stp>VOLUME</stp>
        <stp>.NDX250725C20700</stp>
        <tr r="M172" s="2"/>
      </tp>
      <tp t="s">
        <v>N/A</v>
        <stp/>
        <stp>VOLUME</stp>
        <stp>.NDX250606C21400</stp>
        <tr r="H144" s="2"/>
      </tp>
      <tp t="s">
        <v>N/A</v>
        <stp/>
        <stp>VOLUME</stp>
        <stp>.NDX250606C20400</stp>
        <tr r="H184" s="2"/>
      </tp>
      <tp>
        <v>3</v>
        <stp/>
        <stp>VOLUME</stp>
        <stp>.NDX250620C21200</stp>
        <tr r="BE151" s="1"/>
        <tr r="BE151" s="1"/>
      </tp>
      <tp t="s">
        <v>N/A</v>
        <stp/>
        <stp>VOLUME</stp>
        <stp>.NDX250627C21500</stp>
        <tr r="K140" s="2"/>
      </tp>
      <tp t="s">
        <v>N/A</v>
        <stp/>
        <stp>VOLUME</stp>
        <stp>.NDX250627C20500</stp>
        <tr r="K180" s="2"/>
      </tp>
      <tp t="s">
        <v>N/A</v>
        <stp/>
        <stp>VOLUME</stp>
        <stp>.NDX251226C21400</stp>
        <tr r="W144" s="2"/>
      </tp>
      <tp t="s">
        <v>N/A</v>
        <stp/>
        <stp>VOLUME</stp>
        <stp>.NDX251226C20400</stp>
        <tr r="W184" s="2"/>
      </tp>
      <tp t="s">
        <v>N/A</v>
        <stp/>
        <stp>VOLUME</stp>
        <stp>.NDX251024C20600</stp>
        <tr r="S176" s="2"/>
      </tp>
      <tp t="s">
        <v>N/A</v>
        <stp/>
        <stp>VOLUME</stp>
        <stp>.NDX251226C21475</stp>
        <tr r="W141" s="2"/>
      </tp>
      <tp t="s">
        <v>N/A</v>
        <stp/>
        <stp>VOLUME</stp>
        <stp>.NDX251226C20475</stp>
        <tr r="W181" s="2"/>
      </tp>
      <tp t="s">
        <v>N/A</v>
        <stp/>
        <stp>VOLUME</stp>
        <stp>.NDX251024C20675</stp>
        <tr r="S173" s="2"/>
      </tp>
      <tp t="s">
        <v>N/A</v>
        <stp/>
        <stp>VOLUME</stp>
        <stp>.NDX250822C21075</stp>
        <tr r="O157" s="2"/>
      </tp>
      <tp t="s">
        <v>N/A</v>
        <stp/>
        <stp>VOLUME</stp>
        <stp>.NDX250926C21475</stp>
        <tr r="Q141" s="2"/>
      </tp>
      <tp t="s">
        <v>N/A</v>
        <stp/>
        <stp>VOLUME</stp>
        <stp>.NDX250926C20475</stp>
        <tr r="Q181" s="2"/>
      </tp>
      <tp t="s">
        <v>N/A</v>
        <stp/>
        <stp>VOLUME</stp>
        <stp>.NDX250606C21475</stp>
        <tr r="H141" s="2"/>
      </tp>
      <tp t="s">
        <v>N/A</v>
        <stp/>
        <stp>VOLUME</stp>
        <stp>.NDX250606C20475</stp>
        <tr r="H181" s="2"/>
      </tp>
      <tp t="s">
        <v>N/A</v>
        <stp/>
        <stp>VOLUME</stp>
        <stp>.NDX250620C21275</stp>
        <tr r="BE148" s="1"/>
      </tp>
      <tp t="s">
        <v>N/A</v>
        <stp/>
        <stp>VOLUME</stp>
        <stp>.NDX250620C20275</stp>
        <tr r="BE188" s="1"/>
      </tp>
      <tp t="s">
        <v>N/A</v>
        <stp/>
        <stp>VOLUME</stp>
        <stp>.NDX250627C20575</stp>
        <tr r="K177" s="2"/>
      </tp>
      <tp t="s">
        <v>N/A</v>
        <stp/>
        <stp>VOLUME</stp>
        <stp>.NDX250725C20775</stp>
        <tr r="M169" s="2"/>
      </tp>
      <tp t="s">
        <v>N/A</v>
        <stp/>
        <stp>VOLUME</stp>
        <stp>.NDX251226C21450</stp>
        <tr r="W142" s="2"/>
      </tp>
      <tp t="s">
        <v>N/A</v>
        <stp/>
        <stp>VOLUME</stp>
        <stp>.NDX251226C20450</stp>
        <tr r="W182" s="2"/>
      </tp>
      <tp t="s">
        <v>N/A</v>
        <stp/>
        <stp>VOLUME</stp>
        <stp>.NDX251024C20650</stp>
        <tr r="S174" s="2"/>
      </tp>
      <tp t="s">
        <v>N/A</v>
        <stp/>
        <stp>VOLUME</stp>
        <stp>.NDX250926C21450</stp>
        <tr r="Q142" s="2"/>
      </tp>
      <tp t="s">
        <v>N/A</v>
        <stp/>
        <stp>VOLUME</stp>
        <stp>.NDX250926C20450</stp>
        <tr r="Q182" s="2"/>
      </tp>
      <tp t="s">
        <v>N/A</v>
        <stp/>
        <stp>VOLUME</stp>
        <stp>.NDX250822C21050</stp>
        <tr r="O158" s="2"/>
      </tp>
      <tp t="s">
        <v>N/A</v>
        <stp/>
        <stp>VOLUME</stp>
        <stp>.NDX250725C20750</stp>
        <tr r="M170" s="2"/>
      </tp>
      <tp t="s">
        <v>N/A</v>
        <stp/>
        <stp>VOLUME</stp>
        <stp>.NDX250606C21450</stp>
        <tr r="H142" s="2"/>
      </tp>
      <tp t="s">
        <v>N/A</v>
        <stp/>
        <stp>VOLUME</stp>
        <stp>.NDX250606C20450</stp>
        <tr r="H182" s="2"/>
      </tp>
      <tp>
        <v>4</v>
        <stp/>
        <stp>VOLUME</stp>
        <stp>.NDX250620C21250</stp>
        <tr r="BE149" s="1"/>
        <tr r="BE149" s="1"/>
      </tp>
      <tp t="s">
        <v>N/A</v>
        <stp/>
        <stp>VOLUME</stp>
        <stp>.NDX250627C21550</stp>
        <tr r="K138" s="2"/>
      </tp>
      <tp t="s">
        <v>N/A</v>
        <stp/>
        <stp>VOLUME</stp>
        <stp>.NDX250620C20250</stp>
        <tr r="BE189" s="1"/>
      </tp>
      <tp t="s">
        <v>N/A</v>
        <stp/>
        <stp>VOLUME</stp>
        <stp>.NDX250627C20550</stp>
        <tr r="K178" s="2"/>
      </tp>
      <tp t="s">
        <v>261.05%</v>
        <stp/>
        <stp>IMPL_VOL</stp>
        <stp>.NDXP250520C20575</stp>
        <tr r="EL176" s="1"/>
      </tp>
      <tp t="s">
        <v>--</v>
        <stp/>
        <stp>IMPL_VOL</stp>
        <stp>.NDXP250523C20675</stp>
        <tr r="EN172" s="1"/>
      </tp>
      <tp t="s">
        <v>270.55%</v>
        <stp/>
        <stp>IMPL_VOL</stp>
        <stp>.NDXP250520C20550</stp>
        <tr r="EL177" s="1"/>
      </tp>
      <tp t="s">
        <v>--</v>
        <stp/>
        <stp>IMPL_VOL</stp>
        <stp>.NDXP250523C20650</stp>
        <tr r="EN173" s="1"/>
      </tp>
      <tp t="s">
        <v>37.81%</v>
        <stp/>
        <stp>IMPL_VOL</stp>
        <stp>.NDXP250520C21550</stp>
        <tr r="EL137" s="1"/>
      </tp>
      <tp t="s">
        <v>234.42%</v>
        <stp/>
        <stp>IMPL_VOL</stp>
        <stp>.NDXP250520C20525</stp>
        <tr r="EL178" s="1"/>
      </tp>
      <tp t="s">
        <v>--</v>
        <stp/>
        <stp>IMPL_VOL</stp>
        <stp>.NDXP250523C20625</stp>
        <tr r="EN174" s="1"/>
      </tp>
      <tp t="s">
        <v>N/A</v>
        <stp/>
        <stp>IMPL_VOL</stp>
        <stp>.NDXP250520C21525</stp>
        <tr r="EL138" s="1"/>
      </tp>
      <tp t="s">
        <v>225.41%</v>
        <stp/>
        <stp>IMPL_VOL</stp>
        <stp>.NDXP250520C20500</stp>
        <tr r="EL179" s="1"/>
      </tp>
      <tp t="s">
        <v>--</v>
        <stp/>
        <stp>IMPL_VOL</stp>
        <stp>.NDXP250523C20600</stp>
        <tr r="EN175" s="1"/>
      </tp>
      <tp t="s">
        <v>28.27%</v>
        <stp/>
        <stp>IMPL_VOL</stp>
        <stp>.NDXP250520C21500</stp>
        <tr r="EL139" s="1"/>
      </tp>
      <tp t="s">
        <v>N/A</v>
        <stp/>
        <stp>VOLUME</stp>
        <stp>.NDX251226P20700</stp>
        <tr r="W172" s="2"/>
      </tp>
      <tp t="s">
        <v>N/A</v>
        <stp/>
        <stp>VOLUME</stp>
        <stp>.NDX251128P20900</stp>
        <tr r="U164" s="2"/>
      </tp>
      <tp t="s">
        <v>N/A</v>
        <stp/>
        <stp>VOLUME</stp>
        <stp>.NDX251024P21500</stp>
        <tr r="S140" s="2"/>
      </tp>
      <tp t="s">
        <v>N/A</v>
        <stp/>
        <stp>VOLUME</stp>
        <stp>.NDX251024P20500</stp>
        <tr r="S180" s="2"/>
      </tp>
      <tp t="s">
        <v>N/A</v>
        <stp/>
        <stp>VOLUME</stp>
        <stp>.NDX250926P20700</stp>
        <tr r="Q172" s="2"/>
      </tp>
      <tp t="s">
        <v>N/A</v>
        <stp/>
        <stp>VOLUME</stp>
        <stp>.NDX250822P21300</stp>
        <tr r="O148" s="2"/>
      </tp>
      <tp t="s">
        <v>N/A</v>
        <stp/>
        <stp>VOLUME</stp>
        <stp>.NDX250822P20300</stp>
        <tr r="O188" s="2"/>
      </tp>
      <tp t="s">
        <v>N/A</v>
        <stp/>
        <stp>VOLUME</stp>
        <stp>.NDX250725P21400</stp>
        <tr r="M144" s="2"/>
      </tp>
      <tp t="s">
        <v>N/A</v>
        <stp/>
        <stp>VOLUME</stp>
        <stp>.NDX250725P20400</stp>
        <tr r="M184" s="2"/>
      </tp>
      <tp t="s">
        <v>N/A</v>
        <stp/>
        <stp>VOLUME</stp>
        <stp>.NDX250606P20700</stp>
        <tr r="H172" s="2"/>
      </tp>
      <tp>
        <v>2</v>
        <stp/>
        <stp>VOLUME</stp>
        <stp>.NDX250620P21100</stp>
        <tr r="BF155" s="1"/>
        <tr r="BF155" s="1"/>
      </tp>
      <tp t="s">
        <v>N/A</v>
        <stp/>
        <stp>VOLUME</stp>
        <stp>.NDX250627P20600</stp>
        <tr r="K176" s="2"/>
      </tp>
      <tp t="s">
        <v>N/A</v>
        <stp/>
        <stp>VOLUME</stp>
        <stp>.NDX251226P20725</stp>
        <tr r="W171" s="2"/>
      </tp>
      <tp t="s">
        <v>N/A</v>
        <stp/>
        <stp>VOLUME</stp>
        <stp>.NDX251024P21525</stp>
        <tr r="S139" s="2"/>
      </tp>
      <tp t="s">
        <v>N/A</v>
        <stp/>
        <stp>VOLUME</stp>
        <stp>.NDX251024P20525</stp>
        <tr r="S179" s="2"/>
      </tp>
      <tp t="s">
        <v>N/A</v>
        <stp/>
        <stp>VOLUME</stp>
        <stp>.NDX251128P20925</stp>
        <tr r="U163" s="2"/>
      </tp>
      <tp t="s">
        <v>N/A</v>
        <stp/>
        <stp>VOLUME</stp>
        <stp>.NDX250822P21325</stp>
        <tr r="O147" s="2"/>
      </tp>
      <tp t="s">
        <v>N/A</v>
        <stp/>
        <stp>VOLUME</stp>
        <stp>.NDX250822P20325</stp>
        <tr r="O187" s="2"/>
      </tp>
      <tp t="s">
        <v>N/A</v>
        <stp/>
        <stp>VOLUME</stp>
        <stp>.NDX250926P20725</stp>
        <tr r="Q171" s="2"/>
      </tp>
      <tp t="s">
        <v>N/A</v>
        <stp/>
        <stp>VOLUME</stp>
        <stp>.NDX250606P20725</stp>
        <tr r="H171" s="2"/>
      </tp>
      <tp>
        <v>13</v>
        <stp/>
        <stp>VOLUME</stp>
        <stp>.NDX250620P21125</stp>
        <tr r="BF154" s="1"/>
        <tr r="BF154" s="1"/>
      </tp>
      <tp t="s">
        <v>N/A</v>
        <stp/>
        <stp>VOLUME</stp>
        <stp>.NDX250627P20625</stp>
        <tr r="K175" s="2"/>
      </tp>
      <tp t="s">
        <v>N/A</v>
        <stp/>
        <stp>VOLUME</stp>
        <stp>.NDX250725P21425</stp>
        <tr r="M143" s="2"/>
      </tp>
      <tp t="s">
        <v>N/A</v>
        <stp/>
        <stp>VOLUME</stp>
        <stp>.NDX250725P20425</stp>
        <tr r="M183" s="2"/>
      </tp>
      <tp t="s">
        <v>N/A</v>
        <stp/>
        <stp>VOLUME</stp>
        <stp>.NDX250926P20750</stp>
        <tr r="Q170" s="2"/>
      </tp>
      <tp t="s">
        <v>N/A</v>
        <stp/>
        <stp>VOLUME</stp>
        <stp>.NDX250822P21350</stp>
        <tr r="O146" s="2"/>
      </tp>
      <tp t="s">
        <v>N/A</v>
        <stp/>
        <stp>VOLUME</stp>
        <stp>.NDX250822P20350</stp>
        <tr r="O186" s="2"/>
      </tp>
      <tp t="s">
        <v>N/A</v>
        <stp/>
        <stp>VOLUME</stp>
        <stp>.NDX250725P21450</stp>
        <tr r="M142" s="2"/>
      </tp>
      <tp t="s">
        <v>N/A</v>
        <stp/>
        <stp>VOLUME</stp>
        <stp>.NDX250725P20450</stp>
        <tr r="M182" s="2"/>
      </tp>
      <tp t="s">
        <v>N/A</v>
        <stp/>
        <stp>VOLUME</stp>
        <stp>.NDX250606P20750</stp>
        <tr r="H170" s="2"/>
      </tp>
      <tp>
        <v>4</v>
        <stp/>
        <stp>VOLUME</stp>
        <stp>.NDX250620P21150</stp>
        <tr r="BF153" s="1"/>
        <tr r="BF153" s="1"/>
      </tp>
      <tp t="s">
        <v>N/A</v>
        <stp/>
        <stp>VOLUME</stp>
        <stp>.NDX250627P20650</stp>
        <tr r="K174" s="2"/>
      </tp>
      <tp t="s">
        <v>N/A</v>
        <stp/>
        <stp>VOLUME</stp>
        <stp>.NDX251226P20750</stp>
        <tr r="W170" s="2"/>
      </tp>
      <tp t="s">
        <v>N/A</v>
        <stp/>
        <stp>VOLUME</stp>
        <stp>.NDX251128P20950</stp>
        <tr r="U162" s="2"/>
      </tp>
      <tp t="s">
        <v>N/A</v>
        <stp/>
        <stp>VOLUME</stp>
        <stp>.NDX251024P21550</stp>
        <tr r="S138" s="2"/>
      </tp>
      <tp t="s">
        <v>N/A</v>
        <stp/>
        <stp>VOLUME</stp>
        <stp>.NDX251024P20550</stp>
        <tr r="S178" s="2"/>
      </tp>
      <tp t="s">
        <v>N/A</v>
        <stp/>
        <stp>VOLUME</stp>
        <stp>.NDX250822P21375</stp>
        <tr r="O145" s="2"/>
      </tp>
      <tp t="s">
        <v>N/A</v>
        <stp/>
        <stp>VOLUME</stp>
        <stp>.NDX250822P20375</stp>
        <tr r="O185" s="2"/>
      </tp>
      <tp t="s">
        <v>N/A</v>
        <stp/>
        <stp>VOLUME</stp>
        <stp>.NDX250926P20775</stp>
        <tr r="Q169" s="2"/>
      </tp>
      <tp t="s">
        <v>N/A</v>
        <stp/>
        <stp>VOLUME</stp>
        <stp>.NDX250606P20775</stp>
        <tr r="H169" s="2"/>
      </tp>
      <tp>
        <v>1</v>
        <stp/>
        <stp>VOLUME</stp>
        <stp>.NDX250620P21175</stp>
        <tr r="BF152" s="1"/>
        <tr r="BF152" s="1"/>
      </tp>
      <tp t="s">
        <v>N/A</v>
        <stp/>
        <stp>VOLUME</stp>
        <stp>.NDX250627P20675</stp>
        <tr r="K173" s="2"/>
      </tp>
      <tp t="s">
        <v>N/A</v>
        <stp/>
        <stp>VOLUME</stp>
        <stp>.NDX250725P21475</stp>
        <tr r="M141" s="2"/>
      </tp>
      <tp t="s">
        <v>N/A</v>
        <stp/>
        <stp>VOLUME</stp>
        <stp>.NDX250725P20475</stp>
        <tr r="M181" s="2"/>
      </tp>
      <tp t="s">
        <v>N/A</v>
        <stp/>
        <stp>VOLUME</stp>
        <stp>.NDX251226P20775</stp>
        <tr r="W169" s="2"/>
      </tp>
      <tp t="s">
        <v>N/A</v>
        <stp/>
        <stp>VOLUME</stp>
        <stp>.NDX251024P20575</stp>
        <tr r="S177" s="2"/>
      </tp>
      <tp t="s">
        <v>N/A</v>
        <stp/>
        <stp>VOLUME</stp>
        <stp>.NDX251128P20975</stp>
        <tr r="U161" s="2"/>
      </tp>
      <tp t="s">
        <v>311.01%</v>
        <stp/>
        <stp>IMPL_VOL</stp>
        <stp>.NDXP250520P20550</stp>
        <tr r="EM177" s="1"/>
      </tp>
      <tp t="s">
        <v>26.39%</v>
        <stp/>
        <stp>IMPL_VOL</stp>
        <stp>.NDXP250523P20650</stp>
        <tr r="EO173" s="1"/>
      </tp>
      <tp t="s">
        <v>--</v>
        <stp/>
        <stp>IMPL_VOL</stp>
        <stp>.NDXP250520P21550</stp>
        <tr r="EM137" s="1"/>
      </tp>
      <tp t="s">
        <v>303.20%</v>
        <stp/>
        <stp>IMPL_VOL</stp>
        <stp>.NDXP250520P20575</stp>
        <tr r="EM176" s="1"/>
      </tp>
      <tp t="s">
        <v>26.20%</v>
        <stp/>
        <stp>IMPL_VOL</stp>
        <stp>.NDXP250523P20675</stp>
        <tr r="EO172" s="1"/>
      </tp>
      <tp t="s">
        <v>187.90%</v>
        <stp/>
        <stp>IMPL_VOL</stp>
        <stp>.NDXP250520P20500</stp>
        <tr r="EM179" s="1"/>
      </tp>
      <tp t="s">
        <v>26.70%</v>
        <stp/>
        <stp>IMPL_VOL</stp>
        <stp>.NDXP250523P20600</stp>
        <tr r="EO175" s="1"/>
      </tp>
      <tp t="s">
        <v>--</v>
        <stp/>
        <stp>IMPL_VOL</stp>
        <stp>.NDXP250520P21500</stp>
        <tr r="EM139" s="1"/>
      </tp>
      <tp t="s">
        <v>318.79%</v>
        <stp/>
        <stp>IMPL_VOL</stp>
        <stp>.NDXP250520P20525</stp>
        <tr r="EM178" s="1"/>
      </tp>
      <tp t="s">
        <v>26.54%</v>
        <stp/>
        <stp>IMPL_VOL</stp>
        <stp>.NDXP250523P20625</stp>
        <tr r="EO174" s="1"/>
      </tp>
      <tp t="s">
        <v>N/A</v>
        <stp/>
        <stp>IMPL_VOL</stp>
        <stp>.NDXP250520P21525</stp>
        <tr r="EM138" s="1"/>
      </tp>
      <tp t="s">
        <v>N/A</v>
        <stp/>
        <stp>VOLUME</stp>
        <stp>.NDX250822C21325</stp>
        <tr r="O147" s="2"/>
      </tp>
      <tp t="s">
        <v>N/A</v>
        <stp/>
        <stp>VOLUME</stp>
        <stp>.NDX250822C20325</stp>
        <tr r="O187" s="2"/>
      </tp>
      <tp t="s">
        <v>N/A</v>
        <stp/>
        <stp>VOLUME</stp>
        <stp>.NDX250926C20725</stp>
        <tr r="Q171" s="2"/>
      </tp>
      <tp t="s">
        <v>N/A</v>
        <stp/>
        <stp>VOLUME</stp>
        <stp>.NDX250606C20725</stp>
        <tr r="H171" s="2"/>
      </tp>
      <tp t="s">
        <v>N/A</v>
        <stp/>
        <stp>VOLUME</stp>
        <stp>.NDX250620C21125</stp>
        <tr r="BE154" s="1"/>
      </tp>
      <tp t="s">
        <v>N/A</v>
        <stp/>
        <stp>VOLUME</stp>
        <stp>.NDX250627C20625</stp>
        <tr r="K175" s="2"/>
      </tp>
      <tp t="s">
        <v>N/A</v>
        <stp/>
        <stp>VOLUME</stp>
        <stp>.NDX250725C21425</stp>
        <tr r="M143" s="2"/>
      </tp>
      <tp t="s">
        <v>N/A</v>
        <stp/>
        <stp>VOLUME</stp>
        <stp>.NDX250725C20425</stp>
        <tr r="M183" s="2"/>
      </tp>
      <tp t="s">
        <v>N/A</v>
        <stp/>
        <stp>VOLUME</stp>
        <stp>.NDX251226C20725</stp>
        <tr r="W171" s="2"/>
      </tp>
      <tp t="s">
        <v>N/A</v>
        <stp/>
        <stp>VOLUME</stp>
        <stp>.NDX251024C21525</stp>
        <tr r="S139" s="2"/>
      </tp>
      <tp t="s">
        <v>N/A</v>
        <stp/>
        <stp>VOLUME</stp>
        <stp>.NDX251024C20525</stp>
        <tr r="S179" s="2"/>
      </tp>
      <tp t="s">
        <v>N/A</v>
        <stp/>
        <stp>VOLUME</stp>
        <stp>.NDX251128C20925</stp>
        <tr r="U163" s="2"/>
      </tp>
      <tp t="s">
        <v>N/A</v>
        <stp/>
        <stp>VOLUME</stp>
        <stp>.NDX250926C20700</stp>
        <tr r="Q172" s="2"/>
      </tp>
      <tp t="s">
        <v>N/A</v>
        <stp/>
        <stp>VOLUME</stp>
        <stp>.NDX250822C21300</stp>
        <tr r="O148" s="2"/>
      </tp>
      <tp t="s">
        <v>N/A</v>
        <stp/>
        <stp>VOLUME</stp>
        <stp>.NDX250822C20300</stp>
        <tr r="O188" s="2"/>
      </tp>
      <tp t="s">
        <v>N/A</v>
        <stp/>
        <stp>VOLUME</stp>
        <stp>.NDX250725C21400</stp>
        <tr r="M144" s="2"/>
      </tp>
      <tp t="s">
        <v>N/A</v>
        <stp/>
        <stp>VOLUME</stp>
        <stp>.NDX250725C20400</stp>
        <tr r="M184" s="2"/>
      </tp>
      <tp t="s">
        <v>N/A</v>
        <stp/>
        <stp>VOLUME</stp>
        <stp>.NDX250606C20700</stp>
        <tr r="H172" s="2"/>
      </tp>
      <tp t="s">
        <v>N/A</v>
        <stp/>
        <stp>VOLUME</stp>
        <stp>.NDX250620C21100</stp>
        <tr r="BE155" s="1"/>
      </tp>
      <tp t="s">
        <v>N/A</v>
        <stp/>
        <stp>VOLUME</stp>
        <stp>.NDX250627C20600</stp>
        <tr r="K176" s="2"/>
      </tp>
      <tp t="s">
        <v>N/A</v>
        <stp/>
        <stp>VOLUME</stp>
        <stp>.NDX251226C20700</stp>
        <tr r="W172" s="2"/>
      </tp>
      <tp t="s">
        <v>N/A</v>
        <stp/>
        <stp>VOLUME</stp>
        <stp>.NDX251128C20900</stp>
        <tr r="U164" s="2"/>
      </tp>
      <tp t="s">
        <v>N/A</v>
        <stp/>
        <stp>VOLUME</stp>
        <stp>.NDX251024C21500</stp>
        <tr r="S140" s="2"/>
      </tp>
      <tp t="s">
        <v>N/A</v>
        <stp/>
        <stp>VOLUME</stp>
        <stp>.NDX251024C20500</stp>
        <tr r="S180" s="2"/>
      </tp>
      <tp t="s">
        <v>N/A</v>
        <stp/>
        <stp>VOLUME</stp>
        <stp>.NDX251226C20775</stp>
        <tr r="W169" s="2"/>
      </tp>
      <tp t="s">
        <v>N/A</v>
        <stp/>
        <stp>VOLUME</stp>
        <stp>.NDX251024C20575</stp>
        <tr r="S177" s="2"/>
      </tp>
      <tp t="s">
        <v>N/A</v>
        <stp/>
        <stp>VOLUME</stp>
        <stp>.NDX251128C20975</stp>
        <tr r="U161" s="2"/>
      </tp>
      <tp t="s">
        <v>N/A</v>
        <stp/>
        <stp>VOLUME</stp>
        <stp>.NDX250822C21375</stp>
        <tr r="O145" s="2"/>
      </tp>
      <tp t="s">
        <v>N/A</v>
        <stp/>
        <stp>VOLUME</stp>
        <stp>.NDX250822C20375</stp>
        <tr r="O185" s="2"/>
      </tp>
      <tp t="s">
        <v>N/A</v>
        <stp/>
        <stp>VOLUME</stp>
        <stp>.NDX250926C20775</stp>
        <tr r="Q169" s="2"/>
      </tp>
      <tp t="s">
        <v>N/A</v>
        <stp/>
        <stp>VOLUME</stp>
        <stp>.NDX250606C20775</stp>
        <tr r="H169" s="2"/>
      </tp>
      <tp t="s">
        <v>N/A</v>
        <stp/>
        <stp>VOLUME</stp>
        <stp>.NDX250620C21175</stp>
        <tr r="BE152" s="1"/>
      </tp>
      <tp t="s">
        <v>N/A</v>
        <stp/>
        <stp>VOLUME</stp>
        <stp>.NDX250627C20675</stp>
        <tr r="K173" s="2"/>
      </tp>
      <tp t="s">
        <v>N/A</v>
        <stp/>
        <stp>VOLUME</stp>
        <stp>.NDX250725C21475</stp>
        <tr r="M141" s="2"/>
      </tp>
      <tp t="s">
        <v>N/A</v>
        <stp/>
        <stp>VOLUME</stp>
        <stp>.NDX250725C20475</stp>
        <tr r="M181" s="2"/>
      </tp>
      <tp t="s">
        <v>N/A</v>
        <stp/>
        <stp>VOLUME</stp>
        <stp>.NDX251226C20750</stp>
        <tr r="W170" s="2"/>
      </tp>
      <tp t="s">
        <v>N/A</v>
        <stp/>
        <stp>VOLUME</stp>
        <stp>.NDX251128C20950</stp>
        <tr r="U162" s="2"/>
      </tp>
      <tp t="s">
        <v>N/A</v>
        <stp/>
        <stp>VOLUME</stp>
        <stp>.NDX251024C21550</stp>
        <tr r="S138" s="2"/>
      </tp>
      <tp t="s">
        <v>N/A</v>
        <stp/>
        <stp>VOLUME</stp>
        <stp>.NDX251024C20550</stp>
        <tr r="S178" s="2"/>
      </tp>
      <tp t="s">
        <v>N/A</v>
        <stp/>
        <stp>VOLUME</stp>
        <stp>.NDX250926C20750</stp>
        <tr r="Q170" s="2"/>
      </tp>
      <tp t="s">
        <v>N/A</v>
        <stp/>
        <stp>VOLUME</stp>
        <stp>.NDX250822C21350</stp>
        <tr r="O146" s="2"/>
      </tp>
      <tp t="s">
        <v>N/A</v>
        <stp/>
        <stp>VOLUME</stp>
        <stp>.NDX250822C20350</stp>
        <tr r="O186" s="2"/>
      </tp>
      <tp t="s">
        <v>N/A</v>
        <stp/>
        <stp>VOLUME</stp>
        <stp>.NDX250725C21450</stp>
        <tr r="M142" s="2"/>
      </tp>
      <tp t="s">
        <v>N/A</v>
        <stp/>
        <stp>VOLUME</stp>
        <stp>.NDX250725C20450</stp>
        <tr r="M182" s="2"/>
      </tp>
      <tp t="s">
        <v>N/A</v>
        <stp/>
        <stp>VOLUME</stp>
        <stp>.NDX250606C20750</stp>
        <tr r="H170" s="2"/>
      </tp>
      <tp t="s">
        <v>N/A</v>
        <stp/>
        <stp>VOLUME</stp>
        <stp>.NDX250620C21150</stp>
        <tr r="BE153" s="1"/>
      </tp>
      <tp t="s">
        <v>N/A</v>
        <stp/>
        <stp>VOLUME</stp>
        <stp>.NDX250627C20650</stp>
        <tr r="K174" s="2"/>
      </tp>
      <tp t="s">
        <v>--</v>
        <stp/>
        <stp>IMPL_VOL</stp>
        <stp>.NDXP250520C20475</stp>
        <tr r="EL180" s="1"/>
      </tp>
      <tp t="s">
        <v>--</v>
        <stp/>
        <stp>IMPL_VOL</stp>
        <stp>.NDXP250523C20775</stp>
        <tr r="EN168" s="1"/>
      </tp>
      <tp t="s">
        <v>41.20%</v>
        <stp/>
        <stp>IMPL_VOL</stp>
        <stp>.NDXP250520C21475</stp>
        <tr r="EL140" s="1"/>
      </tp>
      <tp t="s">
        <v>--</v>
        <stp/>
        <stp>IMPL_VOL</stp>
        <stp>.NDXP250520C20450</stp>
        <tr r="EL181" s="1"/>
      </tp>
      <tp t="s">
        <v>--</v>
        <stp/>
        <stp>IMPL_VOL</stp>
        <stp>.NDXP250523C20750</stp>
        <tr r="EN169" s="1"/>
      </tp>
      <tp t="s">
        <v>19.80%</v>
        <stp/>
        <stp>IMPL_VOL</stp>
        <stp>.NDXP250520C21450</stp>
        <tr r="EL141" s="1"/>
      </tp>
      <tp t="s">
        <v>--</v>
        <stp/>
        <stp>IMPL_VOL</stp>
        <stp>.NDXP250520C20425</stp>
        <tr r="EL182" s="1"/>
      </tp>
      <tp t="s">
        <v>--</v>
        <stp/>
        <stp>IMPL_VOL</stp>
        <stp>.NDXP250523C20725</stp>
        <tr r="EN170" s="1"/>
      </tp>
      <tp t="s">
        <v>15.09%</v>
        <stp/>
        <stp>IMPL_VOL</stp>
        <stp>.NDXP250520C21425</stp>
        <tr r="EL142" s="1"/>
      </tp>
      <tp t="s">
        <v>195.99%</v>
        <stp/>
        <stp>IMPL_VOL</stp>
        <stp>.NDXP250520C20400</stp>
        <tr r="EL183" s="1"/>
      </tp>
      <tp t="s">
        <v>--</v>
        <stp/>
        <stp>IMPL_VOL</stp>
        <stp>.NDXP250523C20700</stp>
        <tr r="EN171" s="1"/>
      </tp>
      <tp t="s">
        <v>9.60%</v>
        <stp/>
        <stp>IMPL_VOL</stp>
        <stp>.NDXP250520C21400</stp>
        <tr r="EL143" s="1"/>
      </tp>
      <tp t="s">
        <v>N/A</v>
        <stp/>
        <stp>VOLUME</stp>
        <stp>.NDX251226P20600</stp>
        <tr r="W176" s="2"/>
      </tp>
      <tp t="s">
        <v>N/A</v>
        <stp/>
        <stp>VOLUME</stp>
        <stp>.NDX251128P20800</stp>
        <tr r="U168" s="2"/>
      </tp>
      <tp t="s">
        <v>N/A</v>
        <stp/>
        <stp>VOLUME</stp>
        <stp>.NDX251024P21400</stp>
        <tr r="S144" s="2"/>
      </tp>
      <tp t="s">
        <v>N/A</v>
        <stp/>
        <stp>VOLUME</stp>
        <stp>.NDX251024P20400</stp>
        <tr r="S184" s="2"/>
      </tp>
      <tp t="s">
        <v>N/A</v>
        <stp/>
        <stp>VOLUME</stp>
        <stp>.NDX250926P20600</stp>
        <tr r="Q176" s="2"/>
      </tp>
      <tp t="s">
        <v>N/A</v>
        <stp/>
        <stp>VOLUME</stp>
        <stp>.NDX250822P21200</stp>
        <tr r="O152" s="2"/>
      </tp>
      <tp t="s">
        <v>N/A</v>
        <stp/>
        <stp>VOLUME</stp>
        <stp>.NDX250725P21500</stp>
        <tr r="M140" s="2"/>
      </tp>
      <tp t="s">
        <v>N/A</v>
        <stp/>
        <stp>VOLUME</stp>
        <stp>.NDX250725P20500</stp>
        <tr r="M180" s="2"/>
      </tp>
      <tp t="s">
        <v>N/A</v>
        <stp/>
        <stp>VOLUME</stp>
        <stp>.NDX250606P20600</stp>
        <tr r="H176" s="2"/>
      </tp>
      <tp>
        <v>2</v>
        <stp/>
        <stp>VOLUME</stp>
        <stp>.NDX250620P21000</stp>
        <tr r="BF159" s="1"/>
        <tr r="BF159" s="1"/>
      </tp>
      <tp t="s">
        <v>N/A</v>
        <stp/>
        <stp>VOLUME</stp>
        <stp>.NDX250627P20700</stp>
        <tr r="K172" s="2"/>
      </tp>
      <tp t="s">
        <v>N/A</v>
        <stp/>
        <stp>VOLUME</stp>
        <stp>.NDX251226P20625</stp>
        <tr r="W175" s="2"/>
      </tp>
      <tp t="s">
        <v>N/A</v>
        <stp/>
        <stp>VOLUME</stp>
        <stp>.NDX251024P21425</stp>
        <tr r="S143" s="2"/>
      </tp>
      <tp t="s">
        <v>N/A</v>
        <stp/>
        <stp>VOLUME</stp>
        <stp>.NDX251024P20425</stp>
        <tr r="S183" s="2"/>
      </tp>
      <tp t="s">
        <v>N/A</v>
        <stp/>
        <stp>VOLUME</stp>
        <stp>.NDX251128P20825</stp>
        <tr r="U167" s="2"/>
      </tp>
      <tp t="s">
        <v>N/A</v>
        <stp/>
        <stp>VOLUME</stp>
        <stp>.NDX250822P21225</stp>
        <tr r="O151" s="2"/>
      </tp>
      <tp t="s">
        <v>N/A</v>
        <stp/>
        <stp>VOLUME</stp>
        <stp>.NDX250926P20625</stp>
        <tr r="Q175" s="2"/>
      </tp>
      <tp t="s">
        <v>N/A</v>
        <stp/>
        <stp>VOLUME</stp>
        <stp>.NDX250606P20625</stp>
        <tr r="H175" s="2"/>
      </tp>
      <tp>
        <v>1</v>
        <stp/>
        <stp>VOLUME</stp>
        <stp>.NDX250620P21025</stp>
        <tr r="BF158" s="1"/>
        <tr r="BF158" s="1"/>
      </tp>
      <tp t="s">
        <v>N/A</v>
        <stp/>
        <stp>VOLUME</stp>
        <stp>.NDX250627P20725</stp>
        <tr r="K171" s="2"/>
      </tp>
      <tp t="s">
        <v>N/A</v>
        <stp/>
        <stp>VOLUME</stp>
        <stp>.NDX250725P21525</stp>
        <tr r="M139" s="2"/>
      </tp>
      <tp t="s">
        <v>N/A</v>
        <stp/>
        <stp>VOLUME</stp>
        <stp>.NDX250725P20525</stp>
        <tr r="M179" s="2"/>
      </tp>
      <tp t="s">
        <v>N/A</v>
        <stp/>
        <stp>VOLUME</stp>
        <stp>.NDX250926P20650</stp>
        <tr r="Q174" s="2"/>
      </tp>
      <tp t="s">
        <v>N/A</v>
        <stp/>
        <stp>VOLUME</stp>
        <stp>.NDX250822P21250</stp>
        <tr r="O150" s="2"/>
      </tp>
      <tp t="s">
        <v>N/A</v>
        <stp/>
        <stp>VOLUME</stp>
        <stp>.NDX250822P20250</stp>
        <tr r="O190" s="2"/>
      </tp>
      <tp t="s">
        <v>N/A</v>
        <stp/>
        <stp>VOLUME</stp>
        <stp>.NDX250725P21550</stp>
        <tr r="M138" s="2"/>
      </tp>
      <tp t="s">
        <v>N/A</v>
        <stp/>
        <stp>VOLUME</stp>
        <stp>.NDX250725P20550</stp>
        <tr r="M178" s="2"/>
      </tp>
      <tp t="s">
        <v>N/A</v>
        <stp/>
        <stp>VOLUME</stp>
        <stp>.NDX250606P20650</stp>
        <tr r="H174" s="2"/>
      </tp>
      <tp>
        <v>4</v>
        <stp/>
        <stp>VOLUME</stp>
        <stp>.NDX250620P21050</stp>
        <tr r="BF157" s="1"/>
        <tr r="BF157" s="1"/>
      </tp>
      <tp t="s">
        <v>N/A</v>
        <stp/>
        <stp>VOLUME</stp>
        <stp>.NDX250627P20750</stp>
        <tr r="K170" s="2"/>
      </tp>
      <tp t="s">
        <v>N/A</v>
        <stp/>
        <stp>VOLUME</stp>
        <stp>.NDX251226P20650</stp>
        <tr r="W174" s="2"/>
      </tp>
      <tp t="s">
        <v>N/A</v>
        <stp/>
        <stp>VOLUME</stp>
        <stp>.NDX251128P20850</stp>
        <tr r="U166" s="2"/>
      </tp>
      <tp t="s">
        <v>N/A</v>
        <stp/>
        <stp>VOLUME</stp>
        <stp>.NDX251024P21450</stp>
        <tr r="S142" s="2"/>
      </tp>
      <tp t="s">
        <v>N/A</v>
        <stp/>
        <stp>VOLUME</stp>
        <stp>.NDX251024P20450</stp>
        <tr r="S182" s="2"/>
      </tp>
      <tp t="s">
        <v>N/A</v>
        <stp/>
        <stp>VOLUME</stp>
        <stp>.NDX250822P21275</stp>
        <tr r="O149" s="2"/>
      </tp>
      <tp t="s">
        <v>N/A</v>
        <stp/>
        <stp>VOLUME</stp>
        <stp>.NDX250822P20275</stp>
        <tr r="O189" s="2"/>
      </tp>
      <tp t="s">
        <v>N/A</v>
        <stp/>
        <stp>VOLUME</stp>
        <stp>.NDX250926P20675</stp>
        <tr r="Q173" s="2"/>
      </tp>
      <tp t="s">
        <v>N/A</v>
        <stp/>
        <stp>VOLUME</stp>
        <stp>.NDX250606P20675</stp>
        <tr r="H173" s="2"/>
      </tp>
      <tp t="s">
        <v>N/A</v>
        <stp/>
        <stp>VOLUME</stp>
        <stp>.NDX250620P21075</stp>
        <tr r="BF156" s="1"/>
      </tp>
      <tp t="s">
        <v>N/A</v>
        <stp/>
        <stp>VOLUME</stp>
        <stp>.NDX250627P20775</stp>
        <tr r="K169" s="2"/>
      </tp>
      <tp t="s">
        <v>N/A</v>
        <stp/>
        <stp>VOLUME</stp>
        <stp>.NDX250725P20575</stp>
        <tr r="M177" s="2"/>
      </tp>
      <tp t="s">
        <v>N/A</v>
        <stp/>
        <stp>VOLUME</stp>
        <stp>.NDX251226P20675</stp>
        <tr r="W173" s="2"/>
      </tp>
      <tp t="s">
        <v>N/A</v>
        <stp/>
        <stp>VOLUME</stp>
        <stp>.NDX251024P21475</stp>
        <tr r="S141" s="2"/>
      </tp>
      <tp t="s">
        <v>N/A</v>
        <stp/>
        <stp>VOLUME</stp>
        <stp>.NDX251024P20475</stp>
        <tr r="S181" s="2"/>
      </tp>
      <tp t="s">
        <v>N/A</v>
        <stp/>
        <stp>VOLUME</stp>
        <stp>.NDX251128P20875</stp>
        <tr r="U165" s="2"/>
      </tp>
      <tp t="s">
        <v>342.02%</v>
        <stp/>
        <stp>IMPL_VOL</stp>
        <stp>.NDXP250520P20450</stp>
        <tr r="EM181" s="1"/>
      </tp>
      <tp t="s">
        <v>25.71%</v>
        <stp/>
        <stp>IMPL_VOL</stp>
        <stp>.NDXP250523P20750</stp>
        <tr r="EO169" s="1"/>
      </tp>
      <tp t="s">
        <v>--</v>
        <stp/>
        <stp>IMPL_VOL</stp>
        <stp>.NDXP250520P21450</stp>
        <tr r="EM141" s="1"/>
      </tp>
      <tp t="s">
        <v>334.30%</v>
        <stp/>
        <stp>IMPL_VOL</stp>
        <stp>.NDXP250520P20475</stp>
        <tr r="EM180" s="1"/>
      </tp>
      <tp t="s">
        <v>25.56%</v>
        <stp/>
        <stp>IMPL_VOL</stp>
        <stp>.NDXP250523P20775</stp>
        <tr r="EO168" s="1"/>
      </tp>
      <tp t="s">
        <v>--</v>
        <stp/>
        <stp>IMPL_VOL</stp>
        <stp>.NDXP250520P21475</stp>
        <tr r="EM140" s="1"/>
      </tp>
      <tp t="s">
        <v>357.42%</v>
        <stp/>
        <stp>IMPL_VOL</stp>
        <stp>.NDXP250520P20400</stp>
        <tr r="EM183" s="1"/>
      </tp>
      <tp t="s">
        <v>26.02%</v>
        <stp/>
        <stp>IMPL_VOL</stp>
        <stp>.NDXP250523P20700</stp>
        <tr r="EO171" s="1"/>
      </tp>
      <tp t="s">
        <v>--</v>
        <stp/>
        <stp>IMPL_VOL</stp>
        <stp>.NDXP250520P21400</stp>
        <tr r="EM143" s="1"/>
      </tp>
      <tp t="s">
        <v>349.73%</v>
        <stp/>
        <stp>IMPL_VOL</stp>
        <stp>.NDXP250520P20425</stp>
        <tr r="EM182" s="1"/>
      </tp>
      <tp t="s">
        <v>25.88%</v>
        <stp/>
        <stp>IMPL_VOL</stp>
        <stp>.NDXP250523P20725</stp>
        <tr r="EO170" s="1"/>
      </tp>
      <tp t="s">
        <v>--</v>
        <stp/>
        <stp>IMPL_VOL</stp>
        <stp>.NDXP250520P21425</stp>
        <tr r="EM142" s="1"/>
      </tp>
      <tp t="s">
        <v>N/A</v>
        <stp/>
        <stp>VOLUME</stp>
        <stp>.NDX250822C21225</stp>
        <tr r="O151" s="2"/>
      </tp>
      <tp t="s">
        <v>N/A</v>
        <stp/>
        <stp>VOLUME</stp>
        <stp>.NDX250926C20625</stp>
        <tr r="Q175" s="2"/>
      </tp>
      <tp t="s">
        <v>N/A</v>
        <stp/>
        <stp>VOLUME</stp>
        <stp>.NDX250606C20625</stp>
        <tr r="H175" s="2"/>
      </tp>
      <tp t="s">
        <v>N/A</v>
        <stp/>
        <stp>VOLUME</stp>
        <stp>.NDX250620C21025</stp>
        <tr r="BE158" s="1"/>
      </tp>
      <tp t="s">
        <v>N/A</v>
        <stp/>
        <stp>VOLUME</stp>
        <stp>.NDX250627C20725</stp>
        <tr r="K171" s="2"/>
      </tp>
      <tp t="s">
        <v>N/A</v>
        <stp/>
        <stp>VOLUME</stp>
        <stp>.NDX250725C21525</stp>
        <tr r="M139" s="2"/>
      </tp>
      <tp t="s">
        <v>N/A</v>
        <stp/>
        <stp>VOLUME</stp>
        <stp>.NDX250725C20525</stp>
        <tr r="M179" s="2"/>
      </tp>
      <tp t="s">
        <v>N/A</v>
        <stp/>
        <stp>VOLUME</stp>
        <stp>.NDX251226C20625</stp>
        <tr r="W175" s="2"/>
      </tp>
      <tp t="s">
        <v>N/A</v>
        <stp/>
        <stp>VOLUME</stp>
        <stp>.NDX251024C21425</stp>
        <tr r="S143" s="2"/>
      </tp>
      <tp t="s">
        <v>N/A</v>
        <stp/>
        <stp>VOLUME</stp>
        <stp>.NDX251024C20425</stp>
        <tr r="S183" s="2"/>
      </tp>
      <tp t="s">
        <v>N/A</v>
        <stp/>
        <stp>VOLUME</stp>
        <stp>.NDX251128C20825</stp>
        <tr r="U167" s="2"/>
      </tp>
      <tp t="s">
        <v>N/A</v>
        <stp/>
        <stp>VOLUME</stp>
        <stp>.NDX250926C20600</stp>
        <tr r="Q176" s="2"/>
      </tp>
      <tp t="s">
        <v>N/A</v>
        <stp/>
        <stp>VOLUME</stp>
        <stp>.NDX250822C21200</stp>
        <tr r="O152" s="2"/>
      </tp>
      <tp t="s">
        <v>N/A</v>
        <stp/>
        <stp>VOLUME</stp>
        <stp>.NDX250725C21500</stp>
        <tr r="M140" s="2"/>
      </tp>
      <tp t="s">
        <v>N/A</v>
        <stp/>
        <stp>VOLUME</stp>
        <stp>.NDX250725C20500</stp>
        <tr r="M180" s="2"/>
      </tp>
      <tp t="s">
        <v>N/A</v>
        <stp/>
        <stp>VOLUME</stp>
        <stp>.NDX250606C20600</stp>
        <tr r="H176" s="2"/>
      </tp>
      <tp t="s">
        <v>N/A</v>
        <stp/>
        <stp>VOLUME</stp>
        <stp>.NDX250620C21000</stp>
        <tr r="BE159" s="1"/>
      </tp>
      <tp t="s">
        <v>N/A</v>
        <stp/>
        <stp>VOLUME</stp>
        <stp>.NDX250627C20700</stp>
        <tr r="K172" s="2"/>
      </tp>
      <tp t="s">
        <v>N/A</v>
        <stp/>
        <stp>VOLUME</stp>
        <stp>.NDX251226C20600</stp>
        <tr r="W176" s="2"/>
      </tp>
      <tp t="s">
        <v>N/A</v>
        <stp/>
        <stp>VOLUME</stp>
        <stp>.NDX251128C20800</stp>
        <tr r="U168" s="2"/>
      </tp>
      <tp t="s">
        <v>N/A</v>
        <stp/>
        <stp>VOLUME</stp>
        <stp>.NDX251024C21400</stp>
        <tr r="S144" s="2"/>
      </tp>
      <tp t="s">
        <v>N/A</v>
        <stp/>
        <stp>VOLUME</stp>
        <stp>.NDX251024C20400</stp>
        <tr r="S184" s="2"/>
      </tp>
      <tp t="s">
        <v>N/A</v>
        <stp/>
        <stp>VOLUME</stp>
        <stp>.NDX251226C20675</stp>
        <tr r="W173" s="2"/>
      </tp>
      <tp t="s">
        <v>N/A</v>
        <stp/>
        <stp>VOLUME</stp>
        <stp>.NDX251024C21475</stp>
        <tr r="S141" s="2"/>
      </tp>
      <tp t="s">
        <v>N/A</v>
        <stp/>
        <stp>VOLUME</stp>
        <stp>.NDX251024C20475</stp>
        <tr r="S181" s="2"/>
      </tp>
      <tp t="s">
        <v>N/A</v>
        <stp/>
        <stp>VOLUME</stp>
        <stp>.NDX251128C20875</stp>
        <tr r="U165" s="2"/>
      </tp>
      <tp t="s">
        <v>N/A</v>
        <stp/>
        <stp>VOLUME</stp>
        <stp>.NDX250822C21275</stp>
        <tr r="O149" s="2"/>
      </tp>
      <tp t="s">
        <v>N/A</v>
        <stp/>
        <stp>VOLUME</stp>
        <stp>.NDX250822C20275</stp>
        <tr r="O189" s="2"/>
      </tp>
      <tp t="s">
        <v>N/A</v>
        <stp/>
        <stp>VOLUME</stp>
        <stp>.NDX250926C20675</stp>
        <tr r="Q173" s="2"/>
      </tp>
      <tp t="s">
        <v>N/A</v>
        <stp/>
        <stp>VOLUME</stp>
        <stp>.NDX250606C20675</stp>
        <tr r="H173" s="2"/>
      </tp>
      <tp t="s">
        <v>N/A</v>
        <stp/>
        <stp>VOLUME</stp>
        <stp>.NDX250620C21075</stp>
        <tr r="BE156" s="1"/>
      </tp>
      <tp t="s">
        <v>N/A</v>
        <stp/>
        <stp>VOLUME</stp>
        <stp>.NDX250627C20775</stp>
        <tr r="K169" s="2"/>
      </tp>
      <tp t="s">
        <v>N/A</v>
        <stp/>
        <stp>VOLUME</stp>
        <stp>.NDX250725C20575</stp>
        <tr r="M177" s="2"/>
      </tp>
      <tp t="s">
        <v>N/A</v>
        <stp/>
        <stp>VOLUME</stp>
        <stp>.NDX251226C20650</stp>
        <tr r="W174" s="2"/>
      </tp>
      <tp t="s">
        <v>N/A</v>
        <stp/>
        <stp>VOLUME</stp>
        <stp>.NDX251128C20850</stp>
        <tr r="U166" s="2"/>
      </tp>
      <tp t="s">
        <v>N/A</v>
        <stp/>
        <stp>VOLUME</stp>
        <stp>.NDX251024C21450</stp>
        <tr r="S142" s="2"/>
      </tp>
      <tp t="s">
        <v>N/A</v>
        <stp/>
        <stp>VOLUME</stp>
        <stp>.NDX251024C20450</stp>
        <tr r="S182" s="2"/>
      </tp>
      <tp t="s">
        <v>N/A</v>
        <stp/>
        <stp>VOLUME</stp>
        <stp>.NDX250926C20650</stp>
        <tr r="Q174" s="2"/>
      </tp>
      <tp t="s">
        <v>N/A</v>
        <stp/>
        <stp>VOLUME</stp>
        <stp>.NDX250822C21250</stp>
        <tr r="O150" s="2"/>
      </tp>
      <tp t="s">
        <v>N/A</v>
        <stp/>
        <stp>VOLUME</stp>
        <stp>.NDX250822C20250</stp>
        <tr r="O190" s="2"/>
      </tp>
      <tp t="s">
        <v>N/A</v>
        <stp/>
        <stp>VOLUME</stp>
        <stp>.NDX250725C21550</stp>
        <tr r="M138" s="2"/>
      </tp>
      <tp t="s">
        <v>N/A</v>
        <stp/>
        <stp>VOLUME</stp>
        <stp>.NDX250725C20550</stp>
        <tr r="M178" s="2"/>
      </tp>
      <tp t="s">
        <v>N/A</v>
        <stp/>
        <stp>VOLUME</stp>
        <stp>.NDX250606C20650</stp>
        <tr r="H174" s="2"/>
      </tp>
      <tp t="s">
        <v>N/A</v>
        <stp/>
        <stp>VOLUME</stp>
        <stp>.NDX250620C21050</stp>
        <tr r="BE157" s="1"/>
      </tp>
      <tp t="s">
        <v>N/A</v>
        <stp/>
        <stp>VOLUME</stp>
        <stp>.NDX250627C20750</stp>
        <tr r="K170" s="2"/>
      </tp>
      <tp>
        <v>0.43</v>
        <stp/>
        <stp>DELTA</stp>
        <stp>.SPX250620C6010</stp>
        <tr r="CH91" s="1"/>
        <tr r="CH91" s="1"/>
      </tp>
      <tp>
        <v>-0.56000000000000005</v>
        <stp/>
        <stp>DELTA</stp>
        <stp>.SPX250620P6010</stp>
        <tr r="CI91" s="1"/>
        <tr r="CI91" s="1"/>
      </tp>
      <tp>
        <v>0.45</v>
        <stp/>
        <stp>DELTA</stp>
        <stp>.SPX250620C6000</stp>
        <tr r="CH92" s="1"/>
        <tr r="CH92" s="1"/>
      </tp>
      <tp>
        <v>-0.55000000000000004</v>
        <stp/>
        <stp>DELTA</stp>
        <stp>.SPX250620P6000</stp>
        <tr r="CI92" s="1"/>
        <tr r="CI92" s="1"/>
      </tp>
      <tp>
        <v>0.4</v>
        <stp/>
        <stp>DELTA</stp>
        <stp>.SPX250620C6030</stp>
        <tr r="CH89" s="1"/>
        <tr r="CH89" s="1"/>
      </tp>
      <tp>
        <v>-0.59</v>
        <stp/>
        <stp>DELTA</stp>
        <stp>.SPX250620P6030</stp>
        <tr r="CI89" s="1"/>
        <tr r="CI89" s="1"/>
      </tp>
      <tp>
        <v>0.41</v>
        <stp/>
        <stp>DELTA</stp>
        <stp>.SPX250620C6020</stp>
        <tr r="CH90" s="1"/>
        <tr r="CH90" s="1"/>
      </tp>
      <tp>
        <v>-0.57999999999999996</v>
        <stp/>
        <stp>DELTA</stp>
        <stp>.SPX250620P6020</stp>
        <tr r="CI90" s="1"/>
        <tr r="CI90" s="1"/>
      </tp>
      <tp>
        <v>0.36</v>
        <stp/>
        <stp>DELTA</stp>
        <stp>.SPX250620C6050</stp>
        <tr r="CH87" s="1"/>
        <tr r="CH87" s="1"/>
      </tp>
      <tp>
        <v>-0.63</v>
        <stp/>
        <stp>DELTA</stp>
        <stp>.SPX250620P6050</stp>
        <tr r="CI87" s="1"/>
        <tr r="CI87" s="1"/>
      </tp>
      <tp>
        <v>0.38</v>
        <stp/>
        <stp>DELTA</stp>
        <stp>.SPX250620C6040</stp>
        <tr r="CH88" s="1"/>
        <tr r="CH88" s="1"/>
      </tp>
      <tp>
        <v>-0.61</v>
        <stp/>
        <stp>DELTA</stp>
        <stp>.SPX250620P6040</stp>
        <tr r="CI88" s="1"/>
        <tr r="CI88" s="1"/>
      </tp>
      <tp>
        <v>0.33</v>
        <stp/>
        <stp>DELTA</stp>
        <stp>.SPX250620C6070</stp>
        <tr r="CH85" s="1"/>
        <tr r="CH85" s="1"/>
      </tp>
      <tp>
        <v>-0.66</v>
        <stp/>
        <stp>DELTA</stp>
        <stp>.SPX250620P6070</stp>
        <tr r="CI85" s="1"/>
        <tr r="CI85" s="1"/>
      </tp>
      <tp>
        <v>0.34</v>
        <stp/>
        <stp>DELTA</stp>
        <stp>.SPX250620C6060</stp>
        <tr r="CH86" s="1"/>
        <tr r="CH86" s="1"/>
      </tp>
      <tp>
        <v>-0.64</v>
        <stp/>
        <stp>DELTA</stp>
        <stp>.SPX250620P6060</stp>
        <tr r="CI86" s="1"/>
        <tr r="CI86" s="1"/>
      </tp>
      <tp t="e">
        <v>#N/A</v>
        <stp/>
        <stp>MARK</stp>
        <stp/>
        <tr r="G44" s="1"/>
      </tp>
      <tp t="s">
        <v>--</v>
        <stp/>
        <stp>IMPL_VOL</stp>
        <stp>.NDXP250520C20375</stp>
        <tr r="EL184" s="1"/>
      </tp>
      <tp t="s">
        <v>4.87%</v>
        <stp/>
        <stp>IMPL_VOL</stp>
        <stp>.NDXP250520C21375</stp>
        <tr r="EL144" s="1"/>
      </tp>
      <tp t="s">
        <v>18.25%</v>
        <stp/>
        <stp>IMPL_VOL</stp>
        <stp>.NDXP250523C21075</stp>
        <tr r="EN156" s="1"/>
      </tp>
      <tp t="s">
        <v>--</v>
        <stp/>
        <stp>IMPL_VOL</stp>
        <stp>.NDXP250520C20350</stp>
        <tr r="EL185" s="1"/>
      </tp>
      <tp t="s">
        <v>17.49%</v>
        <stp/>
        <stp>IMPL_VOL</stp>
        <stp>.NDXP250520C21350</stp>
        <tr r="EL145" s="1"/>
      </tp>
      <tp t="s">
        <v>18.37%</v>
        <stp/>
        <stp>IMPL_VOL</stp>
        <stp>.NDXP250523C21050</stp>
        <tr r="EN157" s="1"/>
      </tp>
      <tp t="s">
        <v>--</v>
        <stp/>
        <stp>IMPL_VOL</stp>
        <stp>.NDXP250520C20325</stp>
        <tr r="EL186" s="1"/>
      </tp>
      <tp t="s">
        <v>32.78%</v>
        <stp/>
        <stp>IMPL_VOL</stp>
        <stp>.NDXP250520C21325</stp>
        <tr r="EL146" s="1"/>
      </tp>
      <tp t="s">
        <v>18.17%</v>
        <stp/>
        <stp>IMPL_VOL</stp>
        <stp>.NDXP250523C21025</stp>
        <tr r="EN158" s="1"/>
      </tp>
      <tp t="s">
        <v>--</v>
        <stp/>
        <stp>IMPL_VOL</stp>
        <stp>.NDXP250520C20300</stp>
        <tr r="EL187" s="1"/>
      </tp>
      <tp t="s">
        <v>40.29%</v>
        <stp/>
        <stp>IMPL_VOL</stp>
        <stp>.NDXP250520C21300</stp>
        <tr r="EL147" s="1"/>
      </tp>
      <tp t="s">
        <v>18.24%</v>
        <stp/>
        <stp>IMPL_VOL</stp>
        <stp>.NDXP250523C21000</stp>
        <tr r="EN159" s="1"/>
      </tp>
      <tp t="s">
        <v>N/A</v>
        <stp/>
        <stp>VOLUME</stp>
        <stp>.NDX251226P21100</stp>
        <tr r="W156" s="2"/>
      </tp>
      <tp t="s">
        <v>N/A</v>
        <stp/>
        <stp>VOLUME</stp>
        <stp>.NDX251024P21300</stp>
        <tr r="S148" s="2"/>
      </tp>
      <tp t="s">
        <v>N/A</v>
        <stp/>
        <stp>VOLUME</stp>
        <stp>.NDX251024P20300</stp>
        <tr r="S188" s="2"/>
      </tp>
      <tp t="s">
        <v>N/A</v>
        <stp/>
        <stp>VOLUME</stp>
        <stp>.NDX250926P21100</stp>
        <tr r="Q156" s="2"/>
      </tp>
      <tp t="s">
        <v>N/A</v>
        <stp/>
        <stp>VOLUME</stp>
        <stp>.NDX250822P21500</stp>
        <tr r="O140" s="2"/>
      </tp>
      <tp t="s">
        <v>N/A</v>
        <stp/>
        <stp>VOLUME</stp>
        <stp>.NDX250822P20500</stp>
        <tr r="O180" s="2"/>
      </tp>
      <tp t="s">
        <v>N/A</v>
        <stp/>
        <stp>VOLUME</stp>
        <stp>.NDX250725P21200</stp>
        <tr r="M152" s="2"/>
      </tp>
      <tp t="s">
        <v>N/A</v>
        <stp/>
        <stp>VOLUME</stp>
        <stp>.NDX250606P21100</stp>
        <tr r="H156" s="2"/>
      </tp>
      <tp t="s">
        <v>N/A</v>
        <stp/>
        <stp>VOLUME</stp>
        <stp>.NDX250627P21000</stp>
        <tr r="K160" s="2"/>
      </tp>
      <tp>
        <v>1</v>
        <stp/>
        <stp>VOLUME</stp>
        <stp>.NDX250620P20700</stp>
        <tr r="BF171" s="1"/>
        <tr r="BF171" s="1"/>
      </tp>
      <tp t="s">
        <v>N/A</v>
        <stp/>
        <stp>VOLUME</stp>
        <stp>.NDX251226P21125</stp>
        <tr r="W155" s="2"/>
      </tp>
      <tp t="s">
        <v>N/A</v>
        <stp/>
        <stp>VOLUME</stp>
        <stp>.NDX251024P21325</stp>
        <tr r="S147" s="2"/>
      </tp>
      <tp t="s">
        <v>N/A</v>
        <stp/>
        <stp>VOLUME</stp>
        <stp>.NDX251024P20325</stp>
        <tr r="S187" s="2"/>
      </tp>
      <tp t="s">
        <v>N/A</v>
        <stp/>
        <stp>VOLUME</stp>
        <stp>.NDX250822P21525</stp>
        <tr r="O139" s="2"/>
      </tp>
      <tp t="s">
        <v>N/A</v>
        <stp/>
        <stp>VOLUME</stp>
        <stp>.NDX250822P20525</stp>
        <tr r="O179" s="2"/>
      </tp>
      <tp t="s">
        <v>N/A</v>
        <stp/>
        <stp>VOLUME</stp>
        <stp>.NDX250926P21125</stp>
        <tr r="Q155" s="2"/>
      </tp>
      <tp t="s">
        <v>N/A</v>
        <stp/>
        <stp>VOLUME</stp>
        <stp>.NDX250606P21125</stp>
        <tr r="H155" s="2"/>
      </tp>
      <tp t="s">
        <v>N/A</v>
        <stp/>
        <stp>VOLUME</stp>
        <stp>.NDX250627P21025</stp>
        <tr r="K159" s="2"/>
      </tp>
      <tp t="s">
        <v>N/A</v>
        <stp/>
        <stp>VOLUME</stp>
        <stp>.NDX250620P20725</stp>
        <tr r="BF170" s="1"/>
      </tp>
      <tp t="s">
        <v>N/A</v>
        <stp/>
        <stp>VOLUME</stp>
        <stp>.NDX250725P21225</stp>
        <tr r="M151" s="2"/>
      </tp>
      <tp t="s">
        <v>N/A</v>
        <stp/>
        <stp>VOLUME</stp>
        <stp>.NDX250926P21150</stp>
        <tr r="Q154" s="2"/>
      </tp>
      <tp t="s">
        <v>N/A</v>
        <stp/>
        <stp>VOLUME</stp>
        <stp>.NDX250822P21550</stp>
        <tr r="O138" s="2"/>
      </tp>
      <tp t="s">
        <v>N/A</v>
        <stp/>
        <stp>VOLUME</stp>
        <stp>.NDX250822P20550</stp>
        <tr r="O178" s="2"/>
      </tp>
      <tp t="s">
        <v>N/A</v>
        <stp/>
        <stp>VOLUME</stp>
        <stp>.NDX250725P21250</stp>
        <tr r="M150" s="2"/>
      </tp>
      <tp t="s">
        <v>N/A</v>
        <stp/>
        <stp>VOLUME</stp>
        <stp>.NDX250725P20250</stp>
        <tr r="M190" s="2"/>
      </tp>
      <tp t="s">
        <v>N/A</v>
        <stp/>
        <stp>VOLUME</stp>
        <stp>.NDX250606P21150</stp>
        <tr r="H154" s="2"/>
      </tp>
      <tp t="s">
        <v>N/A</v>
        <stp/>
        <stp>VOLUME</stp>
        <stp>.NDX250627P21050</stp>
        <tr r="K158" s="2"/>
      </tp>
      <tp t="s">
        <v>N/A</v>
        <stp/>
        <stp>VOLUME</stp>
        <stp>.NDX250620P20750</stp>
        <tr r="BF169" s="1"/>
      </tp>
      <tp t="s">
        <v>N/A</v>
        <stp/>
        <stp>VOLUME</stp>
        <stp>.NDX251226P21150</stp>
        <tr r="W154" s="2"/>
      </tp>
      <tp t="s">
        <v>N/A</v>
        <stp/>
        <stp>VOLUME</stp>
        <stp>.NDX251024P21350</stp>
        <tr r="S146" s="2"/>
      </tp>
      <tp t="s">
        <v>N/A</v>
        <stp/>
        <stp>VOLUME</stp>
        <stp>.NDX251024P20350</stp>
        <tr r="S186" s="2"/>
      </tp>
      <tp t="s">
        <v>N/A</v>
        <stp/>
        <stp>VOLUME</stp>
        <stp>.NDX250822P20575</stp>
        <tr r="O177" s="2"/>
      </tp>
      <tp t="s">
        <v>N/A</v>
        <stp/>
        <stp>VOLUME</stp>
        <stp>.NDX250926P21175</stp>
        <tr r="Q153" s="2"/>
      </tp>
      <tp t="s">
        <v>N/A</v>
        <stp/>
        <stp>VOLUME</stp>
        <stp>.NDX250606P21175</stp>
        <tr r="H153" s="2"/>
      </tp>
      <tp t="s">
        <v>N/A</v>
        <stp/>
        <stp>VOLUME</stp>
        <stp>.NDX250627P21075</stp>
        <tr r="K157" s="2"/>
      </tp>
      <tp t="s">
        <v>N/A</v>
        <stp/>
        <stp>VOLUME</stp>
        <stp>.NDX250620P20775</stp>
        <tr r="BF168" s="1"/>
      </tp>
      <tp t="s">
        <v>N/A</v>
        <stp/>
        <stp>VOLUME</stp>
        <stp>.NDX250725P21275</stp>
        <tr r="M149" s="2"/>
      </tp>
      <tp t="s">
        <v>N/A</v>
        <stp/>
        <stp>VOLUME</stp>
        <stp>.NDX250725P20275</stp>
        <tr r="M189" s="2"/>
      </tp>
      <tp t="s">
        <v>N/A</v>
        <stp/>
        <stp>VOLUME</stp>
        <stp>.NDX251226P21175</stp>
        <tr r="W153" s="2"/>
      </tp>
      <tp t="s">
        <v>N/A</v>
        <stp/>
        <stp>VOLUME</stp>
        <stp>.NDX251024P21375</stp>
        <tr r="S145" s="2"/>
      </tp>
      <tp t="s">
        <v>N/A</v>
        <stp/>
        <stp>VOLUME</stp>
        <stp>.NDX251024P20375</stp>
        <tr r="S185" s="2"/>
      </tp>
      <tp t="s">
        <v>372.74%</v>
        <stp/>
        <stp>IMPL_VOL</stp>
        <stp>.NDXP250520P20350</stp>
        <tr r="EM185" s="1"/>
      </tp>
      <tp t="s">
        <v>5.89%</v>
        <stp/>
        <stp>IMPL_VOL</stp>
        <stp>.NDXP250520P21350</stp>
        <tr r="EM145" s="1"/>
      </tp>
      <tp t="s">
        <v>23.95%</v>
        <stp/>
        <stp>IMPL_VOL</stp>
        <stp>.NDXP250523P21050</stp>
        <tr r="EO157" s="1"/>
      </tp>
      <tp t="s">
        <v>365.09%</v>
        <stp/>
        <stp>IMPL_VOL</stp>
        <stp>.NDXP250520P20375</stp>
        <tr r="EM184" s="1"/>
      </tp>
      <tp t="s">
        <v>4.81%</v>
        <stp/>
        <stp>IMPL_VOL</stp>
        <stp>.NDXP250520P21375</stp>
        <tr r="EM144" s="1"/>
      </tp>
      <tp t="s">
        <v>23.83%</v>
        <stp/>
        <stp>IMPL_VOL</stp>
        <stp>.NDXP250523P21075</stp>
        <tr r="EO156" s="1"/>
      </tp>
      <tp t="s">
        <v>198.50%</v>
        <stp/>
        <stp>IMPL_VOL</stp>
        <stp>.NDXP250520P20300</stp>
        <tr r="EM187" s="1"/>
      </tp>
      <tp t="s">
        <v>15.44%</v>
        <stp/>
        <stp>IMPL_VOL</stp>
        <stp>.NDXP250520P21300</stp>
        <tr r="EM147" s="1"/>
      </tp>
      <tp t="s">
        <v>24.14%</v>
        <stp/>
        <stp>IMPL_VOL</stp>
        <stp>.NDXP250523P21000</stp>
        <tr r="EO159" s="1"/>
      </tp>
      <tp t="s">
        <v>380.39%</v>
        <stp/>
        <stp>IMPL_VOL</stp>
        <stp>.NDXP250520P20325</stp>
        <tr r="EM186" s="1"/>
      </tp>
      <tp t="s">
        <v>13.64%</v>
        <stp/>
        <stp>IMPL_VOL</stp>
        <stp>.NDXP250520P21325</stp>
        <tr r="EM146" s="1"/>
      </tp>
      <tp t="s">
        <v>24.08%</v>
        <stp/>
        <stp>IMPL_VOL</stp>
        <stp>.NDXP250523P21025</stp>
        <tr r="EO158" s="1"/>
      </tp>
      <tp t="s">
        <v>N/A</v>
        <stp/>
        <stp>VOLUME</stp>
        <stp>.NDX250822C21525</stp>
        <tr r="O139" s="2"/>
      </tp>
      <tp t="s">
        <v>N/A</v>
        <stp/>
        <stp>VOLUME</stp>
        <stp>.NDX250822C20525</stp>
        <tr r="O179" s="2"/>
      </tp>
      <tp t="s">
        <v>N/A</v>
        <stp/>
        <stp>VOLUME</stp>
        <stp>.NDX250926C21125</stp>
        <tr r="Q155" s="2"/>
      </tp>
      <tp t="s">
        <v>N/A</v>
        <stp/>
        <stp>VOLUME</stp>
        <stp>.NDX250606C21125</stp>
        <tr r="H155" s="2"/>
      </tp>
      <tp t="s">
        <v>N/A</v>
        <stp/>
        <stp>VOLUME</stp>
        <stp>.NDX250627C21025</stp>
        <tr r="K159" s="2"/>
      </tp>
      <tp t="s">
        <v>N/A</v>
        <stp/>
        <stp>VOLUME</stp>
        <stp>.NDX250620C20725</stp>
        <tr r="BE170" s="1"/>
      </tp>
      <tp t="s">
        <v>N/A</v>
        <stp/>
        <stp>VOLUME</stp>
        <stp>.NDX250725C21225</stp>
        <tr r="M151" s="2"/>
      </tp>
      <tp t="s">
        <v>N/A</v>
        <stp/>
        <stp>VOLUME</stp>
        <stp>.NDX251226C21125</stp>
        <tr r="W155" s="2"/>
      </tp>
      <tp t="s">
        <v>N/A</v>
        <stp/>
        <stp>VOLUME</stp>
        <stp>.NDX251024C21325</stp>
        <tr r="S147" s="2"/>
      </tp>
      <tp t="s">
        <v>N/A</v>
        <stp/>
        <stp>VOLUME</stp>
        <stp>.NDX251024C20325</stp>
        <tr r="S187" s="2"/>
      </tp>
      <tp t="s">
        <v>N/A</v>
        <stp/>
        <stp>VOLUME</stp>
        <stp>.NDX250926C21100</stp>
        <tr r="Q156" s="2"/>
      </tp>
      <tp t="s">
        <v>N/A</v>
        <stp/>
        <stp>VOLUME</stp>
        <stp>.NDX250822C21500</stp>
        <tr r="O140" s="2"/>
      </tp>
      <tp t="s">
        <v>N/A</v>
        <stp/>
        <stp>VOLUME</stp>
        <stp>.NDX250822C20500</stp>
        <tr r="O180" s="2"/>
      </tp>
      <tp t="s">
        <v>N/A</v>
        <stp/>
        <stp>VOLUME</stp>
        <stp>.NDX250725C21200</stp>
        <tr r="M152" s="2"/>
      </tp>
      <tp t="s">
        <v>N/A</v>
        <stp/>
        <stp>VOLUME</stp>
        <stp>.NDX250606C21100</stp>
        <tr r="H156" s="2"/>
      </tp>
      <tp t="s">
        <v>N/A</v>
        <stp/>
        <stp>VOLUME</stp>
        <stp>.NDX250627C21000</stp>
        <tr r="K160" s="2"/>
      </tp>
      <tp>
        <v>2</v>
        <stp/>
        <stp>VOLUME</stp>
        <stp>.NDX250620C20700</stp>
        <tr r="BE171" s="1"/>
        <tr r="BE171" s="1"/>
      </tp>
      <tp t="s">
        <v>N/A</v>
        <stp/>
        <stp>VOLUME</stp>
        <stp>.NDX251226C21100</stp>
        <tr r="W156" s="2"/>
      </tp>
      <tp t="s">
        <v>N/A</v>
        <stp/>
        <stp>VOLUME</stp>
        <stp>.NDX251024C21300</stp>
        <tr r="S148" s="2"/>
      </tp>
      <tp t="s">
        <v>N/A</v>
        <stp/>
        <stp>VOLUME</stp>
        <stp>.NDX251024C20300</stp>
        <tr r="S188" s="2"/>
      </tp>
      <tp t="s">
        <v>N/A</v>
        <stp/>
        <stp>VOLUME</stp>
        <stp>.NDX251226C21175</stp>
        <tr r="W153" s="2"/>
      </tp>
      <tp t="s">
        <v>N/A</v>
        <stp/>
        <stp>VOLUME</stp>
        <stp>.NDX251024C21375</stp>
        <tr r="S145" s="2"/>
      </tp>
      <tp t="s">
        <v>N/A</v>
        <stp/>
        <stp>VOLUME</stp>
        <stp>.NDX251024C20375</stp>
        <tr r="S185" s="2"/>
      </tp>
      <tp t="s">
        <v>N/A</v>
        <stp/>
        <stp>VOLUME</stp>
        <stp>.NDX250822C20575</stp>
        <tr r="O177" s="2"/>
      </tp>
      <tp t="s">
        <v>N/A</v>
        <stp/>
        <stp>VOLUME</stp>
        <stp>.NDX250926C21175</stp>
        <tr r="Q153" s="2"/>
      </tp>
      <tp t="s">
        <v>N/A</v>
        <stp/>
        <stp>VOLUME</stp>
        <stp>.NDX250606C21175</stp>
        <tr r="H153" s="2"/>
      </tp>
      <tp t="s">
        <v>N/A</v>
        <stp/>
        <stp>VOLUME</stp>
        <stp>.NDX250627C21075</stp>
        <tr r="K157" s="2"/>
      </tp>
      <tp t="s">
        <v>N/A</v>
        <stp/>
        <stp>VOLUME</stp>
        <stp>.NDX250620C20775</stp>
        <tr r="BE168" s="1"/>
      </tp>
      <tp t="s">
        <v>N/A</v>
        <stp/>
        <stp>VOLUME</stp>
        <stp>.NDX250725C21275</stp>
        <tr r="M149" s="2"/>
      </tp>
      <tp t="s">
        <v>N/A</v>
        <stp/>
        <stp>VOLUME</stp>
        <stp>.NDX250725C20275</stp>
        <tr r="M189" s="2"/>
      </tp>
      <tp t="s">
        <v>N/A</v>
        <stp/>
        <stp>VOLUME</stp>
        <stp>.NDX251226C21150</stp>
        <tr r="W154" s="2"/>
      </tp>
      <tp t="s">
        <v>N/A</v>
        <stp/>
        <stp>VOLUME</stp>
        <stp>.NDX251024C21350</stp>
        <tr r="S146" s="2"/>
      </tp>
      <tp t="s">
        <v>N/A</v>
        <stp/>
        <stp>VOLUME</stp>
        <stp>.NDX251024C20350</stp>
        <tr r="S186" s="2"/>
      </tp>
      <tp t="s">
        <v>N/A</v>
        <stp/>
        <stp>VOLUME</stp>
        <stp>.NDX250926C21150</stp>
        <tr r="Q154" s="2"/>
      </tp>
      <tp t="s">
        <v>N/A</v>
        <stp/>
        <stp>VOLUME</stp>
        <stp>.NDX250822C21550</stp>
        <tr r="O138" s="2"/>
      </tp>
      <tp t="s">
        <v>N/A</v>
        <stp/>
        <stp>VOLUME</stp>
        <stp>.NDX250822C20550</stp>
        <tr r="O178" s="2"/>
      </tp>
      <tp t="s">
        <v>N/A</v>
        <stp/>
        <stp>VOLUME</stp>
        <stp>.NDX250725C21250</stp>
        <tr r="M150" s="2"/>
      </tp>
      <tp t="s">
        <v>N/A</v>
        <stp/>
        <stp>VOLUME</stp>
        <stp>.NDX250725C20250</stp>
        <tr r="M190" s="2"/>
      </tp>
      <tp t="s">
        <v>N/A</v>
        <stp/>
        <stp>VOLUME</stp>
        <stp>.NDX250606C21150</stp>
        <tr r="H154" s="2"/>
      </tp>
      <tp t="s">
        <v>N/A</v>
        <stp/>
        <stp>VOLUME</stp>
        <stp>.NDX250627C21050</stp>
        <tr r="K158" s="2"/>
      </tp>
      <tp t="s">
        <v>N/A</v>
        <stp/>
        <stp>VOLUME</stp>
        <stp>.NDX250620C20750</stp>
        <tr r="BE169" s="1"/>
      </tp>
      <tp>
        <v>0.81</v>
        <stp/>
        <stp>DELTA</stp>
        <stp>.SPX250620C5710</stp>
        <tr r="CH121" s="1"/>
        <tr r="CH121" s="1"/>
      </tp>
      <tp>
        <v>-0.21</v>
        <stp/>
        <stp>DELTA</stp>
        <stp>.SPX250620P5710</stp>
        <tr r="CI121" s="1"/>
        <tr r="CI121" s="1"/>
      </tp>
      <tp>
        <v>0.82</v>
        <stp/>
        <stp>DELTA</stp>
        <stp>.SPX250620C5700</stp>
        <tr r="CH122" s="1"/>
        <tr r="CH122" s="1"/>
      </tp>
      <tp>
        <v>-0.2</v>
        <stp/>
        <stp>DELTA</stp>
        <stp>.SPX250620P5700</stp>
        <tr r="CI122" s="1"/>
        <tr r="CI122" s="1"/>
      </tp>
      <tp>
        <v>0.79</v>
        <stp/>
        <stp>DELTA</stp>
        <stp>.SPX250620C5730</stp>
        <tr r="CH119" s="1"/>
        <tr r="CH119" s="1"/>
      </tp>
      <tp>
        <v>-0.23</v>
        <stp/>
        <stp>DELTA</stp>
        <stp>.SPX250620P5730</stp>
        <tr r="CI119" s="1"/>
        <tr r="CI119" s="1"/>
      </tp>
      <tp>
        <v>0.8</v>
        <stp/>
        <stp>DELTA</stp>
        <stp>.SPX250620C5720</stp>
        <tr r="CH120" s="1"/>
        <tr r="CH120" s="1"/>
      </tp>
      <tp>
        <v>-0.22</v>
        <stp/>
        <stp>DELTA</stp>
        <stp>.SPX250620P5720</stp>
        <tr r="CI120" s="1"/>
        <tr r="CI120" s="1"/>
      </tp>
      <tp>
        <v>0.78</v>
        <stp/>
        <stp>DELTA</stp>
        <stp>.SPX250620C5750</stp>
        <tr r="CH117" s="1"/>
        <tr r="CH117" s="1"/>
      </tp>
      <tp>
        <v>-0.24</v>
        <stp/>
        <stp>DELTA</stp>
        <stp>.SPX250620P5750</stp>
        <tr r="CI117" s="1"/>
        <tr r="CI117" s="1"/>
      </tp>
      <tp>
        <v>0.79</v>
        <stp/>
        <stp>DELTA</stp>
        <stp>.SPX250620C5740</stp>
        <tr r="CH118" s="1"/>
        <tr r="CH118" s="1"/>
      </tp>
      <tp>
        <v>-0.23</v>
        <stp/>
        <stp>DELTA</stp>
        <stp>.SPX250620P5740</stp>
        <tr r="CI118" s="1"/>
        <tr r="CI118" s="1"/>
      </tp>
      <tp>
        <v>0.76</v>
        <stp/>
        <stp>DELTA</stp>
        <stp>.SPX250620C5770</stp>
        <tr r="CH115" s="1"/>
        <tr r="CH115" s="1"/>
      </tp>
      <tp>
        <v>-0.26</v>
        <stp/>
        <stp>DELTA</stp>
        <stp>.SPX250620P5770</stp>
        <tr r="CI115" s="1"/>
        <tr r="CI115" s="1"/>
      </tp>
      <tp>
        <v>0.77</v>
        <stp/>
        <stp>DELTA</stp>
        <stp>.SPX250620C5760</stp>
        <tr r="CH116" s="1"/>
        <tr r="CH116" s="1"/>
      </tp>
      <tp>
        <v>-0.25</v>
        <stp/>
        <stp>DELTA</stp>
        <stp>.SPX250620P5760</stp>
        <tr r="CI116" s="1"/>
        <tr r="CI116" s="1"/>
      </tp>
      <tp>
        <v>0.74</v>
        <stp/>
        <stp>DELTA</stp>
        <stp>.SPX250620C5790</stp>
        <tr r="CH113" s="1"/>
        <tr r="CH113" s="1"/>
      </tp>
      <tp>
        <v>-0.28000000000000003</v>
        <stp/>
        <stp>DELTA</stp>
        <stp>.SPX250620P5790</stp>
        <tr r="CI113" s="1"/>
        <tr r="CI113" s="1"/>
      </tp>
      <tp>
        <v>0.75</v>
        <stp/>
        <stp>DELTA</stp>
        <stp>.SPX250620C5780</stp>
        <tr r="CH114" s="1"/>
        <tr r="CH114" s="1"/>
      </tp>
      <tp>
        <v>-0.27</v>
        <stp/>
        <stp>DELTA</stp>
        <stp>.SPX250620P5780</stp>
        <tr r="CI114" s="1"/>
        <tr r="CI114" s="1"/>
      </tp>
      <tp t="s">
        <v>--</v>
        <stp/>
        <stp>IMPL_VOL</stp>
        <stp>.NDXP250520C20275</stp>
        <tr r="EL188" s="1"/>
      </tp>
      <tp t="s">
        <v>50.75%</v>
        <stp/>
        <stp>IMPL_VOL</stp>
        <stp>.NDXP250520C21275</stp>
        <tr r="EL148" s="1"/>
      </tp>
      <tp t="s">
        <v>18.37%</v>
        <stp/>
        <stp>IMPL_VOL</stp>
        <stp>.NDXP250523C21175</stp>
        <tr r="EN152" s="1"/>
      </tp>
      <tp t="s">
        <v>--</v>
        <stp/>
        <stp>IMPL_VOL</stp>
        <stp>.NDXP250520C20250</stp>
        <tr r="EL189" s="1"/>
      </tp>
      <tp t="s">
        <v>61.38%</v>
        <stp/>
        <stp>IMPL_VOL</stp>
        <stp>.NDXP250520C21250</stp>
        <tr r="EL149" s="1"/>
      </tp>
      <tp t="s">
        <v>18.68%</v>
        <stp/>
        <stp>IMPL_VOL</stp>
        <stp>.NDXP250523C21150</stp>
        <tr r="EN153" s="1"/>
      </tp>
      <tp t="s">
        <v>68.24%</v>
        <stp/>
        <stp>IMPL_VOL</stp>
        <stp>.NDXP250520C21225</stp>
        <tr r="EL150" s="1"/>
      </tp>
      <tp t="s">
        <v>18.83%</v>
        <stp/>
        <stp>IMPL_VOL</stp>
        <stp>.NDXP250523C21125</stp>
        <tr r="EN154" s="1"/>
      </tp>
      <tp t="s">
        <v>79.60%</v>
        <stp/>
        <stp>IMPL_VOL</stp>
        <stp>.NDXP250520C21200</stp>
        <tr r="EL151" s="1"/>
      </tp>
      <tp t="s">
        <v>18.63%</v>
        <stp/>
        <stp>IMPL_VOL</stp>
        <stp>.NDXP250523C21100</stp>
        <tr r="EN155" s="1"/>
      </tp>
      <tp t="s">
        <v>N/A</v>
        <stp/>
        <stp>VOLUME</stp>
        <stp>.NDX251226P21000</stp>
        <tr r="W160" s="2"/>
      </tp>
      <tp t="s">
        <v>N/A</v>
        <stp/>
        <stp>VOLUME</stp>
        <stp>.NDX251024P21200</stp>
        <tr r="S152" s="2"/>
      </tp>
      <tp t="s">
        <v>N/A</v>
        <stp/>
        <stp>VOLUME</stp>
        <stp>.NDX250926P21000</stp>
        <tr r="Q160" s="2"/>
      </tp>
      <tp t="s">
        <v>N/A</v>
        <stp/>
        <stp>VOLUME</stp>
        <stp>.NDX250822P21400</stp>
        <tr r="O144" s="2"/>
      </tp>
      <tp t="s">
        <v>N/A</v>
        <stp/>
        <stp>VOLUME</stp>
        <stp>.NDX250822P20400</stp>
        <tr r="O184" s="2"/>
      </tp>
      <tp t="s">
        <v>N/A</v>
        <stp/>
        <stp>VOLUME</stp>
        <stp>.NDX250725P21300</stp>
        <tr r="M148" s="2"/>
      </tp>
      <tp t="s">
        <v>N/A</v>
        <stp/>
        <stp>VOLUME</stp>
        <stp>.NDX250725P20300</stp>
        <tr r="M188" s="2"/>
      </tp>
      <tp t="s">
        <v>N/A</v>
        <stp/>
        <stp>VOLUME</stp>
        <stp>.NDX250606P21000</stp>
        <tr r="H160" s="2"/>
      </tp>
      <tp t="s">
        <v>N/A</v>
        <stp/>
        <stp>VOLUME</stp>
        <stp>.NDX250627P21100</stp>
        <tr r="K156" s="2"/>
      </tp>
      <tp>
        <v>17</v>
        <stp/>
        <stp>VOLUME</stp>
        <stp>.NDX250620P20600</stp>
        <tr r="BF175" s="1"/>
        <tr r="BF175" s="1"/>
      </tp>
      <tp t="s">
        <v>N/A</v>
        <stp/>
        <stp>VOLUME</stp>
        <stp>.NDX251226P21025</stp>
        <tr r="W159" s="2"/>
      </tp>
      <tp t="s">
        <v>N/A</v>
        <stp/>
        <stp>VOLUME</stp>
        <stp>.NDX251024P21225</stp>
        <tr r="S151" s="2"/>
      </tp>
      <tp t="s">
        <v>N/A</v>
        <stp/>
        <stp>VOLUME</stp>
        <stp>.NDX250822P21425</stp>
        <tr r="O143" s="2"/>
      </tp>
      <tp t="s">
        <v>N/A</v>
        <stp/>
        <stp>VOLUME</stp>
        <stp>.NDX250822P20425</stp>
        <tr r="O183" s="2"/>
      </tp>
      <tp t="s">
        <v>N/A</v>
        <stp/>
        <stp>VOLUME</stp>
        <stp>.NDX250926P21025</stp>
        <tr r="Q159" s="2"/>
      </tp>
      <tp t="s">
        <v>N/A</v>
        <stp/>
        <stp>VOLUME</stp>
        <stp>.NDX250606P21025</stp>
        <tr r="H159" s="2"/>
      </tp>
      <tp t="s">
        <v>N/A</v>
        <stp/>
        <stp>VOLUME</stp>
        <stp>.NDX250627P21125</stp>
        <tr r="K155" s="2"/>
      </tp>
      <tp t="s">
        <v>N/A</v>
        <stp/>
        <stp>VOLUME</stp>
        <stp>.NDX250620P20625</stp>
        <tr r="BF174" s="1"/>
      </tp>
      <tp t="s">
        <v>N/A</v>
        <stp/>
        <stp>VOLUME</stp>
        <stp>.NDX250725P21325</stp>
        <tr r="M147" s="2"/>
      </tp>
      <tp t="s">
        <v>N/A</v>
        <stp/>
        <stp>VOLUME</stp>
        <stp>.NDX250725P20325</stp>
        <tr r="M187" s="2"/>
      </tp>
      <tp t="s">
        <v>N/A</v>
        <stp/>
        <stp>VOLUME</stp>
        <stp>.NDX250926P21050</stp>
        <tr r="Q158" s="2"/>
      </tp>
      <tp t="s">
        <v>N/A</v>
        <stp/>
        <stp>VOLUME</stp>
        <stp>.NDX250822P21450</stp>
        <tr r="O142" s="2"/>
      </tp>
      <tp t="s">
        <v>N/A</v>
        <stp/>
        <stp>VOLUME</stp>
        <stp>.NDX250822P20450</stp>
        <tr r="O182" s="2"/>
      </tp>
      <tp t="s">
        <v>N/A</v>
        <stp/>
        <stp>VOLUME</stp>
        <stp>.NDX250725P21350</stp>
        <tr r="M146" s="2"/>
      </tp>
      <tp t="s">
        <v>N/A</v>
        <stp/>
        <stp>VOLUME</stp>
        <stp>.NDX250725P20350</stp>
        <tr r="M186" s="2"/>
      </tp>
      <tp t="s">
        <v>N/A</v>
        <stp/>
        <stp>VOLUME</stp>
        <stp>.NDX250606P21050</stp>
        <tr r="H158" s="2"/>
      </tp>
      <tp t="s">
        <v>N/A</v>
        <stp/>
        <stp>VOLUME</stp>
        <stp>.NDX250627P21150</stp>
        <tr r="K154" s="2"/>
      </tp>
      <tp t="s">
        <v>N/A</v>
        <stp/>
        <stp>VOLUME</stp>
        <stp>.NDX250620P20650</stp>
        <tr r="BF173" s="1"/>
      </tp>
      <tp t="s">
        <v>N/A</v>
        <stp/>
        <stp>VOLUME</stp>
        <stp>.NDX251226P21050</stp>
        <tr r="W158" s="2"/>
      </tp>
      <tp t="s">
        <v>N/A</v>
        <stp/>
        <stp>VOLUME</stp>
        <stp>.NDX251024P21250</stp>
        <tr r="S150" s="2"/>
      </tp>
      <tp t="s">
        <v>N/A</v>
        <stp/>
        <stp>VOLUME</stp>
        <stp>.NDX251024P20250</stp>
        <tr r="S190" s="2"/>
      </tp>
      <tp t="s">
        <v>N/A</v>
        <stp/>
        <stp>VOLUME</stp>
        <stp>.NDX250822P21475</stp>
        <tr r="O141" s="2"/>
      </tp>
      <tp t="s">
        <v>N/A</v>
        <stp/>
        <stp>VOLUME</stp>
        <stp>.NDX250822P20475</stp>
        <tr r="O181" s="2"/>
      </tp>
      <tp t="s">
        <v>N/A</v>
        <stp/>
        <stp>VOLUME</stp>
        <stp>.NDX250926P21075</stp>
        <tr r="Q157" s="2"/>
      </tp>
      <tp t="s">
        <v>N/A</v>
        <stp/>
        <stp>VOLUME</stp>
        <stp>.NDX250606P21075</stp>
        <tr r="H157" s="2"/>
      </tp>
      <tp t="s">
        <v>N/A</v>
        <stp/>
        <stp>VOLUME</stp>
        <stp>.NDX250627P21175</stp>
        <tr r="K153" s="2"/>
      </tp>
      <tp t="s">
        <v>N/A</v>
        <stp/>
        <stp>VOLUME</stp>
        <stp>.NDX250620P20675</stp>
        <tr r="BF172" s="1"/>
      </tp>
      <tp t="s">
        <v>N/A</v>
        <stp/>
        <stp>VOLUME</stp>
        <stp>.NDX250725P21375</stp>
        <tr r="M145" s="2"/>
      </tp>
      <tp t="s">
        <v>N/A</v>
        <stp/>
        <stp>VOLUME</stp>
        <stp>.NDX250725P20375</stp>
        <tr r="M185" s="2"/>
      </tp>
      <tp t="s">
        <v>N/A</v>
        <stp/>
        <stp>VOLUME</stp>
        <stp>.NDX251226P21075</stp>
        <tr r="W157" s="2"/>
      </tp>
      <tp t="s">
        <v>N/A</v>
        <stp/>
        <stp>VOLUME</stp>
        <stp>.NDX251024P21275</stp>
        <tr r="S149" s="2"/>
      </tp>
      <tp t="s">
        <v>N/A</v>
        <stp/>
        <stp>VOLUME</stp>
        <stp>.NDX251024P20275</stp>
        <tr r="S189" s="2"/>
      </tp>
      <tp t="s">
        <v>403.23%</v>
        <stp/>
        <stp>IMPL_VOL</stp>
        <stp>.NDXP250520P20250</stp>
        <tr r="EM189" s="1"/>
      </tp>
      <tp t="s">
        <v>30.17%</v>
        <stp/>
        <stp>IMPL_VOL</stp>
        <stp>.NDXP250520P21250</stp>
        <tr r="EM149" s="1"/>
      </tp>
      <tp t="s">
        <v>23.47%</v>
        <stp/>
        <stp>IMPL_VOL</stp>
        <stp>.NDXP250523P21150</stp>
        <tr r="EO153" s="1"/>
      </tp>
      <tp t="s">
        <v>395.63%</v>
        <stp/>
        <stp>IMPL_VOL</stp>
        <stp>.NDXP250520P20275</stp>
        <tr r="EM188" s="1"/>
      </tp>
      <tp t="s">
        <v>20.46%</v>
        <stp/>
        <stp>IMPL_VOL</stp>
        <stp>.NDXP250520P21275</stp>
        <tr r="EM148" s="1"/>
      </tp>
      <tp t="s">
        <v>23.36%</v>
        <stp/>
        <stp>IMPL_VOL</stp>
        <stp>.NDXP250523P21175</stp>
        <tr r="EO152" s="1"/>
      </tp>
      <tp t="s">
        <v>93.12%</v>
        <stp/>
        <stp>IMPL_VOL</stp>
        <stp>.NDXP250520P21200</stp>
        <tr r="EM151" s="1"/>
      </tp>
      <tp t="s">
        <v>23.70%</v>
        <stp/>
        <stp>IMPL_VOL</stp>
        <stp>.NDXP250523P21100</stp>
        <tr r="EO155" s="1"/>
      </tp>
      <tp t="s">
        <v>83.34%</v>
        <stp/>
        <stp>IMPL_VOL</stp>
        <stp>.NDXP250520P21225</stp>
        <tr r="EM150" s="1"/>
      </tp>
      <tp t="s">
        <v>23.58%</v>
        <stp/>
        <stp>IMPL_VOL</stp>
        <stp>.NDXP250523P21125</stp>
        <tr r="EO154" s="1"/>
      </tp>
      <tp t="s">
        <v>N/A</v>
        <stp/>
        <stp>VOLUME</stp>
        <stp>.NDX250822C21425</stp>
        <tr r="O143" s="2"/>
      </tp>
      <tp t="s">
        <v>N/A</v>
        <stp/>
        <stp>VOLUME</stp>
        <stp>.NDX250822C20425</stp>
        <tr r="O183" s="2"/>
      </tp>
      <tp t="s">
        <v>N/A</v>
        <stp/>
        <stp>VOLUME</stp>
        <stp>.NDX250926C21025</stp>
        <tr r="Q159" s="2"/>
      </tp>
      <tp t="s">
        <v>N/A</v>
        <stp/>
        <stp>VOLUME</stp>
        <stp>.NDX250606C21025</stp>
        <tr r="H159" s="2"/>
      </tp>
      <tp t="s">
        <v>N/A</v>
        <stp/>
        <stp>VOLUME</stp>
        <stp>.NDX250627C21125</stp>
        <tr r="K155" s="2"/>
      </tp>
      <tp t="s">
        <v>N/A</v>
        <stp/>
        <stp>VOLUME</stp>
        <stp>.NDX250620C20625</stp>
        <tr r="BE174" s="1"/>
      </tp>
      <tp t="s">
        <v>N/A</v>
        <stp/>
        <stp>VOLUME</stp>
        <stp>.NDX250725C21325</stp>
        <tr r="M147" s="2"/>
      </tp>
      <tp t="s">
        <v>N/A</v>
        <stp/>
        <stp>VOLUME</stp>
        <stp>.NDX250725C20325</stp>
        <tr r="M187" s="2"/>
      </tp>
      <tp t="s">
        <v>N/A</v>
        <stp/>
        <stp>VOLUME</stp>
        <stp>.NDX251226C21025</stp>
        <tr r="W159" s="2"/>
      </tp>
      <tp t="s">
        <v>N/A</v>
        <stp/>
        <stp>VOLUME</stp>
        <stp>.NDX251024C21225</stp>
        <tr r="S151" s="2"/>
      </tp>
      <tp t="s">
        <v>N/A</v>
        <stp/>
        <stp>VOLUME</stp>
        <stp>.NDX250926C21000</stp>
        <tr r="Q160" s="2"/>
      </tp>
      <tp t="s">
        <v>N/A</v>
        <stp/>
        <stp>VOLUME</stp>
        <stp>.NDX250822C21400</stp>
        <tr r="O144" s="2"/>
      </tp>
      <tp t="s">
        <v>N/A</v>
        <stp/>
        <stp>VOLUME</stp>
        <stp>.NDX250822C20400</stp>
        <tr r="O184" s="2"/>
      </tp>
      <tp t="s">
        <v>N/A</v>
        <stp/>
        <stp>VOLUME</stp>
        <stp>.NDX250725C21300</stp>
        <tr r="M148" s="2"/>
      </tp>
      <tp t="s">
        <v>N/A</v>
        <stp/>
        <stp>VOLUME</stp>
        <stp>.NDX250725C20300</stp>
        <tr r="M188" s="2"/>
      </tp>
      <tp t="s">
        <v>N/A</v>
        <stp/>
        <stp>VOLUME</stp>
        <stp>.NDX250606C21000</stp>
        <tr r="H160" s="2"/>
      </tp>
      <tp t="s">
        <v>N/A</v>
        <stp/>
        <stp>VOLUME</stp>
        <stp>.NDX250627C21100</stp>
        <tr r="K156" s="2"/>
      </tp>
      <tp t="s">
        <v>N/A</v>
        <stp/>
        <stp>VOLUME</stp>
        <stp>.NDX250620C20600</stp>
        <tr r="BE175" s="1"/>
      </tp>
      <tp t="s">
        <v>N/A</v>
        <stp/>
        <stp>VOLUME</stp>
        <stp>.NDX251226C21000</stp>
        <tr r="W160" s="2"/>
      </tp>
      <tp t="s">
        <v>N/A</v>
        <stp/>
        <stp>VOLUME</stp>
        <stp>.NDX251024C21200</stp>
        <tr r="S152" s="2"/>
      </tp>
      <tp t="s">
        <v>N/A</v>
        <stp/>
        <stp>VOLUME</stp>
        <stp>.NDX251226C21075</stp>
        <tr r="W157" s="2"/>
      </tp>
      <tp t="s">
        <v>N/A</v>
        <stp/>
        <stp>VOLUME</stp>
        <stp>.NDX251024C21275</stp>
        <tr r="S149" s="2"/>
      </tp>
      <tp t="s">
        <v>N/A</v>
        <stp/>
        <stp>VOLUME</stp>
        <stp>.NDX251024C20275</stp>
        <tr r="S189" s="2"/>
      </tp>
      <tp t="s">
        <v>N/A</v>
        <stp/>
        <stp>VOLUME</stp>
        <stp>.NDX250822C21475</stp>
        <tr r="O141" s="2"/>
      </tp>
      <tp t="s">
        <v>N/A</v>
        <stp/>
        <stp>VOLUME</stp>
        <stp>.NDX250822C20475</stp>
        <tr r="O181" s="2"/>
      </tp>
      <tp t="s">
        <v>N/A</v>
        <stp/>
        <stp>VOLUME</stp>
        <stp>.NDX250926C21075</stp>
        <tr r="Q157" s="2"/>
      </tp>
      <tp t="s">
        <v>N/A</v>
        <stp/>
        <stp>VOLUME</stp>
        <stp>.NDX250606C21075</stp>
        <tr r="H157" s="2"/>
      </tp>
      <tp t="s">
        <v>N/A</v>
        <stp/>
        <stp>VOLUME</stp>
        <stp>.NDX250627C21175</stp>
        <tr r="K153" s="2"/>
      </tp>
      <tp t="s">
        <v>N/A</v>
        <stp/>
        <stp>VOLUME</stp>
        <stp>.NDX250620C20675</stp>
        <tr r="BE172" s="1"/>
      </tp>
      <tp t="s">
        <v>N/A</v>
        <stp/>
        <stp>VOLUME</stp>
        <stp>.NDX250725C21375</stp>
        <tr r="M145" s="2"/>
      </tp>
      <tp t="s">
        <v>N/A</v>
        <stp/>
        <stp>VOLUME</stp>
        <stp>.NDX250725C20375</stp>
        <tr r="M185" s="2"/>
      </tp>
      <tp t="s">
        <v>N/A</v>
        <stp/>
        <stp>VOLUME</stp>
        <stp>.NDX251226C21050</stp>
        <tr r="W158" s="2"/>
      </tp>
      <tp t="s">
        <v>N/A</v>
        <stp/>
        <stp>VOLUME</stp>
        <stp>.NDX251024C21250</stp>
        <tr r="S150" s="2"/>
      </tp>
      <tp t="s">
        <v>N/A</v>
        <stp/>
        <stp>VOLUME</stp>
        <stp>.NDX251024C20250</stp>
        <tr r="S190" s="2"/>
      </tp>
      <tp t="s">
        <v>N/A</v>
        <stp/>
        <stp>VOLUME</stp>
        <stp>.NDX250926C21050</stp>
        <tr r="Q158" s="2"/>
      </tp>
      <tp t="s">
        <v>N/A</v>
        <stp/>
        <stp>VOLUME</stp>
        <stp>.NDX250822C21450</stp>
        <tr r="O142" s="2"/>
      </tp>
      <tp t="s">
        <v>N/A</v>
        <stp/>
        <stp>VOLUME</stp>
        <stp>.NDX250822C20450</stp>
        <tr r="O182" s="2"/>
      </tp>
      <tp t="s">
        <v>N/A</v>
        <stp/>
        <stp>VOLUME</stp>
        <stp>.NDX250725C21350</stp>
        <tr r="M146" s="2"/>
      </tp>
      <tp t="s">
        <v>N/A</v>
        <stp/>
        <stp>VOLUME</stp>
        <stp>.NDX250725C20350</stp>
        <tr r="M186" s="2"/>
      </tp>
      <tp t="s">
        <v>N/A</v>
        <stp/>
        <stp>VOLUME</stp>
        <stp>.NDX250606C21050</stp>
        <tr r="H158" s="2"/>
      </tp>
      <tp t="s">
        <v>N/A</v>
        <stp/>
        <stp>VOLUME</stp>
        <stp>.NDX250627C21150</stp>
        <tr r="K154" s="2"/>
      </tp>
      <tp t="s">
        <v>N/A</v>
        <stp/>
        <stp>VOLUME</stp>
        <stp>.NDX250620C20650</stp>
        <tr r="BE173" s="1"/>
      </tp>
      <tp>
        <v>0.86</v>
        <stp/>
        <stp>DELTA</stp>
        <stp>.SPX250620C5630</stp>
        <tr r="CH129" s="1"/>
        <tr r="CH129" s="1"/>
      </tp>
      <tp>
        <v>-0.16</v>
        <stp/>
        <stp>DELTA</stp>
        <stp>.SPX250620P5630</stp>
        <tr r="CI129" s="1"/>
        <tr r="CI129" s="1"/>
      </tp>
      <tp>
        <v>0.87</v>
        <stp/>
        <stp>DELTA</stp>
        <stp>.SPX250620C5620</stp>
        <tr r="CH130" s="1"/>
        <tr r="CH130" s="1"/>
      </tp>
      <tp>
        <v>-0.15</v>
        <stp/>
        <stp>DELTA</stp>
        <stp>.SPX250620P5620</stp>
        <tr r="CI130" s="1"/>
        <tr r="CI130" s="1"/>
      </tp>
      <tp>
        <v>0.85</v>
        <stp/>
        <stp>DELTA</stp>
        <stp>.SPX250620C5650</stp>
        <tr r="CH127" s="1"/>
        <tr r="CH127" s="1"/>
      </tp>
      <tp>
        <v>-0.17</v>
        <stp/>
        <stp>DELTA</stp>
        <stp>.SPX250620P5650</stp>
        <tr r="CI127" s="1"/>
        <tr r="CI127" s="1"/>
      </tp>
      <tp>
        <v>0.86</v>
        <stp/>
        <stp>DELTA</stp>
        <stp>.SPX250620C5640</stp>
        <tr r="CH128" s="1"/>
        <tr r="CH128" s="1"/>
      </tp>
      <tp>
        <v>-0.16</v>
        <stp/>
        <stp>DELTA</stp>
        <stp>.SPX250620P5640</stp>
        <tr r="CI128" s="1"/>
        <tr r="CI128" s="1"/>
      </tp>
      <tp>
        <v>0.84</v>
        <stp/>
        <stp>DELTA</stp>
        <stp>.SPX250620C5670</stp>
        <tr r="CH125" s="1"/>
        <tr r="CH125" s="1"/>
      </tp>
      <tp>
        <v>-0.18</v>
        <stp/>
        <stp>DELTA</stp>
        <stp>.SPX250620P5670</stp>
        <tr r="CI125" s="1"/>
        <tr r="CI125" s="1"/>
      </tp>
      <tp>
        <v>0.85</v>
        <stp/>
        <stp>DELTA</stp>
        <stp>.SPX250620C5660</stp>
        <tr r="CH126" s="1"/>
        <tr r="CH126" s="1"/>
      </tp>
      <tp>
        <v>-0.18</v>
        <stp/>
        <stp>DELTA</stp>
        <stp>.SPX250620P5660</stp>
        <tr r="CI126" s="1"/>
        <tr r="CI126" s="1"/>
      </tp>
      <tp>
        <v>0.82</v>
        <stp/>
        <stp>DELTA</stp>
        <stp>.SPX250620C5690</stp>
        <tr r="CH123" s="1"/>
        <tr r="CH123" s="1"/>
      </tp>
      <tp>
        <v>-0.2</v>
        <stp/>
        <stp>DELTA</stp>
        <stp>.SPX250620P5690</stp>
        <tr r="CI123" s="1"/>
        <tr r="CI123" s="1"/>
      </tp>
      <tp>
        <v>0.83</v>
        <stp/>
        <stp>DELTA</stp>
        <stp>.SPX250620C5680</stp>
        <tr r="CH124" s="1"/>
        <tr r="CH124" s="1"/>
      </tp>
      <tp>
        <v>-0.19</v>
        <stp/>
        <stp>DELTA</stp>
        <stp>.SPX250620P5680</stp>
        <tr r="CI124" s="1"/>
        <tr r="CI124" s="1"/>
      </tp>
      <tp>
        <v>5955.25</v>
        <stp/>
        <stp>MARK</stp>
        <stp>/ES:XCME</stp>
        <tr r="F84" s="1"/>
        <tr r="F3" s="1"/>
      </tp>
      <tp t="s">
        <v>--</v>
        <stp/>
        <stp>IMPL_VOL</stp>
        <stp>.NDXP250523C20275</stp>
        <tr r="EN188" s="1"/>
      </tp>
      <tp t="s">
        <v>84.85%</v>
        <stp/>
        <stp>IMPL_VOL</stp>
        <stp>.NDXP250520C21175</stp>
        <tr r="EL152" s="1"/>
      </tp>
      <tp t="s">
        <v>18.16%</v>
        <stp/>
        <stp>IMPL_VOL</stp>
        <stp>.NDXP250523C21275</stp>
        <tr r="EN148" s="1"/>
      </tp>
      <tp t="s">
        <v>--</v>
        <stp/>
        <stp>IMPL_VOL</stp>
        <stp>.NDXP250523C20250</stp>
        <tr r="EN189" s="1"/>
      </tp>
      <tp t="s">
        <v>99.87%</v>
        <stp/>
        <stp>IMPL_VOL</stp>
        <stp>.NDXP250520C21150</stp>
        <tr r="EL153" s="1"/>
      </tp>
      <tp t="s">
        <v>18.14%</v>
        <stp/>
        <stp>IMPL_VOL</stp>
        <stp>.NDXP250523C21250</stp>
        <tr r="EN149" s="1"/>
      </tp>
      <tp t="s">
        <v>106.96%</v>
        <stp/>
        <stp>IMPL_VOL</stp>
        <stp>.NDXP250520C21125</stp>
        <tr r="EL154" s="1"/>
      </tp>
      <tp t="s">
        <v>18.31%</v>
        <stp/>
        <stp>IMPL_VOL</stp>
        <stp>.NDXP250523C21225</stp>
        <tr r="EN150" s="1"/>
      </tp>
      <tp t="s">
        <v>100.62%</v>
        <stp/>
        <stp>IMPL_VOL</stp>
        <stp>.NDXP250520C21100</stp>
        <tr r="EL155" s="1"/>
      </tp>
      <tp t="s">
        <v>18.55%</v>
        <stp/>
        <stp>IMPL_VOL</stp>
        <stp>.NDXP250523C21200</stp>
        <tr r="EN151" s="1"/>
      </tp>
      <tp t="s">
        <v>N/A</v>
        <stp/>
        <stp>VOLUME</stp>
        <stp>.NDX251226P21300</stp>
        <tr r="W148" s="2"/>
      </tp>
      <tp t="s">
        <v>N/A</v>
        <stp/>
        <stp>VOLUME</stp>
        <stp>.NDX251226P20300</stp>
        <tr r="W188" s="2"/>
      </tp>
      <tp t="s">
        <v>N/A</v>
        <stp/>
        <stp>VOLUME</stp>
        <stp>.NDX251024P21100</stp>
        <tr r="S156" s="2"/>
      </tp>
      <tp t="s">
        <v>N/A</v>
        <stp/>
        <stp>VOLUME</stp>
        <stp>.NDX250926P21300</stp>
        <tr r="Q148" s="2"/>
      </tp>
      <tp t="s">
        <v>N/A</v>
        <stp/>
        <stp>VOLUME</stp>
        <stp>.NDX250926P20300</stp>
        <tr r="Q188" s="2"/>
      </tp>
      <tp t="s">
        <v>N/A</v>
        <stp/>
        <stp>VOLUME</stp>
        <stp>.NDX250822P20700</stp>
        <tr r="O172" s="2"/>
      </tp>
      <tp t="s">
        <v>N/A</v>
        <stp/>
        <stp>VOLUME</stp>
        <stp>.NDX250725P21000</stp>
        <tr r="M160" s="2"/>
      </tp>
      <tp t="s">
        <v>N/A</v>
        <stp/>
        <stp>VOLUME</stp>
        <stp>.NDX250606P21300</stp>
        <tr r="H148" s="2"/>
      </tp>
      <tp t="s">
        <v>N/A</v>
        <stp/>
        <stp>VOLUME</stp>
        <stp>.NDX250606P20300</stp>
        <tr r="H188" s="2"/>
      </tp>
      <tp>
        <v>4</v>
        <stp/>
        <stp>VOLUME</stp>
        <stp>.NDX250620P21500</stp>
        <tr r="BF139" s="1"/>
        <tr r="BF139" s="1"/>
      </tp>
      <tp t="s">
        <v>N/A</v>
        <stp/>
        <stp>VOLUME</stp>
        <stp>.NDX250627P21200</stp>
        <tr r="K152" s="2"/>
      </tp>
      <tp>
        <v>1</v>
        <stp/>
        <stp>VOLUME</stp>
        <stp>.NDX250620P20500</stp>
        <tr r="BF179" s="1"/>
        <tr r="BF179" s="1"/>
      </tp>
      <tp t="s">
        <v>N/A</v>
        <stp/>
        <stp>VOLUME</stp>
        <stp>.NDX251226P21325</stp>
        <tr r="W147" s="2"/>
      </tp>
      <tp t="s">
        <v>N/A</v>
        <stp/>
        <stp>VOLUME</stp>
        <stp>.NDX251226P20325</stp>
        <tr r="W187" s="2"/>
      </tp>
      <tp t="s">
        <v>N/A</v>
        <stp/>
        <stp>VOLUME</stp>
        <stp>.NDX251024P21125</stp>
        <tr r="S155" s="2"/>
      </tp>
      <tp t="s">
        <v>N/A</v>
        <stp/>
        <stp>VOLUME</stp>
        <stp>.NDX250822P20725</stp>
        <tr r="O171" s="2"/>
      </tp>
      <tp t="s">
        <v>N/A</v>
        <stp/>
        <stp>VOLUME</stp>
        <stp>.NDX250926P21325</stp>
        <tr r="Q147" s="2"/>
      </tp>
      <tp t="s">
        <v>N/A</v>
        <stp/>
        <stp>VOLUME</stp>
        <stp>.NDX250926P20325</stp>
        <tr r="Q187" s="2"/>
      </tp>
      <tp t="s">
        <v>N/A</v>
        <stp/>
        <stp>VOLUME</stp>
        <stp>.NDX250606P21325</stp>
        <tr r="H147" s="2"/>
      </tp>
      <tp t="s">
        <v>N/A</v>
        <stp/>
        <stp>VOLUME</stp>
        <stp>.NDX250606P20325</stp>
        <tr r="H187" s="2"/>
      </tp>
      <tp t="s">
        <v>N/A</v>
        <stp/>
        <stp>VOLUME</stp>
        <stp>.NDX250620P21525</stp>
        <tr r="BF138" s="1"/>
      </tp>
      <tp t="s">
        <v>N/A</v>
        <stp/>
        <stp>VOLUME</stp>
        <stp>.NDX250627P21225</stp>
        <tr r="K151" s="2"/>
      </tp>
      <tp t="s">
        <v>N/A</v>
        <stp/>
        <stp>VOLUME</stp>
        <stp>.NDX250620P20525</stp>
        <tr r="BF178" s="1"/>
      </tp>
      <tp t="s">
        <v>N/A</v>
        <stp/>
        <stp>VOLUME</stp>
        <stp>.NDX250725P21025</stp>
        <tr r="M159" s="2"/>
      </tp>
      <tp t="s">
        <v>N/A</v>
        <stp/>
        <stp>VOLUME</stp>
        <stp>.NDX250926P21350</stp>
        <tr r="Q146" s="2"/>
      </tp>
      <tp t="s">
        <v>N/A</v>
        <stp/>
        <stp>VOLUME</stp>
        <stp>.NDX250926P20350</stp>
        <tr r="Q186" s="2"/>
      </tp>
      <tp t="s">
        <v>N/A</v>
        <stp/>
        <stp>VOLUME</stp>
        <stp>.NDX250822P20750</stp>
        <tr r="O170" s="2"/>
      </tp>
      <tp t="s">
        <v>N/A</v>
        <stp/>
        <stp>VOLUME</stp>
        <stp>.NDX250725P21050</stp>
        <tr r="M158" s="2"/>
      </tp>
      <tp t="s">
        <v>N/A</v>
        <stp/>
        <stp>VOLUME</stp>
        <stp>.NDX250606P21350</stp>
        <tr r="H146" s="2"/>
      </tp>
      <tp t="s">
        <v>N/A</v>
        <stp/>
        <stp>VOLUME</stp>
        <stp>.NDX250606P20350</stp>
        <tr r="H186" s="2"/>
      </tp>
      <tp t="s">
        <v>N/A</v>
        <stp/>
        <stp>VOLUME</stp>
        <stp>.NDX250620P21550</stp>
        <tr r="BF137" s="1"/>
      </tp>
      <tp t="s">
        <v>N/A</v>
        <stp/>
        <stp>VOLUME</stp>
        <stp>.NDX250627P21250</stp>
        <tr r="K150" s="2"/>
      </tp>
      <tp t="s">
        <v>N/A</v>
        <stp/>
        <stp>VOLUME</stp>
        <stp>.NDX250620P20550</stp>
        <tr r="BF177" s="1"/>
      </tp>
      <tp t="s">
        <v>N/A</v>
        <stp/>
        <stp>VOLUME</stp>
        <stp>.NDX250627P20250</stp>
        <tr r="K190" s="2"/>
      </tp>
      <tp t="s">
        <v>N/A</v>
        <stp/>
        <stp>VOLUME</stp>
        <stp>.NDX251226P21350</stp>
        <tr r="W146" s="2"/>
      </tp>
      <tp t="s">
        <v>N/A</v>
        <stp/>
        <stp>VOLUME</stp>
        <stp>.NDX251226P20350</stp>
        <tr r="W186" s="2"/>
      </tp>
      <tp t="s">
        <v>N/A</v>
        <stp/>
        <stp>VOLUME</stp>
        <stp>.NDX251024P21150</stp>
        <tr r="S154" s="2"/>
      </tp>
      <tp t="s">
        <v>N/A</v>
        <stp/>
        <stp>VOLUME</stp>
        <stp>.NDX250822P20775</stp>
        <tr r="O169" s="2"/>
      </tp>
      <tp t="s">
        <v>N/A</v>
        <stp/>
        <stp>VOLUME</stp>
        <stp>.NDX250926P21375</stp>
        <tr r="Q145" s="2"/>
      </tp>
      <tp t="s">
        <v>N/A</v>
        <stp/>
        <stp>VOLUME</stp>
        <stp>.NDX250926P20375</stp>
        <tr r="Q185" s="2"/>
      </tp>
      <tp t="s">
        <v>N/A</v>
        <stp/>
        <stp>VOLUME</stp>
        <stp>.NDX250606P21375</stp>
        <tr r="H145" s="2"/>
      </tp>
      <tp t="s">
        <v>N/A</v>
        <stp/>
        <stp>VOLUME</stp>
        <stp>.NDX250606P20375</stp>
        <tr r="H185" s="2"/>
      </tp>
      <tp t="s">
        <v>N/A</v>
        <stp/>
        <stp>VOLUME</stp>
        <stp>.NDX250627P21275</stp>
        <tr r="K149" s="2"/>
      </tp>
      <tp>
        <v>1</v>
        <stp/>
        <stp>VOLUME</stp>
        <stp>.NDX250620P20575</stp>
        <tr r="BF176" s="1"/>
        <tr r="BF176" s="1"/>
      </tp>
      <tp t="s">
        <v>N/A</v>
        <stp/>
        <stp>VOLUME</stp>
        <stp>.NDX250627P20275</stp>
        <tr r="K189" s="2"/>
      </tp>
      <tp t="s">
        <v>N/A</v>
        <stp/>
        <stp>VOLUME</stp>
        <stp>.NDX250725P21075</stp>
        <tr r="M157" s="2"/>
      </tp>
      <tp t="s">
        <v>N/A</v>
        <stp/>
        <stp>VOLUME</stp>
        <stp>.NDX251226P21375</stp>
        <tr r="W145" s="2"/>
      </tp>
      <tp t="s">
        <v>N/A</v>
        <stp/>
        <stp>VOLUME</stp>
        <stp>.NDX251226P20375</stp>
        <tr r="W185" s="2"/>
      </tp>
      <tp t="s">
        <v>N/A</v>
        <stp/>
        <stp>VOLUME</stp>
        <stp>.NDX251024P21175</stp>
        <tr r="S153" s="2"/>
      </tp>
      <tp t="s">
        <v>29.10%</v>
        <stp/>
        <stp>IMPL_VOL</stp>
        <stp>.NDXP250523P20250</stp>
        <tr r="EO189" s="1"/>
      </tp>
      <tp t="s">
        <v>73.39%</v>
        <stp/>
        <stp>IMPL_VOL</stp>
        <stp>.NDXP250520P21150</stp>
        <tr r="EM153" s="1"/>
      </tp>
      <tp t="s">
        <v>23.07%</v>
        <stp/>
        <stp>IMPL_VOL</stp>
        <stp>.NDXP250523P21250</stp>
        <tr r="EO149" s="1"/>
      </tp>
      <tp t="s">
        <v>28.95%</v>
        <stp/>
        <stp>IMPL_VOL</stp>
        <stp>.NDXP250523P20275</stp>
        <tr r="EO188" s="1"/>
      </tp>
      <tp t="s">
        <v>94.84%</v>
        <stp/>
        <stp>IMPL_VOL</stp>
        <stp>.NDXP250520P21175</stp>
        <tr r="EM152" s="1"/>
      </tp>
      <tp t="s">
        <v>22.99%</v>
        <stp/>
        <stp>IMPL_VOL</stp>
        <stp>.NDXP250523P21275</stp>
        <tr r="EO148" s="1"/>
      </tp>
      <tp t="s">
        <v>54.16%</v>
        <stp/>
        <stp>IMPL_VOL</stp>
        <stp>.NDXP250520P21100</stp>
        <tr r="EM155" s="1"/>
      </tp>
      <tp t="s">
        <v>23.25%</v>
        <stp/>
        <stp>IMPL_VOL</stp>
        <stp>.NDXP250523P21200</stp>
        <tr r="EO151" s="1"/>
      </tp>
      <tp t="s">
        <v>121.17%</v>
        <stp/>
        <stp>IMPL_VOL</stp>
        <stp>.NDXP250520P21125</stp>
        <tr r="EM154" s="1"/>
      </tp>
      <tp t="s">
        <v>23.16%</v>
        <stp/>
        <stp>IMPL_VOL</stp>
        <stp>.NDXP250523P21225</stp>
        <tr r="EO150" s="1"/>
      </tp>
      <tp t="s">
        <v>N/A</v>
        <stp/>
        <stp>VOLUME</stp>
        <stp>.NDX250822C20725</stp>
        <tr r="O171" s="2"/>
      </tp>
      <tp t="s">
        <v>N/A</v>
        <stp/>
        <stp>VOLUME</stp>
        <stp>.NDX250926C21325</stp>
        <tr r="Q147" s="2"/>
      </tp>
      <tp t="s">
        <v>N/A</v>
        <stp/>
        <stp>VOLUME</stp>
        <stp>.NDX250926C20325</stp>
        <tr r="Q187" s="2"/>
      </tp>
      <tp t="s">
        <v>N/A</v>
        <stp/>
        <stp>VOLUME</stp>
        <stp>.NDX250606C21325</stp>
        <tr r="H147" s="2"/>
      </tp>
      <tp t="s">
        <v>N/A</v>
        <stp/>
        <stp>VOLUME</stp>
        <stp>.NDX250606C20325</stp>
        <tr r="H187" s="2"/>
      </tp>
      <tp>
        <v>1</v>
        <stp/>
        <stp>VOLUME</stp>
        <stp>.NDX250620C21525</stp>
        <tr r="BE138" s="1"/>
        <tr r="BE138" s="1"/>
      </tp>
      <tp t="s">
        <v>N/A</v>
        <stp/>
        <stp>VOLUME</stp>
        <stp>.NDX250627C21225</stp>
        <tr r="K151" s="2"/>
      </tp>
      <tp t="s">
        <v>N/A</v>
        <stp/>
        <stp>VOLUME</stp>
        <stp>.NDX250620C20525</stp>
        <tr r="BE178" s="1"/>
      </tp>
      <tp t="s">
        <v>N/A</v>
        <stp/>
        <stp>VOLUME</stp>
        <stp>.NDX250725C21025</stp>
        <tr r="M159" s="2"/>
      </tp>
      <tp t="s">
        <v>N/A</v>
        <stp/>
        <stp>VOLUME</stp>
        <stp>.NDX251226C21325</stp>
        <tr r="W147" s="2"/>
      </tp>
      <tp t="s">
        <v>N/A</v>
        <stp/>
        <stp>VOLUME</stp>
        <stp>.NDX251226C20325</stp>
        <tr r="W187" s="2"/>
      </tp>
      <tp t="s">
        <v>N/A</v>
        <stp/>
        <stp>VOLUME</stp>
        <stp>.NDX251024C21125</stp>
        <tr r="S155" s="2"/>
      </tp>
      <tp t="s">
        <v>N/A</v>
        <stp/>
        <stp>VOLUME</stp>
        <stp>.NDX250926C21300</stp>
        <tr r="Q148" s="2"/>
      </tp>
      <tp t="s">
        <v>N/A</v>
        <stp/>
        <stp>VOLUME</stp>
        <stp>.NDX250926C20300</stp>
        <tr r="Q188" s="2"/>
      </tp>
      <tp t="s">
        <v>N/A</v>
        <stp/>
        <stp>VOLUME</stp>
        <stp>.NDX250822C20700</stp>
        <tr r="O172" s="2"/>
      </tp>
      <tp t="s">
        <v>N/A</v>
        <stp/>
        <stp>VOLUME</stp>
        <stp>.NDX250725C21000</stp>
        <tr r="M160" s="2"/>
      </tp>
      <tp t="s">
        <v>N/A</v>
        <stp/>
        <stp>VOLUME</stp>
        <stp>.NDX250606C21300</stp>
        <tr r="H148" s="2"/>
      </tp>
      <tp t="s">
        <v>N/A</v>
        <stp/>
        <stp>VOLUME</stp>
        <stp>.NDX250606C20300</stp>
        <tr r="H188" s="2"/>
      </tp>
      <tp>
        <v>42</v>
        <stp/>
        <stp>VOLUME</stp>
        <stp>.NDX250620C21500</stp>
        <tr r="BE139" s="1"/>
        <tr r="BE139" s="1"/>
      </tp>
      <tp t="s">
        <v>N/A</v>
        <stp/>
        <stp>VOLUME</stp>
        <stp>.NDX250627C21200</stp>
        <tr r="K152" s="2"/>
      </tp>
      <tp t="s">
        <v>N/A</v>
        <stp/>
        <stp>VOLUME</stp>
        <stp>.NDX250620C20500</stp>
        <tr r="BE179" s="1"/>
      </tp>
      <tp t="s">
        <v>N/A</v>
        <stp/>
        <stp>VOLUME</stp>
        <stp>.NDX251226C21300</stp>
        <tr r="W148" s="2"/>
      </tp>
      <tp t="s">
        <v>N/A</v>
        <stp/>
        <stp>VOLUME</stp>
        <stp>.NDX251226C20300</stp>
        <tr r="W188" s="2"/>
      </tp>
      <tp t="s">
        <v>N/A</v>
        <stp/>
        <stp>VOLUME</stp>
        <stp>.NDX251024C21100</stp>
        <tr r="S156" s="2"/>
      </tp>
      <tp t="s">
        <v>N/A</v>
        <stp/>
        <stp>VOLUME</stp>
        <stp>.NDX251226C21375</stp>
        <tr r="W145" s="2"/>
      </tp>
      <tp t="s">
        <v>N/A</v>
        <stp/>
        <stp>VOLUME</stp>
        <stp>.NDX251226C20375</stp>
        <tr r="W185" s="2"/>
      </tp>
      <tp t="s">
        <v>N/A</v>
        <stp/>
        <stp>VOLUME</stp>
        <stp>.NDX251024C21175</stp>
        <tr r="S153" s="2"/>
      </tp>
      <tp t="s">
        <v>N/A</v>
        <stp/>
        <stp>VOLUME</stp>
        <stp>.NDX250822C20775</stp>
        <tr r="O169" s="2"/>
      </tp>
      <tp t="s">
        <v>N/A</v>
        <stp/>
        <stp>VOLUME</stp>
        <stp>.NDX250926C21375</stp>
        <tr r="Q145" s="2"/>
      </tp>
      <tp t="s">
        <v>N/A</v>
        <stp/>
        <stp>VOLUME</stp>
        <stp>.NDX250926C20375</stp>
        <tr r="Q185" s="2"/>
      </tp>
      <tp t="s">
        <v>N/A</v>
        <stp/>
        <stp>VOLUME</stp>
        <stp>.NDX250606C21375</stp>
        <tr r="H145" s="2"/>
      </tp>
      <tp t="s">
        <v>N/A</v>
        <stp/>
        <stp>VOLUME</stp>
        <stp>.NDX250606C20375</stp>
        <tr r="H185" s="2"/>
      </tp>
      <tp t="s">
        <v>N/A</v>
        <stp/>
        <stp>VOLUME</stp>
        <stp>.NDX250627C21275</stp>
        <tr r="K149" s="2"/>
      </tp>
      <tp t="s">
        <v>N/A</v>
        <stp/>
        <stp>VOLUME</stp>
        <stp>.NDX250620C20575</stp>
        <tr r="BE176" s="1"/>
      </tp>
      <tp t="s">
        <v>N/A</v>
        <stp/>
        <stp>VOLUME</stp>
        <stp>.NDX250627C20275</stp>
        <tr r="K189" s="2"/>
      </tp>
      <tp t="s">
        <v>N/A</v>
        <stp/>
        <stp>VOLUME</stp>
        <stp>.NDX250725C21075</stp>
        <tr r="M157" s="2"/>
      </tp>
      <tp t="s">
        <v>N/A</v>
        <stp/>
        <stp>VOLUME</stp>
        <stp>.NDX251226C21350</stp>
        <tr r="W146" s="2"/>
      </tp>
      <tp t="s">
        <v>N/A</v>
        <stp/>
        <stp>VOLUME</stp>
        <stp>.NDX251226C20350</stp>
        <tr r="W186" s="2"/>
      </tp>
      <tp t="s">
        <v>N/A</v>
        <stp/>
        <stp>VOLUME</stp>
        <stp>.NDX251024C21150</stp>
        <tr r="S154" s="2"/>
      </tp>
      <tp t="s">
        <v>N/A</v>
        <stp/>
        <stp>VOLUME</stp>
        <stp>.NDX250926C21350</stp>
        <tr r="Q146" s="2"/>
      </tp>
      <tp t="s">
        <v>N/A</v>
        <stp/>
        <stp>VOLUME</stp>
        <stp>.NDX250926C20350</stp>
        <tr r="Q186" s="2"/>
      </tp>
      <tp t="s">
        <v>N/A</v>
        <stp/>
        <stp>VOLUME</stp>
        <stp>.NDX250822C20750</stp>
        <tr r="O170" s="2"/>
      </tp>
      <tp t="s">
        <v>N/A</v>
        <stp/>
        <stp>VOLUME</stp>
        <stp>.NDX250725C21050</stp>
        <tr r="M158" s="2"/>
      </tp>
      <tp t="s">
        <v>N/A</v>
        <stp/>
        <stp>VOLUME</stp>
        <stp>.NDX250606C21350</stp>
        <tr r="H146" s="2"/>
      </tp>
      <tp t="s">
        <v>N/A</v>
        <stp/>
        <stp>VOLUME</stp>
        <stp>.NDX250606C20350</stp>
        <tr r="H186" s="2"/>
      </tp>
      <tp>
        <v>1</v>
        <stp/>
        <stp>VOLUME</stp>
        <stp>.NDX250620C21550</stp>
        <tr r="BE137" s="1"/>
        <tr r="BE137" s="1"/>
      </tp>
      <tp t="s">
        <v>N/A</v>
        <stp/>
        <stp>VOLUME</stp>
        <stp>.NDX250627C21250</stp>
        <tr r="K150" s="2"/>
      </tp>
      <tp t="s">
        <v>N/A</v>
        <stp/>
        <stp>VOLUME</stp>
        <stp>.NDX250620C20550</stp>
        <tr r="BE177" s="1"/>
      </tp>
      <tp t="s">
        <v>N/A</v>
        <stp/>
        <stp>VOLUME</stp>
        <stp>.NDX250627C20250</stp>
        <tr r="K190" s="2"/>
      </tp>
      <tp t="s">
        <v>--</v>
        <stp/>
        <stp>IMPL_VOL</stp>
        <stp>.NDXP250523C20375</stp>
        <tr r="EN184" s="1"/>
      </tp>
      <tp t="s">
        <v>100.19%</v>
        <stp/>
        <stp>IMPL_VOL</stp>
        <stp>.NDXP250520C21075</stp>
        <tr r="EL156" s="1"/>
      </tp>
      <tp t="s">
        <v>18.19%</v>
        <stp/>
        <stp>IMPL_VOL</stp>
        <stp>.NDXP250523C21375</stp>
        <tr r="EN144" s="1"/>
      </tp>
      <tp t="s">
        <v>23.06%</v>
        <stp/>
        <stp>IMPL_VOL</stp>
        <stp>.NDXP250523C20350</stp>
        <tr r="EN185" s="1"/>
      </tp>
      <tp t="s">
        <v>131.98%</v>
        <stp/>
        <stp>IMPL_VOL</stp>
        <stp>.NDXP250520C21050</stp>
        <tr r="EL157" s="1"/>
      </tp>
      <tp t="s">
        <v>18.21%</v>
        <stp/>
        <stp>IMPL_VOL</stp>
        <stp>.NDXP250523C21350</stp>
        <tr r="EN145" s="1"/>
      </tp>
      <tp t="s">
        <v>21.52%</v>
        <stp/>
        <stp>IMPL_VOL</stp>
        <stp>.NDXP250523C20325</stp>
        <tr r="EN186" s="1"/>
      </tp>
      <tp t="s">
        <v>136.70%</v>
        <stp/>
        <stp>IMPL_VOL</stp>
        <stp>.NDXP250520C21025</stp>
        <tr r="EL158" s="1"/>
      </tp>
      <tp t="s">
        <v>18.20%</v>
        <stp/>
        <stp>IMPL_VOL</stp>
        <stp>.NDXP250523C21325</stp>
        <tr r="EN146" s="1"/>
      </tp>
      <tp t="s">
        <v>--</v>
        <stp/>
        <stp>IMPL_VOL</stp>
        <stp>.NDXP250523C20300</stp>
        <tr r="EN187" s="1"/>
      </tp>
      <tp t="s">
        <v>123.04%</v>
        <stp/>
        <stp>IMPL_VOL</stp>
        <stp>.NDXP250520C21000</stp>
        <tr r="EL159" s="1"/>
      </tp>
      <tp t="s">
        <v>18.39%</v>
        <stp/>
        <stp>IMPL_VOL</stp>
        <stp>.NDXP250523C21300</stp>
        <tr r="EN147" s="1"/>
      </tp>
      <tp t="s">
        <v>N/A</v>
        <stp/>
        <stp>VOLUME</stp>
        <stp>.NDX251226P21200</stp>
        <tr r="W152" s="2"/>
      </tp>
      <tp t="s">
        <v>N/A</v>
        <stp/>
        <stp>VOLUME</stp>
        <stp>.NDX251024P21000</stp>
        <tr r="S160" s="2"/>
      </tp>
      <tp t="s">
        <v>N/A</v>
        <stp/>
        <stp>VOLUME</stp>
        <stp>.NDX250926P21200</stp>
        <tr r="Q152" s="2"/>
      </tp>
      <tp t="s">
        <v>N/A</v>
        <stp/>
        <stp>VOLUME</stp>
        <stp>.NDX250822P20600</stp>
        <tr r="O176" s="2"/>
      </tp>
      <tp t="s">
        <v>N/A</v>
        <stp/>
        <stp>VOLUME</stp>
        <stp>.NDX250725P21100</stp>
        <tr r="M156" s="2"/>
      </tp>
      <tp t="s">
        <v>N/A</v>
        <stp/>
        <stp>VOLUME</stp>
        <stp>.NDX250606P21200</stp>
        <tr r="H152" s="2"/>
      </tp>
      <tp>
        <v>28</v>
        <stp/>
        <stp>VOLUME</stp>
        <stp>.NDX250620P21400</stp>
        <tr r="BF143" s="1"/>
        <tr r="BF143" s="1"/>
      </tp>
      <tp t="s">
        <v>N/A</v>
        <stp/>
        <stp>VOLUME</stp>
        <stp>.NDX250627P21300</stp>
        <tr r="K148" s="2"/>
      </tp>
      <tp t="s">
        <v>N/A</v>
        <stp/>
        <stp>VOLUME</stp>
        <stp>.NDX250620P20400</stp>
        <tr r="BF183" s="1"/>
      </tp>
      <tp t="s">
        <v>N/A</v>
        <stp/>
        <stp>VOLUME</stp>
        <stp>.NDX250627P20300</stp>
        <tr r="K188" s="2"/>
      </tp>
      <tp t="s">
        <v>N/A</v>
        <stp/>
        <stp>VOLUME</stp>
        <stp>.NDX251226P21225</stp>
        <tr r="W151" s="2"/>
      </tp>
      <tp t="s">
        <v>N/A</v>
        <stp/>
        <stp>VOLUME</stp>
        <stp>.NDX251024P21025</stp>
        <tr r="S159" s="2"/>
      </tp>
      <tp t="s">
        <v>N/A</v>
        <stp/>
        <stp>VOLUME</stp>
        <stp>.NDX250822P20625</stp>
        <tr r="O175" s="2"/>
      </tp>
      <tp t="s">
        <v>N/A</v>
        <stp/>
        <stp>VOLUME</stp>
        <stp>.NDX250926P21225</stp>
        <tr r="Q151" s="2"/>
      </tp>
      <tp t="s">
        <v>N/A</v>
        <stp/>
        <stp>VOLUME</stp>
        <stp>.NDX250606P21225</stp>
        <tr r="H151" s="2"/>
      </tp>
      <tp>
        <v>23</v>
        <stp/>
        <stp>VOLUME</stp>
        <stp>.NDX250620P21425</stp>
        <tr r="BF142" s="1"/>
        <tr r="BF142" s="1"/>
      </tp>
      <tp t="s">
        <v>N/A</v>
        <stp/>
        <stp>VOLUME</stp>
        <stp>.NDX250627P21325</stp>
        <tr r="K147" s="2"/>
      </tp>
      <tp t="s">
        <v>N/A</v>
        <stp/>
        <stp>VOLUME</stp>
        <stp>.NDX250620P20425</stp>
        <tr r="BF182" s="1"/>
      </tp>
      <tp t="s">
        <v>N/A</v>
        <stp/>
        <stp>VOLUME</stp>
        <stp>.NDX250627P20325</stp>
        <tr r="K187" s="2"/>
      </tp>
      <tp t="s">
        <v>N/A</v>
        <stp/>
        <stp>VOLUME</stp>
        <stp>.NDX250725P21125</stp>
        <tr r="M155" s="2"/>
      </tp>
      <tp t="s">
        <v>N/A</v>
        <stp/>
        <stp>VOLUME</stp>
        <stp>.NDX250926P21250</stp>
        <tr r="Q150" s="2"/>
      </tp>
      <tp t="s">
        <v>N/A</v>
        <stp/>
        <stp>VOLUME</stp>
        <stp>.NDX250926P20250</stp>
        <tr r="Q190" s="2"/>
      </tp>
      <tp t="s">
        <v>N/A</v>
        <stp/>
        <stp>VOLUME</stp>
        <stp>.NDX250822P20650</stp>
        <tr r="O174" s="2"/>
      </tp>
      <tp t="s">
        <v>N/A</v>
        <stp/>
        <stp>VOLUME</stp>
        <stp>.NDX250725P21150</stp>
        <tr r="M154" s="2"/>
      </tp>
      <tp t="s">
        <v>N/A</v>
        <stp/>
        <stp>VOLUME</stp>
        <stp>.NDX250606P21250</stp>
        <tr r="H150" s="2"/>
      </tp>
      <tp t="s">
        <v>N/A</v>
        <stp/>
        <stp>VOLUME</stp>
        <stp>.NDX250606P20250</stp>
        <tr r="H190" s="2"/>
      </tp>
      <tp>
        <v>45</v>
        <stp/>
        <stp>VOLUME</stp>
        <stp>.NDX250620P21450</stp>
        <tr r="BF141" s="1"/>
        <tr r="BF141" s="1"/>
      </tp>
      <tp t="s">
        <v>N/A</v>
        <stp/>
        <stp>VOLUME</stp>
        <stp>.NDX250627P21350</stp>
        <tr r="K146" s="2"/>
      </tp>
      <tp t="s">
        <v>N/A</v>
        <stp/>
        <stp>VOLUME</stp>
        <stp>.NDX250620P20450</stp>
        <tr r="BF181" s="1"/>
      </tp>
      <tp t="s">
        <v>N/A</v>
        <stp/>
        <stp>VOLUME</stp>
        <stp>.NDX250627P20350</stp>
        <tr r="K186" s="2"/>
      </tp>
      <tp t="s">
        <v>N/A</v>
        <stp/>
        <stp>VOLUME</stp>
        <stp>.NDX251226P21250</stp>
        <tr r="W150" s="2"/>
      </tp>
      <tp t="s">
        <v>N/A</v>
        <stp/>
        <stp>VOLUME</stp>
        <stp>.NDX251226P20250</stp>
        <tr r="W190" s="2"/>
      </tp>
      <tp t="s">
        <v>N/A</v>
        <stp/>
        <stp>VOLUME</stp>
        <stp>.NDX251024P21050</stp>
        <tr r="S158" s="2"/>
      </tp>
      <tp t="s">
        <v>N/A</v>
        <stp/>
        <stp>VOLUME</stp>
        <stp>.NDX250822P20675</stp>
        <tr r="O173" s="2"/>
      </tp>
      <tp t="s">
        <v>N/A</v>
        <stp/>
        <stp>VOLUME</stp>
        <stp>.NDX250926P21275</stp>
        <tr r="Q149" s="2"/>
      </tp>
      <tp t="s">
        <v>N/A</v>
        <stp/>
        <stp>VOLUME</stp>
        <stp>.NDX250926P20275</stp>
        <tr r="Q189" s="2"/>
      </tp>
      <tp t="s">
        <v>N/A</v>
        <stp/>
        <stp>VOLUME</stp>
        <stp>.NDX250606P21275</stp>
        <tr r="H149" s="2"/>
      </tp>
      <tp t="s">
        <v>N/A</v>
        <stp/>
        <stp>VOLUME</stp>
        <stp>.NDX250606P20275</stp>
        <tr r="H189" s="2"/>
      </tp>
      <tp>
        <v>3</v>
        <stp/>
        <stp>VOLUME</stp>
        <stp>.NDX250620P21475</stp>
        <tr r="BF140" s="1"/>
        <tr r="BF140" s="1"/>
      </tp>
      <tp t="s">
        <v>N/A</v>
        <stp/>
        <stp>VOLUME</stp>
        <stp>.NDX250627P21375</stp>
        <tr r="K145" s="2"/>
      </tp>
      <tp t="s">
        <v>N/A</v>
        <stp/>
        <stp>VOLUME</stp>
        <stp>.NDX250620P20475</stp>
        <tr r="BF180" s="1"/>
      </tp>
      <tp t="s">
        <v>N/A</v>
        <stp/>
        <stp>VOLUME</stp>
        <stp>.NDX250627P20375</stp>
        <tr r="K185" s="2"/>
      </tp>
      <tp t="s">
        <v>N/A</v>
        <stp/>
        <stp>VOLUME</stp>
        <stp>.NDX250725P21175</stp>
        <tr r="M153" s="2"/>
      </tp>
      <tp t="s">
        <v>N/A</v>
        <stp/>
        <stp>VOLUME</stp>
        <stp>.NDX251226P21275</stp>
        <tr r="W149" s="2"/>
      </tp>
      <tp t="s">
        <v>N/A</v>
        <stp/>
        <stp>VOLUME</stp>
        <stp>.NDX251226P20275</stp>
        <tr r="W189" s="2"/>
      </tp>
      <tp t="s">
        <v>N/A</v>
        <stp/>
        <stp>VOLUME</stp>
        <stp>.NDX251024P21075</stp>
        <tr r="S157" s="2"/>
      </tp>
      <tp t="s">
        <v>28.43%</v>
        <stp/>
        <stp>IMPL_VOL</stp>
        <stp>.NDXP250523P20350</stp>
        <tr r="EO185" s="1"/>
      </tp>
      <tp t="s">
        <v>147.89%</v>
        <stp/>
        <stp>IMPL_VOL</stp>
        <stp>.NDXP250520P21050</stp>
        <tr r="EM157" s="1"/>
      </tp>
      <tp t="s">
        <v>22.64%</v>
        <stp/>
        <stp>IMPL_VOL</stp>
        <stp>.NDXP250523P21350</stp>
        <tr r="EO145" s="1"/>
      </tp>
      <tp t="s">
        <v>28.27%</v>
        <stp/>
        <stp>IMPL_VOL</stp>
        <stp>.NDXP250523P20375</stp>
        <tr r="EO184" s="1"/>
      </tp>
      <tp t="s">
        <v>139.10%</v>
        <stp/>
        <stp>IMPL_VOL</stp>
        <stp>.NDXP250520P21075</stp>
        <tr r="EM156" s="1"/>
      </tp>
      <tp t="s">
        <v>22.79%</v>
        <stp/>
        <stp>IMPL_VOL</stp>
        <stp>.NDXP250523P21375</stp>
        <tr r="EO144" s="1"/>
      </tp>
      <tp t="s">
        <v>28.82%</v>
        <stp/>
        <stp>IMPL_VOL</stp>
        <stp>.NDXP250523P20300</stp>
        <tr r="EO187" s="1"/>
      </tp>
      <tp t="s">
        <v>72.70%</v>
        <stp/>
        <stp>IMPL_VOL</stp>
        <stp>.NDXP250520P21000</stp>
        <tr r="EM159" s="1"/>
      </tp>
      <tp t="s">
        <v>22.92%</v>
        <stp/>
        <stp>IMPL_VOL</stp>
        <stp>.NDXP250523P21300</stp>
        <tr r="EO147" s="1"/>
      </tp>
      <tp t="s">
        <v>28.64%</v>
        <stp/>
        <stp>IMPL_VOL</stp>
        <stp>.NDXP250523P20325</stp>
        <tr r="EO186" s="1"/>
      </tp>
      <tp t="s">
        <v>156.59%</v>
        <stp/>
        <stp>IMPL_VOL</stp>
        <stp>.NDXP250520P21025</stp>
        <tr r="EM158" s="1"/>
      </tp>
      <tp t="s">
        <v>22.89%</v>
        <stp/>
        <stp>IMPL_VOL</stp>
        <stp>.NDXP250523P21325</stp>
        <tr r="EO146" s="1"/>
      </tp>
      <tp t="s">
        <v>N/A</v>
        <stp/>
        <stp>VOLUME</stp>
        <stp>.NDX250822C20625</stp>
        <tr r="O175" s="2"/>
      </tp>
      <tp t="s">
        <v>N/A</v>
        <stp/>
        <stp>VOLUME</stp>
        <stp>.NDX250926C21225</stp>
        <tr r="Q151" s="2"/>
      </tp>
      <tp t="s">
        <v>N/A</v>
        <stp/>
        <stp>VOLUME</stp>
        <stp>.NDX250606C21225</stp>
        <tr r="H151" s="2"/>
      </tp>
      <tp>
        <v>23</v>
        <stp/>
        <stp>VOLUME</stp>
        <stp>.NDX250620C21425</stp>
        <tr r="BE142" s="1"/>
        <tr r="BE142" s="1"/>
      </tp>
      <tp t="s">
        <v>N/A</v>
        <stp/>
        <stp>VOLUME</stp>
        <stp>.NDX250627C21325</stp>
        <tr r="K147" s="2"/>
      </tp>
      <tp t="s">
        <v>N/A</v>
        <stp/>
        <stp>VOLUME</stp>
        <stp>.NDX250620C20425</stp>
        <tr r="BE182" s="1"/>
      </tp>
      <tp t="s">
        <v>N/A</v>
        <stp/>
        <stp>VOLUME</stp>
        <stp>.NDX250627C20325</stp>
        <tr r="K187" s="2"/>
      </tp>
      <tp t="s">
        <v>N/A</v>
        <stp/>
        <stp>VOLUME</stp>
        <stp>.NDX250725C21125</stp>
        <tr r="M155" s="2"/>
      </tp>
      <tp t="s">
        <v>N/A</v>
        <stp/>
        <stp>VOLUME</stp>
        <stp>.NDX251226C21225</stp>
        <tr r="W151" s="2"/>
      </tp>
      <tp t="s">
        <v>N/A</v>
        <stp/>
        <stp>VOLUME</stp>
        <stp>.NDX251024C21025</stp>
        <tr r="S159" s="2"/>
      </tp>
      <tp t="s">
        <v>N/A</v>
        <stp/>
        <stp>VOLUME</stp>
        <stp>.NDX250926C21200</stp>
        <tr r="Q152" s="2"/>
      </tp>
      <tp t="s">
        <v>N/A</v>
        <stp/>
        <stp>VOLUME</stp>
        <stp>.NDX250822C20600</stp>
        <tr r="O176" s="2"/>
      </tp>
      <tp t="s">
        <v>N/A</v>
        <stp/>
        <stp>VOLUME</stp>
        <stp>.NDX250725C21100</stp>
        <tr r="M156" s="2"/>
      </tp>
      <tp t="s">
        <v>N/A</v>
        <stp/>
        <stp>VOLUME</stp>
        <stp>.NDX250606C21200</stp>
        <tr r="H152" s="2"/>
      </tp>
      <tp>
        <v>8</v>
        <stp/>
        <stp>VOLUME</stp>
        <stp>.NDX250620C21400</stp>
        <tr r="BE143" s="1"/>
        <tr r="BE143" s="1"/>
      </tp>
      <tp t="s">
        <v>N/A</v>
        <stp/>
        <stp>VOLUME</stp>
        <stp>.NDX250627C21300</stp>
        <tr r="K148" s="2"/>
      </tp>
      <tp t="s">
        <v>N/A</v>
        <stp/>
        <stp>VOLUME</stp>
        <stp>.NDX250620C20400</stp>
        <tr r="BE183" s="1"/>
      </tp>
      <tp t="s">
        <v>N/A</v>
        <stp/>
        <stp>VOLUME</stp>
        <stp>.NDX250627C20300</stp>
        <tr r="K188" s="2"/>
      </tp>
      <tp t="s">
        <v>N/A</v>
        <stp/>
        <stp>VOLUME</stp>
        <stp>.NDX251226C21200</stp>
        <tr r="W152" s="2"/>
      </tp>
      <tp t="s">
        <v>N/A</v>
        <stp/>
        <stp>VOLUME</stp>
        <stp>.NDX251024C21000</stp>
        <tr r="S160" s="2"/>
      </tp>
      <tp t="s">
        <v>N/A</v>
        <stp/>
        <stp>VOLUME</stp>
        <stp>.NDX251226C21275</stp>
        <tr r="W149" s="2"/>
      </tp>
      <tp t="s">
        <v>N/A</v>
        <stp/>
        <stp>VOLUME</stp>
        <stp>.NDX251226C20275</stp>
        <tr r="W189" s="2"/>
      </tp>
      <tp t="s">
        <v>N/A</v>
        <stp/>
        <stp>VOLUME</stp>
        <stp>.NDX251024C21075</stp>
        <tr r="S157" s="2"/>
      </tp>
      <tp t="s">
        <v>N/A</v>
        <stp/>
        <stp>VOLUME</stp>
        <stp>.NDX250822C20675</stp>
        <tr r="O173" s="2"/>
      </tp>
      <tp t="s">
        <v>N/A</v>
        <stp/>
        <stp>VOLUME</stp>
        <stp>.NDX250926C21275</stp>
        <tr r="Q149" s="2"/>
      </tp>
      <tp t="s">
        <v>N/A</v>
        <stp/>
        <stp>VOLUME</stp>
        <stp>.NDX250926C20275</stp>
        <tr r="Q189" s="2"/>
      </tp>
      <tp t="s">
        <v>N/A</v>
        <stp/>
        <stp>VOLUME</stp>
        <stp>.NDX250606C21275</stp>
        <tr r="H149" s="2"/>
      </tp>
      <tp t="s">
        <v>N/A</v>
        <stp/>
        <stp>VOLUME</stp>
        <stp>.NDX250606C20275</stp>
        <tr r="H189" s="2"/>
      </tp>
      <tp>
        <v>3</v>
        <stp/>
        <stp>VOLUME</stp>
        <stp>.NDX250620C21475</stp>
        <tr r="BE140" s="1"/>
        <tr r="BE140" s="1"/>
      </tp>
      <tp t="s">
        <v>N/A</v>
        <stp/>
        <stp>VOLUME</stp>
        <stp>.NDX250627C21375</stp>
        <tr r="K145" s="2"/>
      </tp>
      <tp t="s">
        <v>N/A</v>
        <stp/>
        <stp>VOLUME</stp>
        <stp>.NDX250620C20475</stp>
        <tr r="BE180" s="1"/>
      </tp>
      <tp t="s">
        <v>N/A</v>
        <stp/>
        <stp>VOLUME</stp>
        <stp>.NDX250627C20375</stp>
        <tr r="K185" s="2"/>
      </tp>
      <tp t="s">
        <v>N/A</v>
        <stp/>
        <stp>VOLUME</stp>
        <stp>.NDX250725C21175</stp>
        <tr r="M153" s="2"/>
      </tp>
      <tp t="s">
        <v>N/A</v>
        <stp/>
        <stp>VOLUME</stp>
        <stp>.NDX251226C21250</stp>
        <tr r="W150" s="2"/>
      </tp>
      <tp t="s">
        <v>N/A</v>
        <stp/>
        <stp>VOLUME</stp>
        <stp>.NDX251226C20250</stp>
        <tr r="W190" s="2"/>
      </tp>
      <tp t="s">
        <v>N/A</v>
        <stp/>
        <stp>VOLUME</stp>
        <stp>.NDX251024C21050</stp>
        <tr r="S158" s="2"/>
      </tp>
      <tp t="s">
        <v>N/A</v>
        <stp/>
        <stp>VOLUME</stp>
        <stp>.NDX250926C21250</stp>
        <tr r="Q150" s="2"/>
      </tp>
      <tp t="s">
        <v>N/A</v>
        <stp/>
        <stp>VOLUME</stp>
        <stp>.NDX250926C20250</stp>
        <tr r="Q190" s="2"/>
      </tp>
      <tp t="s">
        <v>N/A</v>
        <stp/>
        <stp>VOLUME</stp>
        <stp>.NDX250822C20650</stp>
        <tr r="O174" s="2"/>
      </tp>
      <tp t="s">
        <v>N/A</v>
        <stp/>
        <stp>VOLUME</stp>
        <stp>.NDX250725C21150</stp>
        <tr r="M154" s="2"/>
      </tp>
      <tp t="s">
        <v>N/A</v>
        <stp/>
        <stp>VOLUME</stp>
        <stp>.NDX250606C21250</stp>
        <tr r="H150" s="2"/>
      </tp>
      <tp t="s">
        <v>N/A</v>
        <stp/>
        <stp>VOLUME</stp>
        <stp>.NDX250606C20250</stp>
        <tr r="H190" s="2"/>
      </tp>
      <tp>
        <v>41</v>
        <stp/>
        <stp>VOLUME</stp>
        <stp>.NDX250620C21450</stp>
        <tr r="BE141" s="1"/>
        <tr r="BE141" s="1"/>
      </tp>
      <tp t="s">
        <v>N/A</v>
        <stp/>
        <stp>VOLUME</stp>
        <stp>.NDX250627C21350</stp>
        <tr r="K146" s="2"/>
      </tp>
      <tp>
        <v>4</v>
        <stp/>
        <stp>VOLUME</stp>
        <stp>.NDX250620C20450</stp>
        <tr r="BE181" s="1"/>
        <tr r="BE181" s="1"/>
      </tp>
      <tp t="s">
        <v>N/A</v>
        <stp/>
        <stp>VOLUME</stp>
        <stp>.NDX250627C20350</stp>
        <tr r="K18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39373747.984977052</c:v>
                </c:pt>
                <c:pt idx="1">
                  <c:v>43709286.667270675</c:v>
                </c:pt>
                <c:pt idx="2">
                  <c:v>210983723.54317433</c:v>
                </c:pt>
                <c:pt idx="3">
                  <c:v>85303808.018456981</c:v>
                </c:pt>
                <c:pt idx="4">
                  <c:v>78495339.694748461</c:v>
                </c:pt>
                <c:pt idx="5">
                  <c:v>93253395.860833272</c:v>
                </c:pt>
                <c:pt idx="6">
                  <c:v>64518173.369870603</c:v>
                </c:pt>
                <c:pt idx="7">
                  <c:v>161907307.28704655</c:v>
                </c:pt>
                <c:pt idx="8">
                  <c:v>-177067120.22929162</c:v>
                </c:pt>
                <c:pt idx="9">
                  <c:v>366142812.82486165</c:v>
                </c:pt>
                <c:pt idx="10">
                  <c:v>-349106282.81940287</c:v>
                </c:pt>
                <c:pt idx="11">
                  <c:v>-49927121.029720902</c:v>
                </c:pt>
                <c:pt idx="12">
                  <c:v>-263660283.81720075</c:v>
                </c:pt>
                <c:pt idx="13">
                  <c:v>-162463565.53121787</c:v>
                </c:pt>
                <c:pt idx="14">
                  <c:v>-95673688.223758474</c:v>
                </c:pt>
                <c:pt idx="15">
                  <c:v>-56771886.606765337</c:v>
                </c:pt>
                <c:pt idx="16">
                  <c:v>-49955474.068093486</c:v>
                </c:pt>
                <c:pt idx="17">
                  <c:v>-77445082.916216865</c:v>
                </c:pt>
                <c:pt idx="18">
                  <c:v>-26086570.865334712</c:v>
                </c:pt>
                <c:pt idx="19">
                  <c:v>-28342147.561341472</c:v>
                </c:pt>
                <c:pt idx="20">
                  <c:v>-14457746.020561481</c:v>
                </c:pt>
                <c:pt idx="21">
                  <c:v>-13650327.676692784</c:v>
                </c:pt>
                <c:pt idx="22">
                  <c:v>-67144373.241838887</c:v>
                </c:pt>
                <c:pt idx="23">
                  <c:v>-21596649.181980893</c:v>
                </c:pt>
                <c:pt idx="24">
                  <c:v>-13207234.315568591</c:v>
                </c:pt>
                <c:pt idx="25">
                  <c:v>-7151693.2201053882</c:v>
                </c:pt>
                <c:pt idx="26">
                  <c:v>-8350494.3167214748</c:v>
                </c:pt>
                <c:pt idx="27">
                  <c:v>-18153735.135544218</c:v>
                </c:pt>
                <c:pt idx="28">
                  <c:v>-8549496.8361272197</c:v>
                </c:pt>
                <c:pt idx="29">
                  <c:v>-4801787.2561452985</c:v>
                </c:pt>
                <c:pt idx="30">
                  <c:v>-6020175.9431379875</c:v>
                </c:pt>
                <c:pt idx="31">
                  <c:v>-3032053.4242287669</c:v>
                </c:pt>
                <c:pt idx="32">
                  <c:v>-10182332.946326531</c:v>
                </c:pt>
                <c:pt idx="33">
                  <c:v>-22055233.009554356</c:v>
                </c:pt>
                <c:pt idx="34">
                  <c:v>-19526971.047365904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8122380.0160387829</c:v>
                </c:pt>
                <c:pt idx="1">
                  <c:v>32855392.267650504</c:v>
                </c:pt>
                <c:pt idx="2">
                  <c:v>164058365.26607019</c:v>
                </c:pt>
                <c:pt idx="3">
                  <c:v>34960191.270501934</c:v>
                </c:pt>
                <c:pt idx="4">
                  <c:v>29888376.971069135</c:v>
                </c:pt>
                <c:pt idx="5">
                  <c:v>28708899.163828306</c:v>
                </c:pt>
                <c:pt idx="6">
                  <c:v>30183010.030955933</c:v>
                </c:pt>
                <c:pt idx="7">
                  <c:v>113089714.42262906</c:v>
                </c:pt>
                <c:pt idx="8">
                  <c:v>-9037993.2199878767</c:v>
                </c:pt>
                <c:pt idx="9">
                  <c:v>21062490.221138284</c:v>
                </c:pt>
                <c:pt idx="10">
                  <c:v>-87266294.37689966</c:v>
                </c:pt>
                <c:pt idx="11">
                  <c:v>-7343514.6119292751</c:v>
                </c:pt>
                <c:pt idx="12">
                  <c:v>-166466174.86565423</c:v>
                </c:pt>
                <c:pt idx="13">
                  <c:v>17307702.176918566</c:v>
                </c:pt>
                <c:pt idx="14">
                  <c:v>-59584309.484196693</c:v>
                </c:pt>
                <c:pt idx="15">
                  <c:v>-37860476.564953677</c:v>
                </c:pt>
                <c:pt idx="16">
                  <c:v>-32552179.250934403</c:v>
                </c:pt>
                <c:pt idx="17">
                  <c:v>-41048383.166269764</c:v>
                </c:pt>
                <c:pt idx="18">
                  <c:v>-4586211.948592484</c:v>
                </c:pt>
                <c:pt idx="19">
                  <c:v>-56834979.232115135</c:v>
                </c:pt>
                <c:pt idx="20">
                  <c:v>-13439925.539625227</c:v>
                </c:pt>
                <c:pt idx="21">
                  <c:v>-16752168.194047306</c:v>
                </c:pt>
                <c:pt idx="22">
                  <c:v>-92864140.784616664</c:v>
                </c:pt>
                <c:pt idx="23">
                  <c:v>-14963077.895586308</c:v>
                </c:pt>
                <c:pt idx="24">
                  <c:v>-10745052.780856915</c:v>
                </c:pt>
                <c:pt idx="25">
                  <c:v>-6355611.5104395198</c:v>
                </c:pt>
                <c:pt idx="26">
                  <c:v>-7684905.7200486232</c:v>
                </c:pt>
                <c:pt idx="27">
                  <c:v>-49918142.237994984</c:v>
                </c:pt>
                <c:pt idx="28">
                  <c:v>-5837440.7714298461</c:v>
                </c:pt>
                <c:pt idx="29">
                  <c:v>-6560472.8028609082</c:v>
                </c:pt>
                <c:pt idx="30">
                  <c:v>-2687591.7108263886</c:v>
                </c:pt>
                <c:pt idx="31">
                  <c:v>-1360205.4583321484</c:v>
                </c:pt>
                <c:pt idx="32">
                  <c:v>-34991446.423171706</c:v>
                </c:pt>
                <c:pt idx="33">
                  <c:v>-3860222.6422981112</c:v>
                </c:pt>
                <c:pt idx="34">
                  <c:v>-13738030.746002685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6637447.0428738957</c:v>
                </c:pt>
                <c:pt idx="1">
                  <c:v>3469933.0740939649</c:v>
                </c:pt>
                <c:pt idx="2">
                  <c:v>1136109680.3525763</c:v>
                </c:pt>
                <c:pt idx="3">
                  <c:v>51610026.55376225</c:v>
                </c:pt>
                <c:pt idx="4">
                  <c:v>29433034.793182958</c:v>
                </c:pt>
                <c:pt idx="5">
                  <c:v>35341684.485928029</c:v>
                </c:pt>
                <c:pt idx="6">
                  <c:v>31571230.220808975</c:v>
                </c:pt>
                <c:pt idx="7">
                  <c:v>188704557.01731503</c:v>
                </c:pt>
                <c:pt idx="8">
                  <c:v>45078651.994112268</c:v>
                </c:pt>
                <c:pt idx="9">
                  <c:v>-7023064.5862371363</c:v>
                </c:pt>
                <c:pt idx="10">
                  <c:v>22973912.354871403</c:v>
                </c:pt>
                <c:pt idx="11">
                  <c:v>15548840.125396632</c:v>
                </c:pt>
                <c:pt idx="12">
                  <c:v>339313212.9357326</c:v>
                </c:pt>
                <c:pt idx="13">
                  <c:v>-7868353.713676244</c:v>
                </c:pt>
                <c:pt idx="14">
                  <c:v>1772979.4286091477</c:v>
                </c:pt>
                <c:pt idx="15">
                  <c:v>3508508.1433902904</c:v>
                </c:pt>
                <c:pt idx="16">
                  <c:v>2205358.6372950785</c:v>
                </c:pt>
                <c:pt idx="17">
                  <c:v>1872014.32959795</c:v>
                </c:pt>
                <c:pt idx="18">
                  <c:v>-121014.2913296707</c:v>
                </c:pt>
                <c:pt idx="19">
                  <c:v>-3956171.7192126792</c:v>
                </c:pt>
                <c:pt idx="20">
                  <c:v>2591437.5689523034</c:v>
                </c:pt>
                <c:pt idx="21">
                  <c:v>5062417.8132958617</c:v>
                </c:pt>
                <c:pt idx="22">
                  <c:v>669447875.17031312</c:v>
                </c:pt>
                <c:pt idx="23">
                  <c:v>-9220212.7178471796</c:v>
                </c:pt>
                <c:pt idx="24">
                  <c:v>-7298187.5785889691</c:v>
                </c:pt>
                <c:pt idx="25">
                  <c:v>-3573893.7408224316</c:v>
                </c:pt>
                <c:pt idx="26">
                  <c:v>-2327919.1809556168</c:v>
                </c:pt>
                <c:pt idx="27">
                  <c:v>-155185544.1139164</c:v>
                </c:pt>
                <c:pt idx="28">
                  <c:v>-260743.0316705415</c:v>
                </c:pt>
                <c:pt idx="29">
                  <c:v>-834305.26012977632</c:v>
                </c:pt>
                <c:pt idx="30">
                  <c:v>-3610249.5678277723</c:v>
                </c:pt>
                <c:pt idx="31">
                  <c:v>84048.45759024471</c:v>
                </c:pt>
                <c:pt idx="32">
                  <c:v>17763621.370398492</c:v>
                </c:pt>
                <c:pt idx="33">
                  <c:v>-113379.88920119265</c:v>
                </c:pt>
                <c:pt idx="34">
                  <c:v>-3766391.8861573497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6547712"/>
        <c:axId val="196549248"/>
      </c:barChart>
      <c:catAx>
        <c:axId val="196547712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6549248"/>
        <c:crosses val="autoZero"/>
        <c:auto val="1"/>
        <c:lblAlgn val="ctr"/>
        <c:lblOffset val="100"/>
        <c:noMultiLvlLbl val="0"/>
      </c:catAx>
      <c:valAx>
        <c:axId val="196549248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6547712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5462044.2752627414</c:v>
                </c:pt>
                <c:pt idx="1">
                  <c:v>6791593.5200995374</c:v>
                </c:pt>
                <c:pt idx="2">
                  <c:v>16321100.2867554</c:v>
                </c:pt>
                <c:pt idx="3">
                  <c:v>8876171.4144466501</c:v>
                </c:pt>
                <c:pt idx="4">
                  <c:v>10903959.121525813</c:v>
                </c:pt>
                <c:pt idx="5">
                  <c:v>30263965.125060536</c:v>
                </c:pt>
                <c:pt idx="6">
                  <c:v>47949829.264367245</c:v>
                </c:pt>
                <c:pt idx="7">
                  <c:v>50426851.198743656</c:v>
                </c:pt>
                <c:pt idx="8">
                  <c:v>28699637.956159998</c:v>
                </c:pt>
                <c:pt idx="9">
                  <c:v>36158400.525550276</c:v>
                </c:pt>
                <c:pt idx="10">
                  <c:v>53461596.595112175</c:v>
                </c:pt>
                <c:pt idx="11">
                  <c:v>138653046.00486034</c:v>
                </c:pt>
                <c:pt idx="12">
                  <c:v>619829044.06739068</c:v>
                </c:pt>
                <c:pt idx="13">
                  <c:v>-101597150.22372046</c:v>
                </c:pt>
                <c:pt idx="14">
                  <c:v>-133975765.47030038</c:v>
                </c:pt>
                <c:pt idx="15">
                  <c:v>-75297839.335760325</c:v>
                </c:pt>
                <c:pt idx="16">
                  <c:v>-39827986.112396553</c:v>
                </c:pt>
                <c:pt idx="17">
                  <c:v>-75898525.509848818</c:v>
                </c:pt>
                <c:pt idx="18">
                  <c:v>-10010100.30650254</c:v>
                </c:pt>
                <c:pt idx="19">
                  <c:v>-11848570.223595235</c:v>
                </c:pt>
                <c:pt idx="20">
                  <c:v>-12731479.860200416</c:v>
                </c:pt>
                <c:pt idx="21">
                  <c:v>-11633874.753670938</c:v>
                </c:pt>
                <c:pt idx="22">
                  <c:v>-29048321.678012677</c:v>
                </c:pt>
                <c:pt idx="23">
                  <c:v>-11904395.676345015</c:v>
                </c:pt>
                <c:pt idx="24">
                  <c:v>-11372183.450316848</c:v>
                </c:pt>
                <c:pt idx="25">
                  <c:v>-5562650.0872948049</c:v>
                </c:pt>
                <c:pt idx="26">
                  <c:v>-21827555.342716482</c:v>
                </c:pt>
                <c:pt idx="27">
                  <c:v>-7225129.013505565</c:v>
                </c:pt>
                <c:pt idx="28">
                  <c:v>-6179832.5716830287</c:v>
                </c:pt>
                <c:pt idx="29">
                  <c:v>-5757644.8902391149</c:v>
                </c:pt>
                <c:pt idx="30">
                  <c:v>-6270131.4060980957</c:v>
                </c:pt>
                <c:pt idx="31">
                  <c:v>-3189206.2286479208</c:v>
                </c:pt>
                <c:pt idx="32">
                  <c:v>-8746579.6988776401</c:v>
                </c:pt>
                <c:pt idx="33">
                  <c:v>-1348054.2511161948</c:v>
                </c:pt>
                <c:pt idx="34">
                  <c:v>-1721438.0681192996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10883582.761514023</c:v>
                </c:pt>
                <c:pt idx="1">
                  <c:v>11092486.191591095</c:v>
                </c:pt>
                <c:pt idx="2">
                  <c:v>39895404.971499592</c:v>
                </c:pt>
                <c:pt idx="3">
                  <c:v>6860417.0067817848</c:v>
                </c:pt>
                <c:pt idx="4">
                  <c:v>17904101.817991119</c:v>
                </c:pt>
                <c:pt idx="5">
                  <c:v>7608193.9456183305</c:v>
                </c:pt>
                <c:pt idx="6">
                  <c:v>7094384.2209147485</c:v>
                </c:pt>
                <c:pt idx="7">
                  <c:v>40366455.328120306</c:v>
                </c:pt>
                <c:pt idx="8">
                  <c:v>13323278.818749569</c:v>
                </c:pt>
                <c:pt idx="9">
                  <c:v>13191013.07263051</c:v>
                </c:pt>
                <c:pt idx="10">
                  <c:v>17514930.476072595</c:v>
                </c:pt>
                <c:pt idx="11">
                  <c:v>9165254.1490731798</c:v>
                </c:pt>
                <c:pt idx="12">
                  <c:v>57108812.91841948</c:v>
                </c:pt>
                <c:pt idx="13">
                  <c:v>-32742591.53164072</c:v>
                </c:pt>
                <c:pt idx="14">
                  <c:v>-54035728.386551015</c:v>
                </c:pt>
                <c:pt idx="15">
                  <c:v>4205572.7968773171</c:v>
                </c:pt>
                <c:pt idx="16">
                  <c:v>-1290310.2917494271</c:v>
                </c:pt>
                <c:pt idx="17">
                  <c:v>-5352703.7439612597</c:v>
                </c:pt>
                <c:pt idx="18">
                  <c:v>-47228106.912869364</c:v>
                </c:pt>
                <c:pt idx="19">
                  <c:v>-5899247.2436323939</c:v>
                </c:pt>
                <c:pt idx="20">
                  <c:v>-9749089.3346120529</c:v>
                </c:pt>
                <c:pt idx="21">
                  <c:v>-14563316.43301658</c:v>
                </c:pt>
                <c:pt idx="22">
                  <c:v>-79445223.911768943</c:v>
                </c:pt>
                <c:pt idx="23">
                  <c:v>-3805847.0219349032</c:v>
                </c:pt>
                <c:pt idx="24">
                  <c:v>-11081847.897986896</c:v>
                </c:pt>
                <c:pt idx="25">
                  <c:v>-7750383.8130726367</c:v>
                </c:pt>
                <c:pt idx="26">
                  <c:v>-2129628.311808723</c:v>
                </c:pt>
                <c:pt idx="27">
                  <c:v>-19474580.161717366</c:v>
                </c:pt>
                <c:pt idx="28">
                  <c:v>-7879900.3929934613</c:v>
                </c:pt>
                <c:pt idx="29">
                  <c:v>-7606097.1859721644</c:v>
                </c:pt>
                <c:pt idx="30">
                  <c:v>-8222028.5033779303</c:v>
                </c:pt>
                <c:pt idx="31">
                  <c:v>-3511700.3859510808</c:v>
                </c:pt>
                <c:pt idx="32">
                  <c:v>-22731425.52442437</c:v>
                </c:pt>
                <c:pt idx="33">
                  <c:v>-1868956.7499952349</c:v>
                </c:pt>
                <c:pt idx="34">
                  <c:v>-1815589.5328912849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405796.0650605688</c:v>
                </c:pt>
                <c:pt idx="1">
                  <c:v>840637.51239129726</c:v>
                </c:pt>
                <c:pt idx="2">
                  <c:v>60867992.16423437</c:v>
                </c:pt>
                <c:pt idx="3">
                  <c:v>546171.63453799998</c:v>
                </c:pt>
                <c:pt idx="4">
                  <c:v>1434945.5143351019</c:v>
                </c:pt>
                <c:pt idx="5">
                  <c:v>1660515.0326163955</c:v>
                </c:pt>
                <c:pt idx="6">
                  <c:v>3960391.5359849669</c:v>
                </c:pt>
                <c:pt idx="7">
                  <c:v>150714509.71349317</c:v>
                </c:pt>
                <c:pt idx="8">
                  <c:v>270462.17904685903</c:v>
                </c:pt>
                <c:pt idx="9">
                  <c:v>286732.05130890483</c:v>
                </c:pt>
                <c:pt idx="10">
                  <c:v>1330727.7272887123</c:v>
                </c:pt>
                <c:pt idx="11">
                  <c:v>-231114.0324518308</c:v>
                </c:pt>
                <c:pt idx="12">
                  <c:v>65702622.16051507</c:v>
                </c:pt>
                <c:pt idx="13">
                  <c:v>-288023.17497355863</c:v>
                </c:pt>
                <c:pt idx="14">
                  <c:v>-719835.6894422787</c:v>
                </c:pt>
                <c:pt idx="15">
                  <c:v>143728.36883394839</c:v>
                </c:pt>
                <c:pt idx="16">
                  <c:v>-2457893.3843266433</c:v>
                </c:pt>
                <c:pt idx="17">
                  <c:v>-29400143.959013432</c:v>
                </c:pt>
                <c:pt idx="18">
                  <c:v>-488349.4163959549</c:v>
                </c:pt>
                <c:pt idx="19">
                  <c:v>-19065.339340968494</c:v>
                </c:pt>
                <c:pt idx="20">
                  <c:v>-553750.07671952609</c:v>
                </c:pt>
                <c:pt idx="21">
                  <c:v>-420853.10956113116</c:v>
                </c:pt>
                <c:pt idx="22">
                  <c:v>-26360817.48475042</c:v>
                </c:pt>
                <c:pt idx="23">
                  <c:v>-333002.20915614918</c:v>
                </c:pt>
                <c:pt idx="24">
                  <c:v>-338701.04695761268</c:v>
                </c:pt>
                <c:pt idx="25">
                  <c:v>-1229839.9250204486</c:v>
                </c:pt>
                <c:pt idx="26">
                  <c:v>-358341.85624635761</c:v>
                </c:pt>
                <c:pt idx="27">
                  <c:v>-46767856.409969099</c:v>
                </c:pt>
                <c:pt idx="28">
                  <c:v>-482528.94839194667</c:v>
                </c:pt>
                <c:pt idx="29">
                  <c:v>-496852.60846667428</c:v>
                </c:pt>
                <c:pt idx="30">
                  <c:v>-182664.54165336658</c:v>
                </c:pt>
                <c:pt idx="31">
                  <c:v>-215688.8474073594</c:v>
                </c:pt>
                <c:pt idx="32">
                  <c:v>6322475.1753843129</c:v>
                </c:pt>
                <c:pt idx="33">
                  <c:v>-152537.93629698886</c:v>
                </c:pt>
                <c:pt idx="34">
                  <c:v>-488585.62090503541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6592384"/>
        <c:axId val="196593920"/>
      </c:barChart>
      <c:catAx>
        <c:axId val="19659238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6593920"/>
        <c:crosses val="autoZero"/>
        <c:auto val="1"/>
        <c:lblAlgn val="ctr"/>
        <c:lblOffset val="100"/>
        <c:noMultiLvlLbl val="0"/>
      </c:catAx>
      <c:valAx>
        <c:axId val="19659392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6592384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146972.98582409899</c:v>
                </c:pt>
                <c:pt idx="1">
                  <c:v>229882.43276244169</c:v>
                </c:pt>
                <c:pt idx="2">
                  <c:v>718967.64594667486</c:v>
                </c:pt>
                <c:pt idx="3">
                  <c:v>320266.90957402129</c:v>
                </c:pt>
                <c:pt idx="4">
                  <c:v>454306.83461834758</c:v>
                </c:pt>
                <c:pt idx="5">
                  <c:v>1333561.8327426023</c:v>
                </c:pt>
                <c:pt idx="6">
                  <c:v>1201398.0742608642</c:v>
                </c:pt>
                <c:pt idx="7">
                  <c:v>2631656.4021769352</c:v>
                </c:pt>
                <c:pt idx="8">
                  <c:v>1058702.8455703668</c:v>
                </c:pt>
                <c:pt idx="9">
                  <c:v>381086.47185174306</c:v>
                </c:pt>
                <c:pt idx="10">
                  <c:v>404852.49779988237</c:v>
                </c:pt>
                <c:pt idx="11">
                  <c:v>190602.10334893316</c:v>
                </c:pt>
                <c:pt idx="12">
                  <c:v>-5737964.6992110591</c:v>
                </c:pt>
                <c:pt idx="13">
                  <c:v>-14125028.257853357</c:v>
                </c:pt>
                <c:pt idx="14">
                  <c:v>-23124681.9482655</c:v>
                </c:pt>
                <c:pt idx="15">
                  <c:v>-2172958.0366203184</c:v>
                </c:pt>
                <c:pt idx="16">
                  <c:v>-3374939.0977826957</c:v>
                </c:pt>
                <c:pt idx="17">
                  <c:v>-5106234.7718732692</c:v>
                </c:pt>
                <c:pt idx="18">
                  <c:v>-1016843.1129310222</c:v>
                </c:pt>
                <c:pt idx="19">
                  <c:v>-1247891.6846070751</c:v>
                </c:pt>
                <c:pt idx="20">
                  <c:v>-648612.66720978252</c:v>
                </c:pt>
                <c:pt idx="21">
                  <c:v>-1310560.6775381467</c:v>
                </c:pt>
                <c:pt idx="22">
                  <c:v>-1870048.9547915317</c:v>
                </c:pt>
                <c:pt idx="23">
                  <c:v>-438364.74794340279</c:v>
                </c:pt>
                <c:pt idx="24">
                  <c:v>-281728.25108532107</c:v>
                </c:pt>
                <c:pt idx="25">
                  <c:v>-299322.29890816461</c:v>
                </c:pt>
                <c:pt idx="26">
                  <c:v>-643723.65829207341</c:v>
                </c:pt>
                <c:pt idx="27">
                  <c:v>-1046500.0764271665</c:v>
                </c:pt>
                <c:pt idx="28">
                  <c:v>-175474.24291570176</c:v>
                </c:pt>
                <c:pt idx="29">
                  <c:v>-131241.95881736439</c:v>
                </c:pt>
                <c:pt idx="30">
                  <c:v>-94900.748444236437</c:v>
                </c:pt>
                <c:pt idx="31">
                  <c:v>-105595.5441902203</c:v>
                </c:pt>
                <c:pt idx="32">
                  <c:v>-748263.56242312258</c:v>
                </c:pt>
                <c:pt idx="33">
                  <c:v>-69999.816946816049</c:v>
                </c:pt>
                <c:pt idx="34">
                  <c:v>-478882.27656518662</c:v>
                </c:pt>
                <c:pt idx="35">
                  <c:v>-322869.3770085295</c:v>
                </c:pt>
                <c:pt idx="36">
                  <c:v>-64439.304522420622</c:v>
                </c:pt>
                <c:pt idx="37">
                  <c:v>-369767.5265376289</c:v>
                </c:pt>
                <c:pt idx="38">
                  <c:v>-31253.277174184135</c:v>
                </c:pt>
                <c:pt idx="39">
                  <c:v>-15660.834897024106</c:v>
                </c:pt>
                <c:pt idx="40">
                  <c:v>-52793.930836038977</c:v>
                </c:pt>
                <c:pt idx="41">
                  <c:v>-12804.439471014399</c:v>
                </c:pt>
                <c:pt idx="42">
                  <c:v>-41501.856814027538</c:v>
                </c:pt>
                <c:pt idx="43">
                  <c:v>-17572.129089025097</c:v>
                </c:pt>
                <c:pt idx="44">
                  <c:v>-266987.67825987021</c:v>
                </c:pt>
                <c:pt idx="45">
                  <c:v>-27100.494214059021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224335.20126325879</c:v>
                </c:pt>
                <c:pt idx="1">
                  <c:v>215650.19723251153</c:v>
                </c:pt>
                <c:pt idx="2">
                  <c:v>1933857.020479911</c:v>
                </c:pt>
                <c:pt idx="3">
                  <c:v>418659.67081423086</c:v>
                </c:pt>
                <c:pt idx="4">
                  <c:v>833648.66908545233</c:v>
                </c:pt>
                <c:pt idx="5">
                  <c:v>655635.53834928654</c:v>
                </c:pt>
                <c:pt idx="6">
                  <c:v>547460.49988842523</c:v>
                </c:pt>
                <c:pt idx="7">
                  <c:v>2512032.4356137486</c:v>
                </c:pt>
                <c:pt idx="8">
                  <c:v>945958.73670025356</c:v>
                </c:pt>
                <c:pt idx="9">
                  <c:v>2049442.7615961588</c:v>
                </c:pt>
                <c:pt idx="10">
                  <c:v>1139215.3915914379</c:v>
                </c:pt>
                <c:pt idx="11">
                  <c:v>1111424.2553197255</c:v>
                </c:pt>
                <c:pt idx="12">
                  <c:v>1429050.0236756159</c:v>
                </c:pt>
                <c:pt idx="13">
                  <c:v>350269.53628054797</c:v>
                </c:pt>
                <c:pt idx="14">
                  <c:v>-26899.977504464681</c:v>
                </c:pt>
                <c:pt idx="15">
                  <c:v>-380708.45915837423</c:v>
                </c:pt>
                <c:pt idx="16">
                  <c:v>-131614.53232868668</c:v>
                </c:pt>
                <c:pt idx="17">
                  <c:v>-11423632.248929275</c:v>
                </c:pt>
                <c:pt idx="18">
                  <c:v>1124945.0821993048</c:v>
                </c:pt>
                <c:pt idx="19">
                  <c:v>-1953198.533019424</c:v>
                </c:pt>
                <c:pt idx="20">
                  <c:v>-95552.855252903479</c:v>
                </c:pt>
                <c:pt idx="21">
                  <c:v>-52168.538812645769</c:v>
                </c:pt>
                <c:pt idx="22">
                  <c:v>-2139319.9780002153</c:v>
                </c:pt>
                <c:pt idx="23">
                  <c:v>0</c:v>
                </c:pt>
                <c:pt idx="24">
                  <c:v>-94977.137428763817</c:v>
                </c:pt>
                <c:pt idx="25">
                  <c:v>0</c:v>
                </c:pt>
                <c:pt idx="26">
                  <c:v>-69257.071428993164</c:v>
                </c:pt>
                <c:pt idx="27">
                  <c:v>-2347202.8270847835</c:v>
                </c:pt>
                <c:pt idx="28">
                  <c:v>-161839.35757466638</c:v>
                </c:pt>
                <c:pt idx="29">
                  <c:v>-47599.91952153662</c:v>
                </c:pt>
                <c:pt idx="30">
                  <c:v>-126392.06632746602</c:v>
                </c:pt>
                <c:pt idx="31">
                  <c:v>-65045.919797078881</c:v>
                </c:pt>
                <c:pt idx="32">
                  <c:v>-259899.30850404344</c:v>
                </c:pt>
                <c:pt idx="33">
                  <c:v>-100365.99753828588</c:v>
                </c:pt>
                <c:pt idx="34">
                  <c:v>-96109.050307606376</c:v>
                </c:pt>
                <c:pt idx="35">
                  <c:v>-132790.97891439157</c:v>
                </c:pt>
                <c:pt idx="36">
                  <c:v>-56319.709995379402</c:v>
                </c:pt>
                <c:pt idx="37">
                  <c:v>-49539.273606313684</c:v>
                </c:pt>
                <c:pt idx="38">
                  <c:v>-28133.871455470613</c:v>
                </c:pt>
                <c:pt idx="39">
                  <c:v>-95149.809927888637</c:v>
                </c:pt>
                <c:pt idx="40">
                  <c:v>-1301.1982811517591</c:v>
                </c:pt>
                <c:pt idx="41">
                  <c:v>0</c:v>
                </c:pt>
                <c:pt idx="42">
                  <c:v>-88532.049754171632</c:v>
                </c:pt>
                <c:pt idx="43">
                  <c:v>-292221.69234276097</c:v>
                </c:pt>
                <c:pt idx="44">
                  <c:v>0</c:v>
                </c:pt>
                <c:pt idx="45">
                  <c:v>-51971.102396199145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104728.76624260603</c:v>
                </c:pt>
                <c:pt idx="1">
                  <c:v>283996.65838626877</c:v>
                </c:pt>
                <c:pt idx="2">
                  <c:v>4842600.3200144283</c:v>
                </c:pt>
                <c:pt idx="3">
                  <c:v>137443.17289395528</c:v>
                </c:pt>
                <c:pt idx="4">
                  <c:v>263086.62759023847</c:v>
                </c:pt>
                <c:pt idx="5">
                  <c:v>1000622.1953118988</c:v>
                </c:pt>
                <c:pt idx="6">
                  <c:v>451545.39120016852</c:v>
                </c:pt>
                <c:pt idx="7">
                  <c:v>23181318.982603729</c:v>
                </c:pt>
                <c:pt idx="8">
                  <c:v>350594.31097221194</c:v>
                </c:pt>
                <c:pt idx="9">
                  <c:v>143606.19026352768</c:v>
                </c:pt>
                <c:pt idx="10">
                  <c:v>715339.9211431779</c:v>
                </c:pt>
                <c:pt idx="11">
                  <c:v>396761.20083090384</c:v>
                </c:pt>
                <c:pt idx="12">
                  <c:v>3124066.2848699503</c:v>
                </c:pt>
                <c:pt idx="13">
                  <c:v>181970.39524668548</c:v>
                </c:pt>
                <c:pt idx="14">
                  <c:v>233333.29801310692</c:v>
                </c:pt>
                <c:pt idx="15">
                  <c:v>7043689.0960438475</c:v>
                </c:pt>
                <c:pt idx="16">
                  <c:v>972931.59571453556</c:v>
                </c:pt>
                <c:pt idx="17">
                  <c:v>10261546.564696856</c:v>
                </c:pt>
                <c:pt idx="18">
                  <c:v>-989699.17386207031</c:v>
                </c:pt>
                <c:pt idx="19">
                  <c:v>-143646.90692014107</c:v>
                </c:pt>
                <c:pt idx="20">
                  <c:v>-800470.70819793921</c:v>
                </c:pt>
                <c:pt idx="21">
                  <c:v>-60495.913563010516</c:v>
                </c:pt>
                <c:pt idx="22">
                  <c:v>2817659.1132819653</c:v>
                </c:pt>
                <c:pt idx="23">
                  <c:v>-1136185.8708378151</c:v>
                </c:pt>
                <c:pt idx="24">
                  <c:v>-2802.6491857683286</c:v>
                </c:pt>
                <c:pt idx="25">
                  <c:v>10729.724045140669</c:v>
                </c:pt>
                <c:pt idx="26">
                  <c:v>689402.88935474074</c:v>
                </c:pt>
                <c:pt idx="27">
                  <c:v>446782.19886036217</c:v>
                </c:pt>
                <c:pt idx="28">
                  <c:v>-105384.00542523438</c:v>
                </c:pt>
                <c:pt idx="29">
                  <c:v>-31951.799233949627</c:v>
                </c:pt>
                <c:pt idx="30">
                  <c:v>-124211.90600069321</c:v>
                </c:pt>
                <c:pt idx="31">
                  <c:v>-171754.91056070849</c:v>
                </c:pt>
                <c:pt idx="32">
                  <c:v>-1890383.2206550762</c:v>
                </c:pt>
                <c:pt idx="33">
                  <c:v>-319198.01494518906</c:v>
                </c:pt>
                <c:pt idx="34">
                  <c:v>-147723.35888978618</c:v>
                </c:pt>
                <c:pt idx="35">
                  <c:v>-217112.36908546451</c:v>
                </c:pt>
                <c:pt idx="36">
                  <c:v>-334128.35559914762</c:v>
                </c:pt>
                <c:pt idx="37">
                  <c:v>-3163009.350047037</c:v>
                </c:pt>
                <c:pt idx="38">
                  <c:v>-222493.68104111205</c:v>
                </c:pt>
                <c:pt idx="39">
                  <c:v>-202949.70797211543</c:v>
                </c:pt>
                <c:pt idx="40">
                  <c:v>-228563.26841340773</c:v>
                </c:pt>
                <c:pt idx="41">
                  <c:v>-104459.5450573327</c:v>
                </c:pt>
                <c:pt idx="42">
                  <c:v>-1490214.2579875346</c:v>
                </c:pt>
                <c:pt idx="43">
                  <c:v>-98235.127195513051</c:v>
                </c:pt>
                <c:pt idx="44">
                  <c:v>-125167.83983012047</c:v>
                </c:pt>
                <c:pt idx="45">
                  <c:v>-90071.141628023921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7150976"/>
        <c:axId val="197156864"/>
      </c:barChart>
      <c:catAx>
        <c:axId val="19715097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7156864"/>
        <c:crosses val="autoZero"/>
        <c:auto val="1"/>
        <c:lblAlgn val="ctr"/>
        <c:lblOffset val="100"/>
        <c:noMultiLvlLbl val="0"/>
      </c:catAx>
      <c:valAx>
        <c:axId val="19715686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7150976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334642.61419367068</c:v>
                </c:pt>
                <c:pt idx="1">
                  <c:v>0</c:v>
                </c:pt>
                <c:pt idx="2">
                  <c:v>349104.83676032326</c:v>
                </c:pt>
                <c:pt idx="3">
                  <c:v>476523.18682743399</c:v>
                </c:pt>
                <c:pt idx="4">
                  <c:v>-164811.15910706099</c:v>
                </c:pt>
                <c:pt idx="5">
                  <c:v>428041.45510913298</c:v>
                </c:pt>
                <c:pt idx="6">
                  <c:v>-2627194.2065919326</c:v>
                </c:pt>
                <c:pt idx="7">
                  <c:v>17419.470689245154</c:v>
                </c:pt>
                <c:pt idx="8">
                  <c:v>-8682691.1315072048</c:v>
                </c:pt>
                <c:pt idx="9">
                  <c:v>-6486751.4046087544</c:v>
                </c:pt>
                <c:pt idx="10">
                  <c:v>-3671833.4020386306</c:v>
                </c:pt>
                <c:pt idx="11">
                  <c:v>241979.807616256</c:v>
                </c:pt>
                <c:pt idx="12">
                  <c:v>-1394278.3546119775</c:v>
                </c:pt>
                <c:pt idx="13">
                  <c:v>-55357.458083517093</c:v>
                </c:pt>
                <c:pt idx="14">
                  <c:v>-1263608.775056195</c:v>
                </c:pt>
                <c:pt idx="15">
                  <c:v>61220.688179516932</c:v>
                </c:pt>
                <c:pt idx="16">
                  <c:v>-1425116.6849187564</c:v>
                </c:pt>
                <c:pt idx="17">
                  <c:v>-178052.26285598188</c:v>
                </c:pt>
                <c:pt idx="18">
                  <c:v>-352907.11673381203</c:v>
                </c:pt>
                <c:pt idx="19">
                  <c:v>-60378.68266943573</c:v>
                </c:pt>
                <c:pt idx="20">
                  <c:v>-278850.08378839836</c:v>
                </c:pt>
                <c:pt idx="21">
                  <c:v>-50620.624774063144</c:v>
                </c:pt>
                <c:pt idx="22">
                  <c:v>-113415.8520993616</c:v>
                </c:pt>
                <c:pt idx="23">
                  <c:v>35.741207437618868</c:v>
                </c:pt>
                <c:pt idx="24">
                  <c:v>-1169113.6973624695</c:v>
                </c:pt>
                <c:pt idx="25">
                  <c:v>-100208.8909641702</c:v>
                </c:pt>
                <c:pt idx="26">
                  <c:v>-348137.97867437394</c:v>
                </c:pt>
                <c:pt idx="27">
                  <c:v>-107792.99198398362</c:v>
                </c:pt>
                <c:pt idx="28">
                  <c:v>-85357.291225529669</c:v>
                </c:pt>
                <c:pt idx="29">
                  <c:v>-276365.06158445001</c:v>
                </c:pt>
                <c:pt idx="30">
                  <c:v>-533987.44918037287</c:v>
                </c:pt>
                <c:pt idx="31">
                  <c:v>-805.66650100841071</c:v>
                </c:pt>
                <c:pt idx="32">
                  <c:v>-341614.05197532004</c:v>
                </c:pt>
                <c:pt idx="33">
                  <c:v>-939336.08713780204</c:v>
                </c:pt>
                <c:pt idx="34">
                  <c:v>-444353.42707958393</c:v>
                </c:pt>
                <c:pt idx="35">
                  <c:v>-213713.53305250517</c:v>
                </c:pt>
                <c:pt idx="36">
                  <c:v>-181555.76420395868</c:v>
                </c:pt>
                <c:pt idx="37">
                  <c:v>-35001.037176075995</c:v>
                </c:pt>
                <c:pt idx="38">
                  <c:v>-180442.85837813994</c:v>
                </c:pt>
                <c:pt idx="39">
                  <c:v>-21750.166354836969</c:v>
                </c:pt>
                <c:pt idx="40">
                  <c:v>-10515.02164175257</c:v>
                </c:pt>
                <c:pt idx="41">
                  <c:v>-10176.125854049222</c:v>
                </c:pt>
                <c:pt idx="42">
                  <c:v>40785.893660057372</c:v>
                </c:pt>
                <c:pt idx="43">
                  <c:v>1.9015636749598459E-35</c:v>
                </c:pt>
                <c:pt idx="44">
                  <c:v>-111234.18893214696</c:v>
                </c:pt>
                <c:pt idx="45">
                  <c:v>-8999.2479475214986</c:v>
                </c:pt>
                <c:pt idx="46">
                  <c:v>2080.6735834027786</c:v>
                </c:pt>
                <c:pt idx="47">
                  <c:v>-16998.976729206115</c:v>
                </c:pt>
                <c:pt idx="48">
                  <c:v>-148824.33590052073</c:v>
                </c:pt>
                <c:pt idx="49">
                  <c:v>-64381.656544628539</c:v>
                </c:pt>
                <c:pt idx="50">
                  <c:v>-9354.7697234724837</c:v>
                </c:pt>
                <c:pt idx="51">
                  <c:v>0</c:v>
                </c:pt>
                <c:pt idx="52">
                  <c:v>-29784.337957292362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104887.63652554956</c:v>
                </c:pt>
                <c:pt idx="1">
                  <c:v>124075.33208963189</c:v>
                </c:pt>
                <c:pt idx="2">
                  <c:v>565212.99742425838</c:v>
                </c:pt>
                <c:pt idx="3">
                  <c:v>120777.98570656264</c:v>
                </c:pt>
                <c:pt idx="4">
                  <c:v>1518591.9935108433</c:v>
                </c:pt>
                <c:pt idx="5">
                  <c:v>1565055.0475427364</c:v>
                </c:pt>
                <c:pt idx="6">
                  <c:v>11765613.836377263</c:v>
                </c:pt>
                <c:pt idx="7">
                  <c:v>209668.18692199001</c:v>
                </c:pt>
                <c:pt idx="8">
                  <c:v>607430.49723740993</c:v>
                </c:pt>
                <c:pt idx="9">
                  <c:v>522735.07850037341</c:v>
                </c:pt>
                <c:pt idx="10">
                  <c:v>3078815.0395585787</c:v>
                </c:pt>
                <c:pt idx="11">
                  <c:v>-177619.23051056825</c:v>
                </c:pt>
                <c:pt idx="12">
                  <c:v>-38795.238243993706</c:v>
                </c:pt>
                <c:pt idx="13">
                  <c:v>-187746.04413877788</c:v>
                </c:pt>
                <c:pt idx="14">
                  <c:v>296936.42282889504</c:v>
                </c:pt>
                <c:pt idx="15">
                  <c:v>-88255.39807215202</c:v>
                </c:pt>
                <c:pt idx="16">
                  <c:v>-110756.60001085623</c:v>
                </c:pt>
                <c:pt idx="17">
                  <c:v>42685.972013374907</c:v>
                </c:pt>
                <c:pt idx="18">
                  <c:v>-687858.8258722953</c:v>
                </c:pt>
                <c:pt idx="19">
                  <c:v>45378.835533378078</c:v>
                </c:pt>
                <c:pt idx="20">
                  <c:v>15860.641320359093</c:v>
                </c:pt>
                <c:pt idx="21">
                  <c:v>-60757.20435061834</c:v>
                </c:pt>
                <c:pt idx="22">
                  <c:v>-2007169.2953517644</c:v>
                </c:pt>
                <c:pt idx="23">
                  <c:v>-233406.83608379395</c:v>
                </c:pt>
                <c:pt idx="24">
                  <c:v>-51001.664709192337</c:v>
                </c:pt>
                <c:pt idx="25">
                  <c:v>-13326.734343071352</c:v>
                </c:pt>
                <c:pt idx="26">
                  <c:v>-217382.52996386582</c:v>
                </c:pt>
                <c:pt idx="27">
                  <c:v>-138663.31431398817</c:v>
                </c:pt>
                <c:pt idx="28">
                  <c:v>-49604.055525088705</c:v>
                </c:pt>
                <c:pt idx="29">
                  <c:v>-84580.674340631755</c:v>
                </c:pt>
                <c:pt idx="30">
                  <c:v>-244945.92197416897</c:v>
                </c:pt>
                <c:pt idx="31">
                  <c:v>58676.89058793764</c:v>
                </c:pt>
                <c:pt idx="32">
                  <c:v>-28211.758933064571</c:v>
                </c:pt>
                <c:pt idx="33">
                  <c:v>79823.628967421129</c:v>
                </c:pt>
                <c:pt idx="34">
                  <c:v>-115629.43139143926</c:v>
                </c:pt>
                <c:pt idx="35">
                  <c:v>59672.415597096959</c:v>
                </c:pt>
                <c:pt idx="36">
                  <c:v>-210529.01725432498</c:v>
                </c:pt>
                <c:pt idx="37">
                  <c:v>-13507.513653195638</c:v>
                </c:pt>
                <c:pt idx="38">
                  <c:v>423542.86145416286</c:v>
                </c:pt>
                <c:pt idx="39">
                  <c:v>-10562.876104099818</c:v>
                </c:pt>
                <c:pt idx="40">
                  <c:v>-91386.083296919402</c:v>
                </c:pt>
                <c:pt idx="41">
                  <c:v>28444.607265421953</c:v>
                </c:pt>
                <c:pt idx="42">
                  <c:v>-248989.24478839128</c:v>
                </c:pt>
                <c:pt idx="43">
                  <c:v>-107534.41025662361</c:v>
                </c:pt>
                <c:pt idx="44">
                  <c:v>-135489.28733400081</c:v>
                </c:pt>
                <c:pt idx="45">
                  <c:v>-227271.26462836826</c:v>
                </c:pt>
                <c:pt idx="46">
                  <c:v>-808745.50190505944</c:v>
                </c:pt>
                <c:pt idx="47">
                  <c:v>-156512.06932533273</c:v>
                </c:pt>
                <c:pt idx="48">
                  <c:v>-118783.21507288044</c:v>
                </c:pt>
                <c:pt idx="49">
                  <c:v>-100537.78299654569</c:v>
                </c:pt>
                <c:pt idx="50">
                  <c:v>-173632.4236603301</c:v>
                </c:pt>
                <c:pt idx="51">
                  <c:v>-82130.652333807433</c:v>
                </c:pt>
                <c:pt idx="52">
                  <c:v>-9420.0980671856887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123316.05746342237</c:v>
                </c:pt>
                <c:pt idx="1">
                  <c:v>286961.78572306124</c:v>
                </c:pt>
                <c:pt idx="2">
                  <c:v>10922669.844702298</c:v>
                </c:pt>
                <c:pt idx="3">
                  <c:v>431635.85933419771</c:v>
                </c:pt>
                <c:pt idx="4">
                  <c:v>983647.21501904447</c:v>
                </c:pt>
                <c:pt idx="5">
                  <c:v>382615.56568471156</c:v>
                </c:pt>
                <c:pt idx="6">
                  <c:v>729793.1999370344</c:v>
                </c:pt>
                <c:pt idx="7">
                  <c:v>269436.82359819685</c:v>
                </c:pt>
                <c:pt idx="8">
                  <c:v>780711.57791023818</c:v>
                </c:pt>
                <c:pt idx="9">
                  <c:v>156624474.29142076</c:v>
                </c:pt>
                <c:pt idx="10">
                  <c:v>408306.4940844886</c:v>
                </c:pt>
                <c:pt idx="11">
                  <c:v>406580.76480661653</c:v>
                </c:pt>
                <c:pt idx="12">
                  <c:v>12449787.14055229</c:v>
                </c:pt>
                <c:pt idx="13">
                  <c:v>159292.97767276946</c:v>
                </c:pt>
                <c:pt idx="14">
                  <c:v>202127.04128956888</c:v>
                </c:pt>
                <c:pt idx="15">
                  <c:v>160840.0160358157</c:v>
                </c:pt>
                <c:pt idx="16">
                  <c:v>-67263.219400634174</c:v>
                </c:pt>
                <c:pt idx="17">
                  <c:v>-15604.742444414354</c:v>
                </c:pt>
                <c:pt idx="18">
                  <c:v>2159788.4027750059</c:v>
                </c:pt>
                <c:pt idx="19">
                  <c:v>132442.15912916663</c:v>
                </c:pt>
                <c:pt idx="20">
                  <c:v>29074.812068897649</c:v>
                </c:pt>
                <c:pt idx="21">
                  <c:v>76384.586492979855</c:v>
                </c:pt>
                <c:pt idx="22">
                  <c:v>7232173.6741580591</c:v>
                </c:pt>
                <c:pt idx="23">
                  <c:v>377750.05867536209</c:v>
                </c:pt>
                <c:pt idx="24">
                  <c:v>-33380.169771236659</c:v>
                </c:pt>
                <c:pt idx="25">
                  <c:v>297773.63398433861</c:v>
                </c:pt>
                <c:pt idx="26">
                  <c:v>-1682458.7947081444</c:v>
                </c:pt>
                <c:pt idx="27">
                  <c:v>196739.01115078144</c:v>
                </c:pt>
                <c:pt idx="28">
                  <c:v>43573.735096433549</c:v>
                </c:pt>
                <c:pt idx="29">
                  <c:v>9250.7629328409676</c:v>
                </c:pt>
                <c:pt idx="30">
                  <c:v>5084587.7477377914</c:v>
                </c:pt>
                <c:pt idx="31">
                  <c:v>12280.300882066251</c:v>
                </c:pt>
                <c:pt idx="32">
                  <c:v>494680.02582323243</c:v>
                </c:pt>
                <c:pt idx="33">
                  <c:v>133476.38955058416</c:v>
                </c:pt>
                <c:pt idx="34">
                  <c:v>-2591884.9424068751</c:v>
                </c:pt>
                <c:pt idx="35">
                  <c:v>207670.34448839855</c:v>
                </c:pt>
                <c:pt idx="36">
                  <c:v>-16580.703725765139</c:v>
                </c:pt>
                <c:pt idx="37">
                  <c:v>-16199.646470181986</c:v>
                </c:pt>
                <c:pt idx="38">
                  <c:v>91233.830807456223</c:v>
                </c:pt>
                <c:pt idx="39">
                  <c:v>33564.502114089257</c:v>
                </c:pt>
                <c:pt idx="40">
                  <c:v>85010.575002591911</c:v>
                </c:pt>
                <c:pt idx="41">
                  <c:v>21880.773352622909</c:v>
                </c:pt>
                <c:pt idx="42">
                  <c:v>850452.23245601286</c:v>
                </c:pt>
                <c:pt idx="43">
                  <c:v>-26366.791810863622</c:v>
                </c:pt>
                <c:pt idx="44">
                  <c:v>1037029.9980702962</c:v>
                </c:pt>
                <c:pt idx="45">
                  <c:v>32251.620304598429</c:v>
                </c:pt>
                <c:pt idx="46">
                  <c:v>-26625.813825716454</c:v>
                </c:pt>
                <c:pt idx="47">
                  <c:v>-247987.41988741583</c:v>
                </c:pt>
                <c:pt idx="48">
                  <c:v>-52337.699826406228</c:v>
                </c:pt>
                <c:pt idx="49">
                  <c:v>-52272.657985263708</c:v>
                </c:pt>
                <c:pt idx="50">
                  <c:v>-286079.95833553973</c:v>
                </c:pt>
                <c:pt idx="51">
                  <c:v>24752.169370999778</c:v>
                </c:pt>
                <c:pt idx="52">
                  <c:v>-258464.51162515738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6871680"/>
        <c:axId val="196873216"/>
      </c:barChart>
      <c:catAx>
        <c:axId val="19687168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6873216"/>
        <c:crosses val="autoZero"/>
        <c:auto val="1"/>
        <c:lblAlgn val="ctr"/>
        <c:lblOffset val="100"/>
        <c:noMultiLvlLbl val="0"/>
      </c:catAx>
      <c:valAx>
        <c:axId val="19687321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6871680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10519</c:v>
                </c:pt>
                <c:pt idx="1">
                  <c:v>15447</c:v>
                </c:pt>
                <c:pt idx="2">
                  <c:v>60406</c:v>
                </c:pt>
                <c:pt idx="3">
                  <c:v>34976</c:v>
                </c:pt>
                <c:pt idx="4">
                  <c:v>51092</c:v>
                </c:pt>
                <c:pt idx="5">
                  <c:v>104350</c:v>
                </c:pt>
                <c:pt idx="6">
                  <c:v>230237</c:v>
                </c:pt>
                <c:pt idx="7">
                  <c:v>342466</c:v>
                </c:pt>
                <c:pt idx="8">
                  <c:v>479903</c:v>
                </c:pt>
                <c:pt idx="9">
                  <c:v>254935</c:v>
                </c:pt>
                <c:pt idx="10">
                  <c:v>-102372</c:v>
                </c:pt>
                <c:pt idx="11">
                  <c:v>-135097</c:v>
                </c:pt>
                <c:pt idx="12">
                  <c:v>-300502</c:v>
                </c:pt>
                <c:pt idx="13">
                  <c:v>-169571</c:v>
                </c:pt>
                <c:pt idx="14">
                  <c:v>-118948</c:v>
                </c:pt>
                <c:pt idx="15">
                  <c:v>-60545</c:v>
                </c:pt>
                <c:pt idx="16">
                  <c:v>-41144</c:v>
                </c:pt>
                <c:pt idx="17">
                  <c:v>-39030</c:v>
                </c:pt>
                <c:pt idx="18">
                  <c:v>-11774</c:v>
                </c:pt>
                <c:pt idx="19">
                  <c:v>-9587</c:v>
                </c:pt>
                <c:pt idx="20">
                  <c:v>-8428</c:v>
                </c:pt>
                <c:pt idx="21">
                  <c:v>-6274</c:v>
                </c:pt>
                <c:pt idx="22">
                  <c:v>-9601</c:v>
                </c:pt>
                <c:pt idx="23">
                  <c:v>-6476</c:v>
                </c:pt>
                <c:pt idx="24">
                  <c:v>-4788</c:v>
                </c:pt>
                <c:pt idx="25">
                  <c:v>-1594</c:v>
                </c:pt>
                <c:pt idx="26">
                  <c:v>-492</c:v>
                </c:pt>
                <c:pt idx="27">
                  <c:v>-342</c:v>
                </c:pt>
                <c:pt idx="28">
                  <c:v>-674</c:v>
                </c:pt>
                <c:pt idx="29">
                  <c:v>-1273</c:v>
                </c:pt>
                <c:pt idx="30">
                  <c:v>-4530</c:v>
                </c:pt>
                <c:pt idx="31">
                  <c:v>-249</c:v>
                </c:pt>
                <c:pt idx="32">
                  <c:v>-6986</c:v>
                </c:pt>
                <c:pt idx="33">
                  <c:v>-181</c:v>
                </c:pt>
                <c:pt idx="34">
                  <c:v>-7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2953</c:v>
                </c:pt>
                <c:pt idx="1">
                  <c:v>5989</c:v>
                </c:pt>
                <c:pt idx="2">
                  <c:v>34870</c:v>
                </c:pt>
                <c:pt idx="3">
                  <c:v>4498</c:v>
                </c:pt>
                <c:pt idx="4">
                  <c:v>6952</c:v>
                </c:pt>
                <c:pt idx="5">
                  <c:v>17131</c:v>
                </c:pt>
                <c:pt idx="6">
                  <c:v>15157</c:v>
                </c:pt>
                <c:pt idx="7">
                  <c:v>33838</c:v>
                </c:pt>
                <c:pt idx="8">
                  <c:v>4997</c:v>
                </c:pt>
                <c:pt idx="9">
                  <c:v>7699</c:v>
                </c:pt>
                <c:pt idx="10">
                  <c:v>1797</c:v>
                </c:pt>
                <c:pt idx="11">
                  <c:v>-3505</c:v>
                </c:pt>
                <c:pt idx="12">
                  <c:v>-44826</c:v>
                </c:pt>
                <c:pt idx="13">
                  <c:v>-6864</c:v>
                </c:pt>
                <c:pt idx="14">
                  <c:v>-6525</c:v>
                </c:pt>
                <c:pt idx="15">
                  <c:v>-5006</c:v>
                </c:pt>
                <c:pt idx="16">
                  <c:v>-5164</c:v>
                </c:pt>
                <c:pt idx="17">
                  <c:v>-32804</c:v>
                </c:pt>
                <c:pt idx="18">
                  <c:v>-2358</c:v>
                </c:pt>
                <c:pt idx="19">
                  <c:v>-4634</c:v>
                </c:pt>
                <c:pt idx="20">
                  <c:v>-2541</c:v>
                </c:pt>
                <c:pt idx="21">
                  <c:v>-1869</c:v>
                </c:pt>
                <c:pt idx="22">
                  <c:v>-26018</c:v>
                </c:pt>
                <c:pt idx="23">
                  <c:v>-2257</c:v>
                </c:pt>
                <c:pt idx="24">
                  <c:v>-2067</c:v>
                </c:pt>
                <c:pt idx="25">
                  <c:v>-2261</c:v>
                </c:pt>
                <c:pt idx="26">
                  <c:v>-2696</c:v>
                </c:pt>
                <c:pt idx="27">
                  <c:v>-6170</c:v>
                </c:pt>
                <c:pt idx="28">
                  <c:v>-1504</c:v>
                </c:pt>
                <c:pt idx="29">
                  <c:v>-1176</c:v>
                </c:pt>
                <c:pt idx="30">
                  <c:v>-705</c:v>
                </c:pt>
                <c:pt idx="31">
                  <c:v>-620</c:v>
                </c:pt>
                <c:pt idx="32">
                  <c:v>-7517</c:v>
                </c:pt>
                <c:pt idx="33">
                  <c:v>-328</c:v>
                </c:pt>
                <c:pt idx="34">
                  <c:v>-529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413</c:v>
                </c:pt>
                <c:pt idx="1">
                  <c:v>88</c:v>
                </c:pt>
                <c:pt idx="2">
                  <c:v>4946</c:v>
                </c:pt>
                <c:pt idx="3">
                  <c:v>226</c:v>
                </c:pt>
                <c:pt idx="4">
                  <c:v>553</c:v>
                </c:pt>
                <c:pt idx="5">
                  <c:v>2679</c:v>
                </c:pt>
                <c:pt idx="6">
                  <c:v>532</c:v>
                </c:pt>
                <c:pt idx="7">
                  <c:v>-1075</c:v>
                </c:pt>
                <c:pt idx="8">
                  <c:v>-72</c:v>
                </c:pt>
                <c:pt idx="9">
                  <c:v>974</c:v>
                </c:pt>
                <c:pt idx="10">
                  <c:v>284</c:v>
                </c:pt>
                <c:pt idx="11">
                  <c:v>-475</c:v>
                </c:pt>
                <c:pt idx="12">
                  <c:v>-6567</c:v>
                </c:pt>
                <c:pt idx="13">
                  <c:v>-76</c:v>
                </c:pt>
                <c:pt idx="14">
                  <c:v>-746</c:v>
                </c:pt>
                <c:pt idx="15">
                  <c:v>-674</c:v>
                </c:pt>
                <c:pt idx="16">
                  <c:v>-858</c:v>
                </c:pt>
                <c:pt idx="17">
                  <c:v>-4286</c:v>
                </c:pt>
                <c:pt idx="18">
                  <c:v>-375</c:v>
                </c:pt>
                <c:pt idx="19">
                  <c:v>-532</c:v>
                </c:pt>
                <c:pt idx="20">
                  <c:v>-790</c:v>
                </c:pt>
                <c:pt idx="21">
                  <c:v>-416</c:v>
                </c:pt>
                <c:pt idx="22">
                  <c:v>-5981</c:v>
                </c:pt>
                <c:pt idx="23">
                  <c:v>-247</c:v>
                </c:pt>
                <c:pt idx="24">
                  <c:v>-581</c:v>
                </c:pt>
                <c:pt idx="25">
                  <c:v>-241</c:v>
                </c:pt>
                <c:pt idx="26">
                  <c:v>-514</c:v>
                </c:pt>
                <c:pt idx="27">
                  <c:v>-4841</c:v>
                </c:pt>
                <c:pt idx="28">
                  <c:v>-1364</c:v>
                </c:pt>
                <c:pt idx="29">
                  <c:v>-926</c:v>
                </c:pt>
                <c:pt idx="30">
                  <c:v>-369</c:v>
                </c:pt>
                <c:pt idx="31">
                  <c:v>-100</c:v>
                </c:pt>
                <c:pt idx="32">
                  <c:v>-8786</c:v>
                </c:pt>
                <c:pt idx="33">
                  <c:v>-288</c:v>
                </c:pt>
                <c:pt idx="34">
                  <c:v>-353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11422</c:v>
                </c:pt>
                <c:pt idx="1">
                  <c:v>11957</c:v>
                </c:pt>
                <c:pt idx="2">
                  <c:v>87647</c:v>
                </c:pt>
                <c:pt idx="3">
                  <c:v>19017</c:v>
                </c:pt>
                <c:pt idx="4">
                  <c:v>55098</c:v>
                </c:pt>
                <c:pt idx="5">
                  <c:v>36539</c:v>
                </c:pt>
                <c:pt idx="6">
                  <c:v>47692</c:v>
                </c:pt>
                <c:pt idx="7">
                  <c:v>128264</c:v>
                </c:pt>
                <c:pt idx="8">
                  <c:v>127014</c:v>
                </c:pt>
                <c:pt idx="9">
                  <c:v>70919</c:v>
                </c:pt>
                <c:pt idx="10">
                  <c:v>6826</c:v>
                </c:pt>
                <c:pt idx="11">
                  <c:v>-9935</c:v>
                </c:pt>
                <c:pt idx="12">
                  <c:v>-81606</c:v>
                </c:pt>
                <c:pt idx="13">
                  <c:v>-28419</c:v>
                </c:pt>
                <c:pt idx="14">
                  <c:v>-47562</c:v>
                </c:pt>
                <c:pt idx="15">
                  <c:v>-25842</c:v>
                </c:pt>
                <c:pt idx="16">
                  <c:v>-17643</c:v>
                </c:pt>
                <c:pt idx="17">
                  <c:v>-62889</c:v>
                </c:pt>
                <c:pt idx="18">
                  <c:v>-13522</c:v>
                </c:pt>
                <c:pt idx="19">
                  <c:v>-17682</c:v>
                </c:pt>
                <c:pt idx="20">
                  <c:v>-11140</c:v>
                </c:pt>
                <c:pt idx="21">
                  <c:v>-8135</c:v>
                </c:pt>
                <c:pt idx="22">
                  <c:v>-44497</c:v>
                </c:pt>
                <c:pt idx="23">
                  <c:v>-6028</c:v>
                </c:pt>
                <c:pt idx="24">
                  <c:v>-9734</c:v>
                </c:pt>
                <c:pt idx="25">
                  <c:v>-6646</c:v>
                </c:pt>
                <c:pt idx="26">
                  <c:v>-5505</c:v>
                </c:pt>
                <c:pt idx="27">
                  <c:v>-19615</c:v>
                </c:pt>
                <c:pt idx="28">
                  <c:v>-1944</c:v>
                </c:pt>
                <c:pt idx="29">
                  <c:v>-2969</c:v>
                </c:pt>
                <c:pt idx="30">
                  <c:v>-3876</c:v>
                </c:pt>
                <c:pt idx="31">
                  <c:v>-2440</c:v>
                </c:pt>
                <c:pt idx="32">
                  <c:v>-17268</c:v>
                </c:pt>
                <c:pt idx="33">
                  <c:v>-2902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6912640"/>
        <c:axId val="196914176"/>
      </c:barChart>
      <c:catAx>
        <c:axId val="1969126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6914176"/>
        <c:crosses val="autoZero"/>
        <c:auto val="1"/>
        <c:lblAlgn val="ctr"/>
        <c:lblOffset val="100"/>
        <c:noMultiLvlLbl val="0"/>
      </c:catAx>
      <c:valAx>
        <c:axId val="19691417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6912640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2311</c:v>
                </c:pt>
                <c:pt idx="1">
                  <c:v>8814</c:v>
                </c:pt>
                <c:pt idx="2">
                  <c:v>11376</c:v>
                </c:pt>
                <c:pt idx="3">
                  <c:v>9492</c:v>
                </c:pt>
                <c:pt idx="4">
                  <c:v>6094</c:v>
                </c:pt>
                <c:pt idx="5">
                  <c:v>5655</c:v>
                </c:pt>
                <c:pt idx="6">
                  <c:v>14794</c:v>
                </c:pt>
                <c:pt idx="7">
                  <c:v>25849</c:v>
                </c:pt>
                <c:pt idx="8">
                  <c:v>31781</c:v>
                </c:pt>
                <c:pt idx="9">
                  <c:v>49986</c:v>
                </c:pt>
                <c:pt idx="10">
                  <c:v>116294</c:v>
                </c:pt>
                <c:pt idx="11">
                  <c:v>176674</c:v>
                </c:pt>
                <c:pt idx="12">
                  <c:v>163354</c:v>
                </c:pt>
                <c:pt idx="13">
                  <c:v>-5008</c:v>
                </c:pt>
                <c:pt idx="14">
                  <c:v>-111150</c:v>
                </c:pt>
                <c:pt idx="15">
                  <c:v>-111574</c:v>
                </c:pt>
                <c:pt idx="16">
                  <c:v>-117648</c:v>
                </c:pt>
                <c:pt idx="17">
                  <c:v>-62087</c:v>
                </c:pt>
                <c:pt idx="18">
                  <c:v>-28904</c:v>
                </c:pt>
                <c:pt idx="19">
                  <c:v>-17476</c:v>
                </c:pt>
                <c:pt idx="20">
                  <c:v>-13659</c:v>
                </c:pt>
                <c:pt idx="21">
                  <c:v>-13073</c:v>
                </c:pt>
                <c:pt idx="22">
                  <c:v>-15867</c:v>
                </c:pt>
                <c:pt idx="23">
                  <c:v>-4135</c:v>
                </c:pt>
                <c:pt idx="24">
                  <c:v>-5805</c:v>
                </c:pt>
                <c:pt idx="25">
                  <c:v>-4472</c:v>
                </c:pt>
                <c:pt idx="26">
                  <c:v>-4093</c:v>
                </c:pt>
                <c:pt idx="27">
                  <c:v>-4300</c:v>
                </c:pt>
                <c:pt idx="28">
                  <c:v>-3456</c:v>
                </c:pt>
                <c:pt idx="29">
                  <c:v>-4040</c:v>
                </c:pt>
                <c:pt idx="30">
                  <c:v>-4059</c:v>
                </c:pt>
                <c:pt idx="31">
                  <c:v>-830</c:v>
                </c:pt>
                <c:pt idx="32">
                  <c:v>-2074</c:v>
                </c:pt>
                <c:pt idx="33">
                  <c:v>-885</c:v>
                </c:pt>
                <c:pt idx="34">
                  <c:v>-24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1627</c:v>
                </c:pt>
                <c:pt idx="1">
                  <c:v>371</c:v>
                </c:pt>
                <c:pt idx="2">
                  <c:v>7233</c:v>
                </c:pt>
                <c:pt idx="3">
                  <c:v>1387</c:v>
                </c:pt>
                <c:pt idx="4">
                  <c:v>1453</c:v>
                </c:pt>
                <c:pt idx="5">
                  <c:v>1409</c:v>
                </c:pt>
                <c:pt idx="6">
                  <c:v>1820</c:v>
                </c:pt>
                <c:pt idx="7">
                  <c:v>6716</c:v>
                </c:pt>
                <c:pt idx="8">
                  <c:v>1194</c:v>
                </c:pt>
                <c:pt idx="9">
                  <c:v>2676</c:v>
                </c:pt>
                <c:pt idx="10">
                  <c:v>5459</c:v>
                </c:pt>
                <c:pt idx="11">
                  <c:v>2323</c:v>
                </c:pt>
                <c:pt idx="12">
                  <c:v>-1793</c:v>
                </c:pt>
                <c:pt idx="13">
                  <c:v>8097</c:v>
                </c:pt>
                <c:pt idx="14">
                  <c:v>-4622</c:v>
                </c:pt>
                <c:pt idx="15">
                  <c:v>-1867</c:v>
                </c:pt>
                <c:pt idx="16">
                  <c:v>-2331</c:v>
                </c:pt>
                <c:pt idx="17">
                  <c:v>-11363</c:v>
                </c:pt>
                <c:pt idx="18">
                  <c:v>-3612</c:v>
                </c:pt>
                <c:pt idx="19">
                  <c:v>-2499</c:v>
                </c:pt>
                <c:pt idx="20">
                  <c:v>-6349</c:v>
                </c:pt>
                <c:pt idx="21">
                  <c:v>-7501</c:v>
                </c:pt>
                <c:pt idx="22">
                  <c:v>-13292</c:v>
                </c:pt>
                <c:pt idx="23">
                  <c:v>-2423</c:v>
                </c:pt>
                <c:pt idx="24">
                  <c:v>-2449</c:v>
                </c:pt>
                <c:pt idx="25">
                  <c:v>-1463</c:v>
                </c:pt>
                <c:pt idx="26">
                  <c:v>-6584</c:v>
                </c:pt>
                <c:pt idx="27">
                  <c:v>-3463</c:v>
                </c:pt>
                <c:pt idx="28">
                  <c:v>-1127</c:v>
                </c:pt>
                <c:pt idx="29">
                  <c:v>-2357</c:v>
                </c:pt>
                <c:pt idx="30">
                  <c:v>-2238</c:v>
                </c:pt>
                <c:pt idx="31">
                  <c:v>-2154</c:v>
                </c:pt>
                <c:pt idx="32">
                  <c:v>-13962</c:v>
                </c:pt>
                <c:pt idx="33">
                  <c:v>-1891</c:v>
                </c:pt>
                <c:pt idx="34">
                  <c:v>-694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51</c:v>
                </c:pt>
                <c:pt idx="1">
                  <c:v>151</c:v>
                </c:pt>
                <c:pt idx="2">
                  <c:v>638</c:v>
                </c:pt>
                <c:pt idx="3">
                  <c:v>27</c:v>
                </c:pt>
                <c:pt idx="4">
                  <c:v>64</c:v>
                </c:pt>
                <c:pt idx="5">
                  <c:v>-36</c:v>
                </c:pt>
                <c:pt idx="6">
                  <c:v>99</c:v>
                </c:pt>
                <c:pt idx="7">
                  <c:v>1292</c:v>
                </c:pt>
                <c:pt idx="8">
                  <c:v>20</c:v>
                </c:pt>
                <c:pt idx="9">
                  <c:v>94</c:v>
                </c:pt>
                <c:pt idx="10">
                  <c:v>403</c:v>
                </c:pt>
                <c:pt idx="11">
                  <c:v>-642</c:v>
                </c:pt>
                <c:pt idx="12">
                  <c:v>7599</c:v>
                </c:pt>
                <c:pt idx="13">
                  <c:v>1663</c:v>
                </c:pt>
                <c:pt idx="14">
                  <c:v>-1819</c:v>
                </c:pt>
                <c:pt idx="15">
                  <c:v>-49</c:v>
                </c:pt>
                <c:pt idx="16">
                  <c:v>-142</c:v>
                </c:pt>
                <c:pt idx="17">
                  <c:v>-1248</c:v>
                </c:pt>
                <c:pt idx="18">
                  <c:v>15</c:v>
                </c:pt>
                <c:pt idx="19">
                  <c:v>-389</c:v>
                </c:pt>
                <c:pt idx="20">
                  <c:v>-36</c:v>
                </c:pt>
                <c:pt idx="21">
                  <c:v>-96</c:v>
                </c:pt>
                <c:pt idx="22">
                  <c:v>-5977</c:v>
                </c:pt>
                <c:pt idx="23">
                  <c:v>-67</c:v>
                </c:pt>
                <c:pt idx="24">
                  <c:v>-46</c:v>
                </c:pt>
                <c:pt idx="25">
                  <c:v>-27</c:v>
                </c:pt>
                <c:pt idx="26">
                  <c:v>-191</c:v>
                </c:pt>
                <c:pt idx="27">
                  <c:v>-921</c:v>
                </c:pt>
                <c:pt idx="28">
                  <c:v>-93</c:v>
                </c:pt>
                <c:pt idx="29">
                  <c:v>-17</c:v>
                </c:pt>
                <c:pt idx="30">
                  <c:v>-47</c:v>
                </c:pt>
                <c:pt idx="31">
                  <c:v>-142</c:v>
                </c:pt>
                <c:pt idx="32">
                  <c:v>-7584</c:v>
                </c:pt>
                <c:pt idx="33">
                  <c:v>-121</c:v>
                </c:pt>
                <c:pt idx="34">
                  <c:v>-40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2171</c:v>
                </c:pt>
                <c:pt idx="1">
                  <c:v>3488</c:v>
                </c:pt>
                <c:pt idx="2">
                  <c:v>10834</c:v>
                </c:pt>
                <c:pt idx="3">
                  <c:v>3253</c:v>
                </c:pt>
                <c:pt idx="4">
                  <c:v>7118</c:v>
                </c:pt>
                <c:pt idx="5">
                  <c:v>6327</c:v>
                </c:pt>
                <c:pt idx="6">
                  <c:v>5480</c:v>
                </c:pt>
                <c:pt idx="7">
                  <c:v>29523</c:v>
                </c:pt>
                <c:pt idx="8">
                  <c:v>13735</c:v>
                </c:pt>
                <c:pt idx="9">
                  <c:v>16063</c:v>
                </c:pt>
                <c:pt idx="10">
                  <c:v>25449</c:v>
                </c:pt>
                <c:pt idx="11">
                  <c:v>23591</c:v>
                </c:pt>
                <c:pt idx="12">
                  <c:v>32443</c:v>
                </c:pt>
                <c:pt idx="13">
                  <c:v>2243</c:v>
                </c:pt>
                <c:pt idx="14">
                  <c:v>-28322</c:v>
                </c:pt>
                <c:pt idx="15">
                  <c:v>-23058</c:v>
                </c:pt>
                <c:pt idx="16">
                  <c:v>-19851</c:v>
                </c:pt>
                <c:pt idx="17">
                  <c:v>-27981</c:v>
                </c:pt>
                <c:pt idx="18">
                  <c:v>-12756</c:v>
                </c:pt>
                <c:pt idx="19">
                  <c:v>-13303</c:v>
                </c:pt>
                <c:pt idx="20">
                  <c:v>-7052</c:v>
                </c:pt>
                <c:pt idx="21">
                  <c:v>-8746</c:v>
                </c:pt>
                <c:pt idx="22">
                  <c:v>-23758</c:v>
                </c:pt>
                <c:pt idx="23">
                  <c:v>-6127</c:v>
                </c:pt>
                <c:pt idx="24">
                  <c:v>-7238</c:v>
                </c:pt>
                <c:pt idx="25">
                  <c:v>-3778</c:v>
                </c:pt>
                <c:pt idx="26">
                  <c:v>-2639</c:v>
                </c:pt>
                <c:pt idx="27">
                  <c:v>-5577</c:v>
                </c:pt>
                <c:pt idx="28">
                  <c:v>-2573</c:v>
                </c:pt>
                <c:pt idx="29">
                  <c:v>-3496</c:v>
                </c:pt>
                <c:pt idx="30">
                  <c:v>-2293</c:v>
                </c:pt>
                <c:pt idx="31">
                  <c:v>-3456</c:v>
                </c:pt>
                <c:pt idx="32">
                  <c:v>-23500</c:v>
                </c:pt>
                <c:pt idx="33">
                  <c:v>-1555</c:v>
                </c:pt>
                <c:pt idx="34">
                  <c:v>-909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6956160"/>
        <c:axId val="196957696"/>
      </c:barChart>
      <c:catAx>
        <c:axId val="19695616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6957696"/>
        <c:crosses val="autoZero"/>
        <c:auto val="1"/>
        <c:lblAlgn val="ctr"/>
        <c:lblOffset val="100"/>
        <c:noMultiLvlLbl val="0"/>
      </c:catAx>
      <c:valAx>
        <c:axId val="19695769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6956160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2906</c:v>
                </c:pt>
                <c:pt idx="1">
                  <c:v>3968</c:v>
                </c:pt>
                <c:pt idx="2">
                  <c:v>9491</c:v>
                </c:pt>
                <c:pt idx="3">
                  <c:v>10199</c:v>
                </c:pt>
                <c:pt idx="4">
                  <c:v>5163</c:v>
                </c:pt>
                <c:pt idx="5">
                  <c:v>7919</c:v>
                </c:pt>
                <c:pt idx="6">
                  <c:v>15254</c:v>
                </c:pt>
                <c:pt idx="7">
                  <c:v>41279</c:v>
                </c:pt>
                <c:pt idx="8">
                  <c:v>34626</c:v>
                </c:pt>
                <c:pt idx="9">
                  <c:v>39805</c:v>
                </c:pt>
                <c:pt idx="10">
                  <c:v>56229</c:v>
                </c:pt>
                <c:pt idx="11">
                  <c:v>64570</c:v>
                </c:pt>
                <c:pt idx="12">
                  <c:v>83693</c:v>
                </c:pt>
                <c:pt idx="13">
                  <c:v>46984</c:v>
                </c:pt>
                <c:pt idx="14">
                  <c:v>-34406</c:v>
                </c:pt>
                <c:pt idx="15">
                  <c:v>-70682</c:v>
                </c:pt>
                <c:pt idx="16">
                  <c:v>-73297</c:v>
                </c:pt>
                <c:pt idx="17">
                  <c:v>-93105</c:v>
                </c:pt>
                <c:pt idx="18">
                  <c:v>-50105</c:v>
                </c:pt>
                <c:pt idx="19">
                  <c:v>-25115</c:v>
                </c:pt>
                <c:pt idx="20">
                  <c:v>-16449</c:v>
                </c:pt>
                <c:pt idx="21">
                  <c:v>-10801</c:v>
                </c:pt>
                <c:pt idx="22">
                  <c:v>-11531</c:v>
                </c:pt>
                <c:pt idx="23">
                  <c:v>-11401</c:v>
                </c:pt>
                <c:pt idx="24">
                  <c:v>-7989</c:v>
                </c:pt>
                <c:pt idx="25">
                  <c:v>-3226</c:v>
                </c:pt>
                <c:pt idx="26">
                  <c:v>-4675</c:v>
                </c:pt>
                <c:pt idx="27">
                  <c:v>-7253</c:v>
                </c:pt>
                <c:pt idx="28">
                  <c:v>-2456</c:v>
                </c:pt>
                <c:pt idx="29">
                  <c:v>-1055</c:v>
                </c:pt>
                <c:pt idx="30">
                  <c:v>-612</c:v>
                </c:pt>
                <c:pt idx="31">
                  <c:v>-1896</c:v>
                </c:pt>
                <c:pt idx="32">
                  <c:v>-738</c:v>
                </c:pt>
                <c:pt idx="33">
                  <c:v>-174</c:v>
                </c:pt>
                <c:pt idx="34">
                  <c:v>-263</c:v>
                </c:pt>
                <c:pt idx="35">
                  <c:v>-317</c:v>
                </c:pt>
                <c:pt idx="36">
                  <c:v>-449</c:v>
                </c:pt>
                <c:pt idx="37">
                  <c:v>-1060</c:v>
                </c:pt>
                <c:pt idx="38">
                  <c:v>-188</c:v>
                </c:pt>
                <c:pt idx="39">
                  <c:v>-17</c:v>
                </c:pt>
                <c:pt idx="40">
                  <c:v>0</c:v>
                </c:pt>
                <c:pt idx="41">
                  <c:v>3</c:v>
                </c:pt>
                <c:pt idx="42">
                  <c:v>8</c:v>
                </c:pt>
                <c:pt idx="43">
                  <c:v>19</c:v>
                </c:pt>
                <c:pt idx="44">
                  <c:v>4</c:v>
                </c:pt>
                <c:pt idx="45">
                  <c:v>21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308</c:v>
                </c:pt>
                <c:pt idx="1">
                  <c:v>620</c:v>
                </c:pt>
                <c:pt idx="2">
                  <c:v>3872</c:v>
                </c:pt>
                <c:pt idx="3">
                  <c:v>610</c:v>
                </c:pt>
                <c:pt idx="4">
                  <c:v>1188</c:v>
                </c:pt>
                <c:pt idx="5">
                  <c:v>729</c:v>
                </c:pt>
                <c:pt idx="6">
                  <c:v>442</c:v>
                </c:pt>
                <c:pt idx="7">
                  <c:v>2713</c:v>
                </c:pt>
                <c:pt idx="8">
                  <c:v>407</c:v>
                </c:pt>
                <c:pt idx="9">
                  <c:v>379</c:v>
                </c:pt>
                <c:pt idx="10">
                  <c:v>1450</c:v>
                </c:pt>
                <c:pt idx="11">
                  <c:v>208</c:v>
                </c:pt>
                <c:pt idx="12">
                  <c:v>1923</c:v>
                </c:pt>
                <c:pt idx="13">
                  <c:v>322</c:v>
                </c:pt>
                <c:pt idx="14">
                  <c:v>-65</c:v>
                </c:pt>
                <c:pt idx="15">
                  <c:v>-635</c:v>
                </c:pt>
                <c:pt idx="16">
                  <c:v>-996</c:v>
                </c:pt>
                <c:pt idx="17">
                  <c:v>-1917</c:v>
                </c:pt>
                <c:pt idx="18">
                  <c:v>-976</c:v>
                </c:pt>
                <c:pt idx="19">
                  <c:v>-479</c:v>
                </c:pt>
                <c:pt idx="20">
                  <c:v>-565</c:v>
                </c:pt>
                <c:pt idx="21">
                  <c:v>-357</c:v>
                </c:pt>
                <c:pt idx="22">
                  <c:v>-2379</c:v>
                </c:pt>
                <c:pt idx="23">
                  <c:v>0</c:v>
                </c:pt>
                <c:pt idx="24">
                  <c:v>-398</c:v>
                </c:pt>
                <c:pt idx="25">
                  <c:v>0</c:v>
                </c:pt>
                <c:pt idx="26">
                  <c:v>-437</c:v>
                </c:pt>
                <c:pt idx="27">
                  <c:v>-2107</c:v>
                </c:pt>
                <c:pt idx="28">
                  <c:v>-341</c:v>
                </c:pt>
                <c:pt idx="29">
                  <c:v>-82</c:v>
                </c:pt>
                <c:pt idx="30">
                  <c:v>-410</c:v>
                </c:pt>
                <c:pt idx="31">
                  <c:v>-630</c:v>
                </c:pt>
                <c:pt idx="32">
                  <c:v>-3246</c:v>
                </c:pt>
                <c:pt idx="33">
                  <c:v>-141</c:v>
                </c:pt>
                <c:pt idx="34">
                  <c:v>-186</c:v>
                </c:pt>
                <c:pt idx="35">
                  <c:v>-104</c:v>
                </c:pt>
                <c:pt idx="36">
                  <c:v>-154</c:v>
                </c:pt>
                <c:pt idx="37">
                  <c:v>-980</c:v>
                </c:pt>
                <c:pt idx="38">
                  <c:v>-52</c:v>
                </c:pt>
                <c:pt idx="39">
                  <c:v>-123</c:v>
                </c:pt>
                <c:pt idx="40">
                  <c:v>-315</c:v>
                </c:pt>
                <c:pt idx="41">
                  <c:v>0</c:v>
                </c:pt>
                <c:pt idx="42">
                  <c:v>-655</c:v>
                </c:pt>
                <c:pt idx="43">
                  <c:v>-509</c:v>
                </c:pt>
                <c:pt idx="44">
                  <c:v>0</c:v>
                </c:pt>
                <c:pt idx="45">
                  <c:v>-23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39</c:v>
                </c:pt>
                <c:pt idx="1">
                  <c:v>22</c:v>
                </c:pt>
                <c:pt idx="2">
                  <c:v>716</c:v>
                </c:pt>
                <c:pt idx="3">
                  <c:v>25</c:v>
                </c:pt>
                <c:pt idx="4">
                  <c:v>18</c:v>
                </c:pt>
                <c:pt idx="5">
                  <c:v>25</c:v>
                </c:pt>
                <c:pt idx="6">
                  <c:v>1</c:v>
                </c:pt>
                <c:pt idx="7">
                  <c:v>1217</c:v>
                </c:pt>
                <c:pt idx="8">
                  <c:v>60</c:v>
                </c:pt>
                <c:pt idx="9">
                  <c:v>15</c:v>
                </c:pt>
                <c:pt idx="10">
                  <c:v>25</c:v>
                </c:pt>
                <c:pt idx="11">
                  <c:v>13</c:v>
                </c:pt>
                <c:pt idx="12">
                  <c:v>-521</c:v>
                </c:pt>
                <c:pt idx="13">
                  <c:v>145</c:v>
                </c:pt>
                <c:pt idx="14">
                  <c:v>20</c:v>
                </c:pt>
                <c:pt idx="15">
                  <c:v>-68</c:v>
                </c:pt>
                <c:pt idx="16">
                  <c:v>-17</c:v>
                </c:pt>
                <c:pt idx="17">
                  <c:v>-821</c:v>
                </c:pt>
                <c:pt idx="18">
                  <c:v>-124</c:v>
                </c:pt>
                <c:pt idx="19">
                  <c:v>-17</c:v>
                </c:pt>
                <c:pt idx="20">
                  <c:v>-110</c:v>
                </c:pt>
                <c:pt idx="21">
                  <c:v>-9</c:v>
                </c:pt>
                <c:pt idx="22">
                  <c:v>-1532</c:v>
                </c:pt>
                <c:pt idx="23">
                  <c:v>-5</c:v>
                </c:pt>
                <c:pt idx="24">
                  <c:v>-11</c:v>
                </c:pt>
                <c:pt idx="25">
                  <c:v>-4</c:v>
                </c:pt>
                <c:pt idx="26">
                  <c:v>17</c:v>
                </c:pt>
                <c:pt idx="27">
                  <c:v>-3259</c:v>
                </c:pt>
                <c:pt idx="28">
                  <c:v>-6</c:v>
                </c:pt>
                <c:pt idx="29">
                  <c:v>-45</c:v>
                </c:pt>
                <c:pt idx="30">
                  <c:v>4</c:v>
                </c:pt>
                <c:pt idx="31">
                  <c:v>-22</c:v>
                </c:pt>
                <c:pt idx="32">
                  <c:v>-2422</c:v>
                </c:pt>
                <c:pt idx="33">
                  <c:v>20</c:v>
                </c:pt>
                <c:pt idx="34">
                  <c:v>-17</c:v>
                </c:pt>
                <c:pt idx="35">
                  <c:v>-23</c:v>
                </c:pt>
                <c:pt idx="36">
                  <c:v>-65</c:v>
                </c:pt>
                <c:pt idx="37">
                  <c:v>-1050</c:v>
                </c:pt>
                <c:pt idx="38">
                  <c:v>-23</c:v>
                </c:pt>
                <c:pt idx="39">
                  <c:v>-13</c:v>
                </c:pt>
                <c:pt idx="40">
                  <c:v>-14</c:v>
                </c:pt>
                <c:pt idx="41">
                  <c:v>-30</c:v>
                </c:pt>
                <c:pt idx="42">
                  <c:v>-191</c:v>
                </c:pt>
                <c:pt idx="43">
                  <c:v>-22</c:v>
                </c:pt>
                <c:pt idx="44">
                  <c:v>-325</c:v>
                </c:pt>
                <c:pt idx="45">
                  <c:v>-15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1158</c:v>
                </c:pt>
                <c:pt idx="1">
                  <c:v>1670</c:v>
                </c:pt>
                <c:pt idx="2">
                  <c:v>6192</c:v>
                </c:pt>
                <c:pt idx="3">
                  <c:v>4067</c:v>
                </c:pt>
                <c:pt idx="4">
                  <c:v>6327</c:v>
                </c:pt>
                <c:pt idx="5">
                  <c:v>8072</c:v>
                </c:pt>
                <c:pt idx="6">
                  <c:v>4423</c:v>
                </c:pt>
                <c:pt idx="7">
                  <c:v>13106</c:v>
                </c:pt>
                <c:pt idx="8">
                  <c:v>3122</c:v>
                </c:pt>
                <c:pt idx="9">
                  <c:v>5291</c:v>
                </c:pt>
                <c:pt idx="10">
                  <c:v>3835</c:v>
                </c:pt>
                <c:pt idx="11">
                  <c:v>5075</c:v>
                </c:pt>
                <c:pt idx="12">
                  <c:v>5072</c:v>
                </c:pt>
                <c:pt idx="13">
                  <c:v>1196</c:v>
                </c:pt>
                <c:pt idx="14">
                  <c:v>-1226</c:v>
                </c:pt>
                <c:pt idx="15">
                  <c:v>-3467</c:v>
                </c:pt>
                <c:pt idx="16">
                  <c:v>-2645</c:v>
                </c:pt>
                <c:pt idx="17">
                  <c:v>-8904</c:v>
                </c:pt>
                <c:pt idx="18">
                  <c:v>-2852</c:v>
                </c:pt>
                <c:pt idx="19">
                  <c:v>-2137</c:v>
                </c:pt>
                <c:pt idx="20">
                  <c:v>-4015</c:v>
                </c:pt>
                <c:pt idx="21">
                  <c:v>-2243</c:v>
                </c:pt>
                <c:pt idx="22">
                  <c:v>-9043</c:v>
                </c:pt>
                <c:pt idx="23">
                  <c:v>-3938</c:v>
                </c:pt>
                <c:pt idx="24">
                  <c:v>-2494</c:v>
                </c:pt>
                <c:pt idx="25">
                  <c:v>-2489</c:v>
                </c:pt>
                <c:pt idx="26">
                  <c:v>-2737</c:v>
                </c:pt>
                <c:pt idx="27">
                  <c:v>-9358</c:v>
                </c:pt>
                <c:pt idx="28">
                  <c:v>-3048</c:v>
                </c:pt>
                <c:pt idx="29">
                  <c:v>-1543</c:v>
                </c:pt>
                <c:pt idx="30">
                  <c:v>-1479</c:v>
                </c:pt>
                <c:pt idx="31">
                  <c:v>-518</c:v>
                </c:pt>
                <c:pt idx="32">
                  <c:v>-4118</c:v>
                </c:pt>
                <c:pt idx="33">
                  <c:v>-468</c:v>
                </c:pt>
                <c:pt idx="34">
                  <c:v>-434</c:v>
                </c:pt>
                <c:pt idx="35">
                  <c:v>-302</c:v>
                </c:pt>
                <c:pt idx="36">
                  <c:v>-1506</c:v>
                </c:pt>
                <c:pt idx="37">
                  <c:v>-5760</c:v>
                </c:pt>
                <c:pt idx="38">
                  <c:v>-2194</c:v>
                </c:pt>
                <c:pt idx="39">
                  <c:v>-1810</c:v>
                </c:pt>
                <c:pt idx="40">
                  <c:v>-297</c:v>
                </c:pt>
                <c:pt idx="41">
                  <c:v>-104</c:v>
                </c:pt>
                <c:pt idx="42">
                  <c:v>-1133</c:v>
                </c:pt>
                <c:pt idx="43">
                  <c:v>-1295</c:v>
                </c:pt>
                <c:pt idx="44">
                  <c:v>-171</c:v>
                </c:pt>
                <c:pt idx="45">
                  <c:v>-100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6997888"/>
        <c:axId val="196999424"/>
      </c:barChart>
      <c:catAx>
        <c:axId val="19699788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6999424"/>
        <c:crosses val="autoZero"/>
        <c:auto val="1"/>
        <c:lblAlgn val="ctr"/>
        <c:lblOffset val="100"/>
        <c:noMultiLvlLbl val="0"/>
      </c:catAx>
      <c:valAx>
        <c:axId val="19699942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6997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413</c:v>
                </c:pt>
                <c:pt idx="1">
                  <c:v>0</c:v>
                </c:pt>
                <c:pt idx="2">
                  <c:v>943</c:v>
                </c:pt>
                <c:pt idx="3">
                  <c:v>306</c:v>
                </c:pt>
                <c:pt idx="4">
                  <c:v>819</c:v>
                </c:pt>
                <c:pt idx="5">
                  <c:v>151</c:v>
                </c:pt>
                <c:pt idx="6">
                  <c:v>1237</c:v>
                </c:pt>
                <c:pt idx="7">
                  <c:v>377</c:v>
                </c:pt>
                <c:pt idx="8">
                  <c:v>485</c:v>
                </c:pt>
                <c:pt idx="9">
                  <c:v>-57</c:v>
                </c:pt>
                <c:pt idx="10">
                  <c:v>-522</c:v>
                </c:pt>
                <c:pt idx="11">
                  <c:v>-145</c:v>
                </c:pt>
                <c:pt idx="12">
                  <c:v>-733</c:v>
                </c:pt>
                <c:pt idx="13">
                  <c:v>-162</c:v>
                </c:pt>
                <c:pt idx="14">
                  <c:v>-759</c:v>
                </c:pt>
                <c:pt idx="15">
                  <c:v>-234</c:v>
                </c:pt>
                <c:pt idx="16">
                  <c:v>-734</c:v>
                </c:pt>
                <c:pt idx="17">
                  <c:v>-496</c:v>
                </c:pt>
                <c:pt idx="18">
                  <c:v>-1231</c:v>
                </c:pt>
                <c:pt idx="19">
                  <c:v>-64</c:v>
                </c:pt>
                <c:pt idx="20">
                  <c:v>-1863</c:v>
                </c:pt>
                <c:pt idx="21">
                  <c:v>-36</c:v>
                </c:pt>
                <c:pt idx="22">
                  <c:v>-619</c:v>
                </c:pt>
                <c:pt idx="23">
                  <c:v>-109</c:v>
                </c:pt>
                <c:pt idx="24">
                  <c:v>-278</c:v>
                </c:pt>
                <c:pt idx="25">
                  <c:v>-26</c:v>
                </c:pt>
                <c:pt idx="26">
                  <c:v>-175</c:v>
                </c:pt>
                <c:pt idx="27">
                  <c:v>-50</c:v>
                </c:pt>
                <c:pt idx="28">
                  <c:v>-108</c:v>
                </c:pt>
                <c:pt idx="29">
                  <c:v>-71</c:v>
                </c:pt>
                <c:pt idx="30">
                  <c:v>-294</c:v>
                </c:pt>
                <c:pt idx="31">
                  <c:v>-1</c:v>
                </c:pt>
                <c:pt idx="32">
                  <c:v>-61</c:v>
                </c:pt>
                <c:pt idx="33">
                  <c:v>0</c:v>
                </c:pt>
                <c:pt idx="34">
                  <c:v>-51</c:v>
                </c:pt>
                <c:pt idx="35">
                  <c:v>-8</c:v>
                </c:pt>
                <c:pt idx="36">
                  <c:v>-60</c:v>
                </c:pt>
                <c:pt idx="37">
                  <c:v>0</c:v>
                </c:pt>
                <c:pt idx="38">
                  <c:v>-85</c:v>
                </c:pt>
                <c:pt idx="39">
                  <c:v>-10</c:v>
                </c:pt>
                <c:pt idx="40">
                  <c:v>0</c:v>
                </c:pt>
                <c:pt idx="41">
                  <c:v>-16</c:v>
                </c:pt>
                <c:pt idx="42">
                  <c:v>-87</c:v>
                </c:pt>
                <c:pt idx="43">
                  <c:v>0</c:v>
                </c:pt>
                <c:pt idx="44">
                  <c:v>1</c:v>
                </c:pt>
                <c:pt idx="45">
                  <c:v>-1</c:v>
                </c:pt>
                <c:pt idx="46">
                  <c:v>-15</c:v>
                </c:pt>
                <c:pt idx="47">
                  <c:v>-1</c:v>
                </c:pt>
                <c:pt idx="48">
                  <c:v>-29</c:v>
                </c:pt>
                <c:pt idx="49">
                  <c:v>0</c:v>
                </c:pt>
                <c:pt idx="50">
                  <c:v>-36</c:v>
                </c:pt>
                <c:pt idx="51">
                  <c:v>0</c:v>
                </c:pt>
                <c:pt idx="52">
                  <c:v>-2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2</c:v>
                </c:pt>
                <c:pt idx="1">
                  <c:v>0</c:v>
                </c:pt>
                <c:pt idx="2">
                  <c:v>29</c:v>
                </c:pt>
                <c:pt idx="3">
                  <c:v>0</c:v>
                </c:pt>
                <c:pt idx="4">
                  <c:v>7</c:v>
                </c:pt>
                <c:pt idx="5">
                  <c:v>3</c:v>
                </c:pt>
                <c:pt idx="6">
                  <c:v>7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4</c:v>
                </c:pt>
                <c:pt idx="11">
                  <c:v>-1</c:v>
                </c:pt>
                <c:pt idx="12">
                  <c:v>7</c:v>
                </c:pt>
                <c:pt idx="13">
                  <c:v>0</c:v>
                </c:pt>
                <c:pt idx="14">
                  <c:v>-4</c:v>
                </c:pt>
                <c:pt idx="15">
                  <c:v>-30</c:v>
                </c:pt>
                <c:pt idx="16">
                  <c:v>-4</c:v>
                </c:pt>
                <c:pt idx="17">
                  <c:v>0</c:v>
                </c:pt>
                <c:pt idx="18">
                  <c:v>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-12</c:v>
                </c:pt>
                <c:pt idx="23">
                  <c:v>0</c:v>
                </c:pt>
                <c:pt idx="24">
                  <c:v>-1</c:v>
                </c:pt>
                <c:pt idx="25">
                  <c:v>-1</c:v>
                </c:pt>
                <c:pt idx="26">
                  <c:v>-10</c:v>
                </c:pt>
                <c:pt idx="27">
                  <c:v>-7</c:v>
                </c:pt>
                <c:pt idx="28">
                  <c:v>-1</c:v>
                </c:pt>
                <c:pt idx="29">
                  <c:v>-4</c:v>
                </c:pt>
                <c:pt idx="30">
                  <c:v>-14</c:v>
                </c:pt>
                <c:pt idx="31">
                  <c:v>0</c:v>
                </c:pt>
                <c:pt idx="32">
                  <c:v>-4</c:v>
                </c:pt>
                <c:pt idx="33">
                  <c:v>0</c:v>
                </c:pt>
                <c:pt idx="34">
                  <c:v>-13</c:v>
                </c:pt>
                <c:pt idx="35">
                  <c:v>0</c:v>
                </c:pt>
                <c:pt idx="36">
                  <c:v>-13</c:v>
                </c:pt>
                <c:pt idx="37">
                  <c:v>0</c:v>
                </c:pt>
                <c:pt idx="38">
                  <c:v>17</c:v>
                </c:pt>
                <c:pt idx="39">
                  <c:v>0</c:v>
                </c:pt>
                <c:pt idx="40">
                  <c:v>-4</c:v>
                </c:pt>
                <c:pt idx="41">
                  <c:v>0</c:v>
                </c:pt>
                <c:pt idx="42">
                  <c:v>4</c:v>
                </c:pt>
                <c:pt idx="43">
                  <c:v>-3</c:v>
                </c:pt>
                <c:pt idx="44">
                  <c:v>-2</c:v>
                </c:pt>
                <c:pt idx="45">
                  <c:v>-3</c:v>
                </c:pt>
                <c:pt idx="46">
                  <c:v>-132</c:v>
                </c:pt>
                <c:pt idx="47">
                  <c:v>0</c:v>
                </c:pt>
                <c:pt idx="48">
                  <c:v>-1</c:v>
                </c:pt>
                <c:pt idx="49">
                  <c:v>0</c:v>
                </c:pt>
                <c:pt idx="50">
                  <c:v>-9</c:v>
                </c:pt>
                <c:pt idx="51">
                  <c:v>-5</c:v>
                </c:pt>
                <c:pt idx="52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38</c:v>
                </c:pt>
                <c:pt idx="3">
                  <c:v>0</c:v>
                </c:pt>
                <c:pt idx="4">
                  <c:v>-4</c:v>
                </c:pt>
                <c:pt idx="5">
                  <c:v>0</c:v>
                </c:pt>
                <c:pt idx="6">
                  <c:v>-20</c:v>
                </c:pt>
                <c:pt idx="7">
                  <c:v>-5</c:v>
                </c:pt>
                <c:pt idx="8">
                  <c:v>-4</c:v>
                </c:pt>
                <c:pt idx="9">
                  <c:v>12</c:v>
                </c:pt>
                <c:pt idx="10">
                  <c:v>-4</c:v>
                </c:pt>
                <c:pt idx="11">
                  <c:v>-3</c:v>
                </c:pt>
                <c:pt idx="12">
                  <c:v>-3</c:v>
                </c:pt>
                <c:pt idx="13">
                  <c:v>-1</c:v>
                </c:pt>
                <c:pt idx="14">
                  <c:v>0</c:v>
                </c:pt>
                <c:pt idx="15">
                  <c:v>-1</c:v>
                </c:pt>
                <c:pt idx="16">
                  <c:v>-4</c:v>
                </c:pt>
                <c:pt idx="17">
                  <c:v>-13</c:v>
                </c:pt>
                <c:pt idx="18">
                  <c:v>-2</c:v>
                </c:pt>
                <c:pt idx="19">
                  <c:v>0</c:v>
                </c:pt>
                <c:pt idx="20">
                  <c:v>-4</c:v>
                </c:pt>
                <c:pt idx="21">
                  <c:v>-1</c:v>
                </c:pt>
                <c:pt idx="22">
                  <c:v>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-1</c:v>
                </c:pt>
                <c:pt idx="27">
                  <c:v>-3</c:v>
                </c:pt>
                <c:pt idx="28">
                  <c:v>0</c:v>
                </c:pt>
                <c:pt idx="29">
                  <c:v>0</c:v>
                </c:pt>
                <c:pt idx="30">
                  <c:v>-59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-17</c:v>
                </c:pt>
                <c:pt idx="39">
                  <c:v>-1</c:v>
                </c:pt>
                <c:pt idx="40">
                  <c:v>0</c:v>
                </c:pt>
                <c:pt idx="41">
                  <c:v>0</c:v>
                </c:pt>
                <c:pt idx="42">
                  <c:v>-1</c:v>
                </c:pt>
                <c:pt idx="43">
                  <c:v>0</c:v>
                </c:pt>
                <c:pt idx="44">
                  <c:v>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-2</c:v>
                </c:pt>
                <c:pt idx="49">
                  <c:v>0</c:v>
                </c:pt>
                <c:pt idx="50">
                  <c:v>0</c:v>
                </c:pt>
                <c:pt idx="51">
                  <c:v>-8</c:v>
                </c:pt>
                <c:pt idx="52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37</c:v>
                </c:pt>
                <c:pt idx="1">
                  <c:v>1</c:v>
                </c:pt>
                <c:pt idx="2">
                  <c:v>245</c:v>
                </c:pt>
                <c:pt idx="3">
                  <c:v>15</c:v>
                </c:pt>
                <c:pt idx="4">
                  <c:v>63</c:v>
                </c:pt>
                <c:pt idx="5">
                  <c:v>23</c:v>
                </c:pt>
                <c:pt idx="6">
                  <c:v>51</c:v>
                </c:pt>
                <c:pt idx="7">
                  <c:v>10</c:v>
                </c:pt>
                <c:pt idx="8">
                  <c:v>84</c:v>
                </c:pt>
                <c:pt idx="9">
                  <c:v>39</c:v>
                </c:pt>
                <c:pt idx="10">
                  <c:v>-33</c:v>
                </c:pt>
                <c:pt idx="11">
                  <c:v>-12</c:v>
                </c:pt>
                <c:pt idx="12">
                  <c:v>-79</c:v>
                </c:pt>
                <c:pt idx="13">
                  <c:v>-20</c:v>
                </c:pt>
                <c:pt idx="14">
                  <c:v>-85</c:v>
                </c:pt>
                <c:pt idx="15">
                  <c:v>-1</c:v>
                </c:pt>
                <c:pt idx="16">
                  <c:v>-10</c:v>
                </c:pt>
                <c:pt idx="17">
                  <c:v>-5</c:v>
                </c:pt>
                <c:pt idx="18">
                  <c:v>-60</c:v>
                </c:pt>
                <c:pt idx="19">
                  <c:v>-13</c:v>
                </c:pt>
                <c:pt idx="20">
                  <c:v>-26</c:v>
                </c:pt>
                <c:pt idx="21">
                  <c:v>-1</c:v>
                </c:pt>
                <c:pt idx="22">
                  <c:v>-78</c:v>
                </c:pt>
                <c:pt idx="23">
                  <c:v>-14</c:v>
                </c:pt>
                <c:pt idx="24">
                  <c:v>-47</c:v>
                </c:pt>
                <c:pt idx="25">
                  <c:v>-19</c:v>
                </c:pt>
                <c:pt idx="26">
                  <c:v>-15</c:v>
                </c:pt>
                <c:pt idx="27">
                  <c:v>-7</c:v>
                </c:pt>
                <c:pt idx="28">
                  <c:v>-13</c:v>
                </c:pt>
                <c:pt idx="29">
                  <c:v>-3</c:v>
                </c:pt>
                <c:pt idx="30">
                  <c:v>-40</c:v>
                </c:pt>
                <c:pt idx="31">
                  <c:v>-3</c:v>
                </c:pt>
                <c:pt idx="32">
                  <c:v>-67</c:v>
                </c:pt>
                <c:pt idx="33">
                  <c:v>-5</c:v>
                </c:pt>
                <c:pt idx="34">
                  <c:v>-92</c:v>
                </c:pt>
                <c:pt idx="35">
                  <c:v>-2</c:v>
                </c:pt>
                <c:pt idx="36">
                  <c:v>-33</c:v>
                </c:pt>
                <c:pt idx="37">
                  <c:v>-9</c:v>
                </c:pt>
                <c:pt idx="38">
                  <c:v>-16</c:v>
                </c:pt>
                <c:pt idx="39">
                  <c:v>-4</c:v>
                </c:pt>
                <c:pt idx="40">
                  <c:v>-53</c:v>
                </c:pt>
                <c:pt idx="41">
                  <c:v>-7</c:v>
                </c:pt>
                <c:pt idx="42">
                  <c:v>-51</c:v>
                </c:pt>
                <c:pt idx="43">
                  <c:v>-6</c:v>
                </c:pt>
                <c:pt idx="44">
                  <c:v>-14</c:v>
                </c:pt>
                <c:pt idx="45">
                  <c:v>-8</c:v>
                </c:pt>
                <c:pt idx="46">
                  <c:v>6</c:v>
                </c:pt>
                <c:pt idx="47">
                  <c:v>0</c:v>
                </c:pt>
                <c:pt idx="48">
                  <c:v>-3</c:v>
                </c:pt>
                <c:pt idx="49">
                  <c:v>-3</c:v>
                </c:pt>
                <c:pt idx="50">
                  <c:v>-25</c:v>
                </c:pt>
                <c:pt idx="51">
                  <c:v>-4</c:v>
                </c:pt>
                <c:pt idx="52">
                  <c:v>-8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7042560"/>
        <c:axId val="197044096"/>
      </c:barChart>
      <c:catAx>
        <c:axId val="19704256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7044096"/>
        <c:crosses val="autoZero"/>
        <c:auto val="1"/>
        <c:lblAlgn val="ctr"/>
        <c:lblOffset val="100"/>
        <c:noMultiLvlLbl val="0"/>
      </c:catAx>
      <c:valAx>
        <c:axId val="19704409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704256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-2589424.11</c:v>
                </c:pt>
                <c:pt idx="1">
                  <c:v>-8120756.2800000003</c:v>
                </c:pt>
                <c:pt idx="2">
                  <c:v>-3191312.6699999981</c:v>
                </c:pt>
                <c:pt idx="3">
                  <c:v>-2216205.8100000005</c:v>
                </c:pt>
                <c:pt idx="4">
                  <c:v>-19561970.609999999</c:v>
                </c:pt>
                <c:pt idx="5">
                  <c:v>-37830117.780000001</c:v>
                </c:pt>
                <c:pt idx="6">
                  <c:v>-205697785.01999998</c:v>
                </c:pt>
                <c:pt idx="7">
                  <c:v>-346335326.61000001</c:v>
                </c:pt>
                <c:pt idx="8">
                  <c:v>-669548890.91999996</c:v>
                </c:pt>
                <c:pt idx="9">
                  <c:v>-303828131.88</c:v>
                </c:pt>
                <c:pt idx="10">
                  <c:v>230902460.88</c:v>
                </c:pt>
                <c:pt idx="11">
                  <c:v>317579152.80000001</c:v>
                </c:pt>
                <c:pt idx="12">
                  <c:v>406004639.04000002</c:v>
                </c:pt>
                <c:pt idx="13">
                  <c:v>163673404.44</c:v>
                </c:pt>
                <c:pt idx="14">
                  <c:v>119966579.46000001</c:v>
                </c:pt>
                <c:pt idx="15">
                  <c:v>81679121.159999996</c:v>
                </c:pt>
                <c:pt idx="16">
                  <c:v>144006577.25999999</c:v>
                </c:pt>
                <c:pt idx="17">
                  <c:v>75495545.579999998</c:v>
                </c:pt>
                <c:pt idx="18">
                  <c:v>21859929</c:v>
                </c:pt>
                <c:pt idx="19">
                  <c:v>29324295</c:v>
                </c:pt>
                <c:pt idx="20">
                  <c:v>35011431</c:v>
                </c:pt>
                <c:pt idx="21">
                  <c:v>20615868</c:v>
                </c:pt>
                <c:pt idx="22">
                  <c:v>209061489</c:v>
                </c:pt>
                <c:pt idx="23">
                  <c:v>21149037</c:v>
                </c:pt>
                <c:pt idx="24">
                  <c:v>54679443</c:v>
                </c:pt>
                <c:pt idx="25">
                  <c:v>8826909</c:v>
                </c:pt>
                <c:pt idx="26">
                  <c:v>9715524</c:v>
                </c:pt>
                <c:pt idx="27">
                  <c:v>28909608</c:v>
                </c:pt>
                <c:pt idx="28">
                  <c:v>15876588</c:v>
                </c:pt>
                <c:pt idx="29">
                  <c:v>8234499</c:v>
                </c:pt>
                <c:pt idx="30">
                  <c:v>13388466</c:v>
                </c:pt>
                <c:pt idx="31">
                  <c:v>20260422</c:v>
                </c:pt>
                <c:pt idx="32">
                  <c:v>28672644</c:v>
                </c:pt>
                <c:pt idx="33">
                  <c:v>8412222</c:v>
                </c:pt>
                <c:pt idx="34">
                  <c:v>13506948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4360730.01</c:v>
                </c:pt>
                <c:pt idx="1">
                  <c:v>18722525.640000001</c:v>
                </c:pt>
                <c:pt idx="2">
                  <c:v>115471372.37999998</c:v>
                </c:pt>
                <c:pt idx="3">
                  <c:v>31350337.199999996</c:v>
                </c:pt>
                <c:pt idx="4">
                  <c:v>22657312.859999999</c:v>
                </c:pt>
                <c:pt idx="5">
                  <c:v>27102757.499999996</c:v>
                </c:pt>
                <c:pt idx="6">
                  <c:v>25965922.710000008</c:v>
                </c:pt>
                <c:pt idx="7">
                  <c:v>135046968.42000005</c:v>
                </c:pt>
                <c:pt idx="8">
                  <c:v>-51866680.320000023</c:v>
                </c:pt>
                <c:pt idx="9">
                  <c:v>33748412.879999995</c:v>
                </c:pt>
                <c:pt idx="10">
                  <c:v>-178852133.46000004</c:v>
                </c:pt>
                <c:pt idx="11">
                  <c:v>6580490.2799999714</c:v>
                </c:pt>
                <c:pt idx="12">
                  <c:v>-185141158.02000004</c:v>
                </c:pt>
                <c:pt idx="13">
                  <c:v>159382578.81000006</c:v>
                </c:pt>
                <c:pt idx="14">
                  <c:v>-50251178.250000015</c:v>
                </c:pt>
                <c:pt idx="15">
                  <c:v>-9520028.7000000179</c:v>
                </c:pt>
                <c:pt idx="16">
                  <c:v>8922287.0099999905</c:v>
                </c:pt>
                <c:pt idx="17">
                  <c:v>360205421.94000006</c:v>
                </c:pt>
                <c:pt idx="18">
                  <c:v>66093998.880000003</c:v>
                </c:pt>
                <c:pt idx="19">
                  <c:v>-33523889.490000002</c:v>
                </c:pt>
                <c:pt idx="20">
                  <c:v>23984311.259999998</c:v>
                </c:pt>
                <c:pt idx="21">
                  <c:v>16274095.110000003</c:v>
                </c:pt>
                <c:pt idx="22">
                  <c:v>121336231.38000003</c:v>
                </c:pt>
                <c:pt idx="23">
                  <c:v>22973659.799999997</c:v>
                </c:pt>
                <c:pt idx="24">
                  <c:v>25478369.279999997</c:v>
                </c:pt>
                <c:pt idx="25">
                  <c:v>14925177.539999997</c:v>
                </c:pt>
                <c:pt idx="26">
                  <c:v>15564980.339999996</c:v>
                </c:pt>
                <c:pt idx="27">
                  <c:v>116002764.14999998</c:v>
                </c:pt>
                <c:pt idx="28">
                  <c:v>27619339.019999992</c:v>
                </c:pt>
                <c:pt idx="29">
                  <c:v>19414460.52</c:v>
                </c:pt>
                <c:pt idx="30">
                  <c:v>29592656.73</c:v>
                </c:pt>
                <c:pt idx="31">
                  <c:v>63077447.159999996</c:v>
                </c:pt>
                <c:pt idx="32">
                  <c:v>232653032.43000001</c:v>
                </c:pt>
                <c:pt idx="33">
                  <c:v>29414341.32</c:v>
                </c:pt>
                <c:pt idx="34">
                  <c:v>63961322.880000003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15970188.779999999</c:v>
                </c:pt>
                <c:pt idx="1">
                  <c:v>7582848.0000000009</c:v>
                </c:pt>
                <c:pt idx="2">
                  <c:v>2381831205.3899999</c:v>
                </c:pt>
                <c:pt idx="3">
                  <c:v>105172324.53</c:v>
                </c:pt>
                <c:pt idx="4">
                  <c:v>56148619.800000004</c:v>
                </c:pt>
                <c:pt idx="5">
                  <c:v>64097577.180000022</c:v>
                </c:pt>
                <c:pt idx="6">
                  <c:v>59757581.519999996</c:v>
                </c:pt>
                <c:pt idx="7">
                  <c:v>237346104.45000005</c:v>
                </c:pt>
                <c:pt idx="8">
                  <c:v>92221057.110000014</c:v>
                </c:pt>
                <c:pt idx="9">
                  <c:v>-12797833.229999997</c:v>
                </c:pt>
                <c:pt idx="10">
                  <c:v>57092921.340000018</c:v>
                </c:pt>
                <c:pt idx="11">
                  <c:v>44922450.299999997</c:v>
                </c:pt>
                <c:pt idx="12">
                  <c:v>917730174.26999998</c:v>
                </c:pt>
                <c:pt idx="13">
                  <c:v>-5990449.9200000018</c:v>
                </c:pt>
                <c:pt idx="14">
                  <c:v>29346214.170000002</c:v>
                </c:pt>
                <c:pt idx="15">
                  <c:v>38613876.209999993</c:v>
                </c:pt>
                <c:pt idx="16">
                  <c:v>28562455.740000002</c:v>
                </c:pt>
                <c:pt idx="17">
                  <c:v>424306553.58000004</c:v>
                </c:pt>
                <c:pt idx="18">
                  <c:v>15182283.48</c:v>
                </c:pt>
                <c:pt idx="19">
                  <c:v>14502789.210000008</c:v>
                </c:pt>
                <c:pt idx="20">
                  <c:v>40155327.030000001</c:v>
                </c:pt>
                <c:pt idx="21">
                  <c:v>69904380.000000015</c:v>
                </c:pt>
                <c:pt idx="22">
                  <c:v>5150996656.2599983</c:v>
                </c:pt>
                <c:pt idx="23">
                  <c:v>-12837524.699999999</c:v>
                </c:pt>
                <c:pt idx="24">
                  <c:v>7762348.2299999893</c:v>
                </c:pt>
                <c:pt idx="25">
                  <c:v>29513866.199999996</c:v>
                </c:pt>
                <c:pt idx="26">
                  <c:v>26871125.189999994</c:v>
                </c:pt>
                <c:pt idx="27">
                  <c:v>31737773.340000153</c:v>
                </c:pt>
                <c:pt idx="28">
                  <c:v>30286961.25</c:v>
                </c:pt>
                <c:pt idx="29">
                  <c:v>26207625.989999995</c:v>
                </c:pt>
                <c:pt idx="30">
                  <c:v>4082889.7199999988</c:v>
                </c:pt>
                <c:pt idx="31">
                  <c:v>47299199.219999999</c:v>
                </c:pt>
                <c:pt idx="32">
                  <c:v>1607762825.7600002</c:v>
                </c:pt>
                <c:pt idx="33">
                  <c:v>42828280.950000003</c:v>
                </c:pt>
                <c:pt idx="34">
                  <c:v>17994453.750000007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7548672"/>
        <c:axId val="197554560"/>
      </c:barChart>
      <c:catAx>
        <c:axId val="19754867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7554560"/>
        <c:crosses val="autoZero"/>
        <c:auto val="1"/>
        <c:lblAlgn val="ctr"/>
        <c:lblOffset val="100"/>
        <c:noMultiLvlLbl val="0"/>
      </c:catAx>
      <c:valAx>
        <c:axId val="19755456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7548672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-732678.3</c:v>
                </c:pt>
                <c:pt idx="1">
                  <c:v>-531581.49</c:v>
                </c:pt>
                <c:pt idx="2">
                  <c:v>-4590931.05</c:v>
                </c:pt>
                <c:pt idx="3">
                  <c:v>-1577596.6800000002</c:v>
                </c:pt>
                <c:pt idx="4">
                  <c:v>-3107387.4</c:v>
                </c:pt>
                <c:pt idx="5">
                  <c:v>20752982.939999998</c:v>
                </c:pt>
                <c:pt idx="6">
                  <c:v>25804306.170000002</c:v>
                </c:pt>
                <c:pt idx="7">
                  <c:v>14947676.58</c:v>
                </c:pt>
                <c:pt idx="8">
                  <c:v>474941.82000000216</c:v>
                </c:pt>
                <c:pt idx="9">
                  <c:v>-18490513.920000002</c:v>
                </c:pt>
                <c:pt idx="10">
                  <c:v>-71442889.439999998</c:v>
                </c:pt>
                <c:pt idx="11">
                  <c:v>-66861831.360000007</c:v>
                </c:pt>
                <c:pt idx="12">
                  <c:v>275953668.54000008</c:v>
                </c:pt>
                <c:pt idx="13">
                  <c:v>688933248.44999993</c:v>
                </c:pt>
                <c:pt idx="14">
                  <c:v>591786861.05999994</c:v>
                </c:pt>
                <c:pt idx="15">
                  <c:v>940885207.28999996</c:v>
                </c:pt>
                <c:pt idx="16">
                  <c:v>450924521.39999998</c:v>
                </c:pt>
                <c:pt idx="17">
                  <c:v>624098493.72000003</c:v>
                </c:pt>
                <c:pt idx="18">
                  <c:v>644708058.77999997</c:v>
                </c:pt>
                <c:pt idx="19">
                  <c:v>167253308.10000002</c:v>
                </c:pt>
                <c:pt idx="20">
                  <c:v>286277677.38</c:v>
                </c:pt>
                <c:pt idx="21">
                  <c:v>150173070</c:v>
                </c:pt>
                <c:pt idx="22">
                  <c:v>570553740</c:v>
                </c:pt>
                <c:pt idx="23">
                  <c:v>212528670</c:v>
                </c:pt>
                <c:pt idx="24">
                  <c:v>120554160</c:v>
                </c:pt>
                <c:pt idx="25">
                  <c:v>116916750</c:v>
                </c:pt>
                <c:pt idx="26">
                  <c:v>103406370</c:v>
                </c:pt>
                <c:pt idx="27">
                  <c:v>90935250</c:v>
                </c:pt>
                <c:pt idx="28">
                  <c:v>78464130</c:v>
                </c:pt>
                <c:pt idx="29">
                  <c:v>47286330</c:v>
                </c:pt>
                <c:pt idx="30">
                  <c:v>75865980</c:v>
                </c:pt>
                <c:pt idx="31">
                  <c:v>96651180</c:v>
                </c:pt>
                <c:pt idx="32">
                  <c:v>265011300</c:v>
                </c:pt>
                <c:pt idx="33">
                  <c:v>77944500</c:v>
                </c:pt>
                <c:pt idx="34">
                  <c:v>77424870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6458481.2699999996</c:v>
                </c:pt>
                <c:pt idx="1">
                  <c:v>9833997.75</c:v>
                </c:pt>
                <c:pt idx="2">
                  <c:v>27017642.219999999</c:v>
                </c:pt>
                <c:pt idx="3">
                  <c:v>6942776.4299999997</c:v>
                </c:pt>
                <c:pt idx="4">
                  <c:v>21235199.579999998</c:v>
                </c:pt>
                <c:pt idx="5">
                  <c:v>8174819.1599999992</c:v>
                </c:pt>
                <c:pt idx="6">
                  <c:v>3786024.1799999997</c:v>
                </c:pt>
                <c:pt idx="7">
                  <c:v>41789683.859999985</c:v>
                </c:pt>
                <c:pt idx="8">
                  <c:v>22789412.910000004</c:v>
                </c:pt>
                <c:pt idx="9">
                  <c:v>21384333.390000001</c:v>
                </c:pt>
                <c:pt idx="10">
                  <c:v>28329188.339999989</c:v>
                </c:pt>
                <c:pt idx="11">
                  <c:v>13136766.030000001</c:v>
                </c:pt>
                <c:pt idx="12">
                  <c:v>134838269.07000005</c:v>
                </c:pt>
                <c:pt idx="13">
                  <c:v>-90897317.010000005</c:v>
                </c:pt>
                <c:pt idx="14">
                  <c:v>-133562057.78999999</c:v>
                </c:pt>
                <c:pt idx="15">
                  <c:v>29659441.139999997</c:v>
                </c:pt>
                <c:pt idx="16">
                  <c:v>25082540.100000001</c:v>
                </c:pt>
                <c:pt idx="17">
                  <c:v>116069233.47</c:v>
                </c:pt>
                <c:pt idx="18">
                  <c:v>-88278901.439999998</c:v>
                </c:pt>
                <c:pt idx="19">
                  <c:v>-2761313.8200000022</c:v>
                </c:pt>
                <c:pt idx="20">
                  <c:v>-12647794.200000001</c:v>
                </c:pt>
                <c:pt idx="21">
                  <c:v>-6947972.7299999967</c:v>
                </c:pt>
                <c:pt idx="22">
                  <c:v>14292423.150000006</c:v>
                </c:pt>
                <c:pt idx="23">
                  <c:v>4587293.6400000006</c:v>
                </c:pt>
                <c:pt idx="24">
                  <c:v>467667.00000000373</c:v>
                </c:pt>
                <c:pt idx="25">
                  <c:v>18380871.990000002</c:v>
                </c:pt>
                <c:pt idx="26">
                  <c:v>25027459.32</c:v>
                </c:pt>
                <c:pt idx="27">
                  <c:v>22505175.299999997</c:v>
                </c:pt>
                <c:pt idx="28">
                  <c:v>8707439.9100000039</c:v>
                </c:pt>
                <c:pt idx="29">
                  <c:v>-4707847.8</c:v>
                </c:pt>
                <c:pt idx="30">
                  <c:v>2672457.09</c:v>
                </c:pt>
                <c:pt idx="31">
                  <c:v>143417.87999999989</c:v>
                </c:pt>
                <c:pt idx="32">
                  <c:v>264223540.91999996</c:v>
                </c:pt>
                <c:pt idx="33">
                  <c:v>3323033.8499999987</c:v>
                </c:pt>
                <c:pt idx="34">
                  <c:v>3370839.8099999996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1421707.68</c:v>
                </c:pt>
                <c:pt idx="1">
                  <c:v>2771186.79</c:v>
                </c:pt>
                <c:pt idx="2">
                  <c:v>168984195.63</c:v>
                </c:pt>
                <c:pt idx="3">
                  <c:v>1517319.6</c:v>
                </c:pt>
                <c:pt idx="4">
                  <c:v>3229500.45</c:v>
                </c:pt>
                <c:pt idx="5">
                  <c:v>4491162.09</c:v>
                </c:pt>
                <c:pt idx="6">
                  <c:v>10540694.549999999</c:v>
                </c:pt>
                <c:pt idx="7">
                  <c:v>385902180.24000001</c:v>
                </c:pt>
                <c:pt idx="8">
                  <c:v>562239.65999999992</c:v>
                </c:pt>
                <c:pt idx="9">
                  <c:v>683833.08</c:v>
                </c:pt>
                <c:pt idx="10">
                  <c:v>3377595</c:v>
                </c:pt>
                <c:pt idx="11">
                  <c:v>-591858.56999999983</c:v>
                </c:pt>
                <c:pt idx="12">
                  <c:v>211418220.69</c:v>
                </c:pt>
                <c:pt idx="13">
                  <c:v>-203694.95999999996</c:v>
                </c:pt>
                <c:pt idx="14">
                  <c:v>-1527192.5699999998</c:v>
                </c:pt>
                <c:pt idx="15">
                  <c:v>1078232.25</c:v>
                </c:pt>
                <c:pt idx="16">
                  <c:v>-5817777.4799999986</c:v>
                </c:pt>
                <c:pt idx="17">
                  <c:v>31803434.519999981</c:v>
                </c:pt>
                <c:pt idx="18">
                  <c:v>-1203463.08</c:v>
                </c:pt>
                <c:pt idx="19">
                  <c:v>301385.40000000002</c:v>
                </c:pt>
                <c:pt idx="20">
                  <c:v>-1177481.58</c:v>
                </c:pt>
                <c:pt idx="21">
                  <c:v>-1116165.24</c:v>
                </c:pt>
                <c:pt idx="22">
                  <c:v>433675403.55000007</c:v>
                </c:pt>
                <c:pt idx="23">
                  <c:v>-990414.78000000014</c:v>
                </c:pt>
                <c:pt idx="24">
                  <c:v>-1062643.3500000001</c:v>
                </c:pt>
                <c:pt idx="25">
                  <c:v>-4007386.5600000005</c:v>
                </c:pt>
                <c:pt idx="26">
                  <c:v>-1249190.52</c:v>
                </c:pt>
                <c:pt idx="27">
                  <c:v>-116302547.34</c:v>
                </c:pt>
                <c:pt idx="28">
                  <c:v>-1683601.2</c:v>
                </c:pt>
                <c:pt idx="29">
                  <c:v>-2128404.48</c:v>
                </c:pt>
                <c:pt idx="30">
                  <c:v>-654733.80000000005</c:v>
                </c:pt>
                <c:pt idx="31">
                  <c:v>-858428.76</c:v>
                </c:pt>
                <c:pt idx="32">
                  <c:v>1847089788.75</c:v>
                </c:pt>
                <c:pt idx="33">
                  <c:v>-753463.5</c:v>
                </c:pt>
                <c:pt idx="34">
                  <c:v>-3153114.84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7585536"/>
        <c:axId val="197587328"/>
      </c:barChart>
      <c:catAx>
        <c:axId val="19758553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7587328"/>
        <c:crosses val="autoZero"/>
        <c:auto val="1"/>
        <c:lblAlgn val="ctr"/>
        <c:lblOffset val="100"/>
        <c:noMultiLvlLbl val="0"/>
      </c:catAx>
      <c:valAx>
        <c:axId val="19758732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7585536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-1151438.5</c:v>
                </c:pt>
                <c:pt idx="1">
                  <c:v>-3454315.5</c:v>
                </c:pt>
                <c:pt idx="2">
                  <c:v>-121476761.75</c:v>
                </c:pt>
                <c:pt idx="3">
                  <c:v>-114526583.99999999</c:v>
                </c:pt>
                <c:pt idx="4">
                  <c:v>-40454664</c:v>
                </c:pt>
                <c:pt idx="5">
                  <c:v>-12535247.999999998</c:v>
                </c:pt>
                <c:pt idx="6">
                  <c:v>-17479311.25</c:v>
                </c:pt>
                <c:pt idx="7">
                  <c:v>-46235597.499999993</c:v>
                </c:pt>
                <c:pt idx="8">
                  <c:v>-36264377.499999993</c:v>
                </c:pt>
                <c:pt idx="9">
                  <c:v>-114817411.25</c:v>
                </c:pt>
                <c:pt idx="10">
                  <c:v>-121945646.5</c:v>
                </c:pt>
                <c:pt idx="11">
                  <c:v>-460284572.75</c:v>
                </c:pt>
                <c:pt idx="12">
                  <c:v>-1272582887.75</c:v>
                </c:pt>
                <c:pt idx="13">
                  <c:v>-83431809.250000089</c:v>
                </c:pt>
                <c:pt idx="14">
                  <c:v>180704621.5</c:v>
                </c:pt>
                <c:pt idx="15">
                  <c:v>294869155.25</c:v>
                </c:pt>
                <c:pt idx="16">
                  <c:v>172051027</c:v>
                </c:pt>
                <c:pt idx="17">
                  <c:v>978580279</c:v>
                </c:pt>
                <c:pt idx="18">
                  <c:v>118111475</c:v>
                </c:pt>
                <c:pt idx="19">
                  <c:v>407751675</c:v>
                </c:pt>
                <c:pt idx="20">
                  <c:v>74190625</c:v>
                </c:pt>
                <c:pt idx="21">
                  <c:v>39172650</c:v>
                </c:pt>
                <c:pt idx="22">
                  <c:v>194676200</c:v>
                </c:pt>
                <c:pt idx="23">
                  <c:v>156097075</c:v>
                </c:pt>
                <c:pt idx="24">
                  <c:v>51636675</c:v>
                </c:pt>
                <c:pt idx="25">
                  <c:v>61133075</c:v>
                </c:pt>
                <c:pt idx="26">
                  <c:v>348399175</c:v>
                </c:pt>
                <c:pt idx="27">
                  <c:v>873075275</c:v>
                </c:pt>
                <c:pt idx="28">
                  <c:v>132949600</c:v>
                </c:pt>
                <c:pt idx="29">
                  <c:v>44514375</c:v>
                </c:pt>
                <c:pt idx="30">
                  <c:v>14838125</c:v>
                </c:pt>
                <c:pt idx="31">
                  <c:v>16025175</c:v>
                </c:pt>
                <c:pt idx="32">
                  <c:v>93183425</c:v>
                </c:pt>
                <c:pt idx="33">
                  <c:v>129981975</c:v>
                </c:pt>
                <c:pt idx="34">
                  <c:v>33830925</c:v>
                </c:pt>
                <c:pt idx="35">
                  <c:v>81906450</c:v>
                </c:pt>
                <c:pt idx="36">
                  <c:v>193489150</c:v>
                </c:pt>
                <c:pt idx="37">
                  <c:v>540107750</c:v>
                </c:pt>
                <c:pt idx="38">
                  <c:v>29082725</c:v>
                </c:pt>
                <c:pt idx="39">
                  <c:v>6528775</c:v>
                </c:pt>
                <c:pt idx="40">
                  <c:v>23741000</c:v>
                </c:pt>
                <c:pt idx="41">
                  <c:v>45701425</c:v>
                </c:pt>
                <c:pt idx="42">
                  <c:v>33237400</c:v>
                </c:pt>
                <c:pt idx="43">
                  <c:v>27895675</c:v>
                </c:pt>
                <c:pt idx="44">
                  <c:v>46888475</c:v>
                </c:pt>
                <c:pt idx="45">
                  <c:v>42733800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8309350</c:v>
                </c:pt>
                <c:pt idx="1">
                  <c:v>14707549.5</c:v>
                </c:pt>
                <c:pt idx="2">
                  <c:v>143822978</c:v>
                </c:pt>
                <c:pt idx="3">
                  <c:v>22458986</c:v>
                </c:pt>
                <c:pt idx="4">
                  <c:v>80612565.5</c:v>
                </c:pt>
                <c:pt idx="5">
                  <c:v>72760229.75</c:v>
                </c:pt>
                <c:pt idx="6">
                  <c:v>60676060.75</c:v>
                </c:pt>
                <c:pt idx="7">
                  <c:v>37985600</c:v>
                </c:pt>
                <c:pt idx="8">
                  <c:v>138594022.75</c:v>
                </c:pt>
                <c:pt idx="9">
                  <c:v>350535865</c:v>
                </c:pt>
                <c:pt idx="10">
                  <c:v>216114323</c:v>
                </c:pt>
                <c:pt idx="11">
                  <c:v>201299938.99999994</c:v>
                </c:pt>
                <c:pt idx="12">
                  <c:v>89064361.499999762</c:v>
                </c:pt>
                <c:pt idx="13">
                  <c:v>97195654</c:v>
                </c:pt>
                <c:pt idx="14">
                  <c:v>20963303</c:v>
                </c:pt>
                <c:pt idx="15">
                  <c:v>-23812223.00000003</c:v>
                </c:pt>
                <c:pt idx="16">
                  <c:v>177321529</c:v>
                </c:pt>
                <c:pt idx="17">
                  <c:v>-1553895932</c:v>
                </c:pt>
                <c:pt idx="18">
                  <c:v>738511287</c:v>
                </c:pt>
                <c:pt idx="19">
                  <c:v>-132712190</c:v>
                </c:pt>
                <c:pt idx="20">
                  <c:v>128272623</c:v>
                </c:pt>
                <c:pt idx="21">
                  <c:v>132094923.99999997</c:v>
                </c:pt>
                <c:pt idx="22">
                  <c:v>573208639.25</c:v>
                </c:pt>
                <c:pt idx="23">
                  <c:v>0</c:v>
                </c:pt>
                <c:pt idx="24">
                  <c:v>157278189.75</c:v>
                </c:pt>
                <c:pt idx="25">
                  <c:v>0</c:v>
                </c:pt>
                <c:pt idx="26">
                  <c:v>116105360.49999997</c:v>
                </c:pt>
                <c:pt idx="27">
                  <c:v>2601497233.2499995</c:v>
                </c:pt>
                <c:pt idx="28">
                  <c:v>141442942.75</c:v>
                </c:pt>
                <c:pt idx="29">
                  <c:v>189156417.5</c:v>
                </c:pt>
                <c:pt idx="30">
                  <c:v>834377445</c:v>
                </c:pt>
                <c:pt idx="31">
                  <c:v>52799984</c:v>
                </c:pt>
                <c:pt idx="32">
                  <c:v>879936424</c:v>
                </c:pt>
                <c:pt idx="33">
                  <c:v>84476413.25</c:v>
                </c:pt>
                <c:pt idx="34">
                  <c:v>34192975.25</c:v>
                </c:pt>
                <c:pt idx="35">
                  <c:v>56539191.5</c:v>
                </c:pt>
                <c:pt idx="36">
                  <c:v>156180168.5</c:v>
                </c:pt>
                <c:pt idx="37">
                  <c:v>1285112200.5</c:v>
                </c:pt>
                <c:pt idx="38">
                  <c:v>72528755</c:v>
                </c:pt>
                <c:pt idx="39">
                  <c:v>65169045</c:v>
                </c:pt>
                <c:pt idx="40">
                  <c:v>256313771.25</c:v>
                </c:pt>
                <c:pt idx="41">
                  <c:v>0</c:v>
                </c:pt>
                <c:pt idx="42">
                  <c:v>1060278995.25</c:v>
                </c:pt>
                <c:pt idx="43">
                  <c:v>78446199.25</c:v>
                </c:pt>
                <c:pt idx="44">
                  <c:v>0</c:v>
                </c:pt>
                <c:pt idx="45">
                  <c:v>124675861.5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26441538.75</c:v>
                </c:pt>
                <c:pt idx="1">
                  <c:v>91117958.00000003</c:v>
                </c:pt>
                <c:pt idx="2">
                  <c:v>552548034</c:v>
                </c:pt>
                <c:pt idx="3">
                  <c:v>17669239.25</c:v>
                </c:pt>
                <c:pt idx="4">
                  <c:v>62308254.50000003</c:v>
                </c:pt>
                <c:pt idx="5">
                  <c:v>258456396.5</c:v>
                </c:pt>
                <c:pt idx="6">
                  <c:v>108419211.75000003</c:v>
                </c:pt>
                <c:pt idx="7">
                  <c:v>-8515421880</c:v>
                </c:pt>
                <c:pt idx="8">
                  <c:v>76475696.25</c:v>
                </c:pt>
                <c:pt idx="9">
                  <c:v>71223</c:v>
                </c:pt>
                <c:pt idx="10">
                  <c:v>107724787.5</c:v>
                </c:pt>
                <c:pt idx="11">
                  <c:v>77585588</c:v>
                </c:pt>
                <c:pt idx="12">
                  <c:v>1051661012.25</c:v>
                </c:pt>
                <c:pt idx="13">
                  <c:v>192397064</c:v>
                </c:pt>
                <c:pt idx="14">
                  <c:v>258278339</c:v>
                </c:pt>
                <c:pt idx="15">
                  <c:v>2489718670</c:v>
                </c:pt>
                <c:pt idx="16">
                  <c:v>930920221.49999952</c:v>
                </c:pt>
                <c:pt idx="17">
                  <c:v>7486012120</c:v>
                </c:pt>
                <c:pt idx="18">
                  <c:v>112283059.5</c:v>
                </c:pt>
                <c:pt idx="19">
                  <c:v>385049343.75</c:v>
                </c:pt>
                <c:pt idx="20">
                  <c:v>-7638666.75</c:v>
                </c:pt>
                <c:pt idx="21">
                  <c:v>160542577.25</c:v>
                </c:pt>
                <c:pt idx="22">
                  <c:v>5980215454</c:v>
                </c:pt>
                <c:pt idx="23">
                  <c:v>-244455141.75</c:v>
                </c:pt>
                <c:pt idx="24">
                  <c:v>1148785443.25</c:v>
                </c:pt>
                <c:pt idx="25">
                  <c:v>1162021050.75</c:v>
                </c:pt>
                <c:pt idx="26">
                  <c:v>1872951231</c:v>
                </c:pt>
                <c:pt idx="27">
                  <c:v>12345889783.999996</c:v>
                </c:pt>
                <c:pt idx="28">
                  <c:v>214488064.49999997</c:v>
                </c:pt>
                <c:pt idx="29">
                  <c:v>545140842</c:v>
                </c:pt>
                <c:pt idx="30">
                  <c:v>585298743.5</c:v>
                </c:pt>
                <c:pt idx="31">
                  <c:v>1055406155</c:v>
                </c:pt>
                <c:pt idx="32">
                  <c:v>7790229294.0000019</c:v>
                </c:pt>
                <c:pt idx="33">
                  <c:v>595382733.25</c:v>
                </c:pt>
                <c:pt idx="34">
                  <c:v>1575440889.5000005</c:v>
                </c:pt>
                <c:pt idx="35">
                  <c:v>2039043267.0000005</c:v>
                </c:pt>
                <c:pt idx="36">
                  <c:v>3264702068.250001</c:v>
                </c:pt>
                <c:pt idx="37">
                  <c:v>29840988798.999992</c:v>
                </c:pt>
                <c:pt idx="38">
                  <c:v>2678578325</c:v>
                </c:pt>
                <c:pt idx="39">
                  <c:v>1950934480.75</c:v>
                </c:pt>
                <c:pt idx="40">
                  <c:v>3464714058</c:v>
                </c:pt>
                <c:pt idx="41">
                  <c:v>1911310751.75</c:v>
                </c:pt>
                <c:pt idx="42">
                  <c:v>28315961923</c:v>
                </c:pt>
                <c:pt idx="43">
                  <c:v>1985281772.5</c:v>
                </c:pt>
                <c:pt idx="44">
                  <c:v>2220127744.4999995</c:v>
                </c:pt>
                <c:pt idx="45">
                  <c:v>1545592517.25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7628288"/>
        <c:axId val="197629824"/>
      </c:barChart>
      <c:catAx>
        <c:axId val="19762828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7629824"/>
        <c:crosses val="autoZero"/>
        <c:auto val="1"/>
        <c:lblAlgn val="ctr"/>
        <c:lblOffset val="100"/>
        <c:noMultiLvlLbl val="0"/>
      </c:catAx>
      <c:valAx>
        <c:axId val="19762982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7628288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-6399225</c:v>
                </c:pt>
                <c:pt idx="1">
                  <c:v>0</c:v>
                </c:pt>
                <c:pt idx="2">
                  <c:v>-17064600</c:v>
                </c:pt>
                <c:pt idx="3">
                  <c:v>959883.75</c:v>
                </c:pt>
                <c:pt idx="4">
                  <c:v>-23463825</c:v>
                </c:pt>
                <c:pt idx="5">
                  <c:v>-11817235.5</c:v>
                </c:pt>
                <c:pt idx="6">
                  <c:v>-49956616.5</c:v>
                </c:pt>
                <c:pt idx="7">
                  <c:v>-17832507</c:v>
                </c:pt>
                <c:pt idx="8">
                  <c:v>16829961.75</c:v>
                </c:pt>
                <c:pt idx="9">
                  <c:v>17192584.500000004</c:v>
                </c:pt>
                <c:pt idx="10">
                  <c:v>21757364.999999996</c:v>
                </c:pt>
                <c:pt idx="11">
                  <c:v>7423101</c:v>
                </c:pt>
                <c:pt idx="12">
                  <c:v>23911770.75</c:v>
                </c:pt>
                <c:pt idx="13">
                  <c:v>10750698</c:v>
                </c:pt>
                <c:pt idx="14">
                  <c:v>7764393</c:v>
                </c:pt>
                <c:pt idx="15">
                  <c:v>8958915.0000000019</c:v>
                </c:pt>
                <c:pt idx="16">
                  <c:v>9342868.5</c:v>
                </c:pt>
                <c:pt idx="17">
                  <c:v>554599.5</c:v>
                </c:pt>
                <c:pt idx="18">
                  <c:v>8105685</c:v>
                </c:pt>
                <c:pt idx="19">
                  <c:v>-383953.5</c:v>
                </c:pt>
                <c:pt idx="20">
                  <c:v>-1919767.4999999998</c:v>
                </c:pt>
                <c:pt idx="21">
                  <c:v>1429160.25</c:v>
                </c:pt>
                <c:pt idx="22">
                  <c:v>35174406.749999993</c:v>
                </c:pt>
                <c:pt idx="23">
                  <c:v>1919767.5</c:v>
                </c:pt>
                <c:pt idx="24">
                  <c:v>-8212338.7500000009</c:v>
                </c:pt>
                <c:pt idx="25">
                  <c:v>-746576.25</c:v>
                </c:pt>
                <c:pt idx="26">
                  <c:v>13395711</c:v>
                </c:pt>
                <c:pt idx="27">
                  <c:v>3370258.5</c:v>
                </c:pt>
                <c:pt idx="28">
                  <c:v>3626227.5</c:v>
                </c:pt>
                <c:pt idx="29">
                  <c:v>-2175736.5</c:v>
                </c:pt>
                <c:pt idx="30">
                  <c:v>16232700.75</c:v>
                </c:pt>
                <c:pt idx="31">
                  <c:v>1962429</c:v>
                </c:pt>
                <c:pt idx="32">
                  <c:v>-1109199</c:v>
                </c:pt>
                <c:pt idx="33">
                  <c:v>-8830930.4999999981</c:v>
                </c:pt>
                <c:pt idx="34">
                  <c:v>4138165.5</c:v>
                </c:pt>
                <c:pt idx="35">
                  <c:v>-1813113.7500000002</c:v>
                </c:pt>
                <c:pt idx="36">
                  <c:v>-1599806.25</c:v>
                </c:pt>
                <c:pt idx="37">
                  <c:v>-319961.25000000006</c:v>
                </c:pt>
                <c:pt idx="38">
                  <c:v>2218398</c:v>
                </c:pt>
                <c:pt idx="39">
                  <c:v>-213307.5</c:v>
                </c:pt>
                <c:pt idx="40">
                  <c:v>-106653.75</c:v>
                </c:pt>
                <c:pt idx="41">
                  <c:v>-106653.75</c:v>
                </c:pt>
                <c:pt idx="42">
                  <c:v>23229186.75</c:v>
                </c:pt>
                <c:pt idx="43">
                  <c:v>4266150</c:v>
                </c:pt>
                <c:pt idx="44">
                  <c:v>1109199</c:v>
                </c:pt>
                <c:pt idx="45">
                  <c:v>-85323</c:v>
                </c:pt>
                <c:pt idx="46">
                  <c:v>25084962</c:v>
                </c:pt>
                <c:pt idx="47">
                  <c:v>-170646</c:v>
                </c:pt>
                <c:pt idx="48">
                  <c:v>-1535814</c:v>
                </c:pt>
                <c:pt idx="49">
                  <c:v>5716641</c:v>
                </c:pt>
                <c:pt idx="50">
                  <c:v>4266150</c:v>
                </c:pt>
                <c:pt idx="51">
                  <c:v>0</c:v>
                </c:pt>
                <c:pt idx="52">
                  <c:v>1791783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-191976.75000000047</c:v>
                </c:pt>
                <c:pt idx="1">
                  <c:v>2900982</c:v>
                </c:pt>
                <c:pt idx="2">
                  <c:v>10388075.25</c:v>
                </c:pt>
                <c:pt idx="3">
                  <c:v>789237.75</c:v>
                </c:pt>
                <c:pt idx="4">
                  <c:v>38523334.5</c:v>
                </c:pt>
                <c:pt idx="5">
                  <c:v>43194768.75</c:v>
                </c:pt>
                <c:pt idx="6">
                  <c:v>353749158</c:v>
                </c:pt>
                <c:pt idx="7">
                  <c:v>3199612.5</c:v>
                </c:pt>
                <c:pt idx="8">
                  <c:v>19858928.25</c:v>
                </c:pt>
                <c:pt idx="9">
                  <c:v>18323114.250000007</c:v>
                </c:pt>
                <c:pt idx="10">
                  <c:v>117703078.5</c:v>
                </c:pt>
                <c:pt idx="11">
                  <c:v>-4756757.25</c:v>
                </c:pt>
                <c:pt idx="12">
                  <c:v>-597261</c:v>
                </c:pt>
                <c:pt idx="13">
                  <c:v>-4159496.2499999991</c:v>
                </c:pt>
                <c:pt idx="14">
                  <c:v>50873838.749999993</c:v>
                </c:pt>
                <c:pt idx="15">
                  <c:v>-1023876</c:v>
                </c:pt>
                <c:pt idx="16">
                  <c:v>2453036.25</c:v>
                </c:pt>
                <c:pt idx="17">
                  <c:v>4628772.75</c:v>
                </c:pt>
                <c:pt idx="18">
                  <c:v>-4287480.75</c:v>
                </c:pt>
                <c:pt idx="19">
                  <c:v>6505878.7500000019</c:v>
                </c:pt>
                <c:pt idx="20">
                  <c:v>4948734</c:v>
                </c:pt>
                <c:pt idx="21">
                  <c:v>-85323</c:v>
                </c:pt>
                <c:pt idx="22">
                  <c:v>-10132106.25</c:v>
                </c:pt>
                <c:pt idx="23">
                  <c:v>-447945.75</c:v>
                </c:pt>
                <c:pt idx="24">
                  <c:v>5162041.5</c:v>
                </c:pt>
                <c:pt idx="25">
                  <c:v>5951279.25</c:v>
                </c:pt>
                <c:pt idx="26">
                  <c:v>-725245.50000000093</c:v>
                </c:pt>
                <c:pt idx="27">
                  <c:v>-2389044.0000000005</c:v>
                </c:pt>
                <c:pt idx="28">
                  <c:v>2538359.25</c:v>
                </c:pt>
                <c:pt idx="29">
                  <c:v>8148346.5000000019</c:v>
                </c:pt>
                <c:pt idx="30">
                  <c:v>1535814.0000000009</c:v>
                </c:pt>
                <c:pt idx="31">
                  <c:v>14227610.25</c:v>
                </c:pt>
                <c:pt idx="32">
                  <c:v>11091990</c:v>
                </c:pt>
                <c:pt idx="33">
                  <c:v>16680646.5</c:v>
                </c:pt>
                <c:pt idx="34">
                  <c:v>6313902</c:v>
                </c:pt>
                <c:pt idx="35">
                  <c:v>14590233</c:v>
                </c:pt>
                <c:pt idx="36">
                  <c:v>5247364.5</c:v>
                </c:pt>
                <c:pt idx="37">
                  <c:v>13737003</c:v>
                </c:pt>
                <c:pt idx="38">
                  <c:v>95604421.5</c:v>
                </c:pt>
                <c:pt idx="39">
                  <c:v>1877106</c:v>
                </c:pt>
                <c:pt idx="40">
                  <c:v>17277907.5</c:v>
                </c:pt>
                <c:pt idx="41">
                  <c:v>22717248.75</c:v>
                </c:pt>
                <c:pt idx="42">
                  <c:v>83872509</c:v>
                </c:pt>
                <c:pt idx="43">
                  <c:v>10665375</c:v>
                </c:pt>
                <c:pt idx="44">
                  <c:v>6740517</c:v>
                </c:pt>
                <c:pt idx="45">
                  <c:v>-682584</c:v>
                </c:pt>
                <c:pt idx="46">
                  <c:v>-5354018.25</c:v>
                </c:pt>
                <c:pt idx="47">
                  <c:v>6804509.25</c:v>
                </c:pt>
                <c:pt idx="48">
                  <c:v>4991395.5</c:v>
                </c:pt>
                <c:pt idx="49">
                  <c:v>7316447.25</c:v>
                </c:pt>
                <c:pt idx="50">
                  <c:v>7081809</c:v>
                </c:pt>
                <c:pt idx="51">
                  <c:v>3540904.5</c:v>
                </c:pt>
                <c:pt idx="52">
                  <c:v>6228579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3903527.2499999991</c:v>
                </c:pt>
                <c:pt idx="1">
                  <c:v>7167132</c:v>
                </c:pt>
                <c:pt idx="2">
                  <c:v>299825022</c:v>
                </c:pt>
                <c:pt idx="3">
                  <c:v>11731912.5</c:v>
                </c:pt>
                <c:pt idx="4">
                  <c:v>29052481.5</c:v>
                </c:pt>
                <c:pt idx="5">
                  <c:v>10153437</c:v>
                </c:pt>
                <c:pt idx="6">
                  <c:v>27815298</c:v>
                </c:pt>
                <c:pt idx="7">
                  <c:v>10686705.750000007</c:v>
                </c:pt>
                <c:pt idx="8">
                  <c:v>30119018.999999993</c:v>
                </c:pt>
                <c:pt idx="9">
                  <c:v>5474323680</c:v>
                </c:pt>
                <c:pt idx="10">
                  <c:v>30545634.000000015</c:v>
                </c:pt>
                <c:pt idx="11">
                  <c:v>16083385.5</c:v>
                </c:pt>
                <c:pt idx="12">
                  <c:v>487236991.5</c:v>
                </c:pt>
                <c:pt idx="13">
                  <c:v>12478488.75</c:v>
                </c:pt>
                <c:pt idx="14">
                  <c:v>40741732.500000015</c:v>
                </c:pt>
                <c:pt idx="15">
                  <c:v>8105685</c:v>
                </c:pt>
                <c:pt idx="16">
                  <c:v>8724276.7500000037</c:v>
                </c:pt>
                <c:pt idx="17">
                  <c:v>1621137</c:v>
                </c:pt>
                <c:pt idx="18">
                  <c:v>153005469.75</c:v>
                </c:pt>
                <c:pt idx="19">
                  <c:v>6719186.25</c:v>
                </c:pt>
                <c:pt idx="20">
                  <c:v>12094535.25</c:v>
                </c:pt>
                <c:pt idx="21">
                  <c:v>6015271.5000000009</c:v>
                </c:pt>
                <c:pt idx="22">
                  <c:v>669998857.5</c:v>
                </c:pt>
                <c:pt idx="23">
                  <c:v>24594354.75</c:v>
                </c:pt>
                <c:pt idx="24">
                  <c:v>7700400.7500000019</c:v>
                </c:pt>
                <c:pt idx="25">
                  <c:v>52942921.500000015</c:v>
                </c:pt>
                <c:pt idx="26">
                  <c:v>13587687.74999997</c:v>
                </c:pt>
                <c:pt idx="27">
                  <c:v>20925465.749999996</c:v>
                </c:pt>
                <c:pt idx="28">
                  <c:v>43386745.499999985</c:v>
                </c:pt>
                <c:pt idx="29">
                  <c:v>72033942.749999985</c:v>
                </c:pt>
                <c:pt idx="30">
                  <c:v>749178601.49999988</c:v>
                </c:pt>
                <c:pt idx="31">
                  <c:v>38885957.249999993</c:v>
                </c:pt>
                <c:pt idx="32">
                  <c:v>65421410.249999985</c:v>
                </c:pt>
                <c:pt idx="33">
                  <c:v>18067145.25</c:v>
                </c:pt>
                <c:pt idx="34">
                  <c:v>-82464679.50000003</c:v>
                </c:pt>
                <c:pt idx="35">
                  <c:v>35494367.999999993</c:v>
                </c:pt>
                <c:pt idx="36">
                  <c:v>6441886.5</c:v>
                </c:pt>
                <c:pt idx="37">
                  <c:v>6591201.75</c:v>
                </c:pt>
                <c:pt idx="38">
                  <c:v>74998917</c:v>
                </c:pt>
                <c:pt idx="39">
                  <c:v>13545026.25</c:v>
                </c:pt>
                <c:pt idx="40">
                  <c:v>29116473.75</c:v>
                </c:pt>
                <c:pt idx="41">
                  <c:v>11091990</c:v>
                </c:pt>
                <c:pt idx="42">
                  <c:v>478534045.5</c:v>
                </c:pt>
                <c:pt idx="43">
                  <c:v>46735673.25</c:v>
                </c:pt>
                <c:pt idx="44">
                  <c:v>371794972.5</c:v>
                </c:pt>
                <c:pt idx="45">
                  <c:v>32380078.500000007</c:v>
                </c:pt>
                <c:pt idx="46">
                  <c:v>38821965</c:v>
                </c:pt>
                <c:pt idx="47">
                  <c:v>981214.5</c:v>
                </c:pt>
                <c:pt idx="48">
                  <c:v>87093452.25</c:v>
                </c:pt>
                <c:pt idx="49">
                  <c:v>39995156.25</c:v>
                </c:pt>
                <c:pt idx="50">
                  <c:v>125894086.5</c:v>
                </c:pt>
                <c:pt idx="51">
                  <c:v>44751913.499999993</c:v>
                </c:pt>
                <c:pt idx="52">
                  <c:v>-11219974.500000007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9044480"/>
        <c:axId val="199046272"/>
      </c:barChart>
      <c:catAx>
        <c:axId val="19904448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9046272"/>
        <c:crosses val="autoZero"/>
        <c:auto val="1"/>
        <c:lblAlgn val="ctr"/>
        <c:lblOffset val="100"/>
        <c:noMultiLvlLbl val="0"/>
      </c:catAx>
      <c:valAx>
        <c:axId val="19904627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9044480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0.81089999999999995</c:v>
                </c:pt>
                <c:pt idx="1">
                  <c:v>0.73560000000000003</c:v>
                </c:pt>
                <c:pt idx="2">
                  <c:v>0.65939999999999999</c:v>
                </c:pt>
                <c:pt idx="3">
                  <c:v>0.58209999999999995</c:v>
                </c:pt>
                <c:pt idx="4">
                  <c:v>0.50370000000000004</c:v>
                </c:pt>
                <c:pt idx="5">
                  <c:v>0.42370000000000002</c:v>
                </c:pt>
                <c:pt idx="6">
                  <c:v>0.34179999999999999</c:v>
                </c:pt>
                <c:pt idx="7">
                  <c:v>0.25750000000000001</c:v>
                </c:pt>
                <c:pt idx="8">
                  <c:v>0.1694</c:v>
                </c:pt>
                <c:pt idx="9">
                  <c:v>7.3999999999999996E-2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0.77390000000000003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1.3552</c:v>
                </c:pt>
                <c:pt idx="1">
                  <c:v>1.2958000000000001</c:v>
                </c:pt>
                <c:pt idx="2">
                  <c:v>1.1759999999999999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0.67290000000000005</c:v>
                </c:pt>
                <c:pt idx="7">
                  <c:v>0.25</c:v>
                </c:pt>
                <c:pt idx="8">
                  <c:v>0.25</c:v>
                </c:pt>
                <c:pt idx="9">
                  <c:v>0.32400000000000001</c:v>
                </c:pt>
                <c:pt idx="10">
                  <c:v>0.1595</c:v>
                </c:pt>
                <c:pt idx="11">
                  <c:v>0.18640000000000001</c:v>
                </c:pt>
                <c:pt idx="12">
                  <c:v>0.2432</c:v>
                </c:pt>
                <c:pt idx="13">
                  <c:v>0.38500000000000001</c:v>
                </c:pt>
                <c:pt idx="14">
                  <c:v>0.47949999999999998</c:v>
                </c:pt>
                <c:pt idx="15">
                  <c:v>0.49399999999999999</c:v>
                </c:pt>
                <c:pt idx="16">
                  <c:v>0.57450000000000001</c:v>
                </c:pt>
                <c:pt idx="17">
                  <c:v>0.65390000000000004</c:v>
                </c:pt>
                <c:pt idx="18">
                  <c:v>0.73250000000000004</c:v>
                </c:pt>
                <c:pt idx="19">
                  <c:v>0.81040000000000001</c:v>
                </c:pt>
                <c:pt idx="20">
                  <c:v>0.88780000000000003</c:v>
                </c:pt>
                <c:pt idx="21">
                  <c:v>0.96460000000000001</c:v>
                </c:pt>
                <c:pt idx="22">
                  <c:v>1.0409999999999999</c:v>
                </c:pt>
                <c:pt idx="23">
                  <c:v>1.117</c:v>
                </c:pt>
                <c:pt idx="24">
                  <c:v>1.1927000000000001</c:v>
                </c:pt>
                <c:pt idx="25">
                  <c:v>1.2681</c:v>
                </c:pt>
                <c:pt idx="26">
                  <c:v>1.3431999999999999</c:v>
                </c:pt>
                <c:pt idx="27">
                  <c:v>1.4180999999999999</c:v>
                </c:pt>
                <c:pt idx="28">
                  <c:v>1.4927999999999999</c:v>
                </c:pt>
                <c:pt idx="29">
                  <c:v>1.5672999999999999</c:v>
                </c:pt>
                <c:pt idx="30">
                  <c:v>1.6415999999999999</c:v>
                </c:pt>
                <c:pt idx="31">
                  <c:v>1.7158</c:v>
                </c:pt>
                <c:pt idx="32">
                  <c:v>1.7898000000000001</c:v>
                </c:pt>
                <c:pt idx="33">
                  <c:v>1.8636999999999999</c:v>
                </c:pt>
                <c:pt idx="34">
                  <c:v>1.9375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63808"/>
        <c:axId val="199086080"/>
      </c:scatterChart>
      <c:valAx>
        <c:axId val="19906380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9086080"/>
        <c:crosses val="autoZero"/>
        <c:crossBetween val="midCat"/>
      </c:valAx>
      <c:valAx>
        <c:axId val="1990860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9063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1.157</c:v>
                </c:pt>
                <c:pt idx="1">
                  <c:v>1.0737000000000001</c:v>
                </c:pt>
                <c:pt idx="2">
                  <c:v>0.98970000000000002</c:v>
                </c:pt>
                <c:pt idx="3">
                  <c:v>0.90469999999999995</c:v>
                </c:pt>
                <c:pt idx="4">
                  <c:v>0.81879999999999997</c:v>
                </c:pt>
                <c:pt idx="5">
                  <c:v>0.7319</c:v>
                </c:pt>
                <c:pt idx="6">
                  <c:v>0.64359999999999995</c:v>
                </c:pt>
                <c:pt idx="7">
                  <c:v>0.55389999999999995</c:v>
                </c:pt>
                <c:pt idx="8">
                  <c:v>0.46239999999999998</c:v>
                </c:pt>
                <c:pt idx="9">
                  <c:v>0.36870000000000003</c:v>
                </c:pt>
                <c:pt idx="10">
                  <c:v>0.27189999999999998</c:v>
                </c:pt>
                <c:pt idx="11">
                  <c:v>0.17019999999999999</c:v>
                </c:pt>
                <c:pt idx="12">
                  <c:v>9.8400000000000001E-2</c:v>
                </c:pt>
                <c:pt idx="13">
                  <c:v>0.36409999999999998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0.87119999999999997</c:v>
                </c:pt>
                <c:pt idx="19">
                  <c:v>1.4226000000000001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1.9281999999999999</c:v>
                </c:pt>
                <c:pt idx="1">
                  <c:v>1.8764000000000001</c:v>
                </c:pt>
                <c:pt idx="2">
                  <c:v>1.7430000000000001</c:v>
                </c:pt>
                <c:pt idx="3">
                  <c:v>1.6084000000000001</c:v>
                </c:pt>
                <c:pt idx="4">
                  <c:v>1.4375</c:v>
                </c:pt>
                <c:pt idx="5">
                  <c:v>1.3179000000000001</c:v>
                </c:pt>
                <c:pt idx="6">
                  <c:v>1.1785000000000001</c:v>
                </c:pt>
                <c:pt idx="7">
                  <c:v>1.1133</c:v>
                </c:pt>
                <c:pt idx="8">
                  <c:v>1.0204</c:v>
                </c:pt>
                <c:pt idx="9">
                  <c:v>0.51990000000000003</c:v>
                </c:pt>
                <c:pt idx="10">
                  <c:v>0.53520000000000001</c:v>
                </c:pt>
                <c:pt idx="11">
                  <c:v>0.93110000000000004</c:v>
                </c:pt>
                <c:pt idx="12">
                  <c:v>1.0724</c:v>
                </c:pt>
                <c:pt idx="13">
                  <c:v>0.2928</c:v>
                </c:pt>
                <c:pt idx="14">
                  <c:v>0.26369999999999999</c:v>
                </c:pt>
                <c:pt idx="15">
                  <c:v>0.35089999999999999</c:v>
                </c:pt>
                <c:pt idx="16">
                  <c:v>0.46300000000000002</c:v>
                </c:pt>
                <c:pt idx="17">
                  <c:v>0.49099999999999999</c:v>
                </c:pt>
                <c:pt idx="18">
                  <c:v>0.58389999999999997</c:v>
                </c:pt>
                <c:pt idx="19">
                  <c:v>0.67549999999999999</c:v>
                </c:pt>
                <c:pt idx="20">
                  <c:v>0.76600000000000001</c:v>
                </c:pt>
                <c:pt idx="21">
                  <c:v>0.85560000000000003</c:v>
                </c:pt>
                <c:pt idx="22">
                  <c:v>0.94440000000000002</c:v>
                </c:pt>
                <c:pt idx="23">
                  <c:v>1.0327</c:v>
                </c:pt>
                <c:pt idx="24">
                  <c:v>1.1205000000000001</c:v>
                </c:pt>
                <c:pt idx="25">
                  <c:v>1.2077</c:v>
                </c:pt>
                <c:pt idx="26">
                  <c:v>1.2946</c:v>
                </c:pt>
                <c:pt idx="27">
                  <c:v>1.3811</c:v>
                </c:pt>
                <c:pt idx="28">
                  <c:v>1.4673</c:v>
                </c:pt>
                <c:pt idx="29">
                  <c:v>1.5532999999999999</c:v>
                </c:pt>
                <c:pt idx="30">
                  <c:v>1.639</c:v>
                </c:pt>
                <c:pt idx="31">
                  <c:v>1.7244999999999999</c:v>
                </c:pt>
                <c:pt idx="32">
                  <c:v>1.8098000000000001</c:v>
                </c:pt>
                <c:pt idx="33">
                  <c:v>1.8949</c:v>
                </c:pt>
                <c:pt idx="34">
                  <c:v>1.9799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76192"/>
        <c:axId val="199177728"/>
      </c:scatterChart>
      <c:valAx>
        <c:axId val="19917619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9177728"/>
        <c:crosses val="autoZero"/>
        <c:crossBetween val="midCat"/>
      </c:valAx>
      <c:valAx>
        <c:axId val="1991777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91761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0.98619999999999997</c:v>
                </c:pt>
                <c:pt idx="1">
                  <c:v>0.91769999999999996</c:v>
                </c:pt>
                <c:pt idx="2">
                  <c:v>0.84870000000000001</c:v>
                </c:pt>
                <c:pt idx="3">
                  <c:v>0.77890000000000004</c:v>
                </c:pt>
                <c:pt idx="4">
                  <c:v>0.70920000000000005</c:v>
                </c:pt>
                <c:pt idx="5">
                  <c:v>0.63880000000000003</c:v>
                </c:pt>
                <c:pt idx="6">
                  <c:v>0.56599999999999995</c:v>
                </c:pt>
                <c:pt idx="7">
                  <c:v>0.49249999999999999</c:v>
                </c:pt>
                <c:pt idx="8">
                  <c:v>0.41789999999999999</c:v>
                </c:pt>
                <c:pt idx="9">
                  <c:v>0.34200000000000003</c:v>
                </c:pt>
                <c:pt idx="10">
                  <c:v>0.26379999999999998</c:v>
                </c:pt>
                <c:pt idx="11">
                  <c:v>0.184</c:v>
                </c:pt>
                <c:pt idx="12">
                  <c:v>9.8500000000000004E-2</c:v>
                </c:pt>
                <c:pt idx="13">
                  <c:v>2.1899999999999999E-2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1.5105</c:v>
                </c:pt>
                <c:pt idx="1">
                  <c:v>1.4144000000000001</c:v>
                </c:pt>
                <c:pt idx="2">
                  <c:v>1.3169999999999999</c:v>
                </c:pt>
                <c:pt idx="3">
                  <c:v>1.2182999999999999</c:v>
                </c:pt>
                <c:pt idx="4">
                  <c:v>1.1182000000000001</c:v>
                </c:pt>
                <c:pt idx="5">
                  <c:v>1.0164</c:v>
                </c:pt>
                <c:pt idx="6">
                  <c:v>0.91269999999999996</c:v>
                </c:pt>
                <c:pt idx="7">
                  <c:v>0.80669999999999997</c:v>
                </c:pt>
                <c:pt idx="8">
                  <c:v>0.69799999999999995</c:v>
                </c:pt>
                <c:pt idx="9">
                  <c:v>0.58589999999999998</c:v>
                </c:pt>
                <c:pt idx="10">
                  <c:v>0.46920000000000001</c:v>
                </c:pt>
                <c:pt idx="11">
                  <c:v>0.28860000000000002</c:v>
                </c:pt>
                <c:pt idx="12">
                  <c:v>0.15529999999999999</c:v>
                </c:pt>
                <c:pt idx="13">
                  <c:v>4.1300000000000003E-2</c:v>
                </c:pt>
                <c:pt idx="14">
                  <c:v>0.107</c:v>
                </c:pt>
                <c:pt idx="15">
                  <c:v>0.1925</c:v>
                </c:pt>
                <c:pt idx="16">
                  <c:v>0.2727</c:v>
                </c:pt>
                <c:pt idx="17">
                  <c:v>0.35170000000000001</c:v>
                </c:pt>
                <c:pt idx="18">
                  <c:v>0.42870000000000003</c:v>
                </c:pt>
                <c:pt idx="19">
                  <c:v>0.50460000000000005</c:v>
                </c:pt>
                <c:pt idx="20">
                  <c:v>0.57979999999999998</c:v>
                </c:pt>
                <c:pt idx="21">
                  <c:v>0.65449999999999997</c:v>
                </c:pt>
                <c:pt idx="22">
                  <c:v>0.72689999999999999</c:v>
                </c:pt>
                <c:pt idx="23">
                  <c:v>0.79900000000000004</c:v>
                </c:pt>
                <c:pt idx="24">
                  <c:v>0.87129999999999996</c:v>
                </c:pt>
                <c:pt idx="25">
                  <c:v>0.94320000000000004</c:v>
                </c:pt>
                <c:pt idx="26">
                  <c:v>1.0147999999999999</c:v>
                </c:pt>
                <c:pt idx="27">
                  <c:v>1.0860000000000001</c:v>
                </c:pt>
                <c:pt idx="28">
                  <c:v>1.1591</c:v>
                </c:pt>
                <c:pt idx="29">
                  <c:v>1.2302</c:v>
                </c:pt>
                <c:pt idx="30">
                  <c:v>1.3009999999999999</c:v>
                </c:pt>
                <c:pt idx="31">
                  <c:v>1.3715999999999999</c:v>
                </c:pt>
                <c:pt idx="32">
                  <c:v>1.4420999999999999</c:v>
                </c:pt>
                <c:pt idx="33">
                  <c:v>1.5125</c:v>
                </c:pt>
                <c:pt idx="34">
                  <c:v>1.5827</c:v>
                </c:pt>
                <c:pt idx="35">
                  <c:v>1.6528</c:v>
                </c:pt>
                <c:pt idx="36">
                  <c:v>1.7228000000000001</c:v>
                </c:pt>
                <c:pt idx="37">
                  <c:v>1.7927</c:v>
                </c:pt>
                <c:pt idx="38">
                  <c:v>1.8625</c:v>
                </c:pt>
                <c:pt idx="39">
                  <c:v>1.9322999999999999</c:v>
                </c:pt>
                <c:pt idx="40">
                  <c:v>2.0019999999999998</c:v>
                </c:pt>
                <c:pt idx="41">
                  <c:v>2.0716000000000001</c:v>
                </c:pt>
                <c:pt idx="42">
                  <c:v>2.1412</c:v>
                </c:pt>
                <c:pt idx="43">
                  <c:v>2.2107999999999999</c:v>
                </c:pt>
                <c:pt idx="44">
                  <c:v>2.2803</c:v>
                </c:pt>
                <c:pt idx="45">
                  <c:v>2.3460000000000001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16128"/>
        <c:axId val="199222016"/>
      </c:scatterChart>
      <c:valAx>
        <c:axId val="19921612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9222016"/>
        <c:crosses val="autoZero"/>
        <c:crossBetween val="midCat"/>
      </c:valAx>
      <c:valAx>
        <c:axId val="1992220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92161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0.37809999999999999</c:v>
                </c:pt>
                <c:pt idx="1">
                  <c:v>0.25</c:v>
                </c:pt>
                <c:pt idx="2">
                  <c:v>0.28270000000000001</c:v>
                </c:pt>
                <c:pt idx="3">
                  <c:v>0.41199999999999998</c:v>
                </c:pt>
                <c:pt idx="4">
                  <c:v>0.19800000000000001</c:v>
                </c:pt>
                <c:pt idx="5">
                  <c:v>0.15090000000000001</c:v>
                </c:pt>
                <c:pt idx="6">
                  <c:v>9.6000000000000002E-2</c:v>
                </c:pt>
                <c:pt idx="7">
                  <c:v>4.87E-2</c:v>
                </c:pt>
                <c:pt idx="8">
                  <c:v>0.1749</c:v>
                </c:pt>
                <c:pt idx="9">
                  <c:v>0.32779999999999998</c:v>
                </c:pt>
                <c:pt idx="10">
                  <c:v>0.40289999999999998</c:v>
                </c:pt>
                <c:pt idx="11">
                  <c:v>0.50749999999999995</c:v>
                </c:pt>
                <c:pt idx="12">
                  <c:v>0.61380000000000001</c:v>
                </c:pt>
                <c:pt idx="13">
                  <c:v>0.68240000000000001</c:v>
                </c:pt>
                <c:pt idx="14">
                  <c:v>0.79600000000000004</c:v>
                </c:pt>
                <c:pt idx="15">
                  <c:v>0.84850000000000003</c:v>
                </c:pt>
                <c:pt idx="16">
                  <c:v>0.99870000000000003</c:v>
                </c:pt>
                <c:pt idx="17">
                  <c:v>1.0696000000000001</c:v>
                </c:pt>
                <c:pt idx="18">
                  <c:v>1.0062</c:v>
                </c:pt>
                <c:pt idx="19">
                  <c:v>1.0019</c:v>
                </c:pt>
                <c:pt idx="20">
                  <c:v>1.3198000000000001</c:v>
                </c:pt>
                <c:pt idx="21">
                  <c:v>1.367</c:v>
                </c:pt>
                <c:pt idx="22">
                  <c:v>1.2303999999999999</c:v>
                </c:pt>
                <c:pt idx="23">
                  <c:v>1.1635</c:v>
                </c:pt>
                <c:pt idx="24">
                  <c:v>1.3694999999999999</c:v>
                </c:pt>
                <c:pt idx="25">
                  <c:v>1.1857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1.8521000000000001</c:v>
                </c:pt>
                <c:pt idx="30">
                  <c:v>0.25</c:v>
                </c:pt>
                <c:pt idx="31">
                  <c:v>1.7428999999999999</c:v>
                </c:pt>
                <c:pt idx="32">
                  <c:v>1.7988</c:v>
                </c:pt>
                <c:pt idx="33">
                  <c:v>2.0087000000000002</c:v>
                </c:pt>
                <c:pt idx="34">
                  <c:v>2.2568999999999999</c:v>
                </c:pt>
                <c:pt idx="35">
                  <c:v>2.2075999999999998</c:v>
                </c:pt>
                <c:pt idx="36">
                  <c:v>2.2757000000000001</c:v>
                </c:pt>
                <c:pt idx="37">
                  <c:v>2.3993000000000002</c:v>
                </c:pt>
                <c:pt idx="38">
                  <c:v>2.5872999999999999</c:v>
                </c:pt>
                <c:pt idx="39">
                  <c:v>2.6105</c:v>
                </c:pt>
                <c:pt idx="40">
                  <c:v>2.7054999999999998</c:v>
                </c:pt>
                <c:pt idx="41">
                  <c:v>2.3441999999999998</c:v>
                </c:pt>
                <c:pt idx="42">
                  <c:v>2.2541000000000002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1.9599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4.8099999999999997E-2</c:v>
                </c:pt>
                <c:pt idx="8">
                  <c:v>5.8900000000000001E-2</c:v>
                </c:pt>
                <c:pt idx="9">
                  <c:v>0.13639999999999999</c:v>
                </c:pt>
                <c:pt idx="10">
                  <c:v>0.15440000000000001</c:v>
                </c:pt>
                <c:pt idx="11">
                  <c:v>0.2046</c:v>
                </c:pt>
                <c:pt idx="12">
                  <c:v>0.30170000000000002</c:v>
                </c:pt>
                <c:pt idx="13">
                  <c:v>0.83340000000000003</c:v>
                </c:pt>
                <c:pt idx="14">
                  <c:v>0.93120000000000003</c:v>
                </c:pt>
                <c:pt idx="15">
                  <c:v>0.94840000000000002</c:v>
                </c:pt>
                <c:pt idx="16">
                  <c:v>0.7339</c:v>
                </c:pt>
                <c:pt idx="17">
                  <c:v>1.2117</c:v>
                </c:pt>
                <c:pt idx="18">
                  <c:v>0.54159999999999997</c:v>
                </c:pt>
                <c:pt idx="19">
                  <c:v>1.391</c:v>
                </c:pt>
                <c:pt idx="20">
                  <c:v>1.4789000000000001</c:v>
                </c:pt>
                <c:pt idx="21">
                  <c:v>1.5659000000000001</c:v>
                </c:pt>
                <c:pt idx="22">
                  <c:v>0.72699999999999998</c:v>
                </c:pt>
                <c:pt idx="23">
                  <c:v>1.7372000000000001</c:v>
                </c:pt>
                <c:pt idx="24">
                  <c:v>1.8217000000000001</c:v>
                </c:pt>
                <c:pt idx="25">
                  <c:v>1.9056</c:v>
                </c:pt>
                <c:pt idx="26">
                  <c:v>1.6225000000000001</c:v>
                </c:pt>
                <c:pt idx="27">
                  <c:v>2.0714999999999999</c:v>
                </c:pt>
                <c:pt idx="28">
                  <c:v>2.1537000000000002</c:v>
                </c:pt>
                <c:pt idx="29">
                  <c:v>2.2353999999999998</c:v>
                </c:pt>
                <c:pt idx="30">
                  <c:v>1.5133000000000001</c:v>
                </c:pt>
                <c:pt idx="31">
                  <c:v>2.3975</c:v>
                </c:pt>
                <c:pt idx="32">
                  <c:v>2.4779</c:v>
                </c:pt>
                <c:pt idx="33">
                  <c:v>2.5579999999999998</c:v>
                </c:pt>
                <c:pt idx="34">
                  <c:v>1.4738</c:v>
                </c:pt>
                <c:pt idx="35">
                  <c:v>2.7172000000000001</c:v>
                </c:pt>
                <c:pt idx="36">
                  <c:v>2.7963</c:v>
                </c:pt>
                <c:pt idx="37">
                  <c:v>2.8751000000000002</c:v>
                </c:pt>
                <c:pt idx="38">
                  <c:v>2.9537</c:v>
                </c:pt>
                <c:pt idx="39">
                  <c:v>3.032</c:v>
                </c:pt>
                <c:pt idx="40">
                  <c:v>3.1101000000000001</c:v>
                </c:pt>
                <c:pt idx="41">
                  <c:v>3.1879</c:v>
                </c:pt>
                <c:pt idx="42">
                  <c:v>1.879</c:v>
                </c:pt>
                <c:pt idx="43">
                  <c:v>3.343</c:v>
                </c:pt>
                <c:pt idx="44">
                  <c:v>3.4201999999999999</c:v>
                </c:pt>
                <c:pt idx="45">
                  <c:v>3.4973000000000001</c:v>
                </c:pt>
                <c:pt idx="46">
                  <c:v>3.5741999999999998</c:v>
                </c:pt>
                <c:pt idx="47">
                  <c:v>3.6509</c:v>
                </c:pt>
                <c:pt idx="48">
                  <c:v>3.7273999999999998</c:v>
                </c:pt>
                <c:pt idx="49">
                  <c:v>3.8039000000000001</c:v>
                </c:pt>
                <c:pt idx="50">
                  <c:v>1.9850000000000001</c:v>
                </c:pt>
                <c:pt idx="51">
                  <c:v>3.9563000000000001</c:v>
                </c:pt>
                <c:pt idx="52">
                  <c:v>4.0323000000000002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15520"/>
        <c:axId val="199117056"/>
      </c:scatterChart>
      <c:valAx>
        <c:axId val="19911552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9117056"/>
        <c:crosses val="autoZero"/>
        <c:crossBetween val="midCat"/>
      </c:valAx>
      <c:valAx>
        <c:axId val="19911705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91155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585.54991912268952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511.26951909834139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5822.2879135898766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783"/>
  <sheetViews>
    <sheetView tabSelected="1" zoomScale="80" zoomScaleNormal="80"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C27" sqref="C27"/>
    </sheetView>
  </sheetViews>
  <sheetFormatPr baseColWidth="10" defaultRowHeight="12.75" outlineLevelCol="1" x14ac:dyDescent="0.2"/>
  <cols>
    <col min="1" max="1" width="12.140625" style="20" customWidth="1"/>
    <col min="2" max="5" width="11.5703125" style="20" customWidth="1" outlineLevel="1"/>
    <col min="6" max="6" width="12" style="20" customWidth="1"/>
    <col min="7" max="7" width="8.28515625" style="1" customWidth="1"/>
    <col min="8" max="16" width="5.42578125" style="1" customWidth="1" outlineLevel="1"/>
    <col min="17" max="18" width="2.140625" style="1" customWidth="1" outlineLevel="1"/>
    <col min="19" max="24" width="7.140625" style="1" customWidth="1" outlineLevel="1"/>
    <col min="25" max="25" width="4" style="1" customWidth="1" outlineLevel="1"/>
    <col min="26" max="26" width="4.28515625" style="1" customWidth="1" outlineLevel="1"/>
    <col min="27" max="32" width="7.140625" style="1" customWidth="1" outlineLevel="1"/>
    <col min="33" max="33" width="5" style="1" customWidth="1" outlineLevel="1"/>
    <col min="34" max="34" width="3" style="1" customWidth="1" outlineLevel="1"/>
    <col min="35" max="35" width="4.28515625" style="1" customWidth="1" outlineLevel="1"/>
    <col min="36" max="41" width="7.140625" style="1" customWidth="1" outlineLevel="1"/>
    <col min="42" max="43" width="10.85546875" style="1" customWidth="1" outlineLevel="1"/>
    <col min="44" max="44" width="3" style="1" customWidth="1" outlineLevel="1"/>
    <col min="45" max="52" width="12" style="1" customWidth="1" outlineLevel="1"/>
    <col min="53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65.42578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59</v>
      </c>
      <c r="F1" s="20">
        <f>+[1]Sheet1!$AD$2</f>
        <v>585.54991912268952</v>
      </c>
      <c r="G1" s="9" t="s">
        <v>11</v>
      </c>
      <c r="I1" s="104">
        <f ca="1">NOW()</f>
        <v>45797.638821759261</v>
      </c>
      <c r="J1" s="105"/>
      <c r="K1" s="105"/>
      <c r="L1" s="105"/>
      <c r="M1" s="105"/>
      <c r="N1" s="105"/>
      <c r="O1" s="105"/>
      <c r="P1" s="105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56</v>
      </c>
      <c r="AN1" s="21" t="s">
        <v>57</v>
      </c>
      <c r="AO1" s="21"/>
      <c r="AP1" s="21">
        <v>250520</v>
      </c>
      <c r="AQ1" s="21"/>
      <c r="AR1" s="21"/>
      <c r="AS1" s="22" t="str">
        <f>+B2</f>
        <v>250520</v>
      </c>
      <c r="AT1" s="22" t="str">
        <f>+AS1</f>
        <v>250520</v>
      </c>
      <c r="AU1" s="22" t="str">
        <f>+C2</f>
        <v>250523</v>
      </c>
      <c r="AV1" s="22" t="str">
        <f>+AU1</f>
        <v>250523</v>
      </c>
      <c r="AW1" s="22" t="str">
        <f>+D2</f>
        <v>250620</v>
      </c>
      <c r="AX1" s="22" t="str">
        <f>+AW1</f>
        <v>250620</v>
      </c>
      <c r="AY1" s="23">
        <f>+A3</f>
        <v>592.41</v>
      </c>
      <c r="BA1" s="22" t="str">
        <f>+AS1</f>
        <v>250520</v>
      </c>
      <c r="BB1" s="22"/>
      <c r="BC1" s="22" t="str">
        <f>+AU1</f>
        <v>250523</v>
      </c>
      <c r="BD1" s="22"/>
      <c r="BE1" s="22" t="str">
        <f>+AW1</f>
        <v>250620</v>
      </c>
      <c r="BF1" s="22">
        <f>+AY1</f>
        <v>592.41</v>
      </c>
      <c r="BG1" s="95"/>
      <c r="BH1" s="23">
        <f ca="1">MAX(BH4:BH38)</f>
        <v>611842</v>
      </c>
      <c r="BI1" s="1">
        <f ca="1">IFERROR(IF(MAX(BH4:BH38)&lt;&gt;0,INDEX(A4:A38,MATCH(MAX(BH4:BH38),BH4:BH38,0)),""),"")</f>
        <v>594</v>
      </c>
      <c r="BJ1" s="22"/>
      <c r="BK1" s="22"/>
      <c r="BL1" s="22"/>
      <c r="BM1" s="22"/>
      <c r="BN1" s="22"/>
      <c r="BO1" s="22"/>
      <c r="BP1" s="64">
        <v>1</v>
      </c>
      <c r="BQ1" s="22">
        <f ca="1">IF(BR1&gt;BR2,IF(MAX(BQ4:BQ38)&lt;&gt;0,INDEX(A4:A38,MATCH(MAX(BQ4:BQ38),BQ4:BQ38,0)),A3),IF(MIN(BQ4:BQ38)&lt;&gt;0,INDEX(A4:A38,MATCH(MIN(BQ4:BQ38),BQ4:BQ38,0))))</f>
        <v>593</v>
      </c>
      <c r="BR1" s="22">
        <f ca="1">+MAX(BQ4:BQ38)</f>
        <v>366142812.82486165</v>
      </c>
      <c r="BS1" s="22">
        <f ca="1">IF(BT1&gt;BT2,IF(MAX(BS4:BS38)&lt;&gt;0,INDEX(A4:A38,MATCH(MAX(BS4:BS38),BS4:BS38,0)),A3),IF(MIN(BS4:BS38)&lt;&gt;0,INDEX(A4:A38,MATCH(MIN(BS4:BS38),BS4:BS38,0))))</f>
        <v>590</v>
      </c>
      <c r="BT1" s="22">
        <f ca="1">+MAX(BS4:BS38)</f>
        <v>164058365.26607019</v>
      </c>
      <c r="BU1" s="22">
        <f ca="1">IF(BV1&gt;BV2,IF(MAX(BU4:BU38)&lt;&gt;0,INDEX(A4:A38,MATCH(MAX(BU4:BU38),BU4:BU38,0)),A3),IF(MIN(BU4:BU38)&lt;&gt;0,INDEX(A4:A38,MATCH(MIN(BU4:BU38),BU4:BU38,0))))</f>
        <v>600</v>
      </c>
      <c r="BV1" s="22">
        <f ca="1">+MAX(BU4:BU38)</f>
        <v>1136109680.3525763</v>
      </c>
      <c r="BX1" s="22">
        <f ca="1">IF(BY1&gt;BZ1,IF(MAX(BX4:BX38)&lt;&gt;0,INDEX(G4:G38,MATCH(MAX(BX4:BX38),BX4:BX38,0)),G3),IF(MIN(BX4:BX38)&lt;&gt;0,INDEX(G4:G38,MATCH(MIN(BX4:BX38),BX4:BX38,0))))</f>
        <v>0</v>
      </c>
      <c r="BY1" s="22">
        <f ca="1">+MAX(BX4:BX38)</f>
        <v>68524327978.696564</v>
      </c>
      <c r="BZ1" s="22">
        <f ca="1">ABS(MIN(BX4:BX38))</f>
        <v>23004712683.29232</v>
      </c>
      <c r="CA1" s="22"/>
      <c r="CB1" s="22"/>
      <c r="CC1" s="22">
        <f ca="1">+AVERAGE(BY39:BY40,CA39:CA40,CC39:CC40)</f>
        <v>591.5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406004639.04000002</v>
      </c>
      <c r="CM1" s="22">
        <f>ABS(MIN(CK4:CK38))</f>
        <v>669548890.91999996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594</v>
      </c>
      <c r="CR1" s="22">
        <f>+MAX(CQ4:CQ38)</f>
        <v>479903</v>
      </c>
      <c r="CS1" s="22">
        <f>ABS(MIN(CQ4:CQ38))</f>
        <v>300502</v>
      </c>
      <c r="CT1" s="22"/>
      <c r="CU1" s="22"/>
      <c r="CV1" s="22"/>
      <c r="CW1" s="22">
        <f ca="1">IF(CX1&gt;CY1,IF(MAX(CW4:CW38)&lt;&gt;0,INDEX(A4:A38,MATCH(MAX(CW4:CW38),CW4:CW38,0)),M3),IF(MIN(CW4:CW38)&lt;&gt;0,INDEX(A4:A38,MATCH(MIN(CW4:CW38),CW4:CW38,0))))</f>
        <v>600</v>
      </c>
      <c r="CX1" s="61">
        <f ca="1">+MAX(CW4:CW38)</f>
        <v>1511151769.1618209</v>
      </c>
      <c r="CY1" s="22">
        <f ca="1">ABS(MIN(CW4:CW38))</f>
        <v>413398664.84143114</v>
      </c>
      <c r="DA1" s="22" t="str">
        <f>+B2</f>
        <v>250520</v>
      </c>
      <c r="DB1" s="22"/>
      <c r="DC1" s="22" t="str">
        <f>+DA1</f>
        <v>250520</v>
      </c>
      <c r="DD1" s="22"/>
      <c r="DE1" s="22" t="str">
        <f>+DC1</f>
        <v>250520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/>
      <c r="DV1" s="22" t="s">
        <v>56</v>
      </c>
      <c r="DW1" s="22" t="s">
        <v>57</v>
      </c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45797.638821643515</v>
      </c>
      <c r="EL1" s="87">
        <f>B42+$DX$1</f>
        <v>45797.677083333336</v>
      </c>
      <c r="EM1" s="88">
        <f ca="1">+EL1-$EK$1</f>
        <v>3.8261689820501488E-2</v>
      </c>
      <c r="EN1" s="87">
        <f>C42+$DX$1</f>
        <v>45800.677083333336</v>
      </c>
      <c r="EO1" s="88">
        <f ca="1">+EN1-$EK$1</f>
        <v>3.0382616898205015</v>
      </c>
      <c r="EP1" s="87">
        <f>D42+$DX$1</f>
        <v>45828.677083333336</v>
      </c>
      <c r="EQ1" s="88">
        <f ca="1">+EP1-$EK$1</f>
        <v>31.038261689820501</v>
      </c>
      <c r="ES1" s="66"/>
    </row>
    <row r="2" spans="1:162" ht="13.5" thickBot="1" x14ac:dyDescent="0.25">
      <c r="A2" s="24" t="s">
        <v>13</v>
      </c>
      <c r="B2" s="18" t="str">
        <f>+TEXT(B42,"YYMMDD")</f>
        <v>250520</v>
      </c>
      <c r="C2" s="18" t="str">
        <f>+TEXT(C42,"YYMMDD")</f>
        <v>250523</v>
      </c>
      <c r="D2" s="18" t="str">
        <f>+TEXT(D42,"YYMMDD")</f>
        <v>250620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>
        <f ca="1">ABS(+MIN(BQ4:BQ38))</f>
        <v>349106282.81940287</v>
      </c>
      <c r="BS2" s="22" t="s">
        <v>11</v>
      </c>
      <c r="BT2" s="25">
        <f ca="1">ABS(+MIN(BS4:BS38))</f>
        <v>166466174.86565423</v>
      </c>
      <c r="BU2" s="22" t="s">
        <v>11</v>
      </c>
      <c r="BV2" s="25">
        <f ca="1">ABS(+MIN(BU4:BU38))</f>
        <v>155185544.1139164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3.8261689820501488E-2</v>
      </c>
      <c r="ET2" s="64" t="s">
        <v>22</v>
      </c>
    </row>
    <row r="3" spans="1:162" s="63" customFormat="1" ht="13.5" thickBot="1" x14ac:dyDescent="0.25">
      <c r="A3" s="26">
        <f>RTD("tos.rtd", ,"MARK", A2)</f>
        <v>592.41</v>
      </c>
      <c r="B3" s="27">
        <f>+AS3/AT3</f>
        <v>-0.74292692741926469</v>
      </c>
      <c r="C3" s="27">
        <f>+AU3/AV3</f>
        <v>-0.63993720320441805</v>
      </c>
      <c r="D3" s="27">
        <f>+AW3/AX3</f>
        <v>-1.8081802362853741</v>
      </c>
      <c r="E3" s="28">
        <v>0</v>
      </c>
      <c r="F3" s="26">
        <f>RTD("tos.rtd", ,"MARK", F2)</f>
        <v>5955.25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2709773</v>
      </c>
      <c r="AQ3" s="1">
        <v>-2165907</v>
      </c>
      <c r="AR3" s="1"/>
      <c r="AS3" s="13">
        <f t="shared" ref="AS3:AX3" si="0">SUM(AS4:AS38)</f>
        <v>132923</v>
      </c>
      <c r="AT3" s="29">
        <f t="shared" si="0"/>
        <v>-178918</v>
      </c>
      <c r="AU3" s="13">
        <f t="shared" si="0"/>
        <v>114950</v>
      </c>
      <c r="AV3" s="29">
        <f t="shared" si="0"/>
        <v>-179627</v>
      </c>
      <c r="AW3" s="13">
        <f t="shared" si="0"/>
        <v>493588</v>
      </c>
      <c r="AX3" s="29">
        <f t="shared" si="0"/>
        <v>-272975</v>
      </c>
      <c r="AY3" s="29">
        <f>SUM(AY4:AY38)</f>
        <v>109941</v>
      </c>
      <c r="AZ3" s="1">
        <v>0</v>
      </c>
      <c r="BA3" s="13">
        <f t="shared" ref="BA3:BF3" si="1">SUM(BA4:BA38)</f>
        <v>2709773</v>
      </c>
      <c r="BB3" s="29">
        <f t="shared" si="1"/>
        <v>-2165907</v>
      </c>
      <c r="BC3" s="13">
        <f t="shared" si="1"/>
        <v>219723</v>
      </c>
      <c r="BD3" s="29">
        <f t="shared" si="1"/>
        <v>-253786</v>
      </c>
      <c r="BE3" s="13">
        <f t="shared" si="1"/>
        <v>30509</v>
      </c>
      <c r="BF3" s="29">
        <f t="shared" si="1"/>
        <v>-61347</v>
      </c>
      <c r="BG3" s="31"/>
      <c r="BH3" s="29">
        <f ca="1">SUM(BH4:BH38)</f>
        <v>627505</v>
      </c>
      <c r="BI3" s="1"/>
      <c r="BJ3" s="3">
        <f t="shared" ref="BJ3:BO3" ca="1" si="2">SUM(BJ4:BJ38)</f>
        <v>1.4099312245194446</v>
      </c>
      <c r="BK3" s="3">
        <f t="shared" ca="1" si="2"/>
        <v>-1.5204405290889809</v>
      </c>
      <c r="BL3" s="3">
        <f t="shared" ca="1" si="2"/>
        <v>0.82706476504713944</v>
      </c>
      <c r="BM3" s="3">
        <f t="shared" ca="1" si="2"/>
        <v>-0.83775394278497861</v>
      </c>
      <c r="BN3" s="3">
        <f t="shared" ca="1" si="2"/>
        <v>0.86892819499191243</v>
      </c>
      <c r="BO3" s="3">
        <f t="shared" ca="1" si="2"/>
        <v>-0.84560054195642897</v>
      </c>
      <c r="BQ3" s="3">
        <f ca="1">SUM(BQ4:BQ38)</f>
        <v>-430691931.98900461</v>
      </c>
      <c r="BR3" s="3"/>
      <c r="BS3" s="3">
        <f ca="1">SUM(BS4:BS38)</f>
        <v>-304102430.13286984</v>
      </c>
      <c r="BT3" s="3"/>
      <c r="BU3" s="3">
        <f ca="1">SUM(BU4:BU38)</f>
        <v>2404941040.5925236</v>
      </c>
      <c r="BV3" s="3"/>
      <c r="BX3" s="3">
        <f ca="1">SUM(BX4:BX38)</f>
        <v>60333443838.558868</v>
      </c>
      <c r="BY3" s="3"/>
      <c r="BZ3" s="3">
        <f ca="1">SUM(BZ4:BZ38)</f>
        <v>216842725.16199419</v>
      </c>
      <c r="CA3" s="3"/>
      <c r="CB3" s="3">
        <f ca="1">SUM(CB4:CB38)</f>
        <v>-137536419.2504456</v>
      </c>
      <c r="CC3" s="3"/>
      <c r="CD3" s="3">
        <f t="shared" ref="CD3:CI3" si="3">SUM(CD4:CD38)</f>
        <v>25.02</v>
      </c>
      <c r="CE3" s="3">
        <f t="shared" si="3"/>
        <v>9.7199999999999971</v>
      </c>
      <c r="CF3" s="3">
        <f t="shared" si="3"/>
        <v>24.169999999999995</v>
      </c>
      <c r="CG3" s="3">
        <f t="shared" si="3"/>
        <v>11.039999999999997</v>
      </c>
      <c r="CH3" s="3">
        <f t="shared" si="3"/>
        <v>21.61</v>
      </c>
      <c r="CI3" s="3">
        <f t="shared" si="3"/>
        <v>13.530000000000001</v>
      </c>
      <c r="CK3" s="3">
        <f>SUM(CK4:CK38)</f>
        <v>487892880.92999989</v>
      </c>
      <c r="CL3" s="3"/>
      <c r="CM3" s="3">
        <f>SUM(CM4:CM38)</f>
        <v>1328728237.1999998</v>
      </c>
      <c r="CN3" s="3"/>
      <c r="CO3" s="3">
        <f>SUM(CO4:CO38)</f>
        <v>11692165130.099998</v>
      </c>
      <c r="CP3" s="3"/>
      <c r="CQ3" s="3">
        <f>SUM(CQ4:CQ38)</f>
        <v>543866</v>
      </c>
      <c r="CR3" s="3"/>
      <c r="CS3" s="3">
        <f>SUM(CS4:CS38)</f>
        <v>-34063</v>
      </c>
      <c r="CT3" s="3"/>
      <c r="CU3" s="3">
        <f>SUM(CU4:CU38)</f>
        <v>-30838</v>
      </c>
      <c r="CV3" s="3"/>
      <c r="CW3" s="3">
        <f ca="1">SUM(CW4:CW38)</f>
        <v>1670146678.4706495</v>
      </c>
      <c r="CY3" s="3">
        <f ca="1">SUM(CY4:CY38)</f>
        <v>60412750144.470406</v>
      </c>
      <c r="DA3" s="3">
        <f t="shared" ref="DA3:DF3" si="4">SUM(DA4:DA38)</f>
        <v>294.65999999999997</v>
      </c>
      <c r="DB3" s="3">
        <f t="shared" si="4"/>
        <v>52.989999999999952</v>
      </c>
      <c r="DC3" s="3">
        <f t="shared" si="4"/>
        <v>325.18000000000006</v>
      </c>
      <c r="DD3" s="3">
        <f t="shared" si="4"/>
        <v>58.109999999999964</v>
      </c>
      <c r="DE3" s="3">
        <f t="shared" si="4"/>
        <v>287.2</v>
      </c>
      <c r="DF3" s="3">
        <f t="shared" si="4"/>
        <v>45.339999999999989</v>
      </c>
      <c r="DG3" s="86"/>
      <c r="DH3" s="3">
        <f t="shared" ref="DH3:DH38" si="5">IFERROR(((DA3-DE3)/(DC3-DE3))*(BA3-AP3),0)</f>
        <v>0</v>
      </c>
      <c r="DI3" s="3">
        <f t="shared" ref="DI3:DI38" si="6">IFERROR(((DB3-DF3)/(DD3-DF3))*(BB3-AQ3),0)</f>
        <v>0</v>
      </c>
      <c r="DJ3" s="3">
        <f t="shared" ref="DJ3:DJ38" si="7">IF(DA3&gt;=(DE3+(DC3-DE3)*0.6),(BA3-AP3),IF(DA3&lt;=(DE3+(DC3-DE3)*0.4),-(BA3-AP3),0))</f>
        <v>0</v>
      </c>
      <c r="DK3" s="3">
        <f t="shared" ref="DK3:DK38" si="8">IF(DB3&lt;=(DF3+(DD3-DF3)*0.4),-(BB3-AQ3),IF(DB3&gt;=(DF3+(DD3-DF3)*0.6),(BB3-AQ3),0))</f>
        <v>0</v>
      </c>
      <c r="DL3" s="3">
        <f t="shared" ref="DL3:DL38" si="9">IFERROR(DH3+DI3,0)</f>
        <v>0</v>
      </c>
      <c r="DM3" s="3">
        <f t="shared" ref="DM3:DM38" si="10">IFERROR(DJ3+DK3,0)</f>
        <v>0</v>
      </c>
      <c r="DP3" s="3">
        <f>SUM(DP4:DP38)</f>
        <v>0</v>
      </c>
      <c r="DQ3" s="3">
        <f>SUM(DQ4:DQ38)</f>
        <v>0</v>
      </c>
      <c r="DR3" s="3">
        <f ca="1">SUM(DR4:DR38)</f>
        <v>0</v>
      </c>
      <c r="DS3" s="3">
        <f>SUM(DS4:DS38)</f>
        <v>0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11">SUM(EE4:EE38)</f>
        <v>11.332000000000001</v>
      </c>
      <c r="EF3" s="3">
        <f t="shared" si="11"/>
        <v>32.033799999999999</v>
      </c>
      <c r="EG3" s="3">
        <f t="shared" si="11"/>
        <v>5.3999000000000006</v>
      </c>
      <c r="EH3" s="3">
        <f t="shared" si="11"/>
        <v>6.5487000000000002</v>
      </c>
      <c r="EI3" s="3">
        <f t="shared" si="11"/>
        <v>5.7606000000000002</v>
      </c>
      <c r="EJ3" s="3">
        <f t="shared" si="11"/>
        <v>6.0227999999999993</v>
      </c>
      <c r="EK3" s="63">
        <f ca="1">SUM(EK4:EK38)</f>
        <v>4111325761.2216439</v>
      </c>
      <c r="EL3" s="3">
        <f t="shared" ref="EL3:EQ3" si="12">SUM(EL4:EL38)</f>
        <v>0</v>
      </c>
      <c r="EM3" s="3">
        <f t="shared" si="12"/>
        <v>0</v>
      </c>
      <c r="EN3" s="3">
        <f t="shared" si="12"/>
        <v>0</v>
      </c>
      <c r="EO3" s="3">
        <f t="shared" si="12"/>
        <v>0</v>
      </c>
      <c r="EP3" s="3">
        <f t="shared" si="12"/>
        <v>0</v>
      </c>
      <c r="EQ3" s="3">
        <f t="shared" si="12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ROUND(585/$A$39,0)*$A$39+17*$A$39</f>
        <v>602</v>
      </c>
      <c r="B4" s="3">
        <f t="shared" ref="B4:B38" si="13">+IF($A$1="ABS",AS4-AT4,AS4+AT4)</f>
        <v>6370</v>
      </c>
      <c r="C4" s="3">
        <f t="shared" ref="C4:C38" si="14">+IF($A$1="ABS",AU4-AV4,AU4+AV4)</f>
        <v>961</v>
      </c>
      <c r="D4" s="3">
        <f t="shared" ref="D4:D38" si="15">+IF($A$1="ABS",AW4-AX4,AW4+AX4)</f>
        <v>741</v>
      </c>
      <c r="E4" s="3">
        <f t="shared" ref="E4:E38" si="16">SUM(B4:D4)</f>
        <v>8072</v>
      </c>
      <c r="F4" s="4">
        <f t="shared" ref="F4:F38" si="17">+$F$3/$A$3*A4</f>
        <v>6051.6542597187763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1278</v>
      </c>
      <c r="AN4" s="1">
        <v>17</v>
      </c>
      <c r="AO4" s="1">
        <v>602</v>
      </c>
      <c r="AP4" s="1">
        <v>10736</v>
      </c>
      <c r="AQ4" s="1">
        <v>-217</v>
      </c>
      <c r="AR4" s="1"/>
      <c r="AS4" s="6">
        <f>IF(RTD("tos.rtd",,AS$2,"."&amp;$A$2&amp;$AS$1&amp;"C"&amp;$A4)="N/A",0,RTD("tos.rtd",,AS$2,"."&amp;$A$2&amp;$AS$1&amp;"C"&amp;$A4))</f>
        <v>6323</v>
      </c>
      <c r="AT4" s="7">
        <f>-IF(RTD("tos.rtd",,AT$2,"."&amp;$A$2&amp;$AS$1&amp;"P"&amp;$A4)="N/A",0,RTD("tos.rtd",,AT$2,"."&amp;$A$2&amp;$AS$1&amp;"P"&amp;$A4))</f>
        <v>-47</v>
      </c>
      <c r="AU4" s="6">
        <f>IF(RTD("tos.rtd",,AU$2,"."&amp;$A$2&amp;$AU$1&amp;"C"&amp;$A4)="N/A",0,RTD("tos.rtd",,AU$2,"."&amp;$A$2&amp;$AU$1&amp;"C"&amp;$A4))</f>
        <v>918</v>
      </c>
      <c r="AV4" s="7">
        <f>-IF(RTD("tos.rtd",,AV$2,"."&amp;$A$2&amp;$AU$1&amp;"P"&amp;$A4)="N/A",0,RTD("tos.rtd",,AV$2,"."&amp;$A$2&amp;$AU$1&amp;"P"&amp;$A4))</f>
        <v>-43</v>
      </c>
      <c r="AW4" s="6">
        <f>IF(RTD("tos.rtd",,AW$2,"."&amp;$A$2&amp;$AW$1&amp;"C"&amp;$A4)="N/A",0,RTD("tos.rtd",,AW$2,"."&amp;$A$2&amp;$AW$1&amp;"C"&amp;$A4))</f>
        <v>729</v>
      </c>
      <c r="AX4" s="7">
        <f>-IF(RTD("tos.rtd",,AX$2,"."&amp;$A$2&amp;$AW$1&amp;"P"&amp;$A4)="N/A",0,RTD("tos.rtd",,AX$2,"."&amp;$A$2&amp;$AW$1&amp;"P"&amp;$A4))</f>
        <v>-12</v>
      </c>
      <c r="AY4" s="1">
        <f>SUM(AS4:AX4)</f>
        <v>7868</v>
      </c>
      <c r="AZ4" s="8">
        <f>+A4</f>
        <v>602</v>
      </c>
      <c r="BA4" s="30">
        <f>IF(RTD("tos.rtd",,BA$2,"."&amp;$A$2&amp;$AS$1&amp;"C"&amp;$A4)="N/A",0,RTD("tos.rtd",,BA$2,"."&amp;$A$2&amp;$AS$1&amp;"C"&amp;$A4))</f>
        <v>10736</v>
      </c>
      <c r="BB4" s="31">
        <f>-IF(RTD("tos.rtd",,BB$2,"."&amp;$A$2&amp;$AS$1&amp;"P"&amp;$A4)="N/A",0,RTD("tos.rtd",,BB$2,"."&amp;$A$2&amp;$AS$1&amp;"P"&amp;$A4))</f>
        <v>-217</v>
      </c>
      <c r="BC4" s="30">
        <f>IF(RTD("tos.rtd",,BC$2,"."&amp;$A$2&amp;$AU$1&amp;"C"&amp;$A4)="N/A",0,RTD("tos.rtd",,BC$2,"."&amp;$A$2&amp;$AU$1&amp;"C"&amp;$A4))</f>
        <v>3046</v>
      </c>
      <c r="BD4" s="31">
        <f>-IF(RTD("tos.rtd",,BD$2,"."&amp;$A$2&amp;$AU$1&amp;"P"&amp;$A4)="N/A",0,RTD("tos.rtd",,BD$2,"."&amp;$A$2&amp;$AU$1&amp;"P"&amp;$A4))</f>
        <v>-93</v>
      </c>
      <c r="BE4" s="30">
        <f>IF(RTD("tos.rtd",,BE$2,"."&amp;$A$2&amp;$AW$1&amp;"C"&amp;$A4)="N/A",0,RTD("tos.rtd",,BE$2,"."&amp;$A$2&amp;$AW$1&amp;"C"&amp;$A4))</f>
        <v>476</v>
      </c>
      <c r="BF4" s="99">
        <f>-IF(RTD("tos.rtd",,BF$2,"."&amp;$A$2&amp;$AW$1&amp;"P"&amp;$A4)="N/A",0,RTD("tos.rtd",,BF$2,"."&amp;$A$2&amp;$AW$1&amp;"P"&amp;$A4))</f>
        <v>-63</v>
      </c>
      <c r="BG4" s="32">
        <f ca="1">+Hoja2!Y5</f>
        <v>11422</v>
      </c>
      <c r="BH4" s="31">
        <f ca="1">SUM(BA4:BG4)</f>
        <v>25307</v>
      </c>
      <c r="BI4" s="8"/>
      <c r="BJ4" s="3">
        <f ca="1">IF($BP$1=1,DX4,IF(RTD("tos.rtd",,BJ$2,"."&amp;$A$2&amp;$AS$1&amp;"C"&amp;$A4)="N/A",0,RTD("tos.rtd",,BJ$2,"."&amp;$A$2&amp;$AS$1&amp;"C"&amp;$A4)))</f>
        <v>1.7934095775337583E-2</v>
      </c>
      <c r="BK4" s="3">
        <f ca="1">IF($BP$1=1,DY4,-IF(RTD("tos.rtd",,BK$2,"."&amp;$A$2&amp;$AS$1&amp;"P"&amp;$A4)="N/A",0,RTD("tos.rtd",,BK$2,"."&amp;$A$2&amp;$AS$1&amp;"P"&amp;$A4)))</f>
        <v>-2.5643837595001898E-2</v>
      </c>
      <c r="BL4" s="3">
        <f ca="1">IF($BP$1=1,DZ4,IF(RTD("tos.rtd",,BL$2,"."&amp;$A$2&amp;$AU$1&amp;"C"&amp;$A4)="N/A",0,RTD("tos.rtd",,BL$2,"."&amp;$A$2&amp;$AU$1&amp;"C"&amp;$A4)))</f>
        <v>2.6425267472824553E-2</v>
      </c>
      <c r="BM4" s="3">
        <f ca="1">IF($BP$1=1,EA4,-IF(RTD("tos.rtd",,BM$2,"."&amp;$A$2&amp;$AU$1&amp;"P"&amp;$A4)="N/A",0,RTD("tos.rtd",,BM$2,"."&amp;$A$2&amp;$AU$1&amp;"P"&amp;$A4)))</f>
        <v>-2.5916023855955171E-2</v>
      </c>
      <c r="BN4" s="3">
        <f ca="1">IF($BP$1=1,EB4,IF(RTD("tos.rtd",,BN$2,"."&amp;$A$2&amp;$AW$1&amp;"C"&amp;$A4)="N/A",0,RTD("tos.rtd",,BN$2,"."&amp;$A$2&amp;$AW$1&amp;"C"&amp;$A4)))</f>
        <v>2.6378032577450545E-2</v>
      </c>
      <c r="BO4" s="3">
        <f ca="1">IF($BP$1=1,EC4,-IF(RTD("tos.rtd",,BO$2,"."&amp;$A$2&amp;$AW$1&amp;"P"&amp;$A4)="N/A",0,RTD("tos.rtd",,BO$2,"."&amp;$A$2&amp;$AW$1&amp;"P"&amp;$A4)))</f>
        <v>-2.6397080255890423E-2</v>
      </c>
      <c r="BQ4" s="3">
        <f ca="1">+$A$3*$A$3*AS4*BJ4-$A$3*$A$3*AT4*BK4</f>
        <v>39373747.984977052</v>
      </c>
      <c r="BR4" s="3"/>
      <c r="BS4" s="3">
        <f ca="1">+$A$3*$A$3*AU4*BL4-$A$3*$A$3*AV4*BM4</f>
        <v>8122380.0160387829</v>
      </c>
      <c r="BT4" s="3"/>
      <c r="BU4" s="3">
        <f ca="1">+$A$3*$A$3*AW4*BN4-$A$3*$A$3*AX4*BO4</f>
        <v>6637447.0428738957</v>
      </c>
      <c r="BV4" s="3"/>
      <c r="BX4" s="3">
        <f ca="1">+$A$3*$A$3*BA4*BJ4-$A$3*$A$3*BB4*BK4</f>
        <v>65619062.496787407</v>
      </c>
      <c r="BY4" s="3"/>
      <c r="BZ4" s="3">
        <f ca="1">+$A$3*$A$3*BC4*BL4-$A$3*$A$3*BD4*BM4</f>
        <v>27402557.592033062</v>
      </c>
      <c r="CA4" s="3"/>
      <c r="CB4" s="3">
        <f ca="1">+$A$3*$A$3*BE4*BN4-$A$3*$A$3*BF4*BO4</f>
        <v>3822868.6199008161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0.93</v>
      </c>
      <c r="CF4" s="3">
        <f>IF(RTD("tos.rtd",,CF$2,"."&amp;$A$2&amp;$AU$1&amp;"C"&amp;$A4)="N/A",0,RTD("tos.rtd",,CF$2,"."&amp;$A$2&amp;$AU$1&amp;"C"&amp;$A4))</f>
        <v>0.12</v>
      </c>
      <c r="CG4" s="3">
        <f>-IF(RTD("tos.rtd",,CG$2,"."&amp;$A$2&amp;$AU$1&amp;"P"&amp;$A4)="N/A",0,RTD("tos.rtd",,CG$2,"."&amp;$A$2&amp;$AU$1&amp;"P"&amp;$A4))</f>
        <v>0.85</v>
      </c>
      <c r="CH4" s="3">
        <f>IF(RTD("tos.rtd",,CH$2,"."&amp;$A$2&amp;$AW$1&amp;"C"&amp;$A4)="N/A",0,RTD("tos.rtd",,CH$2,"."&amp;$A$2&amp;$AW$1&amp;"C"&amp;$A4))</f>
        <v>0.38</v>
      </c>
      <c r="CI4" s="3">
        <f>-IF(RTD("tos.rtd",,CI$2,"."&amp;$A$2&amp;$AW$1&amp;"P"&amp;$A4)="N/A",0,RTD("tos.rtd",,CI$2,"."&amp;$A$2&amp;$AW$1&amp;"P"&amp;$A4))</f>
        <v>0.62</v>
      </c>
      <c r="CK4" s="3">
        <f>+AS4*CD4*100*$A$3+AT4*CE4*100*$A$3</f>
        <v>-2589424.11</v>
      </c>
      <c r="CL4" s="3"/>
      <c r="CM4" s="3">
        <f>+AU4*CF4*100*$A$3+AV4*CG4*100*$A$3</f>
        <v>4360730.01</v>
      </c>
      <c r="CN4" s="3"/>
      <c r="CO4" s="3">
        <f>+AW4*CH4*100*$A$3+AX4*CI4*100*$A$3</f>
        <v>15970188.779999999</v>
      </c>
      <c r="CP4" s="3">
        <f>+CK4+CM4+CO4</f>
        <v>17741494.68</v>
      </c>
      <c r="CQ4" s="3">
        <f>+BA4+BB4</f>
        <v>10519</v>
      </c>
      <c r="CR4" s="3"/>
      <c r="CS4" s="3">
        <f t="shared" ref="CS4:CS38" si="18">+BC4+BD4</f>
        <v>2953</v>
      </c>
      <c r="CT4" s="3"/>
      <c r="CU4" s="3">
        <f t="shared" ref="CU4:CU38" si="19">+BE4+BF4</f>
        <v>413</v>
      </c>
      <c r="CV4" s="3">
        <f>+CQ4+CS4+CU4</f>
        <v>13885</v>
      </c>
      <c r="CW4" s="3">
        <f ca="1">+BQ4+BS4+BU4</f>
        <v>54133575.043889731</v>
      </c>
      <c r="CX4" s="85"/>
      <c r="CY4" s="3">
        <f ca="1">+BX4+BZ4+CB4</f>
        <v>96844488.708721295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9.6199999999999992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10.62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8.83</v>
      </c>
      <c r="DG4" s="86">
        <f>+$A4-$A$3</f>
        <v>9.5900000000000318</v>
      </c>
      <c r="DH4" s="3">
        <f t="shared" si="5"/>
        <v>0</v>
      </c>
      <c r="DI4" s="3">
        <f t="shared" si="6"/>
        <v>0</v>
      </c>
      <c r="DJ4" s="3">
        <f t="shared" si="7"/>
        <v>0</v>
      </c>
      <c r="DK4" s="3">
        <f t="shared" si="8"/>
        <v>0</v>
      </c>
      <c r="DL4" s="3">
        <f t="shared" si="9"/>
        <v>0</v>
      </c>
      <c r="DM4" s="3">
        <f t="shared" si="10"/>
        <v>0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</v>
      </c>
      <c r="DQ4" s="3">
        <f>+DA4*DJ4+DB4*DK4</f>
        <v>0</v>
      </c>
      <c r="DR4" s="3">
        <f ca="1">+BJ4*DJ4+BK4*DK4</f>
        <v>0</v>
      </c>
      <c r="DS4" s="3">
        <f>+CD4*DJ4+CE4*DK4</f>
        <v>0</v>
      </c>
      <c r="DT4" s="3">
        <f>BA4-VLOOKUP(AZ4,$AO$4:$AQ$38,2,FALSE)</f>
        <v>0</v>
      </c>
      <c r="DU4" s="3">
        <f>BB4-VLOOKUP(AZ4,$AO$4:$AQ$38,3,FALSE)</f>
        <v>0</v>
      </c>
      <c r="DV4" s="3">
        <f>AM4+IF(DN4="BUY",DT4,IF(DN4="SELL",-DT4,0))</f>
        <v>1278</v>
      </c>
      <c r="DW4" s="3">
        <f t="shared" ref="DW4:DW38" si="20">AN4+IF(DO4="BUY",DU4,IF(DO4="SELL",-DU4,0))</f>
        <v>17</v>
      </c>
      <c r="DX4" s="3">
        <f t="shared" ref="DX4:DX38" ca="1" si="21">(EXP(-POWER((LN($A$3/$A4)+($EC$1+POWER($EE4,2)/2)*($EM$1/$DY$1))/($EE4*SQRT($EM$1/$DY$1)),2)/2)/SQRT(2*PI())/($A$3*$EE4*SQRT($EM$1/$DY$1)))</f>
        <v>1.7934095775337583E-2</v>
      </c>
      <c r="DY4" s="3">
        <f t="shared" ref="DY4:DY38" ca="1" si="22">-(EXP(-POWER((LN($A$3/$A4)+($EC$1+POWER($EF4,2)/2)*($EM$1/$DY$1))/($EF4*SQRT($EM$1/$DY$1)),2)/2)/SQRT(2*PI())/($A$3*$EF4*SQRT($EM$1/$DY$1)))</f>
        <v>-2.5643837595001898E-2</v>
      </c>
      <c r="DZ4" s="3">
        <f t="shared" ref="DZ4:DZ38" ca="1" si="23">(EXP(-POWER((LN($A$3/$A4)+($EC$1+POWER($EG4,2)/2)*($EO$1/$DY$1))/($EG4*SQRT($EO$1/$DY$1)),2)/2)/SQRT(2*PI())/($A$3*$EG4*SQRT($EO$1/$DY$1)))</f>
        <v>2.6425267472824553E-2</v>
      </c>
      <c r="EA4" s="3">
        <f t="shared" ref="EA4:EA38" ca="1" si="24">-(EXP(-POWER((LN($A$3/$A4)+($EC$1+POWER($EH4,2)/2)*($EO$1/$DY$1))/($EH4*SQRT($EO$1/$DY$1)),2)/2)/SQRT(2*PI())/($A$3*$EH4*SQRT($EO$1/$DY$1)))</f>
        <v>-2.5916023855955171E-2</v>
      </c>
      <c r="EB4" s="3">
        <f t="shared" ref="EB4:EB38" ca="1" si="25">(EXP(-POWER((LN($A$3/$A4)+($EC$1+POWER($EI4,2)/2)*($EO$1/$DY$1))/($EI4*SQRT($EO$1/$DY$1)),2)/2)/SQRT(2*PI())/($A$3*$EI4*SQRT($EO$1/$DY$1)))</f>
        <v>2.6378032577450545E-2</v>
      </c>
      <c r="EC4" s="3">
        <f t="shared" ref="EC4:EC38" ca="1" si="26">-(EXP(-POWER((LN($A$3/$A4)+($EC$1+POWER($EJ4,2)/2)*($EO$1/$DY$1))/($EJ4*SQRT($EO$1/$DY$1)),2)/2)/SQRT(2*PI())/($A$3*$EJ4*SQRT($EO$1/$DY$1)))</f>
        <v>-2.6397080255890423E-2</v>
      </c>
      <c r="ED4" s="63">
        <f>+DV4+DW4</f>
        <v>1295</v>
      </c>
      <c r="EE4" s="59">
        <f>IFERROR(VALUE(IF(OR(EL4="--",EL4="0.00%"),$EE$1,EL4)),$EE$1)</f>
        <v>0.81089999999999995</v>
      </c>
      <c r="EF4" s="59">
        <f t="shared" ref="EF4:EF38" si="27">IFERROR(VALUE(IF(OR(EM4="--",EM4="0.00%"),$EE$1,EM4)),$EE$1)</f>
        <v>1.3552</v>
      </c>
      <c r="EG4" s="59">
        <f t="shared" ref="EG4:EG38" si="28">IFERROR(VALUE(IF(OR(EN4="--",EN4="0.00%"),$EE$1,EN4)),$EE$1)</f>
        <v>0.14610000000000001</v>
      </c>
      <c r="EH4" s="59">
        <f t="shared" ref="EH4:EH38" si="29">IFERROR(VALUE(IF(OR(EO4="--",EO4="0.00%"),$EE$1,EO4)),$EE$1)</f>
        <v>0.16839999999999999</v>
      </c>
      <c r="EI4" s="59">
        <f t="shared" ref="EI4:EI38" si="30">IFERROR(VALUE(IF(OR(EP4="--",EP4="0.00%"),$EE$1,EP4)),$EE$1)</f>
        <v>0.13950000000000001</v>
      </c>
      <c r="EJ4" s="59">
        <f t="shared" ref="EJ4:EJ38" si="31">IFERROR(VALUE(IF(OR(EQ4="--",EQ4="0.00%"),$EE$1,EQ4)),$EE$1)</f>
        <v>0.15040000000000001</v>
      </c>
      <c r="EK4" s="63">
        <f ca="1">+DV4*DX4*$A$3*$A$3+DW4*DY4*$A$3*$A$3</f>
        <v>7890691.0329092676</v>
      </c>
      <c r="EL4" s="3" t="str">
        <f>RTD("tos.rtd",,EL$2,"."&amp;$A$2&amp;$AS$1&amp;"C"&amp;$A4)</f>
        <v>81.09%</v>
      </c>
      <c r="EM4" s="3" t="str">
        <f>RTD("tos.rtd",,EM$2,"."&amp;$A$2&amp;$AS$1&amp;"P"&amp;$A4)</f>
        <v>135.52%</v>
      </c>
      <c r="EN4" s="3" t="str">
        <f>RTD("tos.rtd",,EN$2,"."&amp;$A$2&amp;$AU$1&amp;"C"&amp;$A4)</f>
        <v>14.61%</v>
      </c>
      <c r="EO4" s="3" t="str">
        <f>RTD("tos.rtd",,EO$2,"."&amp;$A$2&amp;$AU$1&amp;"P"&amp;$A4)</f>
        <v>16.84%</v>
      </c>
      <c r="EP4" s="3" t="str">
        <f>RTD("tos.rtd",,EP$2,"."&amp;$A$2&amp;$AW$1&amp;"C"&amp;$A4)</f>
        <v>13.95%</v>
      </c>
      <c r="EQ4" s="3" t="str">
        <f>RTD("tos.rtd",,EQ$2,"."&amp;$A$2&amp;$AW$1&amp;"P"&amp;$A4)</f>
        <v>15.04%</v>
      </c>
      <c r="ES4" s="63" t="str">
        <f>IFERROR(
    A4 &amp; "," &amp; TEXT(IF(ISNUMBER(DV4+DW4), DV4+DW4, 0), "00.00"),    "Error"
)</f>
        <v>602,1295.00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IF(ISNUMBER(EK4), (EK4),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IF(ISNUMBER(EK4), (EK4), 0)
        )))),
    "00.00")
)</f>
        <v>602,96844.49</v>
      </c>
      <c r="EU4" s="101">
        <f>+A3</f>
        <v>592.41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)&amp;","&amp;DN39&amp;","&amp;DN40&amp;","&amp;EU4</f>
        <v>2025-05-20 15:19:00,600,,593,,580,,591.5,,,,,594,590,594,592,592.41</v>
      </c>
      <c r="EW4" s="67">
        <f>+A44</f>
        <v>519.63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)&amp;","&amp;DN80&amp;","&amp;DN81&amp;","&amp;EW4</f>
        <v>2025-05-20 15:19:00,520,,520,,500,,519,,,,,521,518,524,520,519.63</v>
      </c>
      <c r="EY4" s="67">
        <f>+A84</f>
        <v>5935.25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)&amp;","&amp;DN131&amp;","&amp;DN132&amp;","&amp;EY4</f>
        <v>2025-05-20 15:19:00,6000,,,5930,5700,,5940,,,,,5950,5900,5900,5950,5935.25</v>
      </c>
      <c r="FA4" s="67">
        <f>+A136</f>
        <v>21330.75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)&amp;","&amp;DN190&amp;","&amp;DN191&amp;","&amp;FA4</f>
        <v>2025-05-20 15:19:00,21325,,,21300,21325,,21325,,,,,21400,21050,21050,21000,21330.75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)&amp;","&amp;EU4</f>
        <v>2025-05-20 15:19:00,1670146678.47065,60412750144.4704,0,0,0,0,0,0,592.41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)&amp;","&amp;EW4</f>
        <v>2025-05-20 15:19:00,551353671.617878,42309182211.6447,0,0,0,0,0,0,519.63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)&amp;","&amp;EY4</f>
        <v>2025-05-20 15:19:00,-15822971.5336464,-1585835092.74865,0,0,0,0,0,0,5935.25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)&amp;","&amp;FA4</f>
        <v>2025-05-20 15:19:00,182571817.191909,-3519427.86311417,0,0,0,0,0,0,21330.75</v>
      </c>
    </row>
    <row r="5" spans="1:162" s="63" customFormat="1" ht="13.5" thickBot="1" x14ac:dyDescent="0.25">
      <c r="A5" s="2">
        <f>+A4-$A$39</f>
        <v>601</v>
      </c>
      <c r="B5" s="3">
        <f t="shared" si="13"/>
        <v>6464</v>
      </c>
      <c r="C5" s="3">
        <f t="shared" si="14"/>
        <v>3688</v>
      </c>
      <c r="D5" s="3">
        <f t="shared" si="15"/>
        <v>400</v>
      </c>
      <c r="E5" s="3">
        <f>SUM(B5:D5)</f>
        <v>10552</v>
      </c>
      <c r="F5" s="4">
        <f>+$F$3/$A$3*A5</f>
        <v>6041.6016778920002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-2912</v>
      </c>
      <c r="AN5" s="1">
        <v>7</v>
      </c>
      <c r="AO5" s="1">
        <v>601</v>
      </c>
      <c r="AP5" s="1">
        <v>15946</v>
      </c>
      <c r="AQ5" s="1">
        <v>-499</v>
      </c>
      <c r="AR5" s="1"/>
      <c r="AS5" s="6">
        <f>IF(RTD("tos.rtd",,AS$2,"."&amp;$A$2&amp;$AS$1&amp;"C"&amp;$A5)="N/A",0,RTD("tos.rtd",,AS$2,"."&amp;$A$2&amp;$AS$1&amp;"C"&amp;$A5))</f>
        <v>6315</v>
      </c>
      <c r="AT5" s="7">
        <f>-IF(RTD("tos.rtd",,AT$2,"."&amp;$A$2&amp;$AS$1&amp;"P"&amp;$A5)="N/A",0,RTD("tos.rtd",,AT$2,"."&amp;$A$2&amp;$AS$1&amp;"P"&amp;$A5))</f>
        <v>-149</v>
      </c>
      <c r="AU5" s="6">
        <f>IF(RTD("tos.rtd",,AU$2,"."&amp;$A$2&amp;$AU$1&amp;"C"&amp;$A5)="N/A",0,RTD("tos.rtd",,AU$2,"."&amp;$A$2&amp;$AU$1&amp;"C"&amp;$A5))</f>
        <v>3446</v>
      </c>
      <c r="AV5" s="7">
        <f>-IF(RTD("tos.rtd",,AV$2,"."&amp;$A$2&amp;$AU$1&amp;"P"&amp;$A5)="N/A",0,RTD("tos.rtd",,AV$2,"."&amp;$A$2&amp;$AU$1&amp;"P"&amp;$A5))</f>
        <v>-242</v>
      </c>
      <c r="AW5" s="6">
        <f>IF(RTD("tos.rtd",,AW$2,"."&amp;$A$2&amp;$AW$1&amp;"C"&amp;$A5)="N/A",0,RTD("tos.rtd",,AW$2,"."&amp;$A$2&amp;$AW$1&amp;"C"&amp;$A5))</f>
        <v>368</v>
      </c>
      <c r="AX5" s="7">
        <f>-IF(RTD("tos.rtd",,AX$2,"."&amp;$A$2&amp;$AW$1&amp;"P"&amp;$A5)="N/A",0,RTD("tos.rtd",,AX$2,"."&amp;$A$2&amp;$AW$1&amp;"P"&amp;$A5))</f>
        <v>-32</v>
      </c>
      <c r="AY5" s="1">
        <f>SUM(AS5:AX5)</f>
        <v>9706</v>
      </c>
      <c r="AZ5" s="8">
        <f t="shared" ref="AZ5:AZ38" si="32">+A5</f>
        <v>601</v>
      </c>
      <c r="BA5" s="6">
        <f>IF(RTD("tos.rtd",,BA$2,"."&amp;$A$2&amp;$AS$1&amp;"C"&amp;$A5)="N/A",0,RTD("tos.rtd",,BA$2,"."&amp;$A$2&amp;$AS$1&amp;"C"&amp;$A5))</f>
        <v>15946</v>
      </c>
      <c r="BB5" s="7">
        <f>-IF(RTD("tos.rtd",,BB$2,"."&amp;$A$2&amp;$AS$1&amp;"P"&amp;$A5)="N/A",0,RTD("tos.rtd",,BB$2,"."&amp;$A$2&amp;$AS$1&amp;"P"&amp;$A5))</f>
        <v>-499</v>
      </c>
      <c r="BC5" s="6">
        <f>IF(RTD("tos.rtd",,BC$2,"."&amp;$A$2&amp;$AU$1&amp;"C"&amp;$A5)="N/A",0,RTD("tos.rtd",,BC$2,"."&amp;$A$2&amp;$AU$1&amp;"C"&amp;$A5))</f>
        <v>6035</v>
      </c>
      <c r="BD5" s="7">
        <f>-IF(RTD("tos.rtd",,BD$2,"."&amp;$A$2&amp;$AU$1&amp;"P"&amp;$A5)="N/A",0,RTD("tos.rtd",,BD$2,"."&amp;$A$2&amp;$AU$1&amp;"P"&amp;$A5))</f>
        <v>-46</v>
      </c>
      <c r="BE5" s="6">
        <f>IF(RTD("tos.rtd",,BE$2,"."&amp;$A$2&amp;$AW$1&amp;"C"&amp;$A5)="N/A",0,RTD("tos.rtd",,BE$2,"."&amp;$A$2&amp;$AW$1&amp;"C"&amp;$A5))</f>
        <v>246</v>
      </c>
      <c r="BF5" s="83">
        <f>-IF(RTD("tos.rtd",,BF$2,"."&amp;$A$2&amp;$AW$1&amp;"P"&amp;$A5)="N/A",0,RTD("tos.rtd",,BF$2,"."&amp;$A$2&amp;$AW$1&amp;"P"&amp;$A5))</f>
        <v>-158</v>
      </c>
      <c r="BG5" s="32">
        <f ca="1">+Hoja2!Y6</f>
        <v>11957</v>
      </c>
      <c r="BH5" s="7">
        <f t="shared" ref="BH5:BH38" ca="1" si="33">SUM(BA5:BG5)</f>
        <v>33481</v>
      </c>
      <c r="BI5" s="8" t="str">
        <f t="shared" ref="BI5:BI38" ca="1" si="34">IF(AND(BH5&lt;0,BH4&gt;0), "Cruce -", IF(AND(BH5&gt;0,BH4&lt;0),"Cruce +", ""))</f>
        <v/>
      </c>
      <c r="BJ5" s="3">
        <f ca="1">IF($BP$1=1,DX5,IF(RTD("tos.rtd",,BJ$2,"."&amp;$A$2&amp;$AS$1&amp;"C"&amp;$A5)="N/A",0,RTD("tos.rtd",,BJ$2,"."&amp;$A$2&amp;$AS$1&amp;"C"&amp;$A5)))</f>
        <v>2.0392780899730484E-2</v>
      </c>
      <c r="BK5" s="3">
        <f ca="1">IF($BP$1=1,DY5,-IF(RTD("tos.rtd",,BK$2,"."&amp;$A$2&amp;$AS$1&amp;"P"&amp;$A5)="N/A",0,RTD("tos.rtd",,BK$2,"."&amp;$A$2&amp;$AS$1&amp;"P"&amp;$A5)))</f>
        <v>-2.8420459857986E-2</v>
      </c>
      <c r="BL5" s="3">
        <f ca="1">IF($BP$1=1,DZ5,IF(RTD("tos.rtd",,BL$2,"."&amp;$A$2&amp;$AU$1&amp;"C"&amp;$A5)="N/A",0,RTD("tos.rtd",,BL$2,"."&amp;$A$2&amp;$AU$1&amp;"C"&amp;$A5)))</f>
        <v>2.9142582627779006E-2</v>
      </c>
      <c r="BM5" s="3">
        <f ca="1">IF($BP$1=1,EA5,-IF(RTD("tos.rtd",,BM$2,"."&amp;$A$2&amp;$AU$1&amp;"P"&amp;$A5)="N/A",0,RTD("tos.rtd",,BM$2,"."&amp;$A$2&amp;$AU$1&amp;"P"&amp;$A5)))</f>
        <v>-2.8127244037186801E-2</v>
      </c>
      <c r="BN5" s="3">
        <f ca="1">IF($BP$1=1,EB5,IF(RTD("tos.rtd",,BN$2,"."&amp;$A$2&amp;$AW$1&amp;"C"&amp;$A5)="N/A",0,RTD("tos.rtd",,BN$2,"."&amp;$A$2&amp;$AW$1&amp;"C"&amp;$A5)))</f>
        <v>2.9381924340202512E-2</v>
      </c>
      <c r="BO5" s="3">
        <f ca="1">IF($BP$1=1,EC5,-IF(RTD("tos.rtd",,BO$2,"."&amp;$A$2&amp;$AW$1&amp;"P"&amp;$A5)="N/A",0,RTD("tos.rtd",,BO$2,"."&amp;$A$2&amp;$AW$1&amp;"P"&amp;$A5)))</f>
        <v>-2.8914983157576835E-2</v>
      </c>
      <c r="BQ5" s="3">
        <f t="shared" ref="BQ5:BQ38" ca="1" si="35">+$A$3*$A$3*AS5*BJ5-$A$3*$A$3*AT5*BK5</f>
        <v>43709286.667270675</v>
      </c>
      <c r="BR5" s="3" t="str">
        <f ca="1">IF(AND(BQ5&lt;0,BQ4&gt;0), "Cruce -", IF(AND(BQ5&gt;0,BQ4&lt;0),"Cruce +", ""))</f>
        <v/>
      </c>
      <c r="BS5" s="3">
        <f t="shared" ref="BS5:BS38" ca="1" si="36">+$A$3*$A$3*AU5*BL5-$A$3*$A$3*AV5*BM5</f>
        <v>32855392.267650504</v>
      </c>
      <c r="BT5" s="3" t="str">
        <f ca="1">IF(AND(BS5&lt;0,BS4&gt;0), "Cruce -", IF(AND(BS5&gt;0,BS4&lt;0),"Cruce +", ""))</f>
        <v/>
      </c>
      <c r="BU5" s="3">
        <f t="shared" ref="BU5:BU38" ca="1" si="37">+$A$3*$A$3*AW5*BN5-$A$3*$A$3*AX5*BO5</f>
        <v>3469933.0740939649</v>
      </c>
      <c r="BV5" s="3" t="str">
        <f t="shared" ref="BV5:BV38" ca="1" si="38">IF(AND(BU5&lt;0,BU4&gt;0), "Cruce -", IF(AND(BU5&gt;0,BU4&lt;0),"Cruce +", ""))</f>
        <v/>
      </c>
      <c r="BX5" s="3">
        <f t="shared" ref="BX5:BX38" ca="1" si="39">+$A$3*$A$3*BA5*BJ5-$A$3*$A$3*BB5*BK5</f>
        <v>109145845.68483065</v>
      </c>
      <c r="BY5" s="3" t="str">
        <f ca="1">IF(AND(BX5&lt;0,BX4&gt;0), "Cruce -", IF(AND(BX5&gt;0,BX4&lt;0),"Cruce +", ""))</f>
        <v/>
      </c>
      <c r="BZ5" s="3">
        <f t="shared" ref="BZ5:BZ38" ca="1" si="40">+$A$3*$A$3*BC5*BL5-$A$3*$A$3*BD5*BM5</f>
        <v>61269355.659271829</v>
      </c>
      <c r="CA5" s="3" t="str">
        <f ca="1">IF(AND(BZ5&lt;0,BZ4&gt;0), "Cruce -", IF(AND(BZ5&gt;0,BZ4&lt;0),"Cruce +", ""))</f>
        <v/>
      </c>
      <c r="CB5" s="3">
        <f t="shared" ref="CB5:CB38" ca="1" si="41">+$A$3*$A$3*BE5*BN5-$A$3*$A$3*BF5*BO5</f>
        <v>933310.49161039758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0.92</v>
      </c>
      <c r="CF5" s="3">
        <f>IF(RTD("tos.rtd",,CF$2,"."&amp;$A$2&amp;$AU$1&amp;"C"&amp;$A5)="N/A",0,RTD("tos.rtd",,CF$2,"."&amp;$A$2&amp;$AU$1&amp;"C"&amp;$A5))</f>
        <v>0.15</v>
      </c>
      <c r="CG5" s="3">
        <f>-IF(RTD("tos.rtd",,CG$2,"."&amp;$A$2&amp;$AU$1&amp;"P"&amp;$A5)="N/A",0,RTD("tos.rtd",,CG$2,"."&amp;$A$2&amp;$AU$1&amp;"P"&amp;$A5))</f>
        <v>0.83</v>
      </c>
      <c r="CH5" s="3">
        <f>IF(RTD("tos.rtd",,CH$2,"."&amp;$A$2&amp;$AW$1&amp;"C"&amp;$A5)="N/A",0,RTD("tos.rtd",,CH$2,"."&amp;$A$2&amp;$AW$1&amp;"C"&amp;$A5))</f>
        <v>0.4</v>
      </c>
      <c r="CI5" s="3">
        <f>-IF(RTD("tos.rtd",,CI$2,"."&amp;$A$2&amp;$AW$1&amp;"P"&amp;$A5)="N/A",0,RTD("tos.rtd",,CI$2,"."&amp;$A$2&amp;$AW$1&amp;"P"&amp;$A5))</f>
        <v>0.6</v>
      </c>
      <c r="CK5" s="3">
        <f t="shared" ref="CK5:CK38" si="42">+AS5*CD5*100*$A$3+AT5*CE5*100*$A$3</f>
        <v>-8120756.2800000003</v>
      </c>
      <c r="CL5" s="3"/>
      <c r="CM5" s="3">
        <f t="shared" ref="CM5:CM38" si="43">+AU5*CF5*100*$A$3+AV5*CG5*100*$A$3</f>
        <v>18722525.640000001</v>
      </c>
      <c r="CN5" s="3"/>
      <c r="CO5" s="3">
        <f t="shared" ref="CO5:CO38" si="44">+AW5*CH5*100*$A$3+AX5*CI5*100*$A$3</f>
        <v>7582848.0000000009</v>
      </c>
      <c r="CP5" s="3">
        <f t="shared" ref="CP5:CP38" si="45">+CK5+CM5+CO5</f>
        <v>18184617.359999999</v>
      </c>
      <c r="CQ5" s="3">
        <f t="shared" ref="CQ5:CQ38" si="46">+BA5+BB5</f>
        <v>15447</v>
      </c>
      <c r="CR5" s="3"/>
      <c r="CS5" s="3">
        <f t="shared" si="18"/>
        <v>5989</v>
      </c>
      <c r="CT5" s="3"/>
      <c r="CU5" s="3">
        <f t="shared" si="19"/>
        <v>88</v>
      </c>
      <c r="CV5" s="3">
        <f t="shared" ref="CV5:CV38" si="47">+CQ5+CS5+CU5</f>
        <v>21524</v>
      </c>
      <c r="CW5" s="3">
        <f t="shared" ref="CW5:CW38" ca="1" si="48">+BQ5+BS5+BU5</f>
        <v>80034612.009015143</v>
      </c>
      <c r="CX5" s="85" t="str">
        <f ca="1">IF(AND(CW5&lt;0,CW4&gt;0), "Cruce -", IF(AND(CW5&gt;0,CW4&lt;0),"Cruce +", ""))</f>
        <v/>
      </c>
      <c r="CY5" s="3">
        <f t="shared" ref="CY5:CY38" ca="1" si="49">+BX5+BZ5+CB5</f>
        <v>171348511.83571288</v>
      </c>
      <c r="CZ5" s="85" t="str">
        <f ca="1">IF(AND(CY5&lt;0,CY4&gt;0), "Cruce -", IF(AND(CY5&gt;0,CY4&lt;0),"Cruce +", ""))</f>
        <v/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8.5299999999999994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9.6199999999999992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7.9</v>
      </c>
      <c r="DG5" s="86">
        <f t="shared" ref="DG5:DG38" si="50">+$A5-$A$3</f>
        <v>8.5900000000000318</v>
      </c>
      <c r="DH5" s="3">
        <f t="shared" si="5"/>
        <v>0</v>
      </c>
      <c r="DI5" s="3">
        <f t="shared" si="6"/>
        <v>0</v>
      </c>
      <c r="DJ5" s="3">
        <f t="shared" si="7"/>
        <v>0</v>
      </c>
      <c r="DK5" s="3">
        <f t="shared" si="8"/>
        <v>0</v>
      </c>
      <c r="DL5" s="3">
        <f t="shared" si="9"/>
        <v>0</v>
      </c>
      <c r="DM5" s="3">
        <f t="shared" si="10"/>
        <v>0</v>
      </c>
      <c r="DN5" s="63" t="str">
        <f t="shared" ref="DN5:DN38" si="51">IF(AND(DA5&gt;=(DE5+(DC5-DE5)*0.6),BA5&gt;AP5),"BUY",IF(AND(DA5&lt;=(DE5+(DC5-DE5)*0.4),BA5&gt;AP5),"SELL","UNKNOWN"))</f>
        <v>UNKNOWN</v>
      </c>
      <c r="DO5" s="63" t="str">
        <f t="shared" ref="DO5:DO38" si="52">IF(AND(DB5&gt;=(DF5+(DD5-DF5)*0.6),ABS(BB5)&gt;ABS(AQ5)),"BUY",IF(AND(DB5&lt;=(DF5+(DD5-DF5)*0.4),ABS(BB5)&gt;ABS(AQ5)),"SELL","UNKNOWN"))</f>
        <v>UNKNOWN</v>
      </c>
      <c r="DP5" s="3">
        <f t="shared" ref="DP5:DP38" si="53">+DH5*DA5+DI5*DB5</f>
        <v>0</v>
      </c>
      <c r="DQ5" s="3">
        <f t="shared" ref="DQ5:DQ38" si="54">+DA5*DJ5+DB5*DK5</f>
        <v>0</v>
      </c>
      <c r="DR5" s="3">
        <f t="shared" ref="DR5:DR38" ca="1" si="55">+BJ5*DJ5+BK5*DK5</f>
        <v>0</v>
      </c>
      <c r="DS5" s="3">
        <f t="shared" ref="DS5:DS38" si="56">+CD5*DJ5+CE5*DK5</f>
        <v>0</v>
      </c>
      <c r="DT5" s="3">
        <f t="shared" ref="DT5:DT38" si="57">BA5-VLOOKUP(AZ5,$AO$4:$AQ$38,2,FALSE)</f>
        <v>0</v>
      </c>
      <c r="DU5" s="3">
        <f t="shared" ref="DU5:DU38" si="58">BB5-VLOOKUP(AZ5,$AO$4:$AQ$38,3,FALSE)</f>
        <v>0</v>
      </c>
      <c r="DV5" s="3">
        <f t="shared" ref="DV5:DV38" si="59">AM5+IF(DN5="BUY",DT5,IF(DN5="SELL",-DT5,0))</f>
        <v>-2912</v>
      </c>
      <c r="DW5" s="3">
        <f t="shared" si="20"/>
        <v>7</v>
      </c>
      <c r="DX5" s="3">
        <f t="shared" ca="1" si="21"/>
        <v>2.0392780899730484E-2</v>
      </c>
      <c r="DY5" s="3">
        <f t="shared" ca="1" si="22"/>
        <v>-2.8420459857986E-2</v>
      </c>
      <c r="DZ5" s="3">
        <f t="shared" ca="1" si="23"/>
        <v>2.9142582627779006E-2</v>
      </c>
      <c r="EA5" s="3">
        <f t="shared" ca="1" si="24"/>
        <v>-2.8127244037186801E-2</v>
      </c>
      <c r="EB5" s="3">
        <f t="shared" ca="1" si="25"/>
        <v>2.9381924340202512E-2</v>
      </c>
      <c r="EC5" s="3">
        <f t="shared" ca="1" si="26"/>
        <v>-2.8914983157576835E-2</v>
      </c>
      <c r="ED5" s="63">
        <f t="shared" ref="ED5:ED38" si="60">+DV5+DW5</f>
        <v>-2905</v>
      </c>
      <c r="EE5" s="59">
        <f t="shared" ref="EE5:EE38" si="61">IFERROR(VALUE(IF(OR(EL5="--",EL5="0.00%"),$EE$1,EL5)),$EE$1)</f>
        <v>0.73560000000000003</v>
      </c>
      <c r="EF5" s="59">
        <f t="shared" si="27"/>
        <v>1.2958000000000001</v>
      </c>
      <c r="EG5" s="59">
        <f t="shared" si="28"/>
        <v>0.14710000000000001</v>
      </c>
      <c r="EH5" s="59">
        <f t="shared" si="29"/>
        <v>0.1653</v>
      </c>
      <c r="EI5" s="59">
        <f t="shared" si="30"/>
        <v>0.14069999999999999</v>
      </c>
      <c r="EJ5" s="59">
        <f t="shared" si="31"/>
        <v>0.15190000000000001</v>
      </c>
      <c r="EK5" s="63">
        <f t="shared" ref="EK5:EK38" ca="1" si="62">+DV5*DX5*$A$3*$A$3+DW5*DY5*$A$3*$A$3</f>
        <v>-20910532.654328007</v>
      </c>
      <c r="EL5" s="3" t="str">
        <f>RTD("tos.rtd",,EL$2,"."&amp;$A$2&amp;$AS$1&amp;"C"&amp;$A5)</f>
        <v>73.56%</v>
      </c>
      <c r="EM5" s="3" t="str">
        <f>RTD("tos.rtd",,EM$2,"."&amp;$A$2&amp;$AS$1&amp;"P"&amp;$A5)</f>
        <v>129.58%</v>
      </c>
      <c r="EN5" s="3" t="str">
        <f>RTD("tos.rtd",,EN$2,"."&amp;$A$2&amp;$AU$1&amp;"C"&amp;$A5)</f>
        <v>14.71%</v>
      </c>
      <c r="EO5" s="3" t="str">
        <f>RTD("tos.rtd",,EO$2,"."&amp;$A$2&amp;$AU$1&amp;"P"&amp;$A5)</f>
        <v>16.53%</v>
      </c>
      <c r="EP5" s="3" t="str">
        <f>RTD("tos.rtd",,EP$2,"."&amp;$A$2&amp;$AW$1&amp;"C"&amp;$A5)</f>
        <v>14.07%</v>
      </c>
      <c r="EQ5" s="3" t="str">
        <f>RTD("tos.rtd",,EQ$2,"."&amp;$A$2&amp;$AW$1&amp;"P"&amp;$A5)</f>
        <v>15.19%</v>
      </c>
      <c r="ES5" s="63" t="str">
        <f t="shared" ref="ES5:ES38" si="63">IFERROR(
    A5 &amp; "," &amp; TEXT(IF(ISNUMBER(DV5+DW5), DV5+DW5, 0), "00.00"),    "Error"
)</f>
        <v>601,-2905.00</v>
      </c>
      <c r="ET5" s="63" t="str">
        <f t="shared" ref="ET5:ET38" ca="1" si="64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IF(ISNUMBER(EK5), (EK5),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IF(ISNUMBER(EK5), (EK5), 0)
        )))),
    "00.00")
)</f>
        <v>601,171348.51</v>
      </c>
      <c r="EU5" s="67">
        <v>593.84</v>
      </c>
      <c r="EV5" s="67" t="s">
        <v>60</v>
      </c>
      <c r="EW5" s="67">
        <v>520.46</v>
      </c>
      <c r="EX5" s="67" t="s">
        <v>61</v>
      </c>
      <c r="EY5" s="67">
        <v>5948.75</v>
      </c>
      <c r="EZ5" s="67" t="s">
        <v>62</v>
      </c>
      <c r="FA5" s="67">
        <v>21362.25</v>
      </c>
      <c r="FB5" s="67" t="s">
        <v>63</v>
      </c>
      <c r="FC5" s="67" t="s">
        <v>64</v>
      </c>
      <c r="FD5" s="67" t="s">
        <v>65</v>
      </c>
      <c r="FE5" s="68" t="s">
        <v>66</v>
      </c>
      <c r="FF5" s="68" t="s">
        <v>67</v>
      </c>
    </row>
    <row r="6" spans="1:162" s="63" customFormat="1" ht="13.5" thickBot="1" x14ac:dyDescent="0.25">
      <c r="A6" s="2">
        <f t="shared" ref="A6:A38" si="65">+A5-$A$39</f>
        <v>600</v>
      </c>
      <c r="B6" s="3">
        <f t="shared" si="13"/>
        <v>26326</v>
      </c>
      <c r="C6" s="3">
        <f t="shared" si="14"/>
        <v>16932</v>
      </c>
      <c r="D6" s="3">
        <f t="shared" si="15"/>
        <v>110619</v>
      </c>
      <c r="E6" s="3">
        <f>SUM(B6:D6)</f>
        <v>153877</v>
      </c>
      <c r="F6" s="4">
        <f>+$F$3/$A$3*A6</f>
        <v>6031.5490960652251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-3823</v>
      </c>
      <c r="AN6" s="1">
        <v>-973</v>
      </c>
      <c r="AO6" s="1">
        <v>600</v>
      </c>
      <c r="AP6" s="1">
        <v>63845</v>
      </c>
      <c r="AQ6" s="1">
        <v>-3439</v>
      </c>
      <c r="AR6" s="1"/>
      <c r="AS6" s="6">
        <f>IF(RTD("tos.rtd",,AS$2,"."&amp;$A$2&amp;$AS$1&amp;"C"&amp;$A6)="N/A",0,RTD("tos.rtd",,AS$2,"."&amp;$A$2&amp;$AS$1&amp;"C"&amp;$A6))</f>
        <v>25985</v>
      </c>
      <c r="AT6" s="7">
        <f>-IF(RTD("tos.rtd",,AT$2,"."&amp;$A$2&amp;$AS$1&amp;"P"&amp;$A6)="N/A",0,RTD("tos.rtd",,AT$2,"."&amp;$A$2&amp;$AS$1&amp;"P"&amp;$A6))</f>
        <v>-341</v>
      </c>
      <c r="AU6" s="6">
        <f>IF(RTD("tos.rtd",,AU$2,"."&amp;$A$2&amp;$AU$1&amp;"C"&amp;$A6)="N/A",0,RTD("tos.rtd",,AU$2,"."&amp;$A$2&amp;$AU$1&amp;"C"&amp;$A6))</f>
        <v>15811</v>
      </c>
      <c r="AV6" s="7">
        <f>-IF(RTD("tos.rtd",,AV$2,"."&amp;$A$2&amp;$AU$1&amp;"P"&amp;$A6)="N/A",0,RTD("tos.rtd",,AV$2,"."&amp;$A$2&amp;$AU$1&amp;"P"&amp;$A6))</f>
        <v>-1121</v>
      </c>
      <c r="AW6" s="6">
        <f>IF(RTD("tos.rtd",,AW$2,"."&amp;$A$2&amp;$AW$1&amp;"C"&amp;$A6)="N/A",0,RTD("tos.rtd",,AW$2,"."&amp;$A$2&amp;$AW$1&amp;"C"&amp;$A6))</f>
        <v>105471</v>
      </c>
      <c r="AX6" s="7">
        <f>-IF(RTD("tos.rtd",,AX$2,"."&amp;$A$2&amp;$AW$1&amp;"P"&amp;$A6)="N/A",0,RTD("tos.rtd",,AX$2,"."&amp;$A$2&amp;$AW$1&amp;"P"&amp;$A6))</f>
        <v>-5148</v>
      </c>
      <c r="AY6" s="1">
        <f t="shared" ref="AY6:AY38" si="66">SUM(AS6:AX6)</f>
        <v>140657</v>
      </c>
      <c r="AZ6" s="8">
        <f t="shared" si="32"/>
        <v>600</v>
      </c>
      <c r="BA6" s="6">
        <f>IF(RTD("tos.rtd",,BA$2,"."&amp;$A$2&amp;$AS$1&amp;"C"&amp;$A6)="N/A",0,RTD("tos.rtd",,BA$2,"."&amp;$A$2&amp;$AS$1&amp;"C"&amp;$A6))</f>
        <v>63845</v>
      </c>
      <c r="BB6" s="7">
        <f>-IF(RTD("tos.rtd",,BB$2,"."&amp;$A$2&amp;$AS$1&amp;"P"&amp;$A6)="N/A",0,RTD("tos.rtd",,BB$2,"."&amp;$A$2&amp;$AS$1&amp;"P"&amp;$A6))</f>
        <v>-3439</v>
      </c>
      <c r="BC6" s="6">
        <f>IF(RTD("tos.rtd",,BC$2,"."&amp;$A$2&amp;$AU$1&amp;"C"&amp;$A6)="N/A",0,RTD("tos.rtd",,BC$2,"."&amp;$A$2&amp;$AU$1&amp;"C"&amp;$A6))</f>
        <v>36120</v>
      </c>
      <c r="BD6" s="7">
        <f>-IF(RTD("tos.rtd",,BD$2,"."&amp;$A$2&amp;$AU$1&amp;"P"&amp;$A6)="N/A",0,RTD("tos.rtd",,BD$2,"."&amp;$A$2&amp;$AU$1&amp;"P"&amp;$A6))</f>
        <v>-1250</v>
      </c>
      <c r="BE6" s="6">
        <f>IF(RTD("tos.rtd",,BE$2,"."&amp;$A$2&amp;$AW$1&amp;"C"&amp;$A6)="N/A",0,RTD("tos.rtd",,BE$2,"."&amp;$A$2&amp;$AW$1&amp;"C"&amp;$A6))</f>
        <v>6247</v>
      </c>
      <c r="BF6" s="83">
        <f>-IF(RTD("tos.rtd",,BF$2,"."&amp;$A$2&amp;$AW$1&amp;"P"&amp;$A6)="N/A",0,RTD("tos.rtd",,BF$2,"."&amp;$A$2&amp;$AW$1&amp;"P"&amp;$A6))</f>
        <v>-1301</v>
      </c>
      <c r="BG6" s="32">
        <f ca="1">+Hoja2!Y7</f>
        <v>87647</v>
      </c>
      <c r="BH6" s="7">
        <f t="shared" ca="1" si="33"/>
        <v>187869</v>
      </c>
      <c r="BI6" s="8" t="str">
        <f t="shared" ca="1" si="34"/>
        <v/>
      </c>
      <c r="BJ6" s="3">
        <f ca="1">IF($BP$1=1,DX6,IF(RTD("tos.rtd",,BJ$2,"."&amp;$A$2&amp;$AS$1&amp;"C"&amp;$A6)="N/A",0,RTD("tos.rtd",,BJ$2,"."&amp;$A$2&amp;$AS$1&amp;"C"&amp;$A6)))</f>
        <v>2.3555226849194384E-2</v>
      </c>
      <c r="BK6" s="3">
        <f ca="1">IF($BP$1=1,DY6,-IF(RTD("tos.rtd",,BK$2,"."&amp;$A$2&amp;$AS$1&amp;"P"&amp;$A6)="N/A",0,RTD("tos.rtd",,BK$2,"."&amp;$A$2&amp;$AS$1&amp;"P"&amp;$A6)))</f>
        <v>-3.197369755462659E-2</v>
      </c>
      <c r="BL6" s="3">
        <f ca="1">IF($BP$1=1,DZ6,IF(RTD("tos.rtd",,BL$2,"."&amp;$A$2&amp;$AU$1&amp;"C"&amp;$A6)="N/A",0,RTD("tos.rtd",,BL$2,"."&amp;$A$2&amp;$AU$1&amp;"C"&amp;$A6)))</f>
        <v>3.1713598434015187E-2</v>
      </c>
      <c r="BM6" s="3">
        <f ca="1">IF($BP$1=1,EA6,-IF(RTD("tos.rtd",,BM$2,"."&amp;$A$2&amp;$AU$1&amp;"P"&amp;$A6)="N/A",0,RTD("tos.rtd",,BM$2,"."&amp;$A$2&amp;$AU$1&amp;"P"&amp;$A6)))</f>
        <v>-3.0288886444614228E-2</v>
      </c>
      <c r="BN6" s="3">
        <f ca="1">IF($BP$1=1,EB6,IF(RTD("tos.rtd",,BN$2,"."&amp;$A$2&amp;$AW$1&amp;"C"&amp;$A6)="N/A",0,RTD("tos.rtd",,BN$2,"."&amp;$A$2&amp;$AW$1&amp;"C"&amp;$A6)))</f>
        <v>3.2220473398623425E-2</v>
      </c>
      <c r="BO6" s="3">
        <f ca="1">IF($BP$1=1,EC6,-IF(RTD("tos.rtd",,BO$2,"."&amp;$A$2&amp;$AW$1&amp;"P"&amp;$A6)="N/A",0,RTD("tos.rtd",,BO$2,"."&amp;$A$2&amp;$AW$1&amp;"P"&amp;$A6)))</f>
        <v>-3.1290029783086232E-2</v>
      </c>
      <c r="BQ6" s="3">
        <f t="shared" ca="1" si="35"/>
        <v>210983723.54317433</v>
      </c>
      <c r="BR6" s="3" t="str">
        <f t="shared" ref="BR6:BT38" ca="1" si="67">IF(AND(BQ6&lt;0,BQ5&gt;0), "Cruce -", IF(AND(BQ6&gt;0,BQ5&lt;0),"Cruce +", ""))</f>
        <v/>
      </c>
      <c r="BS6" s="3">
        <f t="shared" ca="1" si="36"/>
        <v>164058365.26607019</v>
      </c>
      <c r="BT6" s="3" t="str">
        <f t="shared" ca="1" si="67"/>
        <v/>
      </c>
      <c r="BU6" s="3">
        <f t="shared" ca="1" si="37"/>
        <v>1136109680.3525763</v>
      </c>
      <c r="BV6" s="3" t="str">
        <f t="shared" ca="1" si="38"/>
        <v/>
      </c>
      <c r="BX6" s="3">
        <f t="shared" ca="1" si="39"/>
        <v>489197752.64087564</v>
      </c>
      <c r="BY6" s="3" t="str">
        <f t="shared" ref="BY6:BY38" ca="1" si="68">IF(AND(BX6&lt;0,BX5&gt;0), "Cruce -", IF(AND(BX6&gt;0,BX5&lt;0),"Cruce +", ""))</f>
        <v/>
      </c>
      <c r="BZ6" s="3">
        <f t="shared" ca="1" si="40"/>
        <v>388723741.86552203</v>
      </c>
      <c r="CA6" s="3" t="str">
        <f t="shared" ref="CA6:CA38" ca="1" si="69">IF(AND(BZ6&lt;0,BZ5&gt;0), "Cruce -", IF(AND(BZ6&gt;0,BZ5&lt;0),"Cruce +", ""))</f>
        <v/>
      </c>
      <c r="CB6" s="3">
        <f t="shared" ca="1" si="41"/>
        <v>56353020.392290212</v>
      </c>
      <c r="CC6" s="3" t="str">
        <f t="shared" ref="CC6:CC38" ca="1" si="70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0.01</v>
      </c>
      <c r="CE6" s="3">
        <f>-IF(RTD("tos.rtd",,CE$2,"."&amp;$A$2&amp;$AS$1&amp;"P"&amp;$A6)="N/A",0,RTD("tos.rtd",,CE$2,"."&amp;$A$2&amp;$AS$1&amp;"P"&amp;$A6))</f>
        <v>0.92</v>
      </c>
      <c r="CF6" s="3">
        <f>IF(RTD("tos.rtd",,CF$2,"."&amp;$A$2&amp;$AU$1&amp;"C"&amp;$A6)="N/A",0,RTD("tos.rtd",,CF$2,"."&amp;$A$2&amp;$AU$1&amp;"C"&amp;$A6))</f>
        <v>0.18</v>
      </c>
      <c r="CG6" s="3">
        <f>-IF(RTD("tos.rtd",,CG$2,"."&amp;$A$2&amp;$AU$1&amp;"P"&amp;$A6)="N/A",0,RTD("tos.rtd",,CG$2,"."&amp;$A$2&amp;$AU$1&amp;"P"&amp;$A6))</f>
        <v>0.8</v>
      </c>
      <c r="CH6" s="3">
        <f>IF(RTD("tos.rtd",,CH$2,"."&amp;$A$2&amp;$AW$1&amp;"C"&amp;$A6)="N/A",0,RTD("tos.rtd",,CH$2,"."&amp;$A$2&amp;$AW$1&amp;"C"&amp;$A6))</f>
        <v>0.41</v>
      </c>
      <c r="CI6" s="3">
        <f>-IF(RTD("tos.rtd",,CI$2,"."&amp;$A$2&amp;$AW$1&amp;"P"&amp;$A6)="N/A",0,RTD("tos.rtd",,CI$2,"."&amp;$A$2&amp;$AW$1&amp;"P"&amp;$A6))</f>
        <v>0.59</v>
      </c>
      <c r="CK6" s="3">
        <f t="shared" si="42"/>
        <v>-3191312.6699999981</v>
      </c>
      <c r="CL6" s="3"/>
      <c r="CM6" s="3">
        <f t="shared" si="43"/>
        <v>115471372.37999998</v>
      </c>
      <c r="CN6" s="3"/>
      <c r="CO6" s="3">
        <f t="shared" si="44"/>
        <v>2381831205.3899999</v>
      </c>
      <c r="CP6" s="3">
        <f t="shared" si="45"/>
        <v>2494111265.0999999</v>
      </c>
      <c r="CQ6" s="3">
        <f t="shared" si="46"/>
        <v>60406</v>
      </c>
      <c r="CR6" s="3"/>
      <c r="CS6" s="3">
        <f t="shared" si="18"/>
        <v>34870</v>
      </c>
      <c r="CT6" s="3"/>
      <c r="CU6" s="3">
        <f t="shared" si="19"/>
        <v>4946</v>
      </c>
      <c r="CV6" s="3">
        <f t="shared" si="47"/>
        <v>100222</v>
      </c>
      <c r="CW6" s="3">
        <f t="shared" ca="1" si="48"/>
        <v>1511151769.1618209</v>
      </c>
      <c r="CX6" s="85" t="str">
        <f t="shared" ref="CX6:CX38" ca="1" si="71">IF(AND(CW6&lt;0,CW5&gt;0), "Cruce -", IF(AND(CW6&gt;0,CW5&lt;0),"Cruce +", ""))</f>
        <v/>
      </c>
      <c r="CY6" s="3">
        <f t="shared" ca="1" si="49"/>
        <v>934274514.89868796</v>
      </c>
      <c r="CZ6" s="85" t="str">
        <f t="shared" ref="CZ6:CZ38" ca="1" si="72">IF(AND(CY6&lt;0,CY5&gt;0), "Cruce -", IF(AND(CY6&gt;0,CY5&lt;0),"Cruce +", ""))</f>
        <v/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7.77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8.6199999999999992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6.9</v>
      </c>
      <c r="DG6" s="86">
        <f t="shared" si="50"/>
        <v>7.5900000000000318</v>
      </c>
      <c r="DH6" s="3">
        <f t="shared" si="5"/>
        <v>0</v>
      </c>
      <c r="DI6" s="3">
        <f t="shared" si="6"/>
        <v>0</v>
      </c>
      <c r="DJ6" s="3">
        <f t="shared" si="7"/>
        <v>0</v>
      </c>
      <c r="DK6" s="3">
        <f t="shared" si="8"/>
        <v>0</v>
      </c>
      <c r="DL6" s="3">
        <f t="shared" si="9"/>
        <v>0</v>
      </c>
      <c r="DM6" s="3">
        <f t="shared" si="10"/>
        <v>0</v>
      </c>
      <c r="DN6" s="63" t="str">
        <f t="shared" si="51"/>
        <v>UNKNOWN</v>
      </c>
      <c r="DO6" s="63" t="str">
        <f t="shared" si="52"/>
        <v>UNKNOWN</v>
      </c>
      <c r="DP6" s="3">
        <f t="shared" si="53"/>
        <v>0</v>
      </c>
      <c r="DQ6" s="3">
        <f t="shared" si="54"/>
        <v>0</v>
      </c>
      <c r="DR6" s="3">
        <f t="shared" ca="1" si="55"/>
        <v>0</v>
      </c>
      <c r="DS6" s="3">
        <f t="shared" si="56"/>
        <v>0</v>
      </c>
      <c r="DT6" s="3">
        <f t="shared" si="57"/>
        <v>0</v>
      </c>
      <c r="DU6" s="3">
        <f t="shared" si="58"/>
        <v>0</v>
      </c>
      <c r="DV6" s="3">
        <f t="shared" si="59"/>
        <v>-3823</v>
      </c>
      <c r="DW6" s="3">
        <f t="shared" si="20"/>
        <v>-973</v>
      </c>
      <c r="DX6" s="3">
        <f t="shared" ca="1" si="21"/>
        <v>2.3555226849194384E-2</v>
      </c>
      <c r="DY6" s="3">
        <f t="shared" ca="1" si="22"/>
        <v>-3.197369755462659E-2</v>
      </c>
      <c r="DZ6" s="3">
        <f t="shared" ca="1" si="23"/>
        <v>3.1713598434015187E-2</v>
      </c>
      <c r="EA6" s="3">
        <f t="shared" ca="1" si="24"/>
        <v>-3.0288886444614228E-2</v>
      </c>
      <c r="EB6" s="3">
        <f t="shared" ca="1" si="25"/>
        <v>3.2220473398623425E-2</v>
      </c>
      <c r="EC6" s="3">
        <f t="shared" ca="1" si="26"/>
        <v>-3.1290029783086232E-2</v>
      </c>
      <c r="ED6" s="63">
        <f t="shared" si="60"/>
        <v>-4796</v>
      </c>
      <c r="EE6" s="59">
        <f t="shared" si="61"/>
        <v>0.65939999999999999</v>
      </c>
      <c r="EF6" s="59">
        <f t="shared" si="27"/>
        <v>1.1759999999999999</v>
      </c>
      <c r="EG6" s="59">
        <f t="shared" si="28"/>
        <v>0.14799999999999999</v>
      </c>
      <c r="EH6" s="59">
        <f t="shared" si="29"/>
        <v>0.1636</v>
      </c>
      <c r="EI6" s="59">
        <f t="shared" si="30"/>
        <v>0.1419</v>
      </c>
      <c r="EJ6" s="59">
        <f t="shared" si="31"/>
        <v>0.15279999999999999</v>
      </c>
      <c r="EK6" s="63">
        <f t="shared" ca="1" si="62"/>
        <v>-20685399.647568196</v>
      </c>
      <c r="EL6" s="3" t="str">
        <f>RTD("tos.rtd",,EL$2,"."&amp;$A$2&amp;$AS$1&amp;"C"&amp;$A6)</f>
        <v>65.94%</v>
      </c>
      <c r="EM6" s="3" t="str">
        <f>RTD("tos.rtd",,EM$2,"."&amp;$A$2&amp;$AS$1&amp;"P"&amp;$A6)</f>
        <v>117.60%</v>
      </c>
      <c r="EN6" s="3" t="str">
        <f>RTD("tos.rtd",,EN$2,"."&amp;$A$2&amp;$AU$1&amp;"C"&amp;$A6)</f>
        <v>14.80%</v>
      </c>
      <c r="EO6" s="3" t="str">
        <f>RTD("tos.rtd",,EO$2,"."&amp;$A$2&amp;$AU$1&amp;"P"&amp;$A6)</f>
        <v>16.36%</v>
      </c>
      <c r="EP6" s="3" t="str">
        <f>RTD("tos.rtd",,EP$2,"."&amp;$A$2&amp;$AW$1&amp;"C"&amp;$A6)</f>
        <v>14.19%</v>
      </c>
      <c r="EQ6" s="3" t="str">
        <f>RTD("tos.rtd",,EQ$2,"."&amp;$A$2&amp;$AW$1&amp;"P"&amp;$A6)</f>
        <v>15.28%</v>
      </c>
      <c r="ES6" s="63" t="str">
        <f t="shared" si="63"/>
        <v>600,-4796.00</v>
      </c>
      <c r="ET6" s="63" t="str">
        <f t="shared" ca="1" si="64"/>
        <v>600,934274.51</v>
      </c>
      <c r="EU6" s="67">
        <v>593.82000000000005</v>
      </c>
      <c r="EV6" s="67" t="s">
        <v>68</v>
      </c>
      <c r="EW6" s="67">
        <v>520.4</v>
      </c>
      <c r="EX6" s="67" t="s">
        <v>69</v>
      </c>
      <c r="EY6" s="67">
        <v>5948.5</v>
      </c>
      <c r="EZ6" s="67" t="s">
        <v>70</v>
      </c>
      <c r="FA6" s="67">
        <v>21359.75</v>
      </c>
      <c r="FB6" s="67" t="s">
        <v>71</v>
      </c>
      <c r="FC6" s="67" t="s">
        <v>72</v>
      </c>
      <c r="FD6" s="67" t="s">
        <v>73</v>
      </c>
      <c r="FE6" s="68" t="s">
        <v>74</v>
      </c>
      <c r="FF6" s="68" t="s">
        <v>75</v>
      </c>
    </row>
    <row r="7" spans="1:162" s="63" customFormat="1" ht="13.5" thickBot="1" x14ac:dyDescent="0.25">
      <c r="A7" s="2">
        <f t="shared" si="65"/>
        <v>599</v>
      </c>
      <c r="B7" s="3">
        <f t="shared" si="13"/>
        <v>8884</v>
      </c>
      <c r="C7" s="3">
        <f t="shared" si="14"/>
        <v>3220</v>
      </c>
      <c r="D7" s="3">
        <f t="shared" si="15"/>
        <v>4731</v>
      </c>
      <c r="E7" s="3">
        <f t="shared" si="16"/>
        <v>16835</v>
      </c>
      <c r="F7" s="4">
        <f t="shared" si="17"/>
        <v>6021.4965142384499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-2874</v>
      </c>
      <c r="AN7" s="1">
        <v>97</v>
      </c>
      <c r="AO7" s="1">
        <v>599</v>
      </c>
      <c r="AP7" s="1">
        <v>35706</v>
      </c>
      <c r="AQ7" s="1">
        <v>-730</v>
      </c>
      <c r="AR7" s="1"/>
      <c r="AS7" s="6">
        <f>IF(RTD("tos.rtd",,AS$2,"."&amp;$A$2&amp;$AS$1&amp;"C"&amp;$A7)="N/A",0,RTD("tos.rtd",,AS$2,"."&amp;$A$2&amp;$AS$1&amp;"C"&amp;$A7))</f>
        <v>8759</v>
      </c>
      <c r="AT7" s="7">
        <f>-IF(RTD("tos.rtd",,AT$2,"."&amp;$A$2&amp;$AS$1&amp;"P"&amp;$A7)="N/A",0,RTD("tos.rtd",,AT$2,"."&amp;$A$2&amp;$AS$1&amp;"P"&amp;$A7))</f>
        <v>-125</v>
      </c>
      <c r="AU7" s="6">
        <f>IF(RTD("tos.rtd",,AU$2,"."&amp;$A$2&amp;$AU$1&amp;"C"&amp;$A7)="N/A",0,RTD("tos.rtd",,AU$2,"."&amp;$A$2&amp;$AU$1&amp;"C"&amp;$A7))</f>
        <v>3070</v>
      </c>
      <c r="AV7" s="7">
        <f>-IF(RTD("tos.rtd",,AV$2,"."&amp;$A$2&amp;$AU$1&amp;"P"&amp;$A7)="N/A",0,RTD("tos.rtd",,AV$2,"."&amp;$A$2&amp;$AU$1&amp;"P"&amp;$A7))</f>
        <v>-150</v>
      </c>
      <c r="AW7" s="6">
        <f>IF(RTD("tos.rtd",,AW$2,"."&amp;$A$2&amp;$AW$1&amp;"C"&amp;$A7)="N/A",0,RTD("tos.rtd",,AW$2,"."&amp;$A$2&amp;$AW$1&amp;"C"&amp;$A7))</f>
        <v>4472</v>
      </c>
      <c r="AX7" s="7">
        <f>-IF(RTD("tos.rtd",,AX$2,"."&amp;$A$2&amp;$AW$1&amp;"P"&amp;$A7)="N/A",0,RTD("tos.rtd",,AX$2,"."&amp;$A$2&amp;$AW$1&amp;"P"&amp;$A7))</f>
        <v>-259</v>
      </c>
      <c r="AY7" s="1">
        <f t="shared" si="66"/>
        <v>15767</v>
      </c>
      <c r="AZ7" s="8">
        <f t="shared" si="32"/>
        <v>599</v>
      </c>
      <c r="BA7" s="6">
        <f>IF(RTD("tos.rtd",,BA$2,"."&amp;$A$2&amp;$AS$1&amp;"C"&amp;$A7)="N/A",0,RTD("tos.rtd",,BA$2,"."&amp;$A$2&amp;$AS$1&amp;"C"&amp;$A7))</f>
        <v>35706</v>
      </c>
      <c r="BB7" s="7">
        <f>-IF(RTD("tos.rtd",,BB$2,"."&amp;$A$2&amp;$AS$1&amp;"P"&amp;$A7)="N/A",0,RTD("tos.rtd",,BB$2,"."&amp;$A$2&amp;$AS$1&amp;"P"&amp;$A7))</f>
        <v>-730</v>
      </c>
      <c r="BC7" s="6">
        <f>IF(RTD("tos.rtd",,BC$2,"."&amp;$A$2&amp;$AU$1&amp;"C"&amp;$A7)="N/A",0,RTD("tos.rtd",,BC$2,"."&amp;$A$2&amp;$AU$1&amp;"C"&amp;$A7))</f>
        <v>4578</v>
      </c>
      <c r="BD7" s="7">
        <f>-IF(RTD("tos.rtd",,BD$2,"."&amp;$A$2&amp;$AU$1&amp;"P"&amp;$A7)="N/A",0,RTD("tos.rtd",,BD$2,"."&amp;$A$2&amp;$AU$1&amp;"P"&amp;$A7))</f>
        <v>-80</v>
      </c>
      <c r="BE7" s="6">
        <f>IF(RTD("tos.rtd",,BE$2,"."&amp;$A$2&amp;$AW$1&amp;"C"&amp;$A7)="N/A",0,RTD("tos.rtd",,BE$2,"."&amp;$A$2&amp;$AW$1&amp;"C"&amp;$A7))</f>
        <v>321</v>
      </c>
      <c r="BF7" s="83">
        <f>-IF(RTD("tos.rtd",,BF$2,"."&amp;$A$2&amp;$AW$1&amp;"P"&amp;$A7)="N/A",0,RTD("tos.rtd",,BF$2,"."&amp;$A$2&amp;$AW$1&amp;"P"&amp;$A7))</f>
        <v>-95</v>
      </c>
      <c r="BG7" s="32">
        <f ca="1">+Hoja2!Y8</f>
        <v>19017</v>
      </c>
      <c r="BH7" s="7">
        <f t="shared" ca="1" si="33"/>
        <v>58717</v>
      </c>
      <c r="BI7" s="8" t="str">
        <f t="shared" ca="1" si="34"/>
        <v/>
      </c>
      <c r="BJ7" s="3">
        <f ca="1">IF($BP$1=1,DX7,IF(RTD("tos.rtd",,BJ$2,"."&amp;$A$2&amp;$AS$1&amp;"C"&amp;$A7)="N/A",0,RTD("tos.rtd",,BJ$2,"."&amp;$A$2&amp;$AS$1&amp;"C"&amp;$A7)))</f>
        <v>2.775407173947483E-2</v>
      </c>
      <c r="BK7" s="3">
        <f ca="1">IF($BP$1=1,DY7,-IF(RTD("tos.rtd",,BK$2,"."&amp;$A$2&amp;$AS$1&amp;"P"&amp;$A7)="N/A",0,RTD("tos.rtd",,BK$2,"."&amp;$A$2&amp;$AS$1&amp;"P"&amp;$A7)))</f>
        <v>-2.578092803777062E-4</v>
      </c>
      <c r="BL7" s="3">
        <f ca="1">IF($BP$1=1,DZ7,IF(RTD("tos.rtd",,BL$2,"."&amp;$A$2&amp;$AU$1&amp;"C"&amp;$A7)="N/A",0,RTD("tos.rtd",,BL$2,"."&amp;$A$2&amp;$AU$1&amp;"C"&amp;$A7)))</f>
        <v>3.4029499207470025E-2</v>
      </c>
      <c r="BM7" s="3">
        <f ca="1">IF($BP$1=1,EA7,-IF(RTD("tos.rtd",,BM$2,"."&amp;$A$2&amp;$AU$1&amp;"P"&amp;$A7)="N/A",0,RTD("tos.rtd",,BM$2,"."&amp;$A$2&amp;$AU$1&amp;"P"&amp;$A7)))</f>
        <v>-3.2363843336814385E-2</v>
      </c>
      <c r="BN7" s="3">
        <f ca="1">IF($BP$1=1,EB7,IF(RTD("tos.rtd",,BN$2,"."&amp;$A$2&amp;$AW$1&amp;"C"&amp;$A7)="N/A",0,RTD("tos.rtd",,BN$2,"."&amp;$A$2&amp;$AW$1&amp;"C"&amp;$A7)))</f>
        <v>3.4821728048117923E-2</v>
      </c>
      <c r="BO7" s="3">
        <f ca="1">IF($BP$1=1,EC7,-IF(RTD("tos.rtd",,BO$2,"."&amp;$A$2&amp;$AW$1&amp;"P"&amp;$A7)="N/A",0,RTD("tos.rtd",,BO$2,"."&amp;$A$2&amp;$AW$1&amp;"P"&amp;$A7)))</f>
        <v>-3.3453831981401075E-2</v>
      </c>
      <c r="BQ7" s="3">
        <f t="shared" ca="1" si="35"/>
        <v>85303808.018456981</v>
      </c>
      <c r="BR7" s="3" t="str">
        <f t="shared" ca="1" si="67"/>
        <v/>
      </c>
      <c r="BS7" s="3">
        <f t="shared" ca="1" si="36"/>
        <v>34960191.270501934</v>
      </c>
      <c r="BT7" s="3" t="str">
        <f t="shared" ca="1" si="67"/>
        <v/>
      </c>
      <c r="BU7" s="3">
        <f t="shared" ca="1" si="37"/>
        <v>51610026.55376225</v>
      </c>
      <c r="BV7" s="3" t="str">
        <f t="shared" ca="1" si="38"/>
        <v/>
      </c>
      <c r="BX7" s="3">
        <f t="shared" ca="1" si="39"/>
        <v>347720410.12076706</v>
      </c>
      <c r="BY7" s="3" t="str">
        <f t="shared" ca="1" si="68"/>
        <v/>
      </c>
      <c r="BZ7" s="3">
        <f t="shared" ca="1" si="40"/>
        <v>53764756.971335374</v>
      </c>
      <c r="CA7" s="3" t="str">
        <f t="shared" ca="1" si="69"/>
        <v/>
      </c>
      <c r="CB7" s="3">
        <f t="shared" ca="1" si="41"/>
        <v>2807477.7753893998</v>
      </c>
      <c r="CC7" s="3" t="str">
        <f t="shared" ca="1" si="70"/>
        <v/>
      </c>
      <c r="CD7" s="3">
        <f>IF(RTD("tos.rtd",,CD$2,"."&amp;$A$2&amp;$AS$1&amp;"C"&amp;$A7)="N/A",0,RTD("tos.rtd",,CD$2,"."&amp;$A$2&amp;$AS$1&amp;"C"&amp;$A7))</f>
        <v>0.01</v>
      </c>
      <c r="CE7" s="3">
        <f>-IF(RTD("tos.rtd",,CE$2,"."&amp;$A$2&amp;$AS$1&amp;"P"&amp;$A7)="N/A",0,RTD("tos.rtd",,CE$2,"."&amp;$A$2&amp;$AS$1&amp;"P"&amp;$A7))</f>
        <v>1</v>
      </c>
      <c r="CF7" s="3">
        <f>IF(RTD("tos.rtd",,CF$2,"."&amp;$A$2&amp;$AU$1&amp;"C"&amp;$A7)="N/A",0,RTD("tos.rtd",,CF$2,"."&amp;$A$2&amp;$AU$1&amp;"C"&amp;$A7))</f>
        <v>0.21</v>
      </c>
      <c r="CG7" s="3">
        <f>-IF(RTD("tos.rtd",,CG$2,"."&amp;$A$2&amp;$AU$1&amp;"P"&amp;$A7)="N/A",0,RTD("tos.rtd",,CG$2,"."&amp;$A$2&amp;$AU$1&amp;"P"&amp;$A7))</f>
        <v>0.77</v>
      </c>
      <c r="CH7" s="3">
        <f>IF(RTD("tos.rtd",,CH$2,"."&amp;$A$2&amp;$AW$1&amp;"C"&amp;$A7)="N/A",0,RTD("tos.rtd",,CH$2,"."&amp;$A$2&amp;$AW$1&amp;"C"&amp;$A7))</f>
        <v>0.43</v>
      </c>
      <c r="CI7" s="3">
        <f>-IF(RTD("tos.rtd",,CI$2,"."&amp;$A$2&amp;$AW$1&amp;"P"&amp;$A7)="N/A",0,RTD("tos.rtd",,CI$2,"."&amp;$A$2&amp;$AW$1&amp;"P"&amp;$A7))</f>
        <v>0.56999999999999995</v>
      </c>
      <c r="CK7" s="3">
        <f t="shared" si="42"/>
        <v>-2216205.8100000005</v>
      </c>
      <c r="CL7" s="3"/>
      <c r="CM7" s="3">
        <f t="shared" si="43"/>
        <v>31350337.199999996</v>
      </c>
      <c r="CN7" s="3"/>
      <c r="CO7" s="3">
        <f t="shared" si="44"/>
        <v>105172324.53</v>
      </c>
      <c r="CP7" s="3">
        <f t="shared" si="45"/>
        <v>134306455.91999999</v>
      </c>
      <c r="CQ7" s="3">
        <f t="shared" si="46"/>
        <v>34976</v>
      </c>
      <c r="CR7" s="3"/>
      <c r="CS7" s="3">
        <f t="shared" si="18"/>
        <v>4498</v>
      </c>
      <c r="CT7" s="3"/>
      <c r="CU7" s="3">
        <f t="shared" si="19"/>
        <v>226</v>
      </c>
      <c r="CV7" s="3">
        <f t="shared" si="47"/>
        <v>39700</v>
      </c>
      <c r="CW7" s="3">
        <f t="shared" ca="1" si="48"/>
        <v>171874025.84272116</v>
      </c>
      <c r="CX7" s="85" t="str">
        <f t="shared" ca="1" si="71"/>
        <v/>
      </c>
      <c r="CY7" s="3">
        <f t="shared" ca="1" si="49"/>
        <v>404292644.86749178</v>
      </c>
      <c r="CZ7" s="85" t="str">
        <f t="shared" ca="1" si="72"/>
        <v/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6.8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7.05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5.9</v>
      </c>
      <c r="DG7" s="86">
        <f t="shared" si="50"/>
        <v>6.5900000000000318</v>
      </c>
      <c r="DH7" s="3">
        <f t="shared" si="5"/>
        <v>0</v>
      </c>
      <c r="DI7" s="3">
        <f t="shared" si="6"/>
        <v>0</v>
      </c>
      <c r="DJ7" s="3">
        <f t="shared" si="7"/>
        <v>0</v>
      </c>
      <c r="DK7" s="3">
        <f t="shared" si="8"/>
        <v>0</v>
      </c>
      <c r="DL7" s="3">
        <f t="shared" si="9"/>
        <v>0</v>
      </c>
      <c r="DM7" s="3">
        <f t="shared" si="10"/>
        <v>0</v>
      </c>
      <c r="DN7" s="63" t="str">
        <f t="shared" si="51"/>
        <v>UNKNOWN</v>
      </c>
      <c r="DO7" s="63" t="str">
        <f t="shared" si="52"/>
        <v>UNKNOWN</v>
      </c>
      <c r="DP7" s="3">
        <f t="shared" si="53"/>
        <v>0</v>
      </c>
      <c r="DQ7" s="3">
        <f t="shared" si="54"/>
        <v>0</v>
      </c>
      <c r="DR7" s="3">
        <f t="shared" ca="1" si="55"/>
        <v>0</v>
      </c>
      <c r="DS7" s="3">
        <f t="shared" si="56"/>
        <v>0</v>
      </c>
      <c r="DT7" s="3">
        <f t="shared" si="57"/>
        <v>0</v>
      </c>
      <c r="DU7" s="3">
        <f t="shared" si="58"/>
        <v>0</v>
      </c>
      <c r="DV7" s="3">
        <f t="shared" si="59"/>
        <v>-2874</v>
      </c>
      <c r="DW7" s="3">
        <f t="shared" si="20"/>
        <v>97</v>
      </c>
      <c r="DX7" s="3">
        <f t="shared" ca="1" si="21"/>
        <v>2.775407173947483E-2</v>
      </c>
      <c r="DY7" s="3">
        <f t="shared" ca="1" si="22"/>
        <v>-2.578092803777062E-4</v>
      </c>
      <c r="DZ7" s="3">
        <f t="shared" ca="1" si="23"/>
        <v>3.4029499207470025E-2</v>
      </c>
      <c r="EA7" s="3">
        <f t="shared" ca="1" si="24"/>
        <v>-3.2363843336814385E-2</v>
      </c>
      <c r="EB7" s="3">
        <f t="shared" ca="1" si="25"/>
        <v>3.4821728048117923E-2</v>
      </c>
      <c r="EC7" s="3">
        <f t="shared" ca="1" si="26"/>
        <v>-3.3453831981401075E-2</v>
      </c>
      <c r="ED7" s="63">
        <f t="shared" si="60"/>
        <v>-2777</v>
      </c>
      <c r="EE7" s="59">
        <f t="shared" si="61"/>
        <v>0.58209999999999995</v>
      </c>
      <c r="EF7" s="59">
        <f t="shared" si="27"/>
        <v>0.25</v>
      </c>
      <c r="EG7" s="59">
        <f t="shared" si="28"/>
        <v>0.1492</v>
      </c>
      <c r="EH7" s="59">
        <f t="shared" si="29"/>
        <v>0.1623</v>
      </c>
      <c r="EI7" s="59">
        <f t="shared" si="30"/>
        <v>0.14299999999999999</v>
      </c>
      <c r="EJ7" s="59">
        <f t="shared" si="31"/>
        <v>0.1537</v>
      </c>
      <c r="EK7" s="63">
        <f t="shared" ca="1" si="62"/>
        <v>-28002342.817218855</v>
      </c>
      <c r="EL7" s="3" t="str">
        <f>RTD("tos.rtd",,EL$2,"."&amp;$A$2&amp;$AS$1&amp;"C"&amp;$A7)</f>
        <v>58.21%</v>
      </c>
      <c r="EM7" s="3" t="str">
        <f>RTD("tos.rtd",,EM$2,"."&amp;$A$2&amp;$AS$1&amp;"P"&amp;$A7)</f>
        <v>--</v>
      </c>
      <c r="EN7" s="3" t="str">
        <f>RTD("tos.rtd",,EN$2,"."&amp;$A$2&amp;$AU$1&amp;"C"&amp;$A7)</f>
        <v>14.92%</v>
      </c>
      <c r="EO7" s="3" t="str">
        <f>RTD("tos.rtd",,EO$2,"."&amp;$A$2&amp;$AU$1&amp;"P"&amp;$A7)</f>
        <v>16.23%</v>
      </c>
      <c r="EP7" s="3" t="str">
        <f>RTD("tos.rtd",,EP$2,"."&amp;$A$2&amp;$AW$1&amp;"C"&amp;$A7)</f>
        <v>14.30%</v>
      </c>
      <c r="EQ7" s="3" t="str">
        <f>RTD("tos.rtd",,EQ$2,"."&amp;$A$2&amp;$AW$1&amp;"P"&amp;$A7)</f>
        <v>15.37%</v>
      </c>
      <c r="ES7" s="63" t="str">
        <f t="shared" si="63"/>
        <v>599,-2777.00</v>
      </c>
      <c r="ET7" s="63" t="str">
        <f t="shared" ca="1" si="64"/>
        <v>599,404292.64</v>
      </c>
      <c r="EU7" s="67">
        <v>593.87</v>
      </c>
      <c r="EV7" s="67" t="s">
        <v>76</v>
      </c>
      <c r="EW7" s="67">
        <v>520.44000000000005</v>
      </c>
      <c r="EX7" s="67" t="s">
        <v>77</v>
      </c>
      <c r="EY7" s="67">
        <v>5949</v>
      </c>
      <c r="EZ7" s="67" t="s">
        <v>78</v>
      </c>
      <c r="FA7" s="67">
        <v>21361.75</v>
      </c>
      <c r="FB7" s="67" t="s">
        <v>79</v>
      </c>
      <c r="FC7" s="67" t="s">
        <v>80</v>
      </c>
      <c r="FD7" s="67" t="s">
        <v>81</v>
      </c>
      <c r="FE7" s="68" t="s">
        <v>82</v>
      </c>
      <c r="FF7" s="68" t="s">
        <v>83</v>
      </c>
    </row>
    <row r="8" spans="1:162" s="63" customFormat="1" ht="13.5" thickBot="1" x14ac:dyDescent="0.25">
      <c r="A8" s="2">
        <f t="shared" si="65"/>
        <v>598</v>
      </c>
      <c r="B8" s="3">
        <f t="shared" si="13"/>
        <v>7076</v>
      </c>
      <c r="C8" s="3">
        <f t="shared" si="14"/>
        <v>3188</v>
      </c>
      <c r="D8" s="3">
        <f t="shared" si="15"/>
        <v>3307</v>
      </c>
      <c r="E8" s="3">
        <f t="shared" si="16"/>
        <v>13571</v>
      </c>
      <c r="F8" s="4">
        <f t="shared" si="17"/>
        <v>6011.4439324116747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2475</v>
      </c>
      <c r="AN8" s="1">
        <v>424</v>
      </c>
      <c r="AO8" s="1">
        <v>598</v>
      </c>
      <c r="AP8" s="1">
        <v>54067</v>
      </c>
      <c r="AQ8" s="1">
        <v>-2975</v>
      </c>
      <c r="AR8" s="1"/>
      <c r="AS8" s="6">
        <f>IF(RTD("tos.rtd",,AS$2,"."&amp;$A$2&amp;$AS$1&amp;"C"&amp;$A8)="N/A",0,RTD("tos.rtd",,AS$2,"."&amp;$A$2&amp;$AS$1&amp;"C"&amp;$A8))</f>
        <v>6679</v>
      </c>
      <c r="AT8" s="7">
        <f>-IF(RTD("tos.rtd",,AT$2,"."&amp;$A$2&amp;$AS$1&amp;"P"&amp;$A8)="N/A",0,RTD("tos.rtd",,AT$2,"."&amp;$A$2&amp;$AS$1&amp;"P"&amp;$A8))</f>
        <v>-397</v>
      </c>
      <c r="AU8" s="6">
        <f>IF(RTD("tos.rtd",,AU$2,"."&amp;$A$2&amp;$AU$1&amp;"C"&amp;$A8)="N/A",0,RTD("tos.rtd",,AU$2,"."&amp;$A$2&amp;$AU$1&amp;"C"&amp;$A8))</f>
        <v>2765</v>
      </c>
      <c r="AV8" s="7">
        <f>-IF(RTD("tos.rtd",,AV$2,"."&amp;$A$2&amp;$AU$1&amp;"P"&amp;$A8)="N/A",0,RTD("tos.rtd",,AV$2,"."&amp;$A$2&amp;$AU$1&amp;"P"&amp;$A8))</f>
        <v>-423</v>
      </c>
      <c r="AW8" s="6">
        <f>IF(RTD("tos.rtd",,AW$2,"."&amp;$A$2&amp;$AW$1&amp;"C"&amp;$A8)="N/A",0,RTD("tos.rtd",,AW$2,"."&amp;$A$2&amp;$AW$1&amp;"C"&amp;$A8))</f>
        <v>2772</v>
      </c>
      <c r="AX8" s="7">
        <f>-IF(RTD("tos.rtd",,AX$2,"."&amp;$A$2&amp;$AW$1&amp;"P"&amp;$A8)="N/A",0,RTD("tos.rtd",,AX$2,"."&amp;$A$2&amp;$AW$1&amp;"P"&amp;$A8))</f>
        <v>-535</v>
      </c>
      <c r="AY8" s="1">
        <f t="shared" si="66"/>
        <v>10861</v>
      </c>
      <c r="AZ8" s="8">
        <f t="shared" si="32"/>
        <v>598</v>
      </c>
      <c r="BA8" s="6">
        <f>IF(RTD("tos.rtd",,BA$2,"."&amp;$A$2&amp;$AS$1&amp;"C"&amp;$A8)="N/A",0,RTD("tos.rtd",,BA$2,"."&amp;$A$2&amp;$AS$1&amp;"C"&amp;$A8))</f>
        <v>54067</v>
      </c>
      <c r="BB8" s="7">
        <f>-IF(RTD("tos.rtd",,BB$2,"."&amp;$A$2&amp;$AS$1&amp;"P"&amp;$A8)="N/A",0,RTD("tos.rtd",,BB$2,"."&amp;$A$2&amp;$AS$1&amp;"P"&amp;$A8))</f>
        <v>-2975</v>
      </c>
      <c r="BC8" s="6">
        <f>IF(RTD("tos.rtd",,BC$2,"."&amp;$A$2&amp;$AU$1&amp;"C"&amp;$A8)="N/A",0,RTD("tos.rtd",,BC$2,"."&amp;$A$2&amp;$AU$1&amp;"C"&amp;$A8))</f>
        <v>7137</v>
      </c>
      <c r="BD8" s="7">
        <f>-IF(RTD("tos.rtd",,BD$2,"."&amp;$A$2&amp;$AU$1&amp;"P"&amp;$A8)="N/A",0,RTD("tos.rtd",,BD$2,"."&amp;$A$2&amp;$AU$1&amp;"P"&amp;$A8))</f>
        <v>-185</v>
      </c>
      <c r="BE8" s="6">
        <f>IF(RTD("tos.rtd",,BE$2,"."&amp;$A$2&amp;$AW$1&amp;"C"&amp;$A8)="N/A",0,RTD("tos.rtd",,BE$2,"."&amp;$A$2&amp;$AW$1&amp;"C"&amp;$A8))</f>
        <v>815</v>
      </c>
      <c r="BF8" s="83">
        <f>-IF(RTD("tos.rtd",,BF$2,"."&amp;$A$2&amp;$AW$1&amp;"P"&amp;$A8)="N/A",0,RTD("tos.rtd",,BF$2,"."&amp;$A$2&amp;$AW$1&amp;"P"&amp;$A8))</f>
        <v>-262</v>
      </c>
      <c r="BG8" s="32">
        <f ca="1">+Hoja2!Y9</f>
        <v>55098</v>
      </c>
      <c r="BH8" s="7">
        <f t="shared" ca="1" si="33"/>
        <v>113695</v>
      </c>
      <c r="BI8" s="8" t="str">
        <f t="shared" ca="1" si="34"/>
        <v/>
      </c>
      <c r="BJ8" s="3">
        <f ca="1">IF($BP$1=1,DX8,IF(RTD("tos.rtd",,BJ$2,"."&amp;$A$2&amp;$AS$1&amp;"C"&amp;$A8)="N/A",0,RTD("tos.rtd",,BJ$2,"."&amp;$A$2&amp;$AS$1&amp;"C"&amp;$A8)))</f>
        <v>3.3589487155387794E-2</v>
      </c>
      <c r="BK8" s="3">
        <f ca="1">IF($BP$1=1,DY8,-IF(RTD("tos.rtd",,BK$2,"."&amp;$A$2&amp;$AS$1&amp;"P"&amp;$A8)="N/A",0,RTD("tos.rtd",,BK$2,"."&amp;$A$2&amp;$AS$1&amp;"P"&amp;$A8)))</f>
        <v>-1.7093888376184174E-3</v>
      </c>
      <c r="BL8" s="3">
        <f ca="1">IF($BP$1=1,DZ8,IF(RTD("tos.rtd",,BL$2,"."&amp;$A$2&amp;$AU$1&amp;"C"&amp;$A8)="N/A",0,RTD("tos.rtd",,BL$2,"."&amp;$A$2&amp;$AU$1&amp;"C"&amp;$A8)))</f>
        <v>3.604091071091834E-2</v>
      </c>
      <c r="BM8" s="3">
        <f ca="1">IF($BP$1=1,EA8,-IF(RTD("tos.rtd",,BM$2,"."&amp;$A$2&amp;$AU$1&amp;"P"&amp;$A8)="N/A",0,RTD("tos.rtd",,BM$2,"."&amp;$A$2&amp;$AU$1&amp;"P"&amp;$A8)))</f>
        <v>-3.4252530067787286E-2</v>
      </c>
      <c r="BN8" s="3">
        <f ca="1">IF($BP$1=1,EB8,IF(RTD("tos.rtd",,BN$2,"."&amp;$A$2&amp;$AW$1&amp;"C"&amp;$A8)="N/A",0,RTD("tos.rtd",,BN$2,"."&amp;$A$2&amp;$AW$1&amp;"C"&amp;$A8)))</f>
        <v>3.7071432736521519E-2</v>
      </c>
      <c r="BO8" s="3">
        <f ca="1">IF($BP$1=1,EC8,-IF(RTD("tos.rtd",,BO$2,"."&amp;$A$2&amp;$AW$1&amp;"P"&amp;$A8)="N/A",0,RTD("tos.rtd",,BO$2,"."&amp;$A$2&amp;$AW$1&amp;"P"&amp;$A8)))</f>
        <v>-3.5318076789402318E-2</v>
      </c>
      <c r="BQ8" s="3">
        <f t="shared" ca="1" si="35"/>
        <v>78495339.694748461</v>
      </c>
      <c r="BR8" s="3" t="str">
        <f t="shared" ca="1" si="67"/>
        <v/>
      </c>
      <c r="BS8" s="3">
        <f t="shared" ca="1" si="36"/>
        <v>29888376.971069135</v>
      </c>
      <c r="BT8" s="3" t="str">
        <f t="shared" ca="1" si="67"/>
        <v/>
      </c>
      <c r="BU8" s="3">
        <f t="shared" ca="1" si="37"/>
        <v>29433034.793182958</v>
      </c>
      <c r="BV8" s="3" t="str">
        <f t="shared" ca="1" si="38"/>
        <v/>
      </c>
      <c r="BX8" s="3">
        <f t="shared" ca="1" si="39"/>
        <v>635568817.35530996</v>
      </c>
      <c r="BY8" s="3" t="str">
        <f t="shared" ca="1" si="68"/>
        <v/>
      </c>
      <c r="BZ8" s="3">
        <f t="shared" ca="1" si="40"/>
        <v>88048786.164328605</v>
      </c>
      <c r="CA8" s="3" t="str">
        <f t="shared" ca="1" si="69"/>
        <v/>
      </c>
      <c r="CB8" s="3">
        <f t="shared" ca="1" si="41"/>
        <v>7355862.2198103564</v>
      </c>
      <c r="CC8" s="3" t="str">
        <f t="shared" ca="1" si="70"/>
        <v/>
      </c>
      <c r="CD8" s="3">
        <f>IF(RTD("tos.rtd",,CD$2,"."&amp;$A$2&amp;$AS$1&amp;"C"&amp;$A8)="N/A",0,RTD("tos.rtd",,CD$2,"."&amp;$A$2&amp;$AS$1&amp;"C"&amp;$A8))</f>
        <v>0.01</v>
      </c>
      <c r="CE8" s="3">
        <f>-IF(RTD("tos.rtd",,CE$2,"."&amp;$A$2&amp;$AS$1&amp;"P"&amp;$A8)="N/A",0,RTD("tos.rtd",,CE$2,"."&amp;$A$2&amp;$AS$1&amp;"P"&amp;$A8))</f>
        <v>1</v>
      </c>
      <c r="CF8" s="3">
        <f>IF(RTD("tos.rtd",,CF$2,"."&amp;$A$2&amp;$AU$1&amp;"C"&amp;$A8)="N/A",0,RTD("tos.rtd",,CF$2,"."&amp;$A$2&amp;$AU$1&amp;"C"&amp;$A8))</f>
        <v>0.25</v>
      </c>
      <c r="CG8" s="3">
        <f>-IF(RTD("tos.rtd",,CG$2,"."&amp;$A$2&amp;$AU$1&amp;"P"&amp;$A8)="N/A",0,RTD("tos.rtd",,CG$2,"."&amp;$A$2&amp;$AU$1&amp;"P"&amp;$A8))</f>
        <v>0.73</v>
      </c>
      <c r="CH8" s="3">
        <f>IF(RTD("tos.rtd",,CH$2,"."&amp;$A$2&amp;$AW$1&amp;"C"&amp;$A8)="N/A",0,RTD("tos.rtd",,CH$2,"."&amp;$A$2&amp;$AW$1&amp;"C"&amp;$A8))</f>
        <v>0.45</v>
      </c>
      <c r="CI8" s="3">
        <f>-IF(RTD("tos.rtd",,CI$2,"."&amp;$A$2&amp;$AW$1&amp;"P"&amp;$A8)="N/A",0,RTD("tos.rtd",,CI$2,"."&amp;$A$2&amp;$AW$1&amp;"P"&amp;$A8))</f>
        <v>0.56000000000000005</v>
      </c>
      <c r="CK8" s="3">
        <f t="shared" si="42"/>
        <v>-19561970.609999999</v>
      </c>
      <c r="CL8" s="3"/>
      <c r="CM8" s="3">
        <f t="shared" si="43"/>
        <v>22657312.859999999</v>
      </c>
      <c r="CN8" s="3"/>
      <c r="CO8" s="3">
        <f t="shared" si="44"/>
        <v>56148619.800000004</v>
      </c>
      <c r="CP8" s="3">
        <f t="shared" si="45"/>
        <v>59243962.050000004</v>
      </c>
      <c r="CQ8" s="3">
        <f t="shared" si="46"/>
        <v>51092</v>
      </c>
      <c r="CR8" s="3"/>
      <c r="CS8" s="3">
        <f t="shared" si="18"/>
        <v>6952</v>
      </c>
      <c r="CT8" s="3"/>
      <c r="CU8" s="3">
        <f t="shared" si="19"/>
        <v>553</v>
      </c>
      <c r="CV8" s="3">
        <f t="shared" si="47"/>
        <v>58597</v>
      </c>
      <c r="CW8" s="3">
        <f t="shared" ca="1" si="48"/>
        <v>137816751.45900056</v>
      </c>
      <c r="CX8" s="85" t="str">
        <f t="shared" ca="1" si="71"/>
        <v/>
      </c>
      <c r="CY8" s="3">
        <f t="shared" ca="1" si="49"/>
        <v>730973465.7394489</v>
      </c>
      <c r="CZ8" s="85" t="str">
        <f t="shared" ca="1" si="72"/>
        <v/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5.92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6.03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4.9000000000000004</v>
      </c>
      <c r="DG8" s="86">
        <f t="shared" si="50"/>
        <v>5.5900000000000318</v>
      </c>
      <c r="DH8" s="3">
        <f t="shared" si="5"/>
        <v>0</v>
      </c>
      <c r="DI8" s="3">
        <f t="shared" si="6"/>
        <v>0</v>
      </c>
      <c r="DJ8" s="3">
        <f t="shared" si="7"/>
        <v>0</v>
      </c>
      <c r="DK8" s="3">
        <f t="shared" si="8"/>
        <v>0</v>
      </c>
      <c r="DL8" s="3">
        <f t="shared" si="9"/>
        <v>0</v>
      </c>
      <c r="DM8" s="3">
        <f t="shared" si="10"/>
        <v>0</v>
      </c>
      <c r="DN8" s="63" t="str">
        <f t="shared" si="51"/>
        <v>UNKNOWN</v>
      </c>
      <c r="DO8" s="63" t="str">
        <f t="shared" si="52"/>
        <v>UNKNOWN</v>
      </c>
      <c r="DP8" s="3">
        <f t="shared" si="53"/>
        <v>0</v>
      </c>
      <c r="DQ8" s="3">
        <f t="shared" si="54"/>
        <v>0</v>
      </c>
      <c r="DR8" s="3">
        <f t="shared" ca="1" si="55"/>
        <v>0</v>
      </c>
      <c r="DS8" s="3">
        <f t="shared" si="56"/>
        <v>0</v>
      </c>
      <c r="DT8" s="3">
        <f t="shared" si="57"/>
        <v>0</v>
      </c>
      <c r="DU8" s="3">
        <f t="shared" si="58"/>
        <v>0</v>
      </c>
      <c r="DV8" s="3">
        <f t="shared" si="59"/>
        <v>2475</v>
      </c>
      <c r="DW8" s="3">
        <f t="shared" si="20"/>
        <v>424</v>
      </c>
      <c r="DX8" s="3">
        <f t="shared" ca="1" si="21"/>
        <v>3.3589487155387794E-2</v>
      </c>
      <c r="DY8" s="3">
        <f t="shared" ca="1" si="22"/>
        <v>-1.7093888376184174E-3</v>
      </c>
      <c r="DZ8" s="3">
        <f t="shared" ca="1" si="23"/>
        <v>3.604091071091834E-2</v>
      </c>
      <c r="EA8" s="3">
        <f t="shared" ca="1" si="24"/>
        <v>-3.4252530067787286E-2</v>
      </c>
      <c r="EB8" s="3">
        <f t="shared" ca="1" si="25"/>
        <v>3.7071432736521519E-2</v>
      </c>
      <c r="EC8" s="3">
        <f t="shared" ca="1" si="26"/>
        <v>-3.5318076789402318E-2</v>
      </c>
      <c r="ED8" s="63">
        <f t="shared" si="60"/>
        <v>2899</v>
      </c>
      <c r="EE8" s="59">
        <f t="shared" si="61"/>
        <v>0.50370000000000004</v>
      </c>
      <c r="EF8" s="59">
        <f t="shared" si="27"/>
        <v>0.25</v>
      </c>
      <c r="EG8" s="59">
        <f t="shared" si="28"/>
        <v>0.15040000000000001</v>
      </c>
      <c r="EH8" s="59">
        <f t="shared" si="29"/>
        <v>0.1615</v>
      </c>
      <c r="EI8" s="59">
        <f t="shared" si="30"/>
        <v>0.14430000000000001</v>
      </c>
      <c r="EJ8" s="59">
        <f t="shared" si="31"/>
        <v>0.15479999999999999</v>
      </c>
      <c r="EK8" s="63">
        <f t="shared" ca="1" si="62"/>
        <v>28921476.388536997</v>
      </c>
      <c r="EL8" s="3" t="str">
        <f>RTD("tos.rtd",,EL$2,"."&amp;$A$2&amp;$AS$1&amp;"C"&amp;$A8)</f>
        <v>50.37%</v>
      </c>
      <c r="EM8" s="3" t="str">
        <f>RTD("tos.rtd",,EM$2,"."&amp;$A$2&amp;$AS$1&amp;"P"&amp;$A8)</f>
        <v>--</v>
      </c>
      <c r="EN8" s="3" t="str">
        <f>RTD("tos.rtd",,EN$2,"."&amp;$A$2&amp;$AU$1&amp;"C"&amp;$A8)</f>
        <v>15.04%</v>
      </c>
      <c r="EO8" s="3" t="str">
        <f>RTD("tos.rtd",,EO$2,"."&amp;$A$2&amp;$AU$1&amp;"P"&amp;$A8)</f>
        <v>16.15%</v>
      </c>
      <c r="EP8" s="3" t="str">
        <f>RTD("tos.rtd",,EP$2,"."&amp;$A$2&amp;$AW$1&amp;"C"&amp;$A8)</f>
        <v>14.43%</v>
      </c>
      <c r="EQ8" s="3" t="str">
        <f>RTD("tos.rtd",,EQ$2,"."&amp;$A$2&amp;$AW$1&amp;"P"&amp;$A8)</f>
        <v>15.48%</v>
      </c>
      <c r="ES8" s="63" t="str">
        <f t="shared" si="63"/>
        <v>598,2899.00</v>
      </c>
      <c r="ET8" s="63" t="str">
        <f t="shared" ca="1" si="64"/>
        <v>598,730973.47</v>
      </c>
      <c r="EU8" s="67">
        <v>593.76</v>
      </c>
      <c r="EV8" s="67" t="s">
        <v>84</v>
      </c>
      <c r="EW8" s="67">
        <v>520.37</v>
      </c>
      <c r="EX8" s="67" t="s">
        <v>85</v>
      </c>
      <c r="EY8" s="67">
        <v>5947.75</v>
      </c>
      <c r="EZ8" s="67" t="s">
        <v>86</v>
      </c>
      <c r="FA8" s="67">
        <v>21358.75</v>
      </c>
      <c r="FB8" s="67" t="s">
        <v>87</v>
      </c>
      <c r="FC8" s="67" t="s">
        <v>88</v>
      </c>
      <c r="FD8" s="67" t="s">
        <v>89</v>
      </c>
      <c r="FE8" s="68" t="s">
        <v>90</v>
      </c>
      <c r="FF8" s="68" t="s">
        <v>91</v>
      </c>
    </row>
    <row r="9" spans="1:162" s="63" customFormat="1" ht="13.5" thickBot="1" x14ac:dyDescent="0.25">
      <c r="A9" s="2">
        <f t="shared" si="65"/>
        <v>597</v>
      </c>
      <c r="B9" s="3">
        <f t="shared" ref="B9:B14" si="73">+IF($A$1="ABS",AS9-AT9,AS9+AT9)</f>
        <v>7145</v>
      </c>
      <c r="C9" s="3">
        <f t="shared" ref="C9:C14" si="74">+IF($A$1="ABS",AU9-AV9,AU9+AV9)</f>
        <v>3109</v>
      </c>
      <c r="D9" s="3">
        <f t="shared" ref="D9:D14" si="75">+IF($A$1="ABS",AW9-AX9,AW9+AX9)</f>
        <v>4613</v>
      </c>
      <c r="E9" s="3">
        <f t="shared" ref="E9:E14" si="76">SUM(B9:D9)</f>
        <v>14867</v>
      </c>
      <c r="F9" s="4">
        <f t="shared" ref="F9:F14" si="77">+$F$3/$A$3*A9</f>
        <v>6001.3913505848986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-2322</v>
      </c>
      <c r="AN9" s="1">
        <v>-530</v>
      </c>
      <c r="AO9" s="1">
        <v>597</v>
      </c>
      <c r="AP9" s="1">
        <v>108676</v>
      </c>
      <c r="AQ9" s="1">
        <v>-4326</v>
      </c>
      <c r="AR9" s="1"/>
      <c r="AS9" s="6">
        <f>IF(RTD("tos.rtd",,AS$2,"."&amp;$A$2&amp;$AS$1&amp;"C"&amp;$A9)="N/A",0,RTD("tos.rtd",,AS$2,"."&amp;$A$2&amp;$AS$1&amp;"C"&amp;$A9))</f>
        <v>6442</v>
      </c>
      <c r="AT9" s="7">
        <f>-IF(RTD("tos.rtd",,AT$2,"."&amp;$A$2&amp;$AS$1&amp;"P"&amp;$A9)="N/A",0,RTD("tos.rtd",,AT$2,"."&amp;$A$2&amp;$AS$1&amp;"P"&amp;$A9))</f>
        <v>-703</v>
      </c>
      <c r="AU9" s="6">
        <f>IF(RTD("tos.rtd",,AU$2,"."&amp;$A$2&amp;$AU$1&amp;"C"&amp;$A9)="N/A",0,RTD("tos.rtd",,AU$2,"."&amp;$A$2&amp;$AU$1&amp;"C"&amp;$A9))</f>
        <v>2629</v>
      </c>
      <c r="AV9" s="7">
        <f>-IF(RTD("tos.rtd",,AV$2,"."&amp;$A$2&amp;$AU$1&amp;"P"&amp;$A9)="N/A",0,RTD("tos.rtd",,AV$2,"."&amp;$A$2&amp;$AU$1&amp;"P"&amp;$A9))</f>
        <v>-480</v>
      </c>
      <c r="AW9" s="6">
        <f>IF(RTD("tos.rtd",,AW$2,"."&amp;$A$2&amp;$AW$1&amp;"C"&amp;$A9)="N/A",0,RTD("tos.rtd",,AW$2,"."&amp;$A$2&amp;$AW$1&amp;"C"&amp;$A9))</f>
        <v>3573</v>
      </c>
      <c r="AX9" s="7">
        <f>-IF(RTD("tos.rtd",,AX$2,"."&amp;$A$2&amp;$AW$1&amp;"P"&amp;$A9)="N/A",0,RTD("tos.rtd",,AX$2,"."&amp;$A$2&amp;$AW$1&amp;"P"&amp;$A9))</f>
        <v>-1040</v>
      </c>
      <c r="AY9" s="1">
        <f t="shared" ref="AY9:AY14" si="78">SUM(AS9:AX9)</f>
        <v>10421</v>
      </c>
      <c r="AZ9" s="8">
        <f t="shared" si="32"/>
        <v>597</v>
      </c>
      <c r="BA9" s="6">
        <f>IF(RTD("tos.rtd",,BA$2,"."&amp;$A$2&amp;$AS$1&amp;"C"&amp;$A9)="N/A",0,RTD("tos.rtd",,BA$2,"."&amp;$A$2&amp;$AS$1&amp;"C"&amp;$A9))</f>
        <v>108676</v>
      </c>
      <c r="BB9" s="7">
        <f>-IF(RTD("tos.rtd",,BB$2,"."&amp;$A$2&amp;$AS$1&amp;"P"&amp;$A9)="N/A",0,RTD("tos.rtd",,BB$2,"."&amp;$A$2&amp;$AS$1&amp;"P"&amp;$A9))</f>
        <v>-4326</v>
      </c>
      <c r="BC9" s="6">
        <f>IF(RTD("tos.rtd",,BC$2,"."&amp;$A$2&amp;$AU$1&amp;"C"&amp;$A9)="N/A",0,RTD("tos.rtd",,BC$2,"."&amp;$A$2&amp;$AU$1&amp;"C"&amp;$A9))</f>
        <v>17426</v>
      </c>
      <c r="BD9" s="7">
        <f>-IF(RTD("tos.rtd",,BD$2,"."&amp;$A$2&amp;$AU$1&amp;"P"&amp;$A9)="N/A",0,RTD("tos.rtd",,BD$2,"."&amp;$A$2&amp;$AU$1&amp;"P"&amp;$A9))</f>
        <v>-295</v>
      </c>
      <c r="BE9" s="6">
        <f>IF(RTD("tos.rtd",,BE$2,"."&amp;$A$2&amp;$AW$1&amp;"C"&amp;$A9)="N/A",0,RTD("tos.rtd",,BE$2,"."&amp;$A$2&amp;$AW$1&amp;"C"&amp;$A9))</f>
        <v>2836</v>
      </c>
      <c r="BF9" s="83">
        <f>-IF(RTD("tos.rtd",,BF$2,"."&amp;$A$2&amp;$AW$1&amp;"P"&amp;$A9)="N/A",0,RTD("tos.rtd",,BF$2,"."&amp;$A$2&amp;$AW$1&amp;"P"&amp;$A9))</f>
        <v>-157</v>
      </c>
      <c r="BG9" s="32">
        <f ca="1">+Hoja2!Y10</f>
        <v>36539</v>
      </c>
      <c r="BH9" s="7">
        <f t="shared" ca="1" si="33"/>
        <v>160699</v>
      </c>
      <c r="BI9" s="8" t="str">
        <f t="shared" ca="1" si="34"/>
        <v/>
      </c>
      <c r="BJ9" s="3">
        <f ca="1">IF($BP$1=1,DX9,IF(RTD("tos.rtd",,BJ$2,"."&amp;$A$2&amp;$AS$1&amp;"C"&amp;$A9)="N/A",0,RTD("tos.rtd",,BJ$2,"."&amp;$A$2&amp;$AS$1&amp;"C"&amp;$A9)))</f>
        <v>4.2157557671032964E-2</v>
      </c>
      <c r="BK9" s="3">
        <f ca="1">IF($BP$1=1,DY9,-IF(RTD("tos.rtd",,BK$2,"."&amp;$A$2&amp;$AS$1&amp;"P"&amp;$A9)="N/A",0,RTD("tos.rtd",,BK$2,"."&amp;$A$2&amp;$AS$1&amp;"P"&amp;$A9)))</f>
        <v>-8.3380481899088185E-3</v>
      </c>
      <c r="BL9" s="3">
        <f ca="1">IF($BP$1=1,DZ9,IF(RTD("tos.rtd",,BL$2,"."&amp;$A$2&amp;$AU$1&amp;"C"&amp;$A9)="N/A",0,RTD("tos.rtd",,BL$2,"."&amp;$A$2&amp;$AU$1&amp;"C"&amp;$A9)))</f>
        <v>3.7656534075672016E-2</v>
      </c>
      <c r="BM9" s="3">
        <f ca="1">IF($BP$1=1,EA9,-IF(RTD("tos.rtd",,BM$2,"."&amp;$A$2&amp;$AU$1&amp;"P"&amp;$A9)="N/A",0,RTD("tos.rtd",,BM$2,"."&amp;$A$2&amp;$AU$1&amp;"P"&amp;$A9)))</f>
        <v>-3.5824059005308648E-2</v>
      </c>
      <c r="BN9" s="3">
        <f ca="1">IF($BP$1=1,EB9,IF(RTD("tos.rtd",,BN$2,"."&amp;$A$2&amp;$AW$1&amp;"C"&amp;$A9)="N/A",0,RTD("tos.rtd",,BN$2,"."&amp;$A$2&amp;$AW$1&amp;"C"&amp;$A9)))</f>
        <v>3.8923160055618161E-2</v>
      </c>
      <c r="BO9" s="3">
        <f ca="1">IF($BP$1=1,EC9,-IF(RTD("tos.rtd",,BO$2,"."&amp;$A$2&amp;$AW$1&amp;"P"&amp;$A9)="N/A",0,RTD("tos.rtd",,BO$2,"."&amp;$A$2&amp;$AW$1&amp;"P"&amp;$A9)))</f>
        <v>-3.6893686051178501E-2</v>
      </c>
      <c r="BQ9" s="3">
        <f t="shared" ref="BQ9:BQ14" ca="1" si="79">+$A$3*$A$3*AS9*BJ9-$A$3*$A$3*AT9*BK9</f>
        <v>93253395.860833272</v>
      </c>
      <c r="BR9" s="3" t="str">
        <f t="shared" ca="1" si="67"/>
        <v/>
      </c>
      <c r="BS9" s="3">
        <f t="shared" ref="BS9:BS14" ca="1" si="80">+$A$3*$A$3*AU9*BL9-$A$3*$A$3*AV9*BM9</f>
        <v>28708899.163828306</v>
      </c>
      <c r="BT9" s="3" t="str">
        <f t="shared" ca="1" si="67"/>
        <v/>
      </c>
      <c r="BU9" s="3">
        <f t="shared" ref="BU9:BU14" ca="1" si="81">+$A$3*$A$3*AW9*BN9-$A$3*$A$3*AX9*BO9</f>
        <v>35341684.485928029</v>
      </c>
      <c r="BV9" s="3" t="str">
        <f t="shared" ca="1" si="38"/>
        <v/>
      </c>
      <c r="BX9" s="3">
        <f t="shared" ref="BX9:BX14" ca="1" si="82">+$A$3*$A$3*BA9*BJ9-$A$3*$A$3*BB9*BK9</f>
        <v>1595221910.1099722</v>
      </c>
      <c r="BY9" s="3" t="str">
        <f t="shared" ca="1" si="68"/>
        <v/>
      </c>
      <c r="BZ9" s="3">
        <f t="shared" ref="BZ9:BZ14" ca="1" si="83">+$A$3*$A$3*BC9*BL9-$A$3*$A$3*BD9*BM9</f>
        <v>226585232.79653397</v>
      </c>
      <c r="CA9" s="3" t="str">
        <f t="shared" ca="1" si="69"/>
        <v/>
      </c>
      <c r="CB9" s="3">
        <f t="shared" ref="CB9:CB14" ca="1" si="84">+$A$3*$A$3*BE9*BN9-$A$3*$A$3*BF9*BO9</f>
        <v>36707143.716941915</v>
      </c>
      <c r="CC9" s="3" t="str">
        <f t="shared" ca="1" si="70"/>
        <v/>
      </c>
      <c r="CD9" s="3">
        <f>IF(RTD("tos.rtd",,CD$2,"."&amp;$A$2&amp;$AS$1&amp;"C"&amp;$A9)="N/A",0,RTD("tos.rtd",,CD$2,"."&amp;$A$2&amp;$AS$1&amp;"C"&amp;$A9))</f>
        <v>0.01</v>
      </c>
      <c r="CE9" s="3">
        <f>-IF(RTD("tos.rtd",,CE$2,"."&amp;$A$2&amp;$AS$1&amp;"P"&amp;$A9)="N/A",0,RTD("tos.rtd",,CE$2,"."&amp;$A$2&amp;$AS$1&amp;"P"&amp;$A9))</f>
        <v>1</v>
      </c>
      <c r="CF9" s="3">
        <f>IF(RTD("tos.rtd",,CF$2,"."&amp;$A$2&amp;$AU$1&amp;"C"&amp;$A9)="N/A",0,RTD("tos.rtd",,CF$2,"."&amp;$A$2&amp;$AU$1&amp;"C"&amp;$A9))</f>
        <v>0.3</v>
      </c>
      <c r="CG9" s="3">
        <f>-IF(RTD("tos.rtd",,CG$2,"."&amp;$A$2&amp;$AU$1&amp;"P"&amp;$A9)="N/A",0,RTD("tos.rtd",,CG$2,"."&amp;$A$2&amp;$AU$1&amp;"P"&amp;$A9))</f>
        <v>0.69</v>
      </c>
      <c r="CH9" s="3">
        <f>IF(RTD("tos.rtd",,CH$2,"."&amp;$A$2&amp;$AW$1&amp;"C"&amp;$A9)="N/A",0,RTD("tos.rtd",,CH$2,"."&amp;$A$2&amp;$AW$1&amp;"C"&amp;$A9))</f>
        <v>0.46</v>
      </c>
      <c r="CI9" s="3">
        <f>-IF(RTD("tos.rtd",,CI$2,"."&amp;$A$2&amp;$AW$1&amp;"P"&amp;$A9)="N/A",0,RTD("tos.rtd",,CI$2,"."&amp;$A$2&amp;$AW$1&amp;"P"&amp;$A9))</f>
        <v>0.54</v>
      </c>
      <c r="CK9" s="3">
        <f t="shared" si="42"/>
        <v>-37830117.780000001</v>
      </c>
      <c r="CL9" s="3"/>
      <c r="CM9" s="3">
        <f t="shared" si="43"/>
        <v>27102757.499999996</v>
      </c>
      <c r="CN9" s="3"/>
      <c r="CO9" s="3">
        <f t="shared" si="44"/>
        <v>64097577.180000022</v>
      </c>
      <c r="CP9" s="3">
        <f t="shared" ref="CP9:CP14" si="85">+CK9+CM9+CO9</f>
        <v>53370216.900000021</v>
      </c>
      <c r="CQ9" s="3">
        <f t="shared" ref="CQ9:CQ14" si="86">+BA9+BB9</f>
        <v>104350</v>
      </c>
      <c r="CR9" s="3"/>
      <c r="CS9" s="3">
        <f t="shared" ref="CS9:CS14" si="87">+BC9+BD9</f>
        <v>17131</v>
      </c>
      <c r="CT9" s="3"/>
      <c r="CU9" s="3">
        <f t="shared" ref="CU9:CU14" si="88">+BE9+BF9</f>
        <v>2679</v>
      </c>
      <c r="CV9" s="3">
        <f t="shared" ref="CV9:CV14" si="89">+CQ9+CS9+CU9</f>
        <v>124160</v>
      </c>
      <c r="CW9" s="3">
        <f t="shared" ref="CW9:CW14" ca="1" si="90">+BQ9+BS9+BU9</f>
        <v>157303979.5105896</v>
      </c>
      <c r="CX9" s="85" t="str">
        <f t="shared" ca="1" si="71"/>
        <v/>
      </c>
      <c r="CY9" s="3">
        <f t="shared" ref="CY9:CY14" ca="1" si="91">+BX9+BZ9+CB9</f>
        <v>1858514286.6234481</v>
      </c>
      <c r="CZ9" s="85" t="str">
        <f t="shared" ca="1" si="72"/>
        <v/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4.55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5.15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3.9</v>
      </c>
      <c r="DG9" s="86">
        <f t="shared" si="50"/>
        <v>4.5900000000000318</v>
      </c>
      <c r="DH9" s="3">
        <f t="shared" si="5"/>
        <v>0</v>
      </c>
      <c r="DI9" s="3">
        <f t="shared" si="6"/>
        <v>0</v>
      </c>
      <c r="DJ9" s="3">
        <f t="shared" si="7"/>
        <v>0</v>
      </c>
      <c r="DK9" s="3">
        <f t="shared" si="8"/>
        <v>0</v>
      </c>
      <c r="DL9" s="3">
        <f t="shared" si="9"/>
        <v>0</v>
      </c>
      <c r="DM9" s="3">
        <f t="shared" si="10"/>
        <v>0</v>
      </c>
      <c r="DN9" s="63" t="str">
        <f t="shared" si="51"/>
        <v>UNKNOWN</v>
      </c>
      <c r="DO9" s="63" t="str">
        <f t="shared" si="52"/>
        <v>UNKNOWN</v>
      </c>
      <c r="DP9" s="3">
        <f t="shared" si="53"/>
        <v>0</v>
      </c>
      <c r="DQ9" s="3">
        <f t="shared" si="54"/>
        <v>0</v>
      </c>
      <c r="DR9" s="3">
        <f t="shared" ca="1" si="55"/>
        <v>0</v>
      </c>
      <c r="DS9" s="3">
        <f t="shared" si="56"/>
        <v>0</v>
      </c>
      <c r="DT9" s="3">
        <f t="shared" si="57"/>
        <v>0</v>
      </c>
      <c r="DU9" s="3">
        <f t="shared" si="58"/>
        <v>0</v>
      </c>
      <c r="DV9" s="3">
        <f t="shared" si="59"/>
        <v>-2322</v>
      </c>
      <c r="DW9" s="3">
        <f t="shared" si="20"/>
        <v>-530</v>
      </c>
      <c r="DX9" s="3">
        <f t="shared" ca="1" si="21"/>
        <v>4.2157557671032964E-2</v>
      </c>
      <c r="DY9" s="3">
        <f t="shared" ca="1" si="22"/>
        <v>-8.3380481899088185E-3</v>
      </c>
      <c r="DZ9" s="3">
        <f t="shared" ca="1" si="23"/>
        <v>3.7656534075672016E-2</v>
      </c>
      <c r="EA9" s="3">
        <f t="shared" ca="1" si="24"/>
        <v>-3.5824059005308648E-2</v>
      </c>
      <c r="EB9" s="3">
        <f t="shared" ca="1" si="25"/>
        <v>3.8923160055618161E-2</v>
      </c>
      <c r="EC9" s="3">
        <f t="shared" ca="1" si="26"/>
        <v>-3.6893686051178501E-2</v>
      </c>
      <c r="ED9" s="63">
        <f t="shared" si="60"/>
        <v>-2852</v>
      </c>
      <c r="EE9" s="59">
        <f t="shared" ref="EE9:EE14" si="92">IFERROR(VALUE(IF(OR(EL9="--",EL9="0.00%"),$EE$1,EL9)),$EE$1)</f>
        <v>0.42370000000000002</v>
      </c>
      <c r="EF9" s="59">
        <f t="shared" ref="EF9:EF14" si="93">IFERROR(VALUE(IF(OR(EM9="--",EM9="0.00%"),$EE$1,EM9)),$EE$1)</f>
        <v>0.25</v>
      </c>
      <c r="EG9" s="59">
        <f t="shared" ref="EG9:EG14" si="94">IFERROR(VALUE(IF(OR(EN9="--",EN9="0.00%"),$EE$1,EN9)),$EE$1)</f>
        <v>0.15179999999999999</v>
      </c>
      <c r="EH9" s="59">
        <f t="shared" ref="EH9:EH14" si="95">IFERROR(VALUE(IF(OR(EO9="--",EO9="0.00%"),$EE$1,EO9)),$EE$1)</f>
        <v>0.16139999999999999</v>
      </c>
      <c r="EI9" s="59">
        <f t="shared" ref="EI9:EI14" si="96">IFERROR(VALUE(IF(OR(EP9="--",EP9="0.00%"),$EE$1,EP9)),$EE$1)</f>
        <v>0.14560000000000001</v>
      </c>
      <c r="EJ9" s="59">
        <f t="shared" ref="EJ9:EJ14" si="97">IFERROR(VALUE(IF(OR(EQ9="--",EQ9="0.00%"),$EE$1,EQ9)),$EE$1)</f>
        <v>0.15570000000000001</v>
      </c>
      <c r="EK9" s="63">
        <f t="shared" ca="1" si="62"/>
        <v>-32803499.698062498</v>
      </c>
      <c r="EL9" s="3" t="str">
        <f>RTD("tos.rtd",,EL$2,"."&amp;$A$2&amp;$AS$1&amp;"C"&amp;$A9)</f>
        <v>42.37%</v>
      </c>
      <c r="EM9" s="3" t="str">
        <f>RTD("tos.rtd",,EM$2,"."&amp;$A$2&amp;$AS$1&amp;"P"&amp;$A9)</f>
        <v>--</v>
      </c>
      <c r="EN9" s="3" t="str">
        <f>RTD("tos.rtd",,EN$2,"."&amp;$A$2&amp;$AU$1&amp;"C"&amp;$A9)</f>
        <v>15.18%</v>
      </c>
      <c r="EO9" s="3" t="str">
        <f>RTD("tos.rtd",,EO$2,"."&amp;$A$2&amp;$AU$1&amp;"P"&amp;$A9)</f>
        <v>16.14%</v>
      </c>
      <c r="EP9" s="3" t="str">
        <f>RTD("tos.rtd",,EP$2,"."&amp;$A$2&amp;$AW$1&amp;"C"&amp;$A9)</f>
        <v>14.56%</v>
      </c>
      <c r="EQ9" s="3" t="str">
        <f>RTD("tos.rtd",,EQ$2,"."&amp;$A$2&amp;$AW$1&amp;"P"&amp;$A9)</f>
        <v>15.57%</v>
      </c>
      <c r="ES9" s="63" t="str">
        <f t="shared" si="63"/>
        <v>597,-2852.00</v>
      </c>
      <c r="ET9" s="63" t="str">
        <f t="shared" ca="1" si="64"/>
        <v>597,1858514.29</v>
      </c>
      <c r="EU9" s="67">
        <v>593.66</v>
      </c>
      <c r="EV9" s="67" t="s">
        <v>92</v>
      </c>
      <c r="EW9" s="67">
        <v>520.24</v>
      </c>
      <c r="EX9" s="67" t="s">
        <v>93</v>
      </c>
      <c r="EY9" s="67">
        <v>5946.75</v>
      </c>
      <c r="EZ9" s="67" t="s">
        <v>94</v>
      </c>
      <c r="FA9" s="67">
        <v>21353.5</v>
      </c>
      <c r="FB9" s="67" t="s">
        <v>95</v>
      </c>
      <c r="FC9" s="67" t="s">
        <v>96</v>
      </c>
      <c r="FD9" s="67" t="s">
        <v>97</v>
      </c>
      <c r="FE9" s="68" t="s">
        <v>98</v>
      </c>
      <c r="FF9" s="68" t="s">
        <v>99</v>
      </c>
    </row>
    <row r="10" spans="1:162" s="63" customFormat="1" ht="13.5" thickBot="1" x14ac:dyDescent="0.25">
      <c r="A10" s="2">
        <f t="shared" si="65"/>
        <v>596</v>
      </c>
      <c r="B10" s="3">
        <f t="shared" si="73"/>
        <v>11893</v>
      </c>
      <c r="C10" s="3">
        <f t="shared" si="74"/>
        <v>4099</v>
      </c>
      <c r="D10" s="3">
        <f t="shared" si="75"/>
        <v>4039</v>
      </c>
      <c r="E10" s="3">
        <f t="shared" si="76"/>
        <v>20031</v>
      </c>
      <c r="F10" s="4">
        <f t="shared" si="77"/>
        <v>5991.3387687581235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14870</v>
      </c>
      <c r="AN10" s="1">
        <v>1502</v>
      </c>
      <c r="AO10" s="1">
        <v>596</v>
      </c>
      <c r="AP10" s="1">
        <v>243652</v>
      </c>
      <c r="AQ10" s="1">
        <v>-13415</v>
      </c>
      <c r="AR10" s="1"/>
      <c r="AS10" s="6">
        <f>IF(RTD("tos.rtd",,AS$2,"."&amp;$A$2&amp;$AS$1&amp;"C"&amp;$A10)="N/A",0,RTD("tos.rtd",,AS$2,"."&amp;$A$2&amp;$AS$1&amp;"C"&amp;$A10))</f>
        <v>7858</v>
      </c>
      <c r="AT10" s="7">
        <f>-IF(RTD("tos.rtd",,AT$2,"."&amp;$A$2&amp;$AS$1&amp;"P"&amp;$A10)="N/A",0,RTD("tos.rtd",,AT$2,"."&amp;$A$2&amp;$AS$1&amp;"P"&amp;$A10))</f>
        <v>-4035</v>
      </c>
      <c r="AU10" s="6">
        <f>IF(RTD("tos.rtd",,AU$2,"."&amp;$A$2&amp;$AU$1&amp;"C"&amp;$A10)="N/A",0,RTD("tos.rtd",,AU$2,"."&amp;$A$2&amp;$AU$1&amp;"C"&amp;$A10))</f>
        <v>3134</v>
      </c>
      <c r="AV10" s="7">
        <f>-IF(RTD("tos.rtd",,AV$2,"."&amp;$A$2&amp;$AU$1&amp;"P"&amp;$A10)="N/A",0,RTD("tos.rtd",,AV$2,"."&amp;$A$2&amp;$AU$1&amp;"P"&amp;$A10))</f>
        <v>-965</v>
      </c>
      <c r="AW10" s="6">
        <f>IF(RTD("tos.rtd",,AW$2,"."&amp;$A$2&amp;$AW$1&amp;"C"&amp;$A10)="N/A",0,RTD("tos.rtd",,AW$2,"."&amp;$A$2&amp;$AW$1&amp;"C"&amp;$A10))</f>
        <v>3109</v>
      </c>
      <c r="AX10" s="7">
        <f>-IF(RTD("tos.rtd",,AX$2,"."&amp;$A$2&amp;$AW$1&amp;"P"&amp;$A10)="N/A",0,RTD("tos.rtd",,AX$2,"."&amp;$A$2&amp;$AW$1&amp;"P"&amp;$A10))</f>
        <v>-930</v>
      </c>
      <c r="AY10" s="1">
        <f t="shared" si="78"/>
        <v>8171</v>
      </c>
      <c r="AZ10" s="8">
        <f t="shared" si="32"/>
        <v>596</v>
      </c>
      <c r="BA10" s="6">
        <f>IF(RTD("tos.rtd",,BA$2,"."&amp;$A$2&amp;$AS$1&amp;"C"&amp;$A10)="N/A",0,RTD("tos.rtd",,BA$2,"."&amp;$A$2&amp;$AS$1&amp;"C"&amp;$A10))</f>
        <v>243652</v>
      </c>
      <c r="BB10" s="7">
        <f>-IF(RTD("tos.rtd",,BB$2,"."&amp;$A$2&amp;$AS$1&amp;"P"&amp;$A10)="N/A",0,RTD("tos.rtd",,BB$2,"."&amp;$A$2&amp;$AS$1&amp;"P"&amp;$A10))</f>
        <v>-13415</v>
      </c>
      <c r="BC10" s="6">
        <f>IF(RTD("tos.rtd",,BC$2,"."&amp;$A$2&amp;$AU$1&amp;"C"&amp;$A10)="N/A",0,RTD("tos.rtd",,BC$2,"."&amp;$A$2&amp;$AU$1&amp;"C"&amp;$A10))</f>
        <v>16039</v>
      </c>
      <c r="BD10" s="7">
        <f>-IF(RTD("tos.rtd",,BD$2,"."&amp;$A$2&amp;$AU$1&amp;"P"&amp;$A10)="N/A",0,RTD("tos.rtd",,BD$2,"."&amp;$A$2&amp;$AU$1&amp;"P"&amp;$A10))</f>
        <v>-882</v>
      </c>
      <c r="BE10" s="6">
        <f>IF(RTD("tos.rtd",,BE$2,"."&amp;$A$2&amp;$AW$1&amp;"C"&amp;$A10)="N/A",0,RTD("tos.rtd",,BE$2,"."&amp;$A$2&amp;$AW$1&amp;"C"&amp;$A10))</f>
        <v>638</v>
      </c>
      <c r="BF10" s="83">
        <f>-IF(RTD("tos.rtd",,BF$2,"."&amp;$A$2&amp;$AW$1&amp;"P"&amp;$A10)="N/A",0,RTD("tos.rtd",,BF$2,"."&amp;$A$2&amp;$AW$1&amp;"P"&amp;$A10))</f>
        <v>-106</v>
      </c>
      <c r="BG10" s="32">
        <f ca="1">+Hoja2!Y11</f>
        <v>47692</v>
      </c>
      <c r="BH10" s="7">
        <f t="shared" ca="1" si="33"/>
        <v>293618</v>
      </c>
      <c r="BI10" s="8" t="str">
        <f t="shared" ca="1" si="34"/>
        <v/>
      </c>
      <c r="BJ10" s="3">
        <f ca="1">IF($BP$1=1,DX10,IF(RTD("tos.rtd",,BJ$2,"."&amp;$A$2&amp;$AS$1&amp;"C"&amp;$A10)="N/A",0,RTD("tos.rtd",,BJ$2,"."&amp;$A$2&amp;$AS$1&amp;"C"&amp;$A10)))</f>
        <v>5.5860286791207921E-2</v>
      </c>
      <c r="BK10" s="3">
        <f ca="1">IF($BP$1=1,DY10,-IF(RTD("tos.rtd",,BK$2,"."&amp;$A$2&amp;$AS$1&amp;"P"&amp;$A10)="N/A",0,RTD("tos.rtd",,BK$2,"."&amp;$A$2&amp;$AS$1&amp;"P"&amp;$A10)))</f>
        <v>-6.3224604889908234E-2</v>
      </c>
      <c r="BL10" s="3">
        <f ca="1">IF($BP$1=1,DZ10,IF(RTD("tos.rtd",,BL$2,"."&amp;$A$2&amp;$AU$1&amp;"C"&amp;$A10)="N/A",0,RTD("tos.rtd",,BL$2,"."&amp;$A$2&amp;$AU$1&amp;"C"&amp;$A10)))</f>
        <v>3.8822415025483267E-2</v>
      </c>
      <c r="BM10" s="3">
        <f ca="1">IF($BP$1=1,EA10,-IF(RTD("tos.rtd",,BM$2,"."&amp;$A$2&amp;$AU$1&amp;"P"&amp;$A10)="N/A",0,RTD("tos.rtd",,BM$2,"."&amp;$A$2&amp;$AU$1&amp;"P"&amp;$A10)))</f>
        <v>-3.6959191541099043E-2</v>
      </c>
      <c r="BN10" s="3">
        <f ca="1">IF($BP$1=1,EB10,IF(RTD("tos.rtd",,BN$2,"."&amp;$A$2&amp;$AW$1&amp;"C"&amp;$A10)="N/A",0,RTD("tos.rtd",,BN$2,"."&amp;$A$2&amp;$AW$1&amp;"C"&amp;$A10)))</f>
        <v>4.0330776801709559E-2</v>
      </c>
      <c r="BO10" s="3">
        <f ca="1">IF($BP$1=1,EC10,-IF(RTD("tos.rtd",,BO$2,"."&amp;$A$2&amp;$AW$1&amp;"P"&amp;$A10)="N/A",0,RTD("tos.rtd",,BO$2,"."&amp;$A$2&amp;$AW$1&amp;"P"&amp;$A10)))</f>
        <v>-3.8095639842974358E-2</v>
      </c>
      <c r="BQ10" s="3">
        <f t="shared" ca="1" si="79"/>
        <v>64518173.369870603</v>
      </c>
      <c r="BR10" s="3" t="str">
        <f t="shared" ca="1" si="67"/>
        <v/>
      </c>
      <c r="BS10" s="3">
        <f t="shared" ca="1" si="80"/>
        <v>30183010.030955933</v>
      </c>
      <c r="BT10" s="3" t="str">
        <f t="shared" ca="1" si="67"/>
        <v/>
      </c>
      <c r="BU10" s="3">
        <f t="shared" ca="1" si="81"/>
        <v>31571230.220808975</v>
      </c>
      <c r="BV10" s="3" t="str">
        <f t="shared" ca="1" si="38"/>
        <v/>
      </c>
      <c r="BX10" s="3">
        <f t="shared" ca="1" si="82"/>
        <v>4478928578.274888</v>
      </c>
      <c r="BY10" s="3" t="str">
        <f t="shared" ca="1" si="68"/>
        <v/>
      </c>
      <c r="BZ10" s="3">
        <f t="shared" ca="1" si="83"/>
        <v>207086487.40106064</v>
      </c>
      <c r="CA10" s="3" t="str">
        <f t="shared" ca="1" si="69"/>
        <v/>
      </c>
      <c r="CB10" s="3">
        <f t="shared" ca="1" si="84"/>
        <v>7613113.9730880857</v>
      </c>
      <c r="CC10" s="3" t="str">
        <f t="shared" ca="1" si="70"/>
        <v/>
      </c>
      <c r="CD10" s="3">
        <f>IF(RTD("tos.rtd",,CD$2,"."&amp;$A$2&amp;$AS$1&amp;"C"&amp;$A10)="N/A",0,RTD("tos.rtd",,CD$2,"."&amp;$A$2&amp;$AS$1&amp;"C"&amp;$A10))</f>
        <v>0.01</v>
      </c>
      <c r="CE10" s="3">
        <f>-IF(RTD("tos.rtd",,CE$2,"."&amp;$A$2&amp;$AS$1&amp;"P"&amp;$A10)="N/A",0,RTD("tos.rtd",,CE$2,"."&amp;$A$2&amp;$AS$1&amp;"P"&amp;$A10))</f>
        <v>0.88</v>
      </c>
      <c r="CF10" s="3">
        <f>IF(RTD("tos.rtd",,CF$2,"."&amp;$A$2&amp;$AU$1&amp;"C"&amp;$A10)="N/A",0,RTD("tos.rtd",,CF$2,"."&amp;$A$2&amp;$AU$1&amp;"C"&amp;$A10))</f>
        <v>0.34</v>
      </c>
      <c r="CG10" s="3">
        <f>-IF(RTD("tos.rtd",,CG$2,"."&amp;$A$2&amp;$AU$1&amp;"P"&amp;$A10)="N/A",0,RTD("tos.rtd",,CG$2,"."&amp;$A$2&amp;$AU$1&amp;"P"&amp;$A10))</f>
        <v>0.65</v>
      </c>
      <c r="CH10" s="3">
        <f>IF(RTD("tos.rtd",,CH$2,"."&amp;$A$2&amp;$AW$1&amp;"C"&amp;$A10)="N/A",0,RTD("tos.rtd",,CH$2,"."&amp;$A$2&amp;$AW$1&amp;"C"&amp;$A10))</f>
        <v>0.48</v>
      </c>
      <c r="CI10" s="3">
        <f>-IF(RTD("tos.rtd",,CI$2,"."&amp;$A$2&amp;$AW$1&amp;"P"&amp;$A10)="N/A",0,RTD("tos.rtd",,CI$2,"."&amp;$A$2&amp;$AW$1&amp;"P"&amp;$A10))</f>
        <v>0.52</v>
      </c>
      <c r="CK10" s="3">
        <f t="shared" si="42"/>
        <v>-205697785.01999998</v>
      </c>
      <c r="CL10" s="3"/>
      <c r="CM10" s="3">
        <f t="shared" si="43"/>
        <v>25965922.710000008</v>
      </c>
      <c r="CN10" s="3"/>
      <c r="CO10" s="3">
        <f t="shared" si="44"/>
        <v>59757581.519999996</v>
      </c>
      <c r="CP10" s="3">
        <f t="shared" si="85"/>
        <v>-119974280.78999998</v>
      </c>
      <c r="CQ10" s="3">
        <f t="shared" si="86"/>
        <v>230237</v>
      </c>
      <c r="CR10" s="3"/>
      <c r="CS10" s="3">
        <f t="shared" si="87"/>
        <v>15157</v>
      </c>
      <c r="CT10" s="3"/>
      <c r="CU10" s="3">
        <f t="shared" si="88"/>
        <v>532</v>
      </c>
      <c r="CV10" s="3">
        <f t="shared" si="89"/>
        <v>245926</v>
      </c>
      <c r="CW10" s="3">
        <f t="shared" ca="1" si="90"/>
        <v>126272413.62163553</v>
      </c>
      <c r="CX10" s="85" t="str">
        <f t="shared" ca="1" si="71"/>
        <v/>
      </c>
      <c r="CY10" s="3">
        <f t="shared" ca="1" si="91"/>
        <v>4693628179.6490374</v>
      </c>
      <c r="CZ10" s="85" t="str">
        <f t="shared" ca="1" si="72"/>
        <v/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3.65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4.62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2.9</v>
      </c>
      <c r="DG10" s="86">
        <f t="shared" si="50"/>
        <v>3.5900000000000318</v>
      </c>
      <c r="DH10" s="3">
        <f t="shared" si="5"/>
        <v>0</v>
      </c>
      <c r="DI10" s="3">
        <f t="shared" si="6"/>
        <v>0</v>
      </c>
      <c r="DJ10" s="3">
        <f t="shared" si="7"/>
        <v>0</v>
      </c>
      <c r="DK10" s="3">
        <f t="shared" si="8"/>
        <v>0</v>
      </c>
      <c r="DL10" s="3">
        <f t="shared" si="9"/>
        <v>0</v>
      </c>
      <c r="DM10" s="3">
        <f t="shared" si="10"/>
        <v>0</v>
      </c>
      <c r="DN10" s="63" t="str">
        <f t="shared" si="51"/>
        <v>UNKNOWN</v>
      </c>
      <c r="DO10" s="63" t="str">
        <f t="shared" si="52"/>
        <v>UNKNOWN</v>
      </c>
      <c r="DP10" s="3">
        <f t="shared" si="53"/>
        <v>0</v>
      </c>
      <c r="DQ10" s="3">
        <f t="shared" si="54"/>
        <v>0</v>
      </c>
      <c r="DR10" s="3">
        <f t="shared" ca="1" si="55"/>
        <v>0</v>
      </c>
      <c r="DS10" s="3">
        <f t="shared" si="56"/>
        <v>0</v>
      </c>
      <c r="DT10" s="3">
        <f t="shared" si="57"/>
        <v>0</v>
      </c>
      <c r="DU10" s="3">
        <f t="shared" si="58"/>
        <v>0</v>
      </c>
      <c r="DV10" s="3">
        <f t="shared" si="59"/>
        <v>14870</v>
      </c>
      <c r="DW10" s="3">
        <f t="shared" si="20"/>
        <v>1502</v>
      </c>
      <c r="DX10" s="3">
        <f t="shared" ca="1" si="21"/>
        <v>5.5860286791207921E-2</v>
      </c>
      <c r="DY10" s="3">
        <f t="shared" ca="1" si="22"/>
        <v>-6.3224604889908234E-2</v>
      </c>
      <c r="DZ10" s="3">
        <f t="shared" ca="1" si="23"/>
        <v>3.8822415025483267E-2</v>
      </c>
      <c r="EA10" s="3">
        <f t="shared" ca="1" si="24"/>
        <v>-3.6959191541099043E-2</v>
      </c>
      <c r="EB10" s="3">
        <f t="shared" ca="1" si="25"/>
        <v>4.0330776801709559E-2</v>
      </c>
      <c r="EC10" s="3">
        <f t="shared" ca="1" si="26"/>
        <v>-3.8095639842974358E-2</v>
      </c>
      <c r="ED10" s="63">
        <f t="shared" si="60"/>
        <v>16372</v>
      </c>
      <c r="EE10" s="59">
        <f t="shared" si="92"/>
        <v>0.34179999999999999</v>
      </c>
      <c r="EF10" s="59">
        <f t="shared" si="93"/>
        <v>0.67290000000000005</v>
      </c>
      <c r="EG10" s="59">
        <f t="shared" si="94"/>
        <v>0.15340000000000001</v>
      </c>
      <c r="EH10" s="59">
        <f t="shared" si="95"/>
        <v>0.16209999999999999</v>
      </c>
      <c r="EI10" s="59">
        <f t="shared" si="96"/>
        <v>0.1469</v>
      </c>
      <c r="EJ10" s="59">
        <f t="shared" si="97"/>
        <v>0.15670000000000001</v>
      </c>
      <c r="EK10" s="63">
        <f t="shared" ca="1" si="62"/>
        <v>258186294.65421301</v>
      </c>
      <c r="EL10" s="3" t="str">
        <f>RTD("tos.rtd",,EL$2,"."&amp;$A$2&amp;$AS$1&amp;"C"&amp;$A10)</f>
        <v>34.18%</v>
      </c>
      <c r="EM10" s="3" t="str">
        <f>RTD("tos.rtd",,EM$2,"."&amp;$A$2&amp;$AS$1&amp;"P"&amp;$A10)</f>
        <v>67.29%</v>
      </c>
      <c r="EN10" s="3" t="str">
        <f>RTD("tos.rtd",,EN$2,"."&amp;$A$2&amp;$AU$1&amp;"C"&amp;$A10)</f>
        <v>15.34%</v>
      </c>
      <c r="EO10" s="3" t="str">
        <f>RTD("tos.rtd",,EO$2,"."&amp;$A$2&amp;$AU$1&amp;"P"&amp;$A10)</f>
        <v>16.21%</v>
      </c>
      <c r="EP10" s="3" t="str">
        <f>RTD("tos.rtd",,EP$2,"."&amp;$A$2&amp;$AW$1&amp;"C"&amp;$A10)</f>
        <v>14.69%</v>
      </c>
      <c r="EQ10" s="3" t="str">
        <f>RTD("tos.rtd",,EQ$2,"."&amp;$A$2&amp;$AW$1&amp;"P"&amp;$A10)</f>
        <v>15.67%</v>
      </c>
      <c r="ES10" s="63" t="str">
        <f t="shared" si="63"/>
        <v>596,16372.00</v>
      </c>
      <c r="ET10" s="63" t="str">
        <f t="shared" ca="1" si="64"/>
        <v>596,4693628.18</v>
      </c>
      <c r="EU10" s="67">
        <v>593.67999999999995</v>
      </c>
      <c r="EV10" s="67" t="s">
        <v>100</v>
      </c>
      <c r="EW10" s="67">
        <v>520.26</v>
      </c>
      <c r="EX10" s="67" t="s">
        <v>101</v>
      </c>
      <c r="EY10" s="67">
        <v>5947.25</v>
      </c>
      <c r="EZ10" s="67" t="s">
        <v>102</v>
      </c>
      <c r="FA10" s="67">
        <v>21355</v>
      </c>
      <c r="FB10" s="67" t="s">
        <v>103</v>
      </c>
      <c r="FC10" s="67" t="s">
        <v>104</v>
      </c>
      <c r="FD10" s="67" t="s">
        <v>105</v>
      </c>
      <c r="FE10" s="68" t="s">
        <v>106</v>
      </c>
      <c r="FF10" s="68" t="s">
        <v>107</v>
      </c>
    </row>
    <row r="11" spans="1:162" s="63" customFormat="1" ht="13.5" thickBot="1" x14ac:dyDescent="0.25">
      <c r="A11" s="2">
        <f t="shared" si="65"/>
        <v>595</v>
      </c>
      <c r="B11" s="3">
        <f t="shared" si="73"/>
        <v>17440</v>
      </c>
      <c r="C11" s="3">
        <f t="shared" si="74"/>
        <v>15558</v>
      </c>
      <c r="D11" s="3">
        <f t="shared" si="75"/>
        <v>108905</v>
      </c>
      <c r="E11" s="3">
        <f t="shared" si="76"/>
        <v>141903</v>
      </c>
      <c r="F11" s="4">
        <f t="shared" si="77"/>
        <v>5981.2861869313483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-4903</v>
      </c>
      <c r="AN11" s="1">
        <v>-2437</v>
      </c>
      <c r="AO11" s="1">
        <v>595</v>
      </c>
      <c r="AP11" s="1">
        <v>367956</v>
      </c>
      <c r="AQ11" s="1">
        <v>-25490</v>
      </c>
      <c r="AR11" s="1"/>
      <c r="AS11" s="6">
        <f>IF(RTD("tos.rtd",,AS$2,"."&amp;$A$2&amp;$AS$1&amp;"C"&amp;$A11)="N/A",0,RTD("tos.rtd",,AS$2,"."&amp;$A$2&amp;$AS$1&amp;"C"&amp;$A11))</f>
        <v>11479</v>
      </c>
      <c r="AT11" s="7">
        <f>-IF(RTD("tos.rtd",,AT$2,"."&amp;$A$2&amp;$AS$1&amp;"P"&amp;$A11)="N/A",0,RTD("tos.rtd",,AT$2,"."&amp;$A$2&amp;$AS$1&amp;"P"&amp;$A11))</f>
        <v>-5961</v>
      </c>
      <c r="AU11" s="6">
        <f>IF(RTD("tos.rtd",,AU$2,"."&amp;$A$2&amp;$AU$1&amp;"C"&amp;$A11)="N/A",0,RTD("tos.rtd",,AU$2,"."&amp;$A$2&amp;$AU$1&amp;"C"&amp;$A11))</f>
        <v>11770</v>
      </c>
      <c r="AV11" s="7">
        <f>-IF(RTD("tos.rtd",,AV$2,"."&amp;$A$2&amp;$AU$1&amp;"P"&amp;$A11)="N/A",0,RTD("tos.rtd",,AV$2,"."&amp;$A$2&amp;$AU$1&amp;"P"&amp;$A11))</f>
        <v>-3788</v>
      </c>
      <c r="AW11" s="6">
        <f>IF(RTD("tos.rtd",,AW$2,"."&amp;$A$2&amp;$AW$1&amp;"C"&amp;$A11)="N/A",0,RTD("tos.rtd",,AW$2,"."&amp;$A$2&amp;$AW$1&amp;"C"&amp;$A11))</f>
        <v>59548</v>
      </c>
      <c r="AX11" s="7">
        <f>-IF(RTD("tos.rtd",,AX$2,"."&amp;$A$2&amp;$AW$1&amp;"P"&amp;$A11)="N/A",0,RTD("tos.rtd",,AX$2,"."&amp;$A$2&amp;$AW$1&amp;"P"&amp;$A11))</f>
        <v>-49357</v>
      </c>
      <c r="AY11" s="1">
        <f t="shared" si="78"/>
        <v>23691</v>
      </c>
      <c r="AZ11" s="8">
        <f t="shared" si="32"/>
        <v>595</v>
      </c>
      <c r="BA11" s="6">
        <f>IF(RTD("tos.rtd",,BA$2,"."&amp;$A$2&amp;$AS$1&amp;"C"&amp;$A11)="N/A",0,RTD("tos.rtd",,BA$2,"."&amp;$A$2&amp;$AS$1&amp;"C"&amp;$A11))</f>
        <v>367956</v>
      </c>
      <c r="BB11" s="7">
        <f>-IF(RTD("tos.rtd",,BB$2,"."&amp;$A$2&amp;$AS$1&amp;"P"&amp;$A11)="N/A",0,RTD("tos.rtd",,BB$2,"."&amp;$A$2&amp;$AS$1&amp;"P"&amp;$A11))</f>
        <v>-25490</v>
      </c>
      <c r="BC11" s="6">
        <f>IF(RTD("tos.rtd",,BC$2,"."&amp;$A$2&amp;$AU$1&amp;"C"&amp;$A11)="N/A",0,RTD("tos.rtd",,BC$2,"."&amp;$A$2&amp;$AU$1&amp;"C"&amp;$A11))</f>
        <v>40755</v>
      </c>
      <c r="BD11" s="7">
        <f>-IF(RTD("tos.rtd",,BD$2,"."&amp;$A$2&amp;$AU$1&amp;"P"&amp;$A11)="N/A",0,RTD("tos.rtd",,BD$2,"."&amp;$A$2&amp;$AU$1&amp;"P"&amp;$A11))</f>
        <v>-6917</v>
      </c>
      <c r="BE11" s="6">
        <f>IF(RTD("tos.rtd",,BE$2,"."&amp;$A$2&amp;$AW$1&amp;"C"&amp;$A11)="N/A",0,RTD("tos.rtd",,BE$2,"."&amp;$A$2&amp;$AW$1&amp;"C"&amp;$A11))</f>
        <v>7661</v>
      </c>
      <c r="BF11" s="83">
        <f>-IF(RTD("tos.rtd",,BF$2,"."&amp;$A$2&amp;$AW$1&amp;"P"&amp;$A11)="N/A",0,RTD("tos.rtd",,BF$2,"."&amp;$A$2&amp;$AW$1&amp;"P"&amp;$A11))</f>
        <v>-8736</v>
      </c>
      <c r="BG11" s="32">
        <f ca="1">+Hoja2!Y12</f>
        <v>128264</v>
      </c>
      <c r="BH11" s="7">
        <f t="shared" ca="1" si="33"/>
        <v>503493</v>
      </c>
      <c r="BI11" s="8" t="str">
        <f t="shared" ca="1" si="34"/>
        <v/>
      </c>
      <c r="BJ11" s="3">
        <f ca="1">IF($BP$1=1,DX11,IF(RTD("tos.rtd",,BJ$2,"."&amp;$A$2&amp;$AS$1&amp;"C"&amp;$A11)="N/A",0,RTD("tos.rtd",,BJ$2,"."&amp;$A$2&amp;$AS$1&amp;"C"&amp;$A11)))</f>
        <v>8.0953708068557381E-2</v>
      </c>
      <c r="BK11" s="3">
        <f ca="1">IF($BP$1=1,DY11,-IF(RTD("tos.rtd",,BK$2,"."&amp;$A$2&amp;$AS$1&amp;"P"&amp;$A11)="N/A",0,RTD("tos.rtd",,BK$2,"."&amp;$A$2&amp;$AS$1&amp;"P"&amp;$A11)))</f>
        <v>-7.8498071137360709E-2</v>
      </c>
      <c r="BL11" s="3">
        <f ca="1">IF($BP$1=1,DZ11,IF(RTD("tos.rtd",,BL$2,"."&amp;$A$2&amp;$AU$1&amp;"C"&amp;$A11)="N/A",0,RTD("tos.rtd",,BL$2,"."&amp;$A$2&amp;$AU$1&amp;"C"&amp;$A11)))</f>
        <v>3.950855563635209E-2</v>
      </c>
      <c r="BM11" s="3">
        <f ca="1">IF($BP$1=1,EA11,-IF(RTD("tos.rtd",,BM$2,"."&amp;$A$2&amp;$AU$1&amp;"P"&amp;$A11)="N/A",0,RTD("tos.rtd",,BM$2,"."&amp;$A$2&amp;$AU$1&amp;"P"&amp;$A11)))</f>
        <v>-3.7691794733826285E-2</v>
      </c>
      <c r="BN11" s="3">
        <f ca="1">IF($BP$1=1,EB11,IF(RTD("tos.rtd",,BN$2,"."&amp;$A$2&amp;$AW$1&amp;"C"&amp;$A11)="N/A",0,RTD("tos.rtd",,BN$2,"."&amp;$A$2&amp;$AW$1&amp;"C"&amp;$A11)))</f>
        <v>4.1265850846536924E-2</v>
      </c>
      <c r="BO11" s="3">
        <f ca="1">IF($BP$1=1,EC11,-IF(RTD("tos.rtd",,BO$2,"."&amp;$A$2&amp;$AW$1&amp;"P"&amp;$A11)="N/A",0,RTD("tos.rtd",,BO$2,"."&amp;$A$2&amp;$AW$1&amp;"P"&amp;$A11)))</f>
        <v>-3.8892190981606976E-2</v>
      </c>
      <c r="BQ11" s="3">
        <f t="shared" ca="1" si="79"/>
        <v>161907307.28704655</v>
      </c>
      <c r="BR11" s="3" t="str">
        <f t="shared" ca="1" si="67"/>
        <v/>
      </c>
      <c r="BS11" s="3">
        <f t="shared" ca="1" si="80"/>
        <v>113089714.42262906</v>
      </c>
      <c r="BT11" s="3" t="str">
        <f t="shared" ca="1" si="67"/>
        <v/>
      </c>
      <c r="BU11" s="3">
        <f t="shared" ca="1" si="81"/>
        <v>188704557.01731503</v>
      </c>
      <c r="BV11" s="3" t="str">
        <f t="shared" ca="1" si="38"/>
        <v/>
      </c>
      <c r="BX11" s="3">
        <f t="shared" ca="1" si="82"/>
        <v>9751656643.3839474</v>
      </c>
      <c r="BY11" s="3" t="str">
        <f t="shared" ca="1" si="68"/>
        <v/>
      </c>
      <c r="BZ11" s="3">
        <f t="shared" ca="1" si="83"/>
        <v>473591419.61151052</v>
      </c>
      <c r="CA11" s="3" t="str">
        <f t="shared" ca="1" si="69"/>
        <v/>
      </c>
      <c r="CB11" s="3">
        <f t="shared" ca="1" si="84"/>
        <v>-8291007.9917853028</v>
      </c>
      <c r="CC11" s="3" t="str">
        <f t="shared" ca="1" si="70"/>
        <v>Cruce -</v>
      </c>
      <c r="CD11" s="3">
        <f>IF(RTD("tos.rtd",,CD$2,"."&amp;$A$2&amp;$AS$1&amp;"C"&amp;$A11)="N/A",0,RTD("tos.rtd",,CD$2,"."&amp;$A$2&amp;$AS$1&amp;"C"&amp;$A11))</f>
        <v>0.01</v>
      </c>
      <c r="CE11" s="3">
        <f>-IF(RTD("tos.rtd",,CE$2,"."&amp;$A$2&amp;$AS$1&amp;"P"&amp;$A11)="N/A",0,RTD("tos.rtd",,CE$2,"."&amp;$A$2&amp;$AS$1&amp;"P"&amp;$A11))</f>
        <v>1</v>
      </c>
      <c r="CF11" s="3">
        <f>IF(RTD("tos.rtd",,CF$2,"."&amp;$A$2&amp;$AU$1&amp;"C"&amp;$A11)="N/A",0,RTD("tos.rtd",,CF$2,"."&amp;$A$2&amp;$AU$1&amp;"C"&amp;$A11))</f>
        <v>0.39</v>
      </c>
      <c r="CG11" s="3">
        <f>-IF(RTD("tos.rtd",,CG$2,"."&amp;$A$2&amp;$AU$1&amp;"P"&amp;$A11)="N/A",0,RTD("tos.rtd",,CG$2,"."&amp;$A$2&amp;$AU$1&amp;"P"&amp;$A11))</f>
        <v>0.61</v>
      </c>
      <c r="CH11" s="3">
        <f>IF(RTD("tos.rtd",,CH$2,"."&amp;$A$2&amp;$AW$1&amp;"C"&amp;$A11)="N/A",0,RTD("tos.rtd",,CH$2,"."&amp;$A$2&amp;$AW$1&amp;"C"&amp;$A11))</f>
        <v>0.49</v>
      </c>
      <c r="CI11" s="3">
        <f>-IF(RTD("tos.rtd",,CI$2,"."&amp;$A$2&amp;$AW$1&amp;"P"&amp;$A11)="N/A",0,RTD("tos.rtd",,CI$2,"."&amp;$A$2&amp;$AW$1&amp;"P"&amp;$A11))</f>
        <v>0.51</v>
      </c>
      <c r="CK11" s="3">
        <f t="shared" si="42"/>
        <v>-346335326.61000001</v>
      </c>
      <c r="CL11" s="3"/>
      <c r="CM11" s="3">
        <f t="shared" si="43"/>
        <v>135046968.42000005</v>
      </c>
      <c r="CN11" s="3"/>
      <c r="CO11" s="3">
        <f t="shared" si="44"/>
        <v>237346104.45000005</v>
      </c>
      <c r="CP11" s="3">
        <f t="shared" si="85"/>
        <v>26057746.26000008</v>
      </c>
      <c r="CQ11" s="3">
        <f t="shared" si="86"/>
        <v>342466</v>
      </c>
      <c r="CR11" s="3"/>
      <c r="CS11" s="3">
        <f t="shared" si="87"/>
        <v>33838</v>
      </c>
      <c r="CT11" s="3"/>
      <c r="CU11" s="3">
        <f t="shared" si="88"/>
        <v>-1075</v>
      </c>
      <c r="CV11" s="3">
        <f t="shared" si="89"/>
        <v>375229</v>
      </c>
      <c r="CW11" s="3">
        <f t="shared" ca="1" si="90"/>
        <v>463701578.72699064</v>
      </c>
      <c r="CX11" s="85" t="str">
        <f t="shared" ca="1" si="71"/>
        <v/>
      </c>
      <c r="CY11" s="3">
        <f t="shared" ca="1" si="91"/>
        <v>10216957055.003674</v>
      </c>
      <c r="CZ11" s="85" t="str">
        <f t="shared" ca="1" si="72"/>
        <v/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2.85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3.02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2</v>
      </c>
      <c r="DG11" s="86">
        <f t="shared" si="50"/>
        <v>2.5900000000000318</v>
      </c>
      <c r="DH11" s="3">
        <f t="shared" si="5"/>
        <v>0</v>
      </c>
      <c r="DI11" s="3">
        <f t="shared" si="6"/>
        <v>0</v>
      </c>
      <c r="DJ11" s="3">
        <f t="shared" si="7"/>
        <v>0</v>
      </c>
      <c r="DK11" s="3">
        <f t="shared" si="8"/>
        <v>0</v>
      </c>
      <c r="DL11" s="3">
        <f t="shared" si="9"/>
        <v>0</v>
      </c>
      <c r="DM11" s="3">
        <f t="shared" si="10"/>
        <v>0</v>
      </c>
      <c r="DN11" s="63" t="str">
        <f t="shared" si="51"/>
        <v>UNKNOWN</v>
      </c>
      <c r="DO11" s="63" t="str">
        <f t="shared" si="52"/>
        <v>UNKNOWN</v>
      </c>
      <c r="DP11" s="3">
        <f t="shared" si="53"/>
        <v>0</v>
      </c>
      <c r="DQ11" s="3">
        <f t="shared" si="54"/>
        <v>0</v>
      </c>
      <c r="DR11" s="3">
        <f t="shared" ca="1" si="55"/>
        <v>0</v>
      </c>
      <c r="DS11" s="3">
        <f t="shared" si="56"/>
        <v>0</v>
      </c>
      <c r="DT11" s="3">
        <f t="shared" si="57"/>
        <v>0</v>
      </c>
      <c r="DU11" s="3">
        <f t="shared" si="58"/>
        <v>0</v>
      </c>
      <c r="DV11" s="3">
        <f t="shared" si="59"/>
        <v>-4903</v>
      </c>
      <c r="DW11" s="3">
        <f t="shared" si="20"/>
        <v>-2437</v>
      </c>
      <c r="DX11" s="3">
        <f t="shared" ca="1" si="21"/>
        <v>8.0953708068557381E-2</v>
      </c>
      <c r="DY11" s="3">
        <f t="shared" ca="1" si="22"/>
        <v>-7.8498071137360709E-2</v>
      </c>
      <c r="DZ11" s="3">
        <f t="shared" ca="1" si="23"/>
        <v>3.950855563635209E-2</v>
      </c>
      <c r="EA11" s="3">
        <f t="shared" ca="1" si="24"/>
        <v>-3.7691794733826285E-2</v>
      </c>
      <c r="EB11" s="3">
        <f t="shared" ca="1" si="25"/>
        <v>4.1265850846536924E-2</v>
      </c>
      <c r="EC11" s="3">
        <f t="shared" ca="1" si="26"/>
        <v>-3.8892190981606976E-2</v>
      </c>
      <c r="ED11" s="63">
        <f t="shared" si="60"/>
        <v>-7340</v>
      </c>
      <c r="EE11" s="59">
        <f t="shared" si="92"/>
        <v>0.25750000000000001</v>
      </c>
      <c r="EF11" s="59">
        <f t="shared" si="93"/>
        <v>0.25</v>
      </c>
      <c r="EG11" s="59">
        <f t="shared" si="94"/>
        <v>0.1552</v>
      </c>
      <c r="EH11" s="59">
        <f t="shared" si="95"/>
        <v>0.16309999999999999</v>
      </c>
      <c r="EI11" s="59">
        <f t="shared" si="96"/>
        <v>0.1482</v>
      </c>
      <c r="EJ11" s="59">
        <f t="shared" si="97"/>
        <v>0.1578</v>
      </c>
      <c r="EK11" s="63">
        <f t="shared" ca="1" si="62"/>
        <v>-72160935.79316847</v>
      </c>
      <c r="EL11" s="3" t="str">
        <f>RTD("tos.rtd",,EL$2,"."&amp;$A$2&amp;$AS$1&amp;"C"&amp;$A11)</f>
        <v>25.75%</v>
      </c>
      <c r="EM11" s="3" t="str">
        <f>RTD("tos.rtd",,EM$2,"."&amp;$A$2&amp;$AS$1&amp;"P"&amp;$A11)</f>
        <v>--</v>
      </c>
      <c r="EN11" s="3" t="str">
        <f>RTD("tos.rtd",,EN$2,"."&amp;$A$2&amp;$AU$1&amp;"C"&amp;$A11)</f>
        <v>15.52%</v>
      </c>
      <c r="EO11" s="3" t="str">
        <f>RTD("tos.rtd",,EO$2,"."&amp;$A$2&amp;$AU$1&amp;"P"&amp;$A11)</f>
        <v>16.31%</v>
      </c>
      <c r="EP11" s="3" t="str">
        <f>RTD("tos.rtd",,EP$2,"."&amp;$A$2&amp;$AW$1&amp;"C"&amp;$A11)</f>
        <v>14.82%</v>
      </c>
      <c r="EQ11" s="3" t="str">
        <f>RTD("tos.rtd",,EQ$2,"."&amp;$A$2&amp;$AW$1&amp;"P"&amp;$A11)</f>
        <v>15.78%</v>
      </c>
      <c r="ES11" s="63" t="str">
        <f t="shared" si="63"/>
        <v>595,-7340.00</v>
      </c>
      <c r="ET11" s="63" t="str">
        <f t="shared" ca="1" si="64"/>
        <v>595,10216957.06</v>
      </c>
      <c r="EU11" s="67">
        <v>593.72</v>
      </c>
      <c r="EV11" s="67" t="s">
        <v>108</v>
      </c>
      <c r="EW11" s="67">
        <v>520.29999999999995</v>
      </c>
      <c r="EX11" s="67" t="s">
        <v>109</v>
      </c>
      <c r="EY11" s="67">
        <v>5947.25</v>
      </c>
      <c r="EZ11" s="67" t="s">
        <v>110</v>
      </c>
      <c r="FA11" s="67">
        <v>21355.75</v>
      </c>
      <c r="FB11" s="67" t="s">
        <v>111</v>
      </c>
      <c r="FC11" s="67" t="s">
        <v>112</v>
      </c>
      <c r="FD11" s="67" t="s">
        <v>113</v>
      </c>
      <c r="FE11" s="68" t="s">
        <v>114</v>
      </c>
      <c r="FF11" s="68" t="s">
        <v>115</v>
      </c>
    </row>
    <row r="12" spans="1:162" s="63" customFormat="1" ht="13.5" thickBot="1" x14ac:dyDescent="0.25">
      <c r="A12" s="2">
        <f t="shared" si="65"/>
        <v>594</v>
      </c>
      <c r="B12" s="3">
        <f t="shared" si="73"/>
        <v>20272</v>
      </c>
      <c r="C12" s="3">
        <f t="shared" si="74"/>
        <v>7567</v>
      </c>
      <c r="D12" s="3">
        <f t="shared" si="75"/>
        <v>6021</v>
      </c>
      <c r="E12" s="3">
        <f t="shared" si="76"/>
        <v>33860</v>
      </c>
      <c r="F12" s="4">
        <f t="shared" si="77"/>
        <v>5971.2336051045731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47184</v>
      </c>
      <c r="AN12" s="1">
        <v>-5191</v>
      </c>
      <c r="AO12" s="1">
        <v>594</v>
      </c>
      <c r="AP12" s="1">
        <v>625656</v>
      </c>
      <c r="AQ12" s="1">
        <v>-145753</v>
      </c>
      <c r="AR12" s="1"/>
      <c r="AS12" s="6">
        <f>IF(RTD("tos.rtd",,AS$2,"."&amp;$A$2&amp;$AS$1&amp;"C"&amp;$A12)="N/A",0,RTD("tos.rtd",,AS$2,"."&amp;$A$2&amp;$AS$1&amp;"C"&amp;$A12))</f>
        <v>8794</v>
      </c>
      <c r="AT12" s="7">
        <f>-IF(RTD("tos.rtd",,AT$2,"."&amp;$A$2&amp;$AS$1&amp;"P"&amp;$A12)="N/A",0,RTD("tos.rtd",,AT$2,"."&amp;$A$2&amp;$AS$1&amp;"P"&amp;$A12))</f>
        <v>-11478</v>
      </c>
      <c r="AU12" s="6">
        <f>IF(RTD("tos.rtd",,AU$2,"."&amp;$A$2&amp;$AU$1&amp;"C"&amp;$A12)="N/A",0,RTD("tos.rtd",,AU$2,"."&amp;$A$2&amp;$AU$1&amp;"C"&amp;$A12))</f>
        <v>3362</v>
      </c>
      <c r="AV12" s="7">
        <f>-IF(RTD("tos.rtd",,AV$2,"."&amp;$A$2&amp;$AU$1&amp;"P"&amp;$A12)="N/A",0,RTD("tos.rtd",,AV$2,"."&amp;$A$2&amp;$AU$1&amp;"P"&amp;$A12))</f>
        <v>-4205</v>
      </c>
      <c r="AW12" s="6">
        <f>IF(RTD("tos.rtd",,AW$2,"."&amp;$A$2&amp;$AW$1&amp;"C"&amp;$A12)="N/A",0,RTD("tos.rtd",,AW$2,"."&amp;$A$2&amp;$AW$1&amp;"C"&amp;$A12))</f>
        <v>4507</v>
      </c>
      <c r="AX12" s="7">
        <f>-IF(RTD("tos.rtd",,AX$2,"."&amp;$A$2&amp;$AW$1&amp;"P"&amp;$A12)="N/A",0,RTD("tos.rtd",,AX$2,"."&amp;$A$2&amp;$AW$1&amp;"P"&amp;$A12))</f>
        <v>-1514</v>
      </c>
      <c r="AY12" s="1">
        <f t="shared" si="78"/>
        <v>-534</v>
      </c>
      <c r="AZ12" s="8">
        <f t="shared" si="32"/>
        <v>594</v>
      </c>
      <c r="BA12" s="6">
        <f>IF(RTD("tos.rtd",,BA$2,"."&amp;$A$2&amp;$AS$1&amp;"C"&amp;$A12)="N/A",0,RTD("tos.rtd",,BA$2,"."&amp;$A$2&amp;$AS$1&amp;"C"&amp;$A12))</f>
        <v>625656</v>
      </c>
      <c r="BB12" s="7">
        <f>-IF(RTD("tos.rtd",,BB$2,"."&amp;$A$2&amp;$AS$1&amp;"P"&amp;$A12)="N/A",0,RTD("tos.rtd",,BB$2,"."&amp;$A$2&amp;$AS$1&amp;"P"&amp;$A12))</f>
        <v>-145753</v>
      </c>
      <c r="BC12" s="6">
        <f>IF(RTD("tos.rtd",,BC$2,"."&amp;$A$2&amp;$AU$1&amp;"C"&amp;$A12)="N/A",0,RTD("tos.rtd",,BC$2,"."&amp;$A$2&amp;$AU$1&amp;"C"&amp;$A12))</f>
        <v>18439</v>
      </c>
      <c r="BD12" s="7">
        <f>-IF(RTD("tos.rtd",,BD$2,"."&amp;$A$2&amp;$AU$1&amp;"P"&amp;$A12)="N/A",0,RTD("tos.rtd",,BD$2,"."&amp;$A$2&amp;$AU$1&amp;"P"&amp;$A12))</f>
        <v>-13442</v>
      </c>
      <c r="BE12" s="6">
        <f>IF(RTD("tos.rtd",,BE$2,"."&amp;$A$2&amp;$AW$1&amp;"C"&amp;$A12)="N/A",0,RTD("tos.rtd",,BE$2,"."&amp;$A$2&amp;$AW$1&amp;"C"&amp;$A12))</f>
        <v>1189</v>
      </c>
      <c r="BF12" s="83">
        <f>-IF(RTD("tos.rtd",,BF$2,"."&amp;$A$2&amp;$AW$1&amp;"P"&amp;$A12)="N/A",0,RTD("tos.rtd",,BF$2,"."&amp;$A$2&amp;$AW$1&amp;"P"&amp;$A12))</f>
        <v>-1261</v>
      </c>
      <c r="BG12" s="32">
        <f ca="1">+Hoja2!Y13</f>
        <v>127014</v>
      </c>
      <c r="BH12" s="7">
        <f t="shared" ca="1" si="33"/>
        <v>611842</v>
      </c>
      <c r="BI12" s="8" t="str">
        <f t="shared" ca="1" si="34"/>
        <v/>
      </c>
      <c r="BJ12" s="3">
        <f ca="1">IF($BP$1=1,DX12,IF(RTD("tos.rtd",,BJ$2,"."&amp;$A$2&amp;$AS$1&amp;"C"&amp;$A12)="N/A",0,RTD("tos.rtd",,BJ$2,"."&amp;$A$2&amp;$AS$1&amp;"C"&amp;$A12)))</f>
        <v>0.13975647247891015</v>
      </c>
      <c r="BK12" s="3">
        <f ca="1">IF($BP$1=1,DY12,-IF(RTD("tos.rtd",,BK$2,"."&amp;$A$2&amp;$AS$1&amp;"P"&amp;$A12)="N/A",0,RTD("tos.rtd",,BK$2,"."&amp;$A$2&amp;$AS$1&amp;"P"&amp;$A12)))</f>
        <v>-0.1510328962969564</v>
      </c>
      <c r="BL12" s="3">
        <f ca="1">IF($BP$1=1,DZ12,IF(RTD("tos.rtd",,BL$2,"."&amp;$A$2&amp;$AU$1&amp;"C"&amp;$A12)="N/A",0,RTD("tos.rtd",,BL$2,"."&amp;$A$2&amp;$AU$1&amp;"C"&amp;$A12)))</f>
        <v>3.9809771643675697E-2</v>
      </c>
      <c r="BM12" s="3">
        <f ca="1">IF($BP$1=1,EA12,-IF(RTD("tos.rtd",,BM$2,"."&amp;$A$2&amp;$AU$1&amp;"P"&amp;$A12)="N/A",0,RTD("tos.rtd",,BM$2,"."&amp;$A$2&amp;$AU$1&amp;"P"&amp;$A12)))</f>
        <v>-3.795325040820309E-2</v>
      </c>
      <c r="BN12" s="3">
        <f ca="1">IF($BP$1=1,EB12,IF(RTD("tos.rtd",,BN$2,"."&amp;$A$2&amp;$AW$1&amp;"C"&amp;$A12)="N/A",0,RTD("tos.rtd",,BN$2,"."&amp;$A$2&amp;$AW$1&amp;"C"&amp;$A12)))</f>
        <v>4.1690623828374587E-2</v>
      </c>
      <c r="BO12" s="3">
        <f ca="1">IF($BP$1=1,EC12,-IF(RTD("tos.rtd",,BO$2,"."&amp;$A$2&amp;$AW$1&amp;"P"&amp;$A12)="N/A",0,RTD("tos.rtd",,BO$2,"."&amp;$A$2&amp;$AW$1&amp;"P"&amp;$A12)))</f>
        <v>-3.9268159070856429E-2</v>
      </c>
      <c r="BQ12" s="3">
        <f t="shared" ca="1" si="79"/>
        <v>-177067120.22929162</v>
      </c>
      <c r="BR12" s="3" t="str">
        <f t="shared" ca="1" si="67"/>
        <v>Cruce -</v>
      </c>
      <c r="BS12" s="3">
        <f t="shared" ca="1" si="80"/>
        <v>-9037993.2199878767</v>
      </c>
      <c r="BT12" s="3" t="str">
        <f t="shared" ca="1" si="67"/>
        <v>Cruce -</v>
      </c>
      <c r="BU12" s="3">
        <f t="shared" ca="1" si="81"/>
        <v>45078651.994112268</v>
      </c>
      <c r="BV12" s="3" t="str">
        <f t="shared" ca="1" si="38"/>
        <v/>
      </c>
      <c r="BX12" s="3">
        <f t="shared" ca="1" si="82"/>
        <v>22961221272.433174</v>
      </c>
      <c r="BY12" s="3" t="str">
        <f t="shared" ca="1" si="68"/>
        <v/>
      </c>
      <c r="BZ12" s="3">
        <f t="shared" ca="1" si="83"/>
        <v>78572278.380269557</v>
      </c>
      <c r="CA12" s="3" t="str">
        <f t="shared" ca="1" si="69"/>
        <v/>
      </c>
      <c r="CB12" s="3">
        <f t="shared" ca="1" si="84"/>
        <v>18601.432470072061</v>
      </c>
      <c r="CC12" s="3" t="str">
        <f t="shared" ca="1" si="70"/>
        <v>Cruce +</v>
      </c>
      <c r="CD12" s="3">
        <f>IF(RTD("tos.rtd",,CD$2,"."&amp;$A$2&amp;$AS$1&amp;"C"&amp;$A12)="N/A",0,RTD("tos.rtd",,CD$2,"."&amp;$A$2&amp;$AS$1&amp;"C"&amp;$A12))</f>
        <v>0.02</v>
      </c>
      <c r="CE12" s="3">
        <f>-IF(RTD("tos.rtd",,CE$2,"."&amp;$A$2&amp;$AS$1&amp;"P"&amp;$A12)="N/A",0,RTD("tos.rtd",,CE$2,"."&amp;$A$2&amp;$AS$1&amp;"P"&amp;$A12))</f>
        <v>1</v>
      </c>
      <c r="CF12" s="3">
        <f>IF(RTD("tos.rtd",,CF$2,"."&amp;$A$2&amp;$AU$1&amp;"C"&amp;$A12)="N/A",0,RTD("tos.rtd",,CF$2,"."&amp;$A$2&amp;$AU$1&amp;"C"&amp;$A12))</f>
        <v>0.44</v>
      </c>
      <c r="CG12" s="3">
        <f>-IF(RTD("tos.rtd",,CG$2,"."&amp;$A$2&amp;$AU$1&amp;"P"&amp;$A12)="N/A",0,RTD("tos.rtd",,CG$2,"."&amp;$A$2&amp;$AU$1&amp;"P"&amp;$A12))</f>
        <v>0.56000000000000005</v>
      </c>
      <c r="CH12" s="3">
        <f>IF(RTD("tos.rtd",,CH$2,"."&amp;$A$2&amp;$AW$1&amp;"C"&amp;$A12)="N/A",0,RTD("tos.rtd",,CH$2,"."&amp;$A$2&amp;$AW$1&amp;"C"&amp;$A12))</f>
        <v>0.51</v>
      </c>
      <c r="CI12" s="3">
        <f>-IF(RTD("tos.rtd",,CI$2,"."&amp;$A$2&amp;$AW$1&amp;"P"&amp;$A12)="N/A",0,RTD("tos.rtd",,CI$2,"."&amp;$A$2&amp;$AW$1&amp;"P"&amp;$A12))</f>
        <v>0.49</v>
      </c>
      <c r="CK12" s="3">
        <f t="shared" si="42"/>
        <v>-669548890.91999996</v>
      </c>
      <c r="CL12" s="3"/>
      <c r="CM12" s="3">
        <f t="shared" si="43"/>
        <v>-51866680.320000023</v>
      </c>
      <c r="CN12" s="3"/>
      <c r="CO12" s="3">
        <f t="shared" si="44"/>
        <v>92221057.110000014</v>
      </c>
      <c r="CP12" s="3">
        <f t="shared" si="85"/>
        <v>-629194514.13</v>
      </c>
      <c r="CQ12" s="3">
        <f t="shared" si="86"/>
        <v>479903</v>
      </c>
      <c r="CR12" s="3"/>
      <c r="CS12" s="3">
        <f t="shared" si="87"/>
        <v>4997</v>
      </c>
      <c r="CT12" s="3"/>
      <c r="CU12" s="3">
        <f t="shared" si="88"/>
        <v>-72</v>
      </c>
      <c r="CV12" s="3">
        <f t="shared" si="89"/>
        <v>484828</v>
      </c>
      <c r="CW12" s="3">
        <f t="shared" ca="1" si="90"/>
        <v>-141026461.45516723</v>
      </c>
      <c r="CX12" s="85" t="str">
        <f t="shared" ca="1" si="71"/>
        <v>Cruce -</v>
      </c>
      <c r="CY12" s="3">
        <f t="shared" ca="1" si="91"/>
        <v>23039812152.245911</v>
      </c>
      <c r="CZ12" s="85" t="str">
        <f t="shared" ca="1" si="72"/>
        <v/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1.95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2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1.1000000000000001</v>
      </c>
      <c r="DG12" s="86">
        <f t="shared" si="50"/>
        <v>1.5900000000000318</v>
      </c>
      <c r="DH12" s="3">
        <f t="shared" si="5"/>
        <v>0</v>
      </c>
      <c r="DI12" s="3">
        <f t="shared" si="6"/>
        <v>0</v>
      </c>
      <c r="DJ12" s="3">
        <f t="shared" si="7"/>
        <v>0</v>
      </c>
      <c r="DK12" s="3">
        <f t="shared" si="8"/>
        <v>0</v>
      </c>
      <c r="DL12" s="3">
        <f t="shared" si="9"/>
        <v>0</v>
      </c>
      <c r="DM12" s="3">
        <f t="shared" si="10"/>
        <v>0</v>
      </c>
      <c r="DN12" s="63" t="str">
        <f t="shared" si="51"/>
        <v>UNKNOWN</v>
      </c>
      <c r="DO12" s="63" t="str">
        <f t="shared" si="52"/>
        <v>UNKNOWN</v>
      </c>
      <c r="DP12" s="3">
        <f t="shared" si="53"/>
        <v>0</v>
      </c>
      <c r="DQ12" s="3">
        <f t="shared" si="54"/>
        <v>0</v>
      </c>
      <c r="DR12" s="3">
        <f t="shared" ca="1" si="55"/>
        <v>0</v>
      </c>
      <c r="DS12" s="3">
        <f t="shared" si="56"/>
        <v>0</v>
      </c>
      <c r="DT12" s="3">
        <f t="shared" si="57"/>
        <v>0</v>
      </c>
      <c r="DU12" s="3">
        <f t="shared" si="58"/>
        <v>0</v>
      </c>
      <c r="DV12" s="3">
        <f t="shared" si="59"/>
        <v>47184</v>
      </c>
      <c r="DW12" s="3">
        <f t="shared" si="20"/>
        <v>-5191</v>
      </c>
      <c r="DX12" s="3">
        <f t="shared" ca="1" si="21"/>
        <v>0.13975647247891015</v>
      </c>
      <c r="DY12" s="3">
        <f t="shared" ca="1" si="22"/>
        <v>-0.1510328962969564</v>
      </c>
      <c r="DZ12" s="3">
        <f t="shared" ca="1" si="23"/>
        <v>3.9809771643675697E-2</v>
      </c>
      <c r="EA12" s="3">
        <f t="shared" ca="1" si="24"/>
        <v>-3.795325040820309E-2</v>
      </c>
      <c r="EB12" s="3">
        <f t="shared" ca="1" si="25"/>
        <v>4.1690623828374587E-2</v>
      </c>
      <c r="EC12" s="3">
        <f t="shared" ca="1" si="26"/>
        <v>-3.9268159070856429E-2</v>
      </c>
      <c r="ED12" s="63">
        <f t="shared" si="60"/>
        <v>41993</v>
      </c>
      <c r="EE12" s="59">
        <f t="shared" si="92"/>
        <v>0.1694</v>
      </c>
      <c r="EF12" s="59">
        <f t="shared" si="93"/>
        <v>0.25</v>
      </c>
      <c r="EG12" s="59">
        <f t="shared" si="94"/>
        <v>0.15679999999999999</v>
      </c>
      <c r="EH12" s="59">
        <f t="shared" si="95"/>
        <v>0.1646</v>
      </c>
      <c r="EI12" s="59">
        <f t="shared" si="96"/>
        <v>0.14960000000000001</v>
      </c>
      <c r="EJ12" s="59">
        <f t="shared" si="97"/>
        <v>0.159</v>
      </c>
      <c r="EK12" s="63">
        <f t="shared" ca="1" si="62"/>
        <v>2589404882.2984676</v>
      </c>
      <c r="EL12" s="3" t="str">
        <f>RTD("tos.rtd",,EL$2,"."&amp;$A$2&amp;$AS$1&amp;"C"&amp;$A12)</f>
        <v>16.94%</v>
      </c>
      <c r="EM12" s="3" t="str">
        <f>RTD("tos.rtd",,EM$2,"."&amp;$A$2&amp;$AS$1&amp;"P"&amp;$A12)</f>
        <v>--</v>
      </c>
      <c r="EN12" s="3" t="str">
        <f>RTD("tos.rtd",,EN$2,"."&amp;$A$2&amp;$AU$1&amp;"C"&amp;$A12)</f>
        <v>15.68%</v>
      </c>
      <c r="EO12" s="3" t="str">
        <f>RTD("tos.rtd",,EO$2,"."&amp;$A$2&amp;$AU$1&amp;"P"&amp;$A12)</f>
        <v>16.46%</v>
      </c>
      <c r="EP12" s="3" t="str">
        <f>RTD("tos.rtd",,EP$2,"."&amp;$A$2&amp;$AW$1&amp;"C"&amp;$A12)</f>
        <v>14.96%</v>
      </c>
      <c r="EQ12" s="3" t="str">
        <f>RTD("tos.rtd",,EQ$2,"."&amp;$A$2&amp;$AW$1&amp;"P"&amp;$A12)</f>
        <v>15.90%</v>
      </c>
      <c r="ES12" s="63" t="str">
        <f t="shared" si="63"/>
        <v>594,41993.00</v>
      </c>
      <c r="ET12" s="63" t="str">
        <f t="shared" ca="1" si="64"/>
        <v>594,23039812.15</v>
      </c>
      <c r="EU12" s="67">
        <v>593.66999999999996</v>
      </c>
      <c r="EV12" s="67" t="s">
        <v>116</v>
      </c>
      <c r="EW12" s="67">
        <v>520.24</v>
      </c>
      <c r="EX12" s="67" t="s">
        <v>117</v>
      </c>
      <c r="EY12" s="67">
        <v>5946.75</v>
      </c>
      <c r="EZ12" s="67" t="s">
        <v>118</v>
      </c>
      <c r="FA12" s="67">
        <v>21354</v>
      </c>
      <c r="FB12" s="67" t="s">
        <v>119</v>
      </c>
      <c r="FC12" s="67" t="s">
        <v>120</v>
      </c>
      <c r="FD12" s="67" t="s">
        <v>121</v>
      </c>
      <c r="FE12" s="68" t="s">
        <v>122</v>
      </c>
      <c r="FF12" s="68" t="s">
        <v>123</v>
      </c>
    </row>
    <row r="13" spans="1:162" s="63" customFormat="1" ht="13.5" thickBot="1" x14ac:dyDescent="0.25">
      <c r="A13" s="2">
        <f t="shared" si="65"/>
        <v>593</v>
      </c>
      <c r="B13" s="3">
        <f t="shared" si="73"/>
        <v>14023</v>
      </c>
      <c r="C13" s="3">
        <f t="shared" si="74"/>
        <v>6816</v>
      </c>
      <c r="D13" s="3">
        <f t="shared" si="75"/>
        <v>3297</v>
      </c>
      <c r="E13" s="3">
        <f t="shared" si="76"/>
        <v>24136</v>
      </c>
      <c r="F13" s="4">
        <f t="shared" si="77"/>
        <v>5961.181023277798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12901</v>
      </c>
      <c r="AN13" s="1">
        <v>356</v>
      </c>
      <c r="AO13" s="1">
        <v>593</v>
      </c>
      <c r="AP13" s="1">
        <v>634379</v>
      </c>
      <c r="AQ13" s="1">
        <v>-379444</v>
      </c>
      <c r="AR13" s="1"/>
      <c r="AS13" s="6">
        <f>IF(RTD("tos.rtd",,AS$2,"."&amp;$A$2&amp;$AS$1&amp;"C"&amp;$A13)="N/A",0,RTD("tos.rtd",,AS$2,"."&amp;$A$2&amp;$AS$1&amp;"C"&amp;$A13))</f>
        <v>5895</v>
      </c>
      <c r="AT13" s="7">
        <f>-IF(RTD("tos.rtd",,AT$2,"."&amp;$A$2&amp;$AS$1&amp;"P"&amp;$A13)="N/A",0,RTD("tos.rtd",,AT$2,"."&amp;$A$2&amp;$AS$1&amp;"P"&amp;$A13))</f>
        <v>-8128</v>
      </c>
      <c r="AU13" s="6">
        <f>IF(RTD("tos.rtd",,AU$2,"."&amp;$A$2&amp;$AU$1&amp;"C"&amp;$A13)="N/A",0,RTD("tos.rtd",,AU$2,"."&amp;$A$2&amp;$AU$1&amp;"C"&amp;$A13))</f>
        <v>4114</v>
      </c>
      <c r="AV13" s="7">
        <f>-IF(RTD("tos.rtd",,AV$2,"."&amp;$A$2&amp;$AU$1&amp;"P"&amp;$A13)="N/A",0,RTD("tos.rtd",,AV$2,"."&amp;$A$2&amp;$AU$1&amp;"P"&amp;$A13))</f>
        <v>-2702</v>
      </c>
      <c r="AW13" s="6">
        <f>IF(RTD("tos.rtd",,AW$2,"."&amp;$A$2&amp;$AW$1&amp;"C"&amp;$A13)="N/A",0,RTD("tos.rtd",,AW$2,"."&amp;$A$2&amp;$AW$1&amp;"C"&amp;$A13))</f>
        <v>1353</v>
      </c>
      <c r="AX13" s="7">
        <f>-IF(RTD("tos.rtd",,AX$2,"."&amp;$A$2&amp;$AW$1&amp;"P"&amp;$A13)="N/A",0,RTD("tos.rtd",,AX$2,"."&amp;$A$2&amp;$AW$1&amp;"P"&amp;$A13))</f>
        <v>-1944</v>
      </c>
      <c r="AY13" s="1">
        <f t="shared" si="78"/>
        <v>-1412</v>
      </c>
      <c r="AZ13" s="8">
        <f t="shared" si="32"/>
        <v>593</v>
      </c>
      <c r="BA13" s="6">
        <f>IF(RTD("tos.rtd",,BA$2,"."&amp;$A$2&amp;$AS$1&amp;"C"&amp;$A13)="N/A",0,RTD("tos.rtd",,BA$2,"."&amp;$A$2&amp;$AS$1&amp;"C"&amp;$A13))</f>
        <v>634379</v>
      </c>
      <c r="BB13" s="7">
        <f>-IF(RTD("tos.rtd",,BB$2,"."&amp;$A$2&amp;$AS$1&amp;"P"&amp;$A13)="N/A",0,RTD("tos.rtd",,BB$2,"."&amp;$A$2&amp;$AS$1&amp;"P"&amp;$A13))</f>
        <v>-379444</v>
      </c>
      <c r="BC13" s="6">
        <f>IF(RTD("tos.rtd",,BC$2,"."&amp;$A$2&amp;$AU$1&amp;"C"&amp;$A13)="N/A",0,RTD("tos.rtd",,BC$2,"."&amp;$A$2&amp;$AU$1&amp;"C"&amp;$A13))</f>
        <v>23323</v>
      </c>
      <c r="BD13" s="7">
        <f>-IF(RTD("tos.rtd",,BD$2,"."&amp;$A$2&amp;$AU$1&amp;"P"&amp;$A13)="N/A",0,RTD("tos.rtd",,BD$2,"."&amp;$A$2&amp;$AU$1&amp;"P"&amp;$A13))</f>
        <v>-15624</v>
      </c>
      <c r="BE13" s="6">
        <f>IF(RTD("tos.rtd",,BE$2,"."&amp;$A$2&amp;$AW$1&amp;"C"&amp;$A13)="N/A",0,RTD("tos.rtd",,BE$2,"."&amp;$A$2&amp;$AW$1&amp;"C"&amp;$A13))</f>
        <v>2438</v>
      </c>
      <c r="BF13" s="83">
        <f>-IF(RTD("tos.rtd",,BF$2,"."&amp;$A$2&amp;$AW$1&amp;"P"&amp;$A13)="N/A",0,RTD("tos.rtd",,BF$2,"."&amp;$A$2&amp;$AW$1&amp;"P"&amp;$A13))</f>
        <v>-1464</v>
      </c>
      <c r="BG13" s="32">
        <f ca="1">+Hoja2!Y14</f>
        <v>70919</v>
      </c>
      <c r="BH13" s="7">
        <f t="shared" ca="1" si="33"/>
        <v>334527</v>
      </c>
      <c r="BI13" s="8" t="str">
        <f t="shared" ca="1" si="34"/>
        <v/>
      </c>
      <c r="BJ13" s="3">
        <f ca="1">IF($BP$1=1,DX13,IF(RTD("tos.rtd",,BJ$2,"."&amp;$A$2&amp;$AS$1&amp;"C"&amp;$A13)="N/A",0,RTD("tos.rtd",,BJ$2,"."&amp;$A$2&amp;$AS$1&amp;"C"&amp;$A13)))</f>
        <v>0.40801188886427475</v>
      </c>
      <c r="BK13" s="3">
        <f ca="1">IF($BP$1=1,DY13,-IF(RTD("tos.rtd",,BK$2,"."&amp;$A$2&amp;$AS$1&amp;"P"&amp;$A13)="N/A",0,RTD("tos.rtd",,BK$2,"."&amp;$A$2&amp;$AS$1&amp;"P"&amp;$A13)))</f>
        <v>-0.16756131718299647</v>
      </c>
      <c r="BL13" s="3">
        <f ca="1">IF($BP$1=1,DZ13,IF(RTD("tos.rtd",,BL$2,"."&amp;$A$2&amp;$AU$1&amp;"C"&amp;$A13)="N/A",0,RTD("tos.rtd",,BL$2,"."&amp;$A$2&amp;$AU$1&amp;"C"&amp;$A13)))</f>
        <v>3.9421803687645696E-2</v>
      </c>
      <c r="BM13" s="3">
        <f ca="1">IF($BP$1=1,EA13,-IF(RTD("tos.rtd",,BM$2,"."&amp;$A$2&amp;$AU$1&amp;"P"&amp;$A13)="N/A",0,RTD("tos.rtd",,BM$2,"."&amp;$A$2&amp;$AU$1&amp;"P"&amp;$A13)))</f>
        <v>-3.7811098989006232E-2</v>
      </c>
      <c r="BN13" s="3">
        <f ca="1">IF($BP$1=1,EB13,IF(RTD("tos.rtd",,BN$2,"."&amp;$A$2&amp;$AW$1&amp;"C"&amp;$A13)="N/A",0,RTD("tos.rtd",,BN$2,"."&amp;$A$2&amp;$AW$1&amp;"C"&amp;$A13)))</f>
        <v>4.1638887297272123E-2</v>
      </c>
      <c r="BO13" s="3">
        <f ca="1">IF($BP$1=1,EC13,-IF(RTD("tos.rtd",,BO$2,"."&amp;$A$2&amp;$AW$1&amp;"P"&amp;$A13)="N/A",0,RTD("tos.rtd",,BO$2,"."&amp;$A$2&amp;$AW$1&amp;"P"&amp;$A13)))</f>
        <v>-3.927418648529464E-2</v>
      </c>
      <c r="BQ13" s="3">
        <f t="shared" ca="1" si="79"/>
        <v>366142812.82486165</v>
      </c>
      <c r="BR13" s="3" t="str">
        <f t="shared" ca="1" si="67"/>
        <v>Cruce +</v>
      </c>
      <c r="BS13" s="3">
        <f t="shared" ca="1" si="80"/>
        <v>21062490.221138284</v>
      </c>
      <c r="BT13" s="3" t="str">
        <f t="shared" ca="1" si="67"/>
        <v>Cruce +</v>
      </c>
      <c r="BU13" s="3">
        <f t="shared" ca="1" si="81"/>
        <v>-7023064.5862371363</v>
      </c>
      <c r="BV13" s="3" t="str">
        <f t="shared" ca="1" si="38"/>
        <v>Cruce -</v>
      </c>
      <c r="BX13" s="3">
        <f t="shared" ca="1" si="82"/>
        <v>68524327978.696564</v>
      </c>
      <c r="BY13" s="3" t="str">
        <f t="shared" ca="1" si="68"/>
        <v/>
      </c>
      <c r="BZ13" s="3">
        <f t="shared" ca="1" si="83"/>
        <v>115348052.48453075</v>
      </c>
      <c r="CA13" s="3" t="str">
        <f t="shared" ca="1" si="69"/>
        <v/>
      </c>
      <c r="CB13" s="3">
        <f t="shared" ca="1" si="84"/>
        <v>15448169.413270913</v>
      </c>
      <c r="CC13" s="3" t="str">
        <f t="shared" ca="1" si="70"/>
        <v/>
      </c>
      <c r="CD13" s="3">
        <f>IF(RTD("tos.rtd",,CD$2,"."&amp;$A$2&amp;$AS$1&amp;"C"&amp;$A13)="N/A",0,RTD("tos.rtd",,CD$2,"."&amp;$A$2&amp;$AS$1&amp;"C"&amp;$A13))</f>
        <v>0.04</v>
      </c>
      <c r="CE13" s="3">
        <f>-IF(RTD("tos.rtd",,CE$2,"."&amp;$A$2&amp;$AS$1&amp;"P"&amp;$A13)="N/A",0,RTD("tos.rtd",,CE$2,"."&amp;$A$2&amp;$AS$1&amp;"P"&amp;$A13))</f>
        <v>0.66</v>
      </c>
      <c r="CF13" s="3">
        <f>IF(RTD("tos.rtd",,CF$2,"."&amp;$A$2&amp;$AU$1&amp;"C"&amp;$A13)="N/A",0,RTD("tos.rtd",,CF$2,"."&amp;$A$2&amp;$AU$1&amp;"C"&amp;$A13))</f>
        <v>0.48</v>
      </c>
      <c r="CG13" s="3">
        <f>-IF(RTD("tos.rtd",,CG$2,"."&amp;$A$2&amp;$AU$1&amp;"P"&amp;$A13)="N/A",0,RTD("tos.rtd",,CG$2,"."&amp;$A$2&amp;$AU$1&amp;"P"&amp;$A13))</f>
        <v>0.52</v>
      </c>
      <c r="CH13" s="3">
        <f>IF(RTD("tos.rtd",,CH$2,"."&amp;$A$2&amp;$AW$1&amp;"C"&amp;$A13)="N/A",0,RTD("tos.rtd",,CH$2,"."&amp;$A$2&amp;$AW$1&amp;"C"&amp;$A13))</f>
        <v>0.53</v>
      </c>
      <c r="CI13" s="3">
        <f>-IF(RTD("tos.rtd",,CI$2,"."&amp;$A$2&amp;$AW$1&amp;"P"&amp;$A13)="N/A",0,RTD("tos.rtd",,CI$2,"."&amp;$A$2&amp;$AW$1&amp;"P"&amp;$A13))</f>
        <v>0.48</v>
      </c>
      <c r="CK13" s="3">
        <f t="shared" si="42"/>
        <v>-303828131.88</v>
      </c>
      <c r="CL13" s="3"/>
      <c r="CM13" s="3">
        <f t="shared" si="43"/>
        <v>33748412.879999995</v>
      </c>
      <c r="CN13" s="3"/>
      <c r="CO13" s="3">
        <f t="shared" si="44"/>
        <v>-12797833.229999997</v>
      </c>
      <c r="CP13" s="3">
        <f t="shared" si="85"/>
        <v>-282877552.23000002</v>
      </c>
      <c r="CQ13" s="3">
        <f t="shared" si="86"/>
        <v>254935</v>
      </c>
      <c r="CR13" s="3"/>
      <c r="CS13" s="3">
        <f t="shared" si="87"/>
        <v>7699</v>
      </c>
      <c r="CT13" s="3"/>
      <c r="CU13" s="3">
        <f t="shared" si="88"/>
        <v>974</v>
      </c>
      <c r="CV13" s="3">
        <f t="shared" si="89"/>
        <v>263608</v>
      </c>
      <c r="CW13" s="3">
        <f t="shared" ca="1" si="90"/>
        <v>380182238.45976281</v>
      </c>
      <c r="CX13" s="85" t="str">
        <f t="shared" ca="1" si="71"/>
        <v>Cruce +</v>
      </c>
      <c r="CY13" s="3">
        <f t="shared" ca="1" si="91"/>
        <v>68655124200.59436</v>
      </c>
      <c r="CZ13" s="85" t="str">
        <f t="shared" ca="1" si="72"/>
        <v/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0.98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0.98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0.86</v>
      </c>
      <c r="DG13" s="86">
        <f t="shared" si="50"/>
        <v>0.59000000000003183</v>
      </c>
      <c r="DH13" s="3">
        <f t="shared" si="5"/>
        <v>0</v>
      </c>
      <c r="DI13" s="3">
        <f t="shared" si="6"/>
        <v>0</v>
      </c>
      <c r="DJ13" s="3">
        <f t="shared" si="7"/>
        <v>0</v>
      </c>
      <c r="DK13" s="3">
        <f t="shared" si="8"/>
        <v>0</v>
      </c>
      <c r="DL13" s="3">
        <f t="shared" si="9"/>
        <v>0</v>
      </c>
      <c r="DM13" s="3">
        <f t="shared" si="10"/>
        <v>0</v>
      </c>
      <c r="DN13" s="63" t="str">
        <f t="shared" si="51"/>
        <v>UNKNOWN</v>
      </c>
      <c r="DO13" s="63" t="str">
        <f t="shared" si="52"/>
        <v>UNKNOWN</v>
      </c>
      <c r="DP13" s="3">
        <f t="shared" si="53"/>
        <v>0</v>
      </c>
      <c r="DQ13" s="3">
        <f t="shared" si="54"/>
        <v>0</v>
      </c>
      <c r="DR13" s="3">
        <f t="shared" ca="1" si="55"/>
        <v>0</v>
      </c>
      <c r="DS13" s="3">
        <f t="shared" si="56"/>
        <v>0</v>
      </c>
      <c r="DT13" s="3">
        <f t="shared" si="57"/>
        <v>0</v>
      </c>
      <c r="DU13" s="3">
        <f t="shared" si="58"/>
        <v>0</v>
      </c>
      <c r="DV13" s="3">
        <f t="shared" si="59"/>
        <v>12901</v>
      </c>
      <c r="DW13" s="3">
        <f t="shared" si="20"/>
        <v>356</v>
      </c>
      <c r="DX13" s="3">
        <f t="shared" ca="1" si="21"/>
        <v>0.40801188886427475</v>
      </c>
      <c r="DY13" s="3">
        <f t="shared" ca="1" si="22"/>
        <v>-0.16756131718299647</v>
      </c>
      <c r="DZ13" s="3">
        <f t="shared" ca="1" si="23"/>
        <v>3.9421803687645696E-2</v>
      </c>
      <c r="EA13" s="3">
        <f t="shared" ca="1" si="24"/>
        <v>-3.7811098989006232E-2</v>
      </c>
      <c r="EB13" s="3">
        <f t="shared" ca="1" si="25"/>
        <v>4.1638887297272123E-2</v>
      </c>
      <c r="EC13" s="3">
        <f t="shared" ca="1" si="26"/>
        <v>-3.927418648529464E-2</v>
      </c>
      <c r="ED13" s="63">
        <f t="shared" si="60"/>
        <v>13257</v>
      </c>
      <c r="EE13" s="59">
        <f t="shared" si="92"/>
        <v>7.3999999999999996E-2</v>
      </c>
      <c r="EF13" s="59">
        <f t="shared" si="93"/>
        <v>0.32400000000000001</v>
      </c>
      <c r="EG13" s="59">
        <f t="shared" si="94"/>
        <v>0.1595</v>
      </c>
      <c r="EH13" s="59">
        <f t="shared" si="95"/>
        <v>0.1663</v>
      </c>
      <c r="EI13" s="59">
        <f t="shared" si="96"/>
        <v>0.151</v>
      </c>
      <c r="EJ13" s="59">
        <f t="shared" si="97"/>
        <v>0.16009999999999999</v>
      </c>
      <c r="EK13" s="63">
        <f t="shared" ca="1" si="62"/>
        <v>1826380206.8436239</v>
      </c>
      <c r="EL13" s="3" t="str">
        <f>RTD("tos.rtd",,EL$2,"."&amp;$A$2&amp;$AS$1&amp;"C"&amp;$A13)</f>
        <v>7.40%</v>
      </c>
      <c r="EM13" s="3" t="str">
        <f>RTD("tos.rtd",,EM$2,"."&amp;$A$2&amp;$AS$1&amp;"P"&amp;$A13)</f>
        <v>32.40%</v>
      </c>
      <c r="EN13" s="3" t="str">
        <f>RTD("tos.rtd",,EN$2,"."&amp;$A$2&amp;$AU$1&amp;"C"&amp;$A13)</f>
        <v>15.95%</v>
      </c>
      <c r="EO13" s="3" t="str">
        <f>RTD("tos.rtd",,EO$2,"."&amp;$A$2&amp;$AU$1&amp;"P"&amp;$A13)</f>
        <v>16.63%</v>
      </c>
      <c r="EP13" s="3" t="str">
        <f>RTD("tos.rtd",,EP$2,"."&amp;$A$2&amp;$AW$1&amp;"C"&amp;$A13)</f>
        <v>15.10%</v>
      </c>
      <c r="EQ13" s="3" t="str">
        <f>RTD("tos.rtd",,EQ$2,"."&amp;$A$2&amp;$AW$1&amp;"P"&amp;$A13)</f>
        <v>16.01%</v>
      </c>
      <c r="ES13" s="63" t="str">
        <f t="shared" si="63"/>
        <v>593,13257.00</v>
      </c>
      <c r="ET13" s="63" t="str">
        <f t="shared" ca="1" si="64"/>
        <v>593,68655124.20</v>
      </c>
      <c r="EU13" s="67">
        <v>593.59</v>
      </c>
      <c r="EV13" s="67" t="s">
        <v>124</v>
      </c>
      <c r="EW13" s="67">
        <v>520.14</v>
      </c>
      <c r="EX13" s="67" t="s">
        <v>125</v>
      </c>
      <c r="EY13" s="67">
        <v>5946.25</v>
      </c>
      <c r="EZ13" s="67" t="s">
        <v>126</v>
      </c>
      <c r="FA13" s="67">
        <v>21350</v>
      </c>
      <c r="FB13" s="67" t="s">
        <v>127</v>
      </c>
      <c r="FC13" s="67" t="s">
        <v>128</v>
      </c>
      <c r="FD13" s="67" t="s">
        <v>129</v>
      </c>
      <c r="FE13" s="68" t="s">
        <v>130</v>
      </c>
      <c r="FF13" s="68" t="s">
        <v>131</v>
      </c>
    </row>
    <row r="14" spans="1:162" s="63" customFormat="1" ht="13.5" thickBot="1" x14ac:dyDescent="0.25">
      <c r="A14" s="2">
        <f t="shared" si="65"/>
        <v>592</v>
      </c>
      <c r="B14" s="3">
        <f t="shared" si="73"/>
        <v>12722</v>
      </c>
      <c r="C14" s="3">
        <f t="shared" si="74"/>
        <v>12498</v>
      </c>
      <c r="D14" s="3">
        <f t="shared" si="75"/>
        <v>5581</v>
      </c>
      <c r="E14" s="3">
        <f t="shared" si="76"/>
        <v>30801</v>
      </c>
      <c r="F14" s="4">
        <f t="shared" si="77"/>
        <v>5951.1284414510219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-11902</v>
      </c>
      <c r="AN14" s="1">
        <v>-7521</v>
      </c>
      <c r="AO14" s="1">
        <v>592</v>
      </c>
      <c r="AP14" s="1">
        <v>288535</v>
      </c>
      <c r="AQ14" s="1">
        <v>-390907</v>
      </c>
      <c r="AR14" s="1"/>
      <c r="AS14" s="6">
        <f>IF(RTD("tos.rtd",,AS$2,"."&amp;$A$2&amp;$AS$1&amp;"C"&amp;$A14)="N/A",0,RTD("tos.rtd",,AS$2,"."&amp;$A$2&amp;$AS$1&amp;"C"&amp;$A14))</f>
        <v>5828</v>
      </c>
      <c r="AT14" s="7">
        <f>-IF(RTD("tos.rtd",,AT$2,"."&amp;$A$2&amp;$AS$1&amp;"P"&amp;$A14)="N/A",0,RTD("tos.rtd",,AT$2,"."&amp;$A$2&amp;$AS$1&amp;"P"&amp;$A14))</f>
        <v>-6894</v>
      </c>
      <c r="AU14" s="6">
        <f>IF(RTD("tos.rtd",,AU$2,"."&amp;$A$2&amp;$AU$1&amp;"C"&amp;$A14)="N/A",0,RTD("tos.rtd",,AU$2,"."&amp;$A$2&amp;$AU$1&amp;"C"&amp;$A14))</f>
        <v>2855</v>
      </c>
      <c r="AV14" s="7">
        <f>-IF(RTD("tos.rtd",,AV$2,"."&amp;$A$2&amp;$AU$1&amp;"P"&amp;$A14)="N/A",0,RTD("tos.rtd",,AV$2,"."&amp;$A$2&amp;$AU$1&amp;"P"&amp;$A14))</f>
        <v>-9643</v>
      </c>
      <c r="AW14" s="6">
        <f>IF(RTD("tos.rtd",,AW$2,"."&amp;$A$2&amp;$AW$1&amp;"C"&amp;$A14)="N/A",0,RTD("tos.rtd",,AW$2,"."&amp;$A$2&amp;$AW$1&amp;"C"&amp;$A14))</f>
        <v>3531</v>
      </c>
      <c r="AX14" s="7">
        <f>-IF(RTD("tos.rtd",,AX$2,"."&amp;$A$2&amp;$AW$1&amp;"P"&amp;$A14)="N/A",0,RTD("tos.rtd",,AX$2,"."&amp;$A$2&amp;$AW$1&amp;"P"&amp;$A14))</f>
        <v>-2050</v>
      </c>
      <c r="AY14" s="1">
        <f t="shared" si="78"/>
        <v>-6373</v>
      </c>
      <c r="AZ14" s="8">
        <f t="shared" si="32"/>
        <v>592</v>
      </c>
      <c r="BA14" s="6">
        <f>IF(RTD("tos.rtd",,BA$2,"."&amp;$A$2&amp;$AS$1&amp;"C"&amp;$A14)="N/A",0,RTD("tos.rtd",,BA$2,"."&amp;$A$2&amp;$AS$1&amp;"C"&amp;$A14))</f>
        <v>288535</v>
      </c>
      <c r="BB14" s="7">
        <f>-IF(RTD("tos.rtd",,BB$2,"."&amp;$A$2&amp;$AS$1&amp;"P"&amp;$A14)="N/A",0,RTD("tos.rtd",,BB$2,"."&amp;$A$2&amp;$AS$1&amp;"P"&amp;$A14))</f>
        <v>-390907</v>
      </c>
      <c r="BC14" s="6">
        <f>IF(RTD("tos.rtd",,BC$2,"."&amp;$A$2&amp;$AU$1&amp;"C"&amp;$A14)="N/A",0,RTD("tos.rtd",,BC$2,"."&amp;$A$2&amp;$AU$1&amp;"C"&amp;$A14))</f>
        <v>13650</v>
      </c>
      <c r="BD14" s="7">
        <f>-IF(RTD("tos.rtd",,BD$2,"."&amp;$A$2&amp;$AU$1&amp;"P"&amp;$A14)="N/A",0,RTD("tos.rtd",,BD$2,"."&amp;$A$2&amp;$AU$1&amp;"P"&amp;$A14))</f>
        <v>-11853</v>
      </c>
      <c r="BE14" s="6">
        <f>IF(RTD("tos.rtd",,BE$2,"."&amp;$A$2&amp;$AW$1&amp;"C"&amp;$A14)="N/A",0,RTD("tos.rtd",,BE$2,"."&amp;$A$2&amp;$AW$1&amp;"C"&amp;$A14))</f>
        <v>1543</v>
      </c>
      <c r="BF14" s="83">
        <f>-IF(RTD("tos.rtd",,BF$2,"."&amp;$A$2&amp;$AW$1&amp;"P"&amp;$A14)="N/A",0,RTD("tos.rtd",,BF$2,"."&amp;$A$2&amp;$AW$1&amp;"P"&amp;$A14))</f>
        <v>-1259</v>
      </c>
      <c r="BG14" s="32">
        <f ca="1">+Hoja2!Y15</f>
        <v>6826</v>
      </c>
      <c r="BH14" s="7">
        <f t="shared" ca="1" si="33"/>
        <v>-93465</v>
      </c>
      <c r="BI14" s="8" t="str">
        <f t="shared" ca="1" si="34"/>
        <v>Cruce -</v>
      </c>
      <c r="BJ14" s="3">
        <f ca="1">IF($BP$1=1,DX14,IF(RTD("tos.rtd",,BJ$2,"."&amp;$A$2&amp;$AS$1&amp;"C"&amp;$A14)="N/A",0,RTD("tos.rtd",,BJ$2,"."&amp;$A$2&amp;$AS$1&amp;"C"&amp;$A14)))</f>
        <v>0.2181219976654809</v>
      </c>
      <c r="BK14" s="3">
        <f ca="1">IF($BP$1=1,DY14,-IF(RTD("tos.rtd",,BK$2,"."&amp;$A$2&amp;$AS$1&amp;"P"&amp;$A14)="N/A",0,RTD("tos.rtd",,BK$2,"."&amp;$A$2&amp;$AS$1&amp;"P"&amp;$A14)))</f>
        <v>-0.32868619224685253</v>
      </c>
      <c r="BL14" s="3">
        <f ca="1">IF($BP$1=1,DZ14,IF(RTD("tos.rtd",,BL$2,"."&amp;$A$2&amp;$AU$1&amp;"C"&amp;$A14)="N/A",0,RTD("tos.rtd",,BL$2,"."&amp;$A$2&amp;$AU$1&amp;"C"&amp;$A14)))</f>
        <v>3.8924751793895429E-2</v>
      </c>
      <c r="BM14" s="3">
        <f ca="1">IF($BP$1=1,EA14,-IF(RTD("tos.rtd",,BM$2,"."&amp;$A$2&amp;$AU$1&amp;"P"&amp;$A14)="N/A",0,RTD("tos.rtd",,BM$2,"."&amp;$A$2&amp;$AU$1&amp;"P"&amp;$A14)))</f>
        <v>-3.7310773267547455E-2</v>
      </c>
      <c r="BN14" s="3">
        <f ca="1">IF($BP$1=1,EB14,IF(RTD("tos.rtd",,BN$2,"."&amp;$A$2&amp;$AW$1&amp;"C"&amp;$A14)="N/A",0,RTD("tos.rtd",,BN$2,"."&amp;$A$2&amp;$AW$1&amp;"C"&amp;$A14)))</f>
        <v>4.1082169844543132E-2</v>
      </c>
      <c r="BO14" s="3">
        <f ca="1">IF($BP$1=1,EC14,-IF(RTD("tos.rtd",,BO$2,"."&amp;$A$2&amp;$AW$1&amp;"P"&amp;$A14)="N/A",0,RTD("tos.rtd",,BO$2,"."&amp;$A$2&amp;$AW$1&amp;"P"&amp;$A14)))</f>
        <v>-3.8828781360043106E-2</v>
      </c>
      <c r="BQ14" s="3">
        <f t="shared" ca="1" si="79"/>
        <v>-349106282.81940287</v>
      </c>
      <c r="BR14" s="3" t="str">
        <f t="shared" ca="1" si="67"/>
        <v>Cruce -</v>
      </c>
      <c r="BS14" s="3">
        <f t="shared" ca="1" si="80"/>
        <v>-87266294.37689966</v>
      </c>
      <c r="BT14" s="3" t="str">
        <f t="shared" ca="1" si="67"/>
        <v>Cruce -</v>
      </c>
      <c r="BU14" s="3">
        <f t="shared" ca="1" si="81"/>
        <v>22973912.354871403</v>
      </c>
      <c r="BV14" s="3" t="str">
        <f t="shared" ca="1" si="38"/>
        <v>Cruce +</v>
      </c>
      <c r="BX14" s="3">
        <f t="shared" ca="1" si="82"/>
        <v>-23004712683.29232</v>
      </c>
      <c r="BY14" s="3" t="str">
        <f t="shared" ca="1" si="68"/>
        <v>Cruce -</v>
      </c>
      <c r="BZ14" s="3">
        <f t="shared" ca="1" si="83"/>
        <v>31261982.699602902</v>
      </c>
      <c r="CA14" s="3" t="str">
        <f t="shared" ca="1" si="69"/>
        <v/>
      </c>
      <c r="CB14" s="3">
        <f t="shared" ca="1" si="84"/>
        <v>5090296.7687077858</v>
      </c>
      <c r="CC14" s="3" t="str">
        <f t="shared" ca="1" si="70"/>
        <v/>
      </c>
      <c r="CD14" s="3">
        <f>IF(RTD("tos.rtd",,CD$2,"."&amp;$A$2&amp;$AS$1&amp;"C"&amp;$A14)="N/A",0,RTD("tos.rtd",,CD$2,"."&amp;$A$2&amp;$AS$1&amp;"C"&amp;$A14))</f>
        <v>1</v>
      </c>
      <c r="CE14" s="3">
        <f>-IF(RTD("tos.rtd",,CE$2,"."&amp;$A$2&amp;$AS$1&amp;"P"&amp;$A14)="N/A",0,RTD("tos.rtd",,CE$2,"."&amp;$A$2&amp;$AS$1&amp;"P"&amp;$A14))</f>
        <v>0.28000000000000003</v>
      </c>
      <c r="CF14" s="3">
        <f>IF(RTD("tos.rtd",,CF$2,"."&amp;$A$2&amp;$AU$1&amp;"C"&amp;$A14)="N/A",0,RTD("tos.rtd",,CF$2,"."&amp;$A$2&amp;$AU$1&amp;"C"&amp;$A14))</f>
        <v>0.53</v>
      </c>
      <c r="CG14" s="3">
        <f>-IF(RTD("tos.rtd",,CG$2,"."&amp;$A$2&amp;$AU$1&amp;"P"&amp;$A14)="N/A",0,RTD("tos.rtd",,CG$2,"."&amp;$A$2&amp;$AU$1&amp;"P"&amp;$A14))</f>
        <v>0.47</v>
      </c>
      <c r="CH14" s="3">
        <f>IF(RTD("tos.rtd",,CH$2,"."&amp;$A$2&amp;$AW$1&amp;"C"&amp;$A14)="N/A",0,RTD("tos.rtd",,CH$2,"."&amp;$A$2&amp;$AW$1&amp;"C"&amp;$A14))</f>
        <v>0.54</v>
      </c>
      <c r="CI14" s="3">
        <f>-IF(RTD("tos.rtd",,CI$2,"."&amp;$A$2&amp;$AW$1&amp;"P"&amp;$A14)="N/A",0,RTD("tos.rtd",,CI$2,"."&amp;$A$2&amp;$AW$1&amp;"P"&amp;$A14))</f>
        <v>0.46</v>
      </c>
      <c r="CK14" s="3">
        <f t="shared" si="42"/>
        <v>230902460.88</v>
      </c>
      <c r="CL14" s="3"/>
      <c r="CM14" s="3">
        <f t="shared" si="43"/>
        <v>-178852133.46000004</v>
      </c>
      <c r="CN14" s="3"/>
      <c r="CO14" s="3">
        <f t="shared" si="44"/>
        <v>57092921.340000018</v>
      </c>
      <c r="CP14" s="3">
        <f t="shared" si="85"/>
        <v>109143248.75999998</v>
      </c>
      <c r="CQ14" s="3">
        <f t="shared" si="86"/>
        <v>-102372</v>
      </c>
      <c r="CR14" s="3"/>
      <c r="CS14" s="3">
        <f t="shared" si="87"/>
        <v>1797</v>
      </c>
      <c r="CT14" s="3"/>
      <c r="CU14" s="3">
        <f t="shared" si="88"/>
        <v>284</v>
      </c>
      <c r="CV14" s="3">
        <f t="shared" si="89"/>
        <v>-100291</v>
      </c>
      <c r="CW14" s="3">
        <f t="shared" ca="1" si="90"/>
        <v>-413398664.84143114</v>
      </c>
      <c r="CX14" s="85" t="str">
        <f t="shared" ca="1" si="71"/>
        <v>Cruce -</v>
      </c>
      <c r="CY14" s="3">
        <f t="shared" ca="1" si="91"/>
        <v>-22968360403.824009</v>
      </c>
      <c r="CZ14" s="85" t="str">
        <f t="shared" ca="1" si="72"/>
        <v>Cruce -</v>
      </c>
      <c r="DA14" s="3">
        <f>IF(RTD("tos.rtd",,DA$2,"."&amp;$A$2&amp;$AS$1&amp;"C"&amp;$A14)="N/A",0,RTD("tos.rtd",,DA$2,"."&amp;$A$2&amp;$AS$1&amp;"C"&amp;$A14))</f>
        <v>0.2</v>
      </c>
      <c r="DB14" s="3">
        <f>IF(RTD("tos.rtd",,DB$2,"."&amp;$A$2&amp;$AS$1&amp;"P"&amp;$A14)="N/A",0,RTD("tos.rtd",,DB$2,"."&amp;$A$2&amp;$AS$1&amp;"P"&amp;$A14))</f>
        <v>0.13</v>
      </c>
      <c r="DC14" s="3">
        <f>IF(RTD("tos.rtd",,DC$2,"."&amp;$A$2&amp;$AS$1&amp;"C"&amp;$A14)="N/A",0,RTD("tos.rtd",,DC$2,"."&amp;$A$2&amp;$AS$1&amp;"C"&amp;$A14))</f>
        <v>0.22</v>
      </c>
      <c r="DD14" s="3">
        <f>IF(RTD("tos.rtd",,DD$2,"."&amp;$A$2&amp;$AS$1&amp;"P"&amp;$A14)="N/A",0,RTD("tos.rtd",,DD$2,"."&amp;$A$2&amp;$AS$1&amp;"P"&amp;$A14))</f>
        <v>0.13</v>
      </c>
      <c r="DE14" s="3">
        <f>IF(RTD("tos.rtd",,DE$2,"."&amp;$A$2&amp;$AS$1&amp;"C"&amp;$A14)="N/A",0,RTD("tos.rtd",,DE$2,"."&amp;$A$2&amp;$AS$1&amp;"C"&amp;$A14))</f>
        <v>0.19</v>
      </c>
      <c r="DF14" s="3">
        <f>IF(RTD("tos.rtd",,DF$2,"."&amp;$A$2&amp;$AS$1&amp;"P"&amp;$A14)="N/A",0,RTD("tos.rtd",,DF$2,"."&amp;$A$2&amp;$AS$1&amp;"P"&amp;$A14))</f>
        <v>0.12</v>
      </c>
      <c r="DG14" s="86">
        <f t="shared" si="50"/>
        <v>-0.40999999999996817</v>
      </c>
      <c r="DH14" s="3">
        <f t="shared" si="5"/>
        <v>0</v>
      </c>
      <c r="DI14" s="3">
        <f t="shared" si="6"/>
        <v>0</v>
      </c>
      <c r="DJ14" s="3">
        <f t="shared" si="7"/>
        <v>0</v>
      </c>
      <c r="DK14" s="3">
        <f t="shared" si="8"/>
        <v>0</v>
      </c>
      <c r="DL14" s="3">
        <f t="shared" si="9"/>
        <v>0</v>
      </c>
      <c r="DM14" s="3">
        <f t="shared" si="10"/>
        <v>0</v>
      </c>
      <c r="DN14" s="63" t="str">
        <f t="shared" si="51"/>
        <v>UNKNOWN</v>
      </c>
      <c r="DO14" s="63" t="str">
        <f t="shared" si="52"/>
        <v>UNKNOWN</v>
      </c>
      <c r="DP14" s="3">
        <f t="shared" si="53"/>
        <v>0</v>
      </c>
      <c r="DQ14" s="3">
        <f t="shared" si="54"/>
        <v>0</v>
      </c>
      <c r="DR14" s="3">
        <f t="shared" ca="1" si="55"/>
        <v>0</v>
      </c>
      <c r="DS14" s="3">
        <f t="shared" si="56"/>
        <v>0</v>
      </c>
      <c r="DT14" s="3">
        <f t="shared" si="57"/>
        <v>0</v>
      </c>
      <c r="DU14" s="3">
        <f t="shared" si="58"/>
        <v>0</v>
      </c>
      <c r="DV14" s="3">
        <f t="shared" si="59"/>
        <v>-11902</v>
      </c>
      <c r="DW14" s="3">
        <f t="shared" si="20"/>
        <v>-7521</v>
      </c>
      <c r="DX14" s="3">
        <f t="shared" ca="1" si="21"/>
        <v>0.2181219976654809</v>
      </c>
      <c r="DY14" s="3">
        <f t="shared" ca="1" si="22"/>
        <v>-0.32868619224685253</v>
      </c>
      <c r="DZ14" s="3">
        <f t="shared" ca="1" si="23"/>
        <v>3.8924751793895429E-2</v>
      </c>
      <c r="EA14" s="3">
        <f t="shared" ca="1" si="24"/>
        <v>-3.7310773267547455E-2</v>
      </c>
      <c r="EB14" s="3">
        <f t="shared" ca="1" si="25"/>
        <v>4.1082169844543132E-2</v>
      </c>
      <c r="EC14" s="3">
        <f t="shared" ca="1" si="26"/>
        <v>-3.8828781360043106E-2</v>
      </c>
      <c r="ED14" s="63">
        <f t="shared" si="60"/>
        <v>-19423</v>
      </c>
      <c r="EE14" s="59">
        <f t="shared" si="92"/>
        <v>0.25</v>
      </c>
      <c r="EF14" s="59">
        <f t="shared" si="93"/>
        <v>0.1595</v>
      </c>
      <c r="EG14" s="59">
        <f t="shared" si="94"/>
        <v>0.16109999999999999</v>
      </c>
      <c r="EH14" s="59">
        <f t="shared" si="95"/>
        <v>0.1681</v>
      </c>
      <c r="EI14" s="59">
        <f t="shared" si="96"/>
        <v>0.15260000000000001</v>
      </c>
      <c r="EJ14" s="59">
        <f t="shared" si="97"/>
        <v>0.1615</v>
      </c>
      <c r="EK14" s="63">
        <f t="shared" ca="1" si="62"/>
        <v>-43531496.109252691</v>
      </c>
      <c r="EL14" s="3" t="str">
        <f>RTD("tos.rtd",,EL$2,"."&amp;$A$2&amp;$AS$1&amp;"C"&amp;$A14)</f>
        <v>--</v>
      </c>
      <c r="EM14" s="3" t="str">
        <f>RTD("tos.rtd",,EM$2,"."&amp;$A$2&amp;$AS$1&amp;"P"&amp;$A14)</f>
        <v>15.95%</v>
      </c>
      <c r="EN14" s="3" t="str">
        <f>RTD("tos.rtd",,EN$2,"."&amp;$A$2&amp;$AU$1&amp;"C"&amp;$A14)</f>
        <v>16.11%</v>
      </c>
      <c r="EO14" s="3" t="str">
        <f>RTD("tos.rtd",,EO$2,"."&amp;$A$2&amp;$AU$1&amp;"P"&amp;$A14)</f>
        <v>16.81%</v>
      </c>
      <c r="EP14" s="3" t="str">
        <f>RTD("tos.rtd",,EP$2,"."&amp;$A$2&amp;$AW$1&amp;"C"&amp;$A14)</f>
        <v>15.26%</v>
      </c>
      <c r="EQ14" s="3" t="str">
        <f>RTD("tos.rtd",,EQ$2,"."&amp;$A$2&amp;$AW$1&amp;"P"&amp;$A14)</f>
        <v>16.15%</v>
      </c>
      <c r="ES14" s="63" t="str">
        <f t="shared" si="63"/>
        <v>592,-19423.00</v>
      </c>
      <c r="ET14" s="63" t="str">
        <f t="shared" ca="1" si="64"/>
        <v>592,-22968360.40</v>
      </c>
      <c r="EU14" s="67">
        <v>593.61</v>
      </c>
      <c r="EV14" s="67" t="s">
        <v>132</v>
      </c>
      <c r="EW14" s="67">
        <v>520.12</v>
      </c>
      <c r="EX14" s="67" t="s">
        <v>133</v>
      </c>
      <c r="EY14" s="67">
        <v>5946.25</v>
      </c>
      <c r="EZ14" s="67" t="s">
        <v>134</v>
      </c>
      <c r="FA14" s="67">
        <v>21349</v>
      </c>
      <c r="FB14" s="67" t="s">
        <v>135</v>
      </c>
      <c r="FC14" s="67" t="s">
        <v>136</v>
      </c>
      <c r="FD14" s="67" t="s">
        <v>137</v>
      </c>
      <c r="FE14" s="68" t="s">
        <v>138</v>
      </c>
      <c r="FF14" s="68" t="s">
        <v>139</v>
      </c>
    </row>
    <row r="15" spans="1:162" s="63" customFormat="1" ht="13.5" thickBot="1" x14ac:dyDescent="0.25">
      <c r="A15" s="2">
        <f t="shared" si="65"/>
        <v>591</v>
      </c>
      <c r="B15" s="3">
        <f t="shared" si="13"/>
        <v>11959</v>
      </c>
      <c r="C15" s="3">
        <f t="shared" si="14"/>
        <v>6444</v>
      </c>
      <c r="D15" s="3">
        <f t="shared" si="15"/>
        <v>5186</v>
      </c>
      <c r="E15" s="3">
        <f t="shared" si="16"/>
        <v>23589</v>
      </c>
      <c r="F15" s="4">
        <f t="shared" si="17"/>
        <v>5941.0758596242467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3574</v>
      </c>
      <c r="AN15" s="1">
        <v>22916</v>
      </c>
      <c r="AO15" s="1">
        <v>591</v>
      </c>
      <c r="AP15" s="1">
        <v>162677</v>
      </c>
      <c r="AQ15" s="1">
        <v>-297774</v>
      </c>
      <c r="AR15" s="1"/>
      <c r="AS15" s="6">
        <f>IF(RTD("tos.rtd",,AS$2,"."&amp;$A$2&amp;$AS$1&amp;"C"&amp;$A15)="N/A",0,RTD("tos.rtd",,AS$2,"."&amp;$A$2&amp;$AS$1&amp;"C"&amp;$A15))</f>
        <v>5675</v>
      </c>
      <c r="AT15" s="7">
        <f>-IF(RTD("tos.rtd",,AT$2,"."&amp;$A$2&amp;$AS$1&amp;"P"&amp;$A15)="N/A",0,RTD("tos.rtd",,AT$2,"."&amp;$A$2&amp;$AS$1&amp;"P"&amp;$A15))</f>
        <v>-6284</v>
      </c>
      <c r="AU15" s="6">
        <f>IF(RTD("tos.rtd",,AU$2,"."&amp;$A$2&amp;$AU$1&amp;"C"&amp;$A15)="N/A",0,RTD("tos.rtd",,AU$2,"."&amp;$A$2&amp;$AU$1&amp;"C"&amp;$A15))</f>
        <v>2882</v>
      </c>
      <c r="AV15" s="7">
        <f>-IF(RTD("tos.rtd",,AV$2,"."&amp;$A$2&amp;$AU$1&amp;"P"&amp;$A15)="N/A",0,RTD("tos.rtd",,AV$2,"."&amp;$A$2&amp;$AU$1&amp;"P"&amp;$A15))</f>
        <v>-3562</v>
      </c>
      <c r="AW15" s="6">
        <f>IF(RTD("tos.rtd",,AW$2,"."&amp;$A$2&amp;$AW$1&amp;"C"&amp;$A15)="N/A",0,RTD("tos.rtd",,AW$2,"."&amp;$A$2&amp;$AW$1&amp;"C"&amp;$A15))</f>
        <v>3092</v>
      </c>
      <c r="AX15" s="7">
        <f>-IF(RTD("tos.rtd",,AX$2,"."&amp;$A$2&amp;$AW$1&amp;"P"&amp;$A15)="N/A",0,RTD("tos.rtd",,AX$2,"."&amp;$A$2&amp;$AW$1&amp;"P"&amp;$A15))</f>
        <v>-2094</v>
      </c>
      <c r="AY15" s="1">
        <f t="shared" si="66"/>
        <v>-291</v>
      </c>
      <c r="AZ15" s="8">
        <f t="shared" si="32"/>
        <v>591</v>
      </c>
      <c r="BA15" s="6">
        <f>IF(RTD("tos.rtd",,BA$2,"."&amp;$A$2&amp;$AS$1&amp;"C"&amp;$A15)="N/A",0,RTD("tos.rtd",,BA$2,"."&amp;$A$2&amp;$AS$1&amp;"C"&amp;$A15))</f>
        <v>162677</v>
      </c>
      <c r="BB15" s="7">
        <f>-IF(RTD("tos.rtd",,BB$2,"."&amp;$A$2&amp;$AS$1&amp;"P"&amp;$A15)="N/A",0,RTD("tos.rtd",,BB$2,"."&amp;$A$2&amp;$AS$1&amp;"P"&amp;$A15))</f>
        <v>-297774</v>
      </c>
      <c r="BC15" s="6">
        <f>IF(RTD("tos.rtd",,BC$2,"."&amp;$A$2&amp;$AU$1&amp;"C"&amp;$A15)="N/A",0,RTD("tos.rtd",,BC$2,"."&amp;$A$2&amp;$AU$1&amp;"C"&amp;$A15))</f>
        <v>7012</v>
      </c>
      <c r="BD15" s="7">
        <f>-IF(RTD("tos.rtd",,BD$2,"."&amp;$A$2&amp;$AU$1&amp;"P"&amp;$A15)="N/A",0,RTD("tos.rtd",,BD$2,"."&amp;$A$2&amp;$AU$1&amp;"P"&amp;$A15))</f>
        <v>-10517</v>
      </c>
      <c r="BE15" s="6">
        <f>IF(RTD("tos.rtd",,BE$2,"."&amp;$A$2&amp;$AW$1&amp;"C"&amp;$A15)="N/A",0,RTD("tos.rtd",,BE$2,"."&amp;$A$2&amp;$AW$1&amp;"C"&amp;$A15))</f>
        <v>321</v>
      </c>
      <c r="BF15" s="83">
        <f>-IF(RTD("tos.rtd",,BF$2,"."&amp;$A$2&amp;$AW$1&amp;"P"&amp;$A15)="N/A",0,RTD("tos.rtd",,BF$2,"."&amp;$A$2&amp;$AW$1&amp;"P"&amp;$A15))</f>
        <v>-796</v>
      </c>
      <c r="BG15" s="32">
        <f ca="1">+Hoja2!Y16</f>
        <v>-9935</v>
      </c>
      <c r="BH15" s="7">
        <f t="shared" ca="1" si="33"/>
        <v>-149012</v>
      </c>
      <c r="BI15" s="8" t="str">
        <f t="shared" ca="1" si="34"/>
        <v/>
      </c>
      <c r="BJ15" s="3">
        <f ca="1">IF($BP$1=1,DX15,IF(RTD("tos.rtd",,BJ$2,"."&amp;$A$2&amp;$AS$1&amp;"C"&amp;$A15)="N/A",0,RTD("tos.rtd",,BJ$2,"."&amp;$A$2&amp;$AS$1&amp;"C"&amp;$A15)))</f>
        <v>0.16320405827559883</v>
      </c>
      <c r="BK15" s="3">
        <f ca="1">IF($BP$1=1,DY15,-IF(RTD("tos.rtd",,BK$2,"."&amp;$A$2&amp;$AS$1&amp;"P"&amp;$A15)="N/A",0,RTD("tos.rtd",,BK$2,"."&amp;$A$2&amp;$AS$1&amp;"P"&amp;$A15)))</f>
        <v>-0.17002641072334052</v>
      </c>
      <c r="BL15" s="3">
        <f ca="1">IF($BP$1=1,DZ15,IF(RTD("tos.rtd",,BL$2,"."&amp;$A$2&amp;$AU$1&amp;"C"&amp;$A15)="N/A",0,RTD("tos.rtd",,BL$2,"."&amp;$A$2&amp;$AU$1&amp;"C"&amp;$A15)))</f>
        <v>3.7809006873651477E-2</v>
      </c>
      <c r="BM15" s="3">
        <f ca="1">IF($BP$1=1,EA15,-IF(RTD("tos.rtd",,BM$2,"."&amp;$A$2&amp;$AU$1&amp;"P"&amp;$A15)="N/A",0,RTD("tos.rtd",,BM$2,"."&amp;$A$2&amp;$AU$1&amp;"P"&amp;$A15)))</f>
        <v>-3.6465540693460731E-2</v>
      </c>
      <c r="BN15" s="3">
        <f ca="1">IF($BP$1=1,EB15,IF(RTD("tos.rtd",,BN$2,"."&amp;$A$2&amp;$AW$1&amp;"C"&amp;$A15)="N/A",0,RTD("tos.rtd",,BN$2,"."&amp;$A$2&amp;$AW$1&amp;"C"&amp;$A15)))</f>
        <v>4.0118164445291177E-2</v>
      </c>
      <c r="BO15" s="3">
        <f ca="1">IF($BP$1=1,EC15,-IF(RTD("tos.rtd",,BO$2,"."&amp;$A$2&amp;$AW$1&amp;"P"&amp;$A15)="N/A",0,RTD("tos.rtd",,BO$2,"."&amp;$A$2&amp;$AW$1&amp;"P"&amp;$A15)))</f>
        <v>-3.8080379140626716E-2</v>
      </c>
      <c r="BQ15" s="3">
        <f t="shared" ca="1" si="35"/>
        <v>-49927121.029720902</v>
      </c>
      <c r="BR15" s="3" t="str">
        <f t="shared" ca="1" si="67"/>
        <v/>
      </c>
      <c r="BS15" s="3">
        <f t="shared" ca="1" si="36"/>
        <v>-7343514.6119292751</v>
      </c>
      <c r="BT15" s="3" t="str">
        <f t="shared" ca="1" si="67"/>
        <v/>
      </c>
      <c r="BU15" s="3">
        <f t="shared" ca="1" si="37"/>
        <v>15548840.125396632</v>
      </c>
      <c r="BV15" s="3" t="str">
        <f t="shared" ca="1" si="38"/>
        <v/>
      </c>
      <c r="BX15" s="3">
        <f t="shared" ca="1" si="39"/>
        <v>-8450830709.556078</v>
      </c>
      <c r="BY15" s="3" t="str">
        <f t="shared" ca="1" si="68"/>
        <v/>
      </c>
      <c r="BZ15" s="3">
        <f t="shared" ca="1" si="40"/>
        <v>-41549392.717225879</v>
      </c>
      <c r="CA15" s="3" t="str">
        <f t="shared" ca="1" si="69"/>
        <v>Cruce -</v>
      </c>
      <c r="CB15" s="3">
        <f t="shared" ca="1" si="41"/>
        <v>-6118473.3692040993</v>
      </c>
      <c r="CC15" s="3" t="str">
        <f t="shared" ca="1" si="70"/>
        <v>Cruce -</v>
      </c>
      <c r="CD15" s="3">
        <f>IF(RTD("tos.rtd",,CD$2,"."&amp;$A$2&amp;$AS$1&amp;"C"&amp;$A15)="N/A",0,RTD("tos.rtd",,CD$2,"."&amp;$A$2&amp;$AS$1&amp;"C"&amp;$A15))</f>
        <v>1</v>
      </c>
      <c r="CE15" s="3">
        <f>-IF(RTD("tos.rtd",,CE$2,"."&amp;$A$2&amp;$AS$1&amp;"P"&amp;$A15)="N/A",0,RTD("tos.rtd",,CE$2,"."&amp;$A$2&amp;$AS$1&amp;"P"&amp;$A15))</f>
        <v>0.05</v>
      </c>
      <c r="CF15" s="3">
        <f>IF(RTD("tos.rtd",,CF$2,"."&amp;$A$2&amp;$AU$1&amp;"C"&amp;$A15)="N/A",0,RTD("tos.rtd",,CF$2,"."&amp;$A$2&amp;$AU$1&amp;"C"&amp;$A15))</f>
        <v>0.56999999999999995</v>
      </c>
      <c r="CG15" s="3">
        <f>-IF(RTD("tos.rtd",,CG$2,"."&amp;$A$2&amp;$AU$1&amp;"P"&amp;$A15)="N/A",0,RTD("tos.rtd",,CG$2,"."&amp;$A$2&amp;$AU$1&amp;"P"&amp;$A15))</f>
        <v>0.43</v>
      </c>
      <c r="CH15" s="3">
        <f>IF(RTD("tos.rtd",,CH$2,"."&amp;$A$2&amp;$AW$1&amp;"C"&amp;$A15)="N/A",0,RTD("tos.rtd",,CH$2,"."&amp;$A$2&amp;$AW$1&amp;"C"&amp;$A15))</f>
        <v>0.55000000000000004</v>
      </c>
      <c r="CI15" s="3">
        <f>-IF(RTD("tos.rtd",,CI$2,"."&amp;$A$2&amp;$AW$1&amp;"P"&amp;$A15)="N/A",0,RTD("tos.rtd",,CI$2,"."&amp;$A$2&amp;$AW$1&amp;"P"&amp;$A15))</f>
        <v>0.45</v>
      </c>
      <c r="CK15" s="3">
        <f t="shared" si="42"/>
        <v>317579152.80000001</v>
      </c>
      <c r="CL15" s="3"/>
      <c r="CM15" s="3">
        <f t="shared" si="43"/>
        <v>6580490.2799999714</v>
      </c>
      <c r="CN15" s="3"/>
      <c r="CO15" s="3">
        <f t="shared" si="44"/>
        <v>44922450.299999997</v>
      </c>
      <c r="CP15" s="3">
        <f t="shared" si="45"/>
        <v>369082093.38</v>
      </c>
      <c r="CQ15" s="3">
        <f t="shared" si="46"/>
        <v>-135097</v>
      </c>
      <c r="CR15" s="3"/>
      <c r="CS15" s="3">
        <f t="shared" si="18"/>
        <v>-3505</v>
      </c>
      <c r="CT15" s="3"/>
      <c r="CU15" s="3">
        <f t="shared" si="19"/>
        <v>-475</v>
      </c>
      <c r="CV15" s="3">
        <f t="shared" si="47"/>
        <v>-139077</v>
      </c>
      <c r="CW15" s="3">
        <f t="shared" ca="1" si="48"/>
        <v>-41721795.516253546</v>
      </c>
      <c r="CX15" s="85" t="str">
        <f t="shared" ca="1" si="71"/>
        <v/>
      </c>
      <c r="CY15" s="3">
        <f t="shared" ca="1" si="49"/>
        <v>-8498498575.6425085</v>
      </c>
      <c r="CZ15" s="85" t="str">
        <f t="shared" ca="1" si="72"/>
        <v/>
      </c>
      <c r="DA15" s="3">
        <f>IF(RTD("tos.rtd",,DA$2,"."&amp;$A$2&amp;$AS$1&amp;"C"&amp;$A15)="N/A",0,RTD("tos.rtd",,DA$2,"."&amp;$A$2&amp;$AS$1&amp;"C"&amp;$A15))</f>
        <v>1.0900000000000001</v>
      </c>
      <c r="DB15" s="3">
        <f>IF(RTD("tos.rtd",,DB$2,"."&amp;$A$2&amp;$AS$1&amp;"P"&amp;$A15)="N/A",0,RTD("tos.rtd",,DB$2,"."&amp;$A$2&amp;$AS$1&amp;"P"&amp;$A15))</f>
        <v>0.01</v>
      </c>
      <c r="DC15" s="3">
        <f>IF(RTD("tos.rtd",,DC$2,"."&amp;$A$2&amp;$AS$1&amp;"C"&amp;$A15)="N/A",0,RTD("tos.rtd",,DC$2,"."&amp;$A$2&amp;$AS$1&amp;"C"&amp;$A15))</f>
        <v>1.1599999999999999</v>
      </c>
      <c r="DD15" s="3">
        <f>IF(RTD("tos.rtd",,DD$2,"."&amp;$A$2&amp;$AS$1&amp;"P"&amp;$A15)="N/A",0,RTD("tos.rtd",,DD$2,"."&amp;$A$2&amp;$AS$1&amp;"P"&amp;$A15))</f>
        <v>0.02</v>
      </c>
      <c r="DE15" s="3">
        <f>IF(RTD("tos.rtd",,DE$2,"."&amp;$A$2&amp;$AS$1&amp;"C"&amp;$A15)="N/A",0,RTD("tos.rtd",,DE$2,"."&amp;$A$2&amp;$AS$1&amp;"C"&amp;$A15))</f>
        <v>1.04</v>
      </c>
      <c r="DF15" s="3">
        <f>IF(RTD("tos.rtd",,DF$2,"."&amp;$A$2&amp;$AS$1&amp;"P"&amp;$A15)="N/A",0,RTD("tos.rtd",,DF$2,"."&amp;$A$2&amp;$AS$1&amp;"P"&amp;$A15))</f>
        <v>0.01</v>
      </c>
      <c r="DG15" s="86">
        <f t="shared" si="50"/>
        <v>-1.4099999999999682</v>
      </c>
      <c r="DH15" s="3">
        <f t="shared" si="5"/>
        <v>0</v>
      </c>
      <c r="DI15" s="3">
        <f t="shared" si="6"/>
        <v>0</v>
      </c>
      <c r="DJ15" s="3">
        <f t="shared" si="7"/>
        <v>0</v>
      </c>
      <c r="DK15" s="3">
        <f t="shared" si="8"/>
        <v>0</v>
      </c>
      <c r="DL15" s="3">
        <f t="shared" si="9"/>
        <v>0</v>
      </c>
      <c r="DM15" s="3">
        <f t="shared" si="10"/>
        <v>0</v>
      </c>
      <c r="DN15" s="63" t="str">
        <f t="shared" si="51"/>
        <v>UNKNOWN</v>
      </c>
      <c r="DO15" s="63" t="str">
        <f t="shared" si="52"/>
        <v>UNKNOWN</v>
      </c>
      <c r="DP15" s="3">
        <f t="shared" si="53"/>
        <v>0</v>
      </c>
      <c r="DQ15" s="3">
        <f t="shared" si="54"/>
        <v>0</v>
      </c>
      <c r="DR15" s="3">
        <f t="shared" ca="1" si="55"/>
        <v>0</v>
      </c>
      <c r="DS15" s="3">
        <f t="shared" si="56"/>
        <v>0</v>
      </c>
      <c r="DT15" s="3">
        <f t="shared" si="57"/>
        <v>0</v>
      </c>
      <c r="DU15" s="3">
        <f t="shared" si="58"/>
        <v>0</v>
      </c>
      <c r="DV15" s="3">
        <f t="shared" si="59"/>
        <v>3574</v>
      </c>
      <c r="DW15" s="3">
        <f t="shared" si="20"/>
        <v>22916</v>
      </c>
      <c r="DX15" s="3">
        <f t="shared" ca="1" si="21"/>
        <v>0.16320405827559883</v>
      </c>
      <c r="DY15" s="3">
        <f t="shared" ca="1" si="22"/>
        <v>-0.17002641072334052</v>
      </c>
      <c r="DZ15" s="3">
        <f t="shared" ca="1" si="23"/>
        <v>3.7809006873651477E-2</v>
      </c>
      <c r="EA15" s="3">
        <f t="shared" ca="1" si="24"/>
        <v>-3.6465540693460731E-2</v>
      </c>
      <c r="EB15" s="3">
        <f t="shared" ca="1" si="25"/>
        <v>4.0118164445291177E-2</v>
      </c>
      <c r="EC15" s="3">
        <f t="shared" ca="1" si="26"/>
        <v>-3.8080379140626716E-2</v>
      </c>
      <c r="ED15" s="63">
        <f t="shared" si="60"/>
        <v>26490</v>
      </c>
      <c r="EE15" s="59">
        <f t="shared" si="61"/>
        <v>0.25</v>
      </c>
      <c r="EF15" s="59">
        <f t="shared" si="27"/>
        <v>0.18640000000000001</v>
      </c>
      <c r="EG15" s="59">
        <f t="shared" si="28"/>
        <v>0.16389999999999999</v>
      </c>
      <c r="EH15" s="59">
        <f t="shared" si="29"/>
        <v>0.1701</v>
      </c>
      <c r="EI15" s="59">
        <f t="shared" si="30"/>
        <v>0.1542</v>
      </c>
      <c r="EJ15" s="59">
        <f t="shared" si="31"/>
        <v>0.16270000000000001</v>
      </c>
      <c r="EK15" s="63">
        <f t="shared" ca="1" si="62"/>
        <v>-1162707957.2003496</v>
      </c>
      <c r="EL15" s="3" t="str">
        <f>RTD("tos.rtd",,EL$2,"."&amp;$A$2&amp;$AS$1&amp;"C"&amp;$A15)</f>
        <v>--</v>
      </c>
      <c r="EM15" s="3" t="str">
        <f>RTD("tos.rtd",,EM$2,"."&amp;$A$2&amp;$AS$1&amp;"P"&amp;$A15)</f>
        <v>18.64%</v>
      </c>
      <c r="EN15" s="3" t="str">
        <f>RTD("tos.rtd",,EN$2,"."&amp;$A$2&amp;$AU$1&amp;"C"&amp;$A15)</f>
        <v>16.39%</v>
      </c>
      <c r="EO15" s="3" t="str">
        <f>RTD("tos.rtd",,EO$2,"."&amp;$A$2&amp;$AU$1&amp;"P"&amp;$A15)</f>
        <v>17.01%</v>
      </c>
      <c r="EP15" s="3" t="str">
        <f>RTD("tos.rtd",,EP$2,"."&amp;$A$2&amp;$AW$1&amp;"C"&amp;$A15)</f>
        <v>15.42%</v>
      </c>
      <c r="EQ15" s="3" t="str">
        <f>RTD("tos.rtd",,EQ$2,"."&amp;$A$2&amp;$AW$1&amp;"P"&amp;$A15)</f>
        <v>16.27%</v>
      </c>
      <c r="ES15" s="63" t="str">
        <f t="shared" si="63"/>
        <v>591,26490.00</v>
      </c>
      <c r="ET15" s="63" t="str">
        <f t="shared" ca="1" si="64"/>
        <v>591,-8498498.58</v>
      </c>
      <c r="EU15" s="67">
        <v>593.59</v>
      </c>
      <c r="EV15" s="67" t="s">
        <v>140</v>
      </c>
      <c r="EW15" s="67">
        <v>520.13</v>
      </c>
      <c r="EX15" s="67" t="s">
        <v>141</v>
      </c>
      <c r="EY15" s="67">
        <v>5946.25</v>
      </c>
      <c r="EZ15" s="67" t="s">
        <v>142</v>
      </c>
      <c r="FA15" s="67">
        <v>21349.25</v>
      </c>
      <c r="FB15" s="67" t="s">
        <v>143</v>
      </c>
      <c r="FC15" s="67" t="s">
        <v>144</v>
      </c>
      <c r="FD15" s="67" t="s">
        <v>145</v>
      </c>
      <c r="FE15" s="68" t="s">
        <v>146</v>
      </c>
      <c r="FF15" s="68" t="s">
        <v>147</v>
      </c>
    </row>
    <row r="16" spans="1:162" s="63" customFormat="1" ht="13.5" thickBot="1" x14ac:dyDescent="0.25">
      <c r="A16" s="2">
        <f t="shared" si="65"/>
        <v>590</v>
      </c>
      <c r="B16" s="3">
        <f t="shared" si="13"/>
        <v>22868</v>
      </c>
      <c r="C16" s="3">
        <f t="shared" si="14"/>
        <v>33310</v>
      </c>
      <c r="D16" s="3">
        <f>+IF($A$1="ABS",AW16-AX16,AW16+AX16)</f>
        <v>49437</v>
      </c>
      <c r="E16" s="3">
        <f t="shared" si="16"/>
        <v>105615</v>
      </c>
      <c r="F16" s="4">
        <f t="shared" si="17"/>
        <v>5931.0232777974716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6376</v>
      </c>
      <c r="AN16" s="1">
        <v>-7514</v>
      </c>
      <c r="AO16" s="1">
        <v>590</v>
      </c>
      <c r="AP16" s="1">
        <v>67553</v>
      </c>
      <c r="AQ16" s="1">
        <v>-368055</v>
      </c>
      <c r="AR16" s="1"/>
      <c r="AS16" s="6">
        <f>IF(RTD("tos.rtd",,AS$2,"."&amp;$A$2&amp;$AS$1&amp;"C"&amp;$A16)="N/A",0,RTD("tos.rtd",,AS$2,"."&amp;$A$2&amp;$AS$1&amp;"C"&amp;$A16))</f>
        <v>7012</v>
      </c>
      <c r="AT16" s="7">
        <f>-IF(RTD("tos.rtd",,AT$2,"."&amp;$A$2&amp;$AS$1&amp;"P"&amp;$A16)="N/A",0,RTD("tos.rtd",,AT$2,"."&amp;$A$2&amp;$AS$1&amp;"P"&amp;$A16))</f>
        <v>-15856</v>
      </c>
      <c r="AU16" s="6">
        <f>IF(RTD("tos.rtd",,AU$2,"."&amp;$A$2&amp;$AU$1&amp;"C"&amp;$A16)="N/A",0,RTD("tos.rtd",,AU$2,"."&amp;$A$2&amp;$AU$1&amp;"C"&amp;$A16))</f>
        <v>9768</v>
      </c>
      <c r="AV16" s="7">
        <f>-IF(RTD("tos.rtd",,AV$2,"."&amp;$A$2&amp;$AU$1&amp;"P"&amp;$A16)="N/A",0,RTD("tos.rtd",,AV$2,"."&amp;$A$2&amp;$AU$1&amp;"P"&amp;$A16))</f>
        <v>-23542</v>
      </c>
      <c r="AW16" s="6">
        <f>IF(RTD("tos.rtd",,AW$2,"."&amp;$A$2&amp;$AW$1&amp;"C"&amp;$A16)="N/A",0,RTD("tos.rtd",,AW$2,"."&amp;$A$2&amp;$AW$1&amp;"C"&amp;$A16))</f>
        <v>36875</v>
      </c>
      <c r="AX16" s="7">
        <f>-IF(RTD("tos.rtd",,AX$2,"."&amp;$A$2&amp;$AW$1&amp;"P"&amp;$A16)="N/A",0,RTD("tos.rtd",,AX$2,"."&amp;$A$2&amp;$AW$1&amp;"P"&amp;$A16))</f>
        <v>-12562</v>
      </c>
      <c r="AY16" s="1">
        <f t="shared" si="66"/>
        <v>1695</v>
      </c>
      <c r="AZ16" s="8">
        <f t="shared" si="32"/>
        <v>590</v>
      </c>
      <c r="BA16" s="6">
        <f>IF(RTD("tos.rtd",,BA$2,"."&amp;$A$2&amp;$AS$1&amp;"C"&amp;$A16)="N/A",0,RTD("tos.rtd",,BA$2,"."&amp;$A$2&amp;$AS$1&amp;"C"&amp;$A16))</f>
        <v>67553</v>
      </c>
      <c r="BB16" s="7">
        <f>-IF(RTD("tos.rtd",,BB$2,"."&amp;$A$2&amp;$AS$1&amp;"P"&amp;$A16)="N/A",0,RTD("tos.rtd",,BB$2,"."&amp;$A$2&amp;$AS$1&amp;"P"&amp;$A16))</f>
        <v>-368055</v>
      </c>
      <c r="BC16" s="6">
        <f>IF(RTD("tos.rtd",,BC$2,"."&amp;$A$2&amp;$AU$1&amp;"C"&amp;$A16)="N/A",0,RTD("tos.rtd",,BC$2,"."&amp;$A$2&amp;$AU$1&amp;"C"&amp;$A16))</f>
        <v>13914</v>
      </c>
      <c r="BD16" s="7">
        <f>-IF(RTD("tos.rtd",,BD$2,"."&amp;$A$2&amp;$AU$1&amp;"P"&amp;$A16)="N/A",0,RTD("tos.rtd",,BD$2,"."&amp;$A$2&amp;$AU$1&amp;"P"&amp;$A16))</f>
        <v>-58740</v>
      </c>
      <c r="BE16" s="6">
        <f>IF(RTD("tos.rtd",,BE$2,"."&amp;$A$2&amp;$AW$1&amp;"C"&amp;$A16)="N/A",0,RTD("tos.rtd",,BE$2,"."&amp;$A$2&amp;$AW$1&amp;"C"&amp;$A16))</f>
        <v>2653</v>
      </c>
      <c r="BF16" s="83">
        <f>-IF(RTD("tos.rtd",,BF$2,"."&amp;$A$2&amp;$AW$1&amp;"P"&amp;$A16)="N/A",0,RTD("tos.rtd",,BF$2,"."&amp;$A$2&amp;$AW$1&amp;"P"&amp;$A16))</f>
        <v>-9220</v>
      </c>
      <c r="BG16" s="32">
        <f ca="1">+Hoja2!Y17</f>
        <v>-81606</v>
      </c>
      <c r="BH16" s="7">
        <f t="shared" ca="1" si="33"/>
        <v>-433501</v>
      </c>
      <c r="BI16" s="8" t="str">
        <f t="shared" ca="1" si="34"/>
        <v/>
      </c>
      <c r="BJ16" s="3">
        <f ca="1">IF($BP$1=1,DX16,IF(RTD("tos.rtd",,BJ$2,"."&amp;$A$2&amp;$AS$1&amp;"C"&amp;$A16)="N/A",0,RTD("tos.rtd",,BJ$2,"."&amp;$A$2&amp;$AS$1&amp;"C"&amp;$A16)))</f>
        <v>8.8847331343240951E-2</v>
      </c>
      <c r="BK16" s="3">
        <f ca="1">IF($BP$1=1,DY16,-IF(RTD("tos.rtd",,BK$2,"."&amp;$A$2&amp;$AS$1&amp;"P"&amp;$A16)="N/A",0,RTD("tos.rtd",,BK$2,"."&amp;$A$2&amp;$AS$1&amp;"P"&amp;$A16)))</f>
        <v>-8.6672190050631287E-2</v>
      </c>
      <c r="BL16" s="3">
        <f ca="1">IF($BP$1=1,DZ16,IF(RTD("tos.rtd",,BL$2,"."&amp;$A$2&amp;$AU$1&amp;"C"&amp;$A16)="N/A",0,RTD("tos.rtd",,BL$2,"."&amp;$A$2&amp;$AU$1&amp;"C"&amp;$A16)))</f>
        <v>3.6617871859568954E-2</v>
      </c>
      <c r="BM16" s="3">
        <f ca="1">IF($BP$1=1,EA16,-IF(RTD("tos.rtd",,BM$2,"."&amp;$A$2&amp;$AU$1&amp;"P"&amp;$A16)="N/A",0,RTD("tos.rtd",,BM$2,"."&amp;$A$2&amp;$AU$1&amp;"P"&amp;$A16)))</f>
        <v>-3.534169046203689E-2</v>
      </c>
      <c r="BN16" s="3">
        <f ca="1">IF($BP$1=1,EB16,IF(RTD("tos.rtd",,BN$2,"."&amp;$A$2&amp;$AW$1&amp;"C"&amp;$A16)="N/A",0,RTD("tos.rtd",,BN$2,"."&amp;$A$2&amp;$AW$1&amp;"C"&amp;$A16)))</f>
        <v>3.8821634208585747E-2</v>
      </c>
      <c r="BO16" s="3">
        <f ca="1">IF($BP$1=1,EC16,-IF(RTD("tos.rtd",,BO$2,"."&amp;$A$2&amp;$AW$1&amp;"P"&amp;$A16)="N/A",0,RTD("tos.rtd",,BO$2,"."&amp;$A$2&amp;$AW$1&amp;"P"&amp;$A16)))</f>
        <v>-3.6992886852405503E-2</v>
      </c>
      <c r="BQ16" s="3">
        <f t="shared" ca="1" si="35"/>
        <v>-263660283.81720075</v>
      </c>
      <c r="BR16" s="3" t="str">
        <f t="shared" ca="1" si="67"/>
        <v/>
      </c>
      <c r="BS16" s="3">
        <f t="shared" ca="1" si="36"/>
        <v>-166466174.86565423</v>
      </c>
      <c r="BT16" s="3" t="str">
        <f t="shared" ca="1" si="67"/>
        <v/>
      </c>
      <c r="BU16" s="3">
        <f t="shared" ca="1" si="37"/>
        <v>339313212.9357326</v>
      </c>
      <c r="BV16" s="3" t="str">
        <f t="shared" ca="1" si="38"/>
        <v/>
      </c>
      <c r="BX16" s="3">
        <f t="shared" ca="1" si="39"/>
        <v>-9088973365.361412</v>
      </c>
      <c r="BY16" s="3" t="str">
        <f t="shared" ca="1" si="68"/>
        <v/>
      </c>
      <c r="BZ16" s="3">
        <f t="shared" ca="1" si="40"/>
        <v>-549751972.47782731</v>
      </c>
      <c r="CA16" s="3" t="str">
        <f t="shared" ca="1" si="69"/>
        <v/>
      </c>
      <c r="CB16" s="3">
        <f t="shared" ca="1" si="41"/>
        <v>-83554300.714697406</v>
      </c>
      <c r="CC16" s="3" t="str">
        <f t="shared" ca="1" si="70"/>
        <v/>
      </c>
      <c r="CD16" s="3">
        <f>IF(RTD("tos.rtd",,CD$2,"."&amp;$A$2&amp;$AS$1&amp;"C"&amp;$A16)="N/A",0,RTD("tos.rtd",,CD$2,"."&amp;$A$2&amp;$AS$1&amp;"C"&amp;$A16))</f>
        <v>1</v>
      </c>
      <c r="CE16" s="3">
        <f>-IF(RTD("tos.rtd",,CE$2,"."&amp;$A$2&amp;$AS$1&amp;"P"&amp;$A16)="N/A",0,RTD("tos.rtd",,CE$2,"."&amp;$A$2&amp;$AS$1&amp;"P"&amp;$A16))</f>
        <v>0.01</v>
      </c>
      <c r="CF16" s="3">
        <f>IF(RTD("tos.rtd",,CF$2,"."&amp;$A$2&amp;$AU$1&amp;"C"&amp;$A16)="N/A",0,RTD("tos.rtd",,CF$2,"."&amp;$A$2&amp;$AU$1&amp;"C"&amp;$A16))</f>
        <v>0.62</v>
      </c>
      <c r="CG16" s="3">
        <f>-IF(RTD("tos.rtd",,CG$2,"."&amp;$A$2&amp;$AU$1&amp;"P"&amp;$A16)="N/A",0,RTD("tos.rtd",,CG$2,"."&amp;$A$2&amp;$AU$1&amp;"P"&amp;$A16))</f>
        <v>0.39</v>
      </c>
      <c r="CH16" s="3">
        <f>IF(RTD("tos.rtd",,CH$2,"."&amp;$A$2&amp;$AW$1&amp;"C"&amp;$A16)="N/A",0,RTD("tos.rtd",,CH$2,"."&amp;$A$2&amp;$AW$1&amp;"C"&amp;$A16))</f>
        <v>0.56999999999999995</v>
      </c>
      <c r="CI16" s="3">
        <f>-IF(RTD("tos.rtd",,CI$2,"."&amp;$A$2&amp;$AW$1&amp;"P"&amp;$A16)="N/A",0,RTD("tos.rtd",,CI$2,"."&amp;$A$2&amp;$AW$1&amp;"P"&amp;$A16))</f>
        <v>0.44</v>
      </c>
      <c r="CK16" s="3">
        <f t="shared" si="42"/>
        <v>406004639.04000002</v>
      </c>
      <c r="CL16" s="3"/>
      <c r="CM16" s="3">
        <f t="shared" si="43"/>
        <v>-185141158.02000004</v>
      </c>
      <c r="CN16" s="3"/>
      <c r="CO16" s="3">
        <f t="shared" si="44"/>
        <v>917730174.26999998</v>
      </c>
      <c r="CP16" s="3">
        <f t="shared" si="45"/>
        <v>1138593655.29</v>
      </c>
      <c r="CQ16" s="3">
        <f t="shared" si="46"/>
        <v>-300502</v>
      </c>
      <c r="CR16" s="3"/>
      <c r="CS16" s="3">
        <f t="shared" si="18"/>
        <v>-44826</v>
      </c>
      <c r="CT16" s="3"/>
      <c r="CU16" s="3">
        <f t="shared" si="19"/>
        <v>-6567</v>
      </c>
      <c r="CV16" s="3">
        <f t="shared" si="47"/>
        <v>-351895</v>
      </c>
      <c r="CW16" s="3">
        <f t="shared" ca="1" si="48"/>
        <v>-90813245.747122407</v>
      </c>
      <c r="CX16" s="85" t="str">
        <f t="shared" ca="1" si="71"/>
        <v/>
      </c>
      <c r="CY16" s="3">
        <f t="shared" ca="1" si="49"/>
        <v>-9722279638.553936</v>
      </c>
      <c r="CZ16" s="85" t="str">
        <f t="shared" ca="1" si="72"/>
        <v/>
      </c>
      <c r="DA16" s="3">
        <f>IF(RTD("tos.rtd",,DA$2,"."&amp;$A$2&amp;$AS$1&amp;"C"&amp;$A16)="N/A",0,RTD("tos.rtd",,DA$2,"."&amp;$A$2&amp;$AS$1&amp;"C"&amp;$A16))</f>
        <v>2.1</v>
      </c>
      <c r="DB16" s="3">
        <f>IF(RTD("tos.rtd",,DB$2,"."&amp;$A$2&amp;$AS$1&amp;"P"&amp;$A16)="N/A",0,RTD("tos.rtd",,DB$2,"."&amp;$A$2&amp;$AS$1&amp;"P"&amp;$A16))</f>
        <v>0.01</v>
      </c>
      <c r="DC16" s="3">
        <f>IF(RTD("tos.rtd",,DC$2,"."&amp;$A$2&amp;$AS$1&amp;"C"&amp;$A16)="N/A",0,RTD("tos.rtd",,DC$2,"."&amp;$A$2&amp;$AS$1&amp;"C"&amp;$A16))</f>
        <v>2.16</v>
      </c>
      <c r="DD16" s="3">
        <f>IF(RTD("tos.rtd",,DD$2,"."&amp;$A$2&amp;$AS$1&amp;"P"&amp;$A16)="N/A",0,RTD("tos.rtd",,DD$2,"."&amp;$A$2&amp;$AS$1&amp;"P"&amp;$A16))</f>
        <v>0.01</v>
      </c>
      <c r="DE16" s="3">
        <f>IF(RTD("tos.rtd",,DE$2,"."&amp;$A$2&amp;$AS$1&amp;"C"&amp;$A16)="N/A",0,RTD("tos.rtd",,DE$2,"."&amp;$A$2&amp;$AS$1&amp;"C"&amp;$A16))</f>
        <v>2.0299999999999998</v>
      </c>
      <c r="DF16" s="3">
        <f>IF(RTD("tos.rtd",,DF$2,"."&amp;$A$2&amp;$AS$1&amp;"P"&amp;$A16)="N/A",0,RTD("tos.rtd",,DF$2,"."&amp;$A$2&amp;$AS$1&amp;"P"&amp;$A16))</f>
        <v>0</v>
      </c>
      <c r="DG16" s="86">
        <f t="shared" si="50"/>
        <v>-2.4099999999999682</v>
      </c>
      <c r="DH16" s="3">
        <f t="shared" si="5"/>
        <v>0</v>
      </c>
      <c r="DI16" s="3">
        <f t="shared" si="6"/>
        <v>0</v>
      </c>
      <c r="DJ16" s="3">
        <f t="shared" si="7"/>
        <v>0</v>
      </c>
      <c r="DK16" s="3">
        <f t="shared" si="8"/>
        <v>0</v>
      </c>
      <c r="DL16" s="3">
        <f t="shared" si="9"/>
        <v>0</v>
      </c>
      <c r="DM16" s="3">
        <f t="shared" si="10"/>
        <v>0</v>
      </c>
      <c r="DN16" s="63" t="str">
        <f t="shared" si="51"/>
        <v>UNKNOWN</v>
      </c>
      <c r="DO16" s="63" t="str">
        <f t="shared" si="52"/>
        <v>UNKNOWN</v>
      </c>
      <c r="DP16" s="3">
        <f t="shared" si="53"/>
        <v>0</v>
      </c>
      <c r="DQ16" s="3">
        <f t="shared" si="54"/>
        <v>0</v>
      </c>
      <c r="DR16" s="3">
        <f t="shared" ca="1" si="55"/>
        <v>0</v>
      </c>
      <c r="DS16" s="3">
        <f t="shared" si="56"/>
        <v>0</v>
      </c>
      <c r="DT16" s="3">
        <f t="shared" si="57"/>
        <v>0</v>
      </c>
      <c r="DU16" s="3">
        <f t="shared" si="58"/>
        <v>0</v>
      </c>
      <c r="DV16" s="3">
        <f t="shared" si="59"/>
        <v>6376</v>
      </c>
      <c r="DW16" s="3">
        <f t="shared" si="20"/>
        <v>-7514</v>
      </c>
      <c r="DX16" s="3">
        <f t="shared" ca="1" si="21"/>
        <v>8.8847331343240951E-2</v>
      </c>
      <c r="DY16" s="3">
        <f t="shared" ca="1" si="22"/>
        <v>-8.6672190050631287E-2</v>
      </c>
      <c r="DZ16" s="3">
        <f t="shared" ca="1" si="23"/>
        <v>3.6617871859568954E-2</v>
      </c>
      <c r="EA16" s="3">
        <f t="shared" ca="1" si="24"/>
        <v>-3.534169046203689E-2</v>
      </c>
      <c r="EB16" s="3">
        <f t="shared" ca="1" si="25"/>
        <v>3.8821634208585747E-2</v>
      </c>
      <c r="EC16" s="3">
        <f t="shared" ca="1" si="26"/>
        <v>-3.6992886852405503E-2</v>
      </c>
      <c r="ED16" s="63">
        <f t="shared" si="60"/>
        <v>-1138</v>
      </c>
      <c r="EE16" s="59">
        <f t="shared" si="61"/>
        <v>0.25</v>
      </c>
      <c r="EF16" s="59">
        <f t="shared" si="27"/>
        <v>0.2432</v>
      </c>
      <c r="EG16" s="59">
        <f t="shared" si="28"/>
        <v>0.1658</v>
      </c>
      <c r="EH16" s="59">
        <f t="shared" si="29"/>
        <v>0.17219999999999999</v>
      </c>
      <c r="EI16" s="59">
        <f t="shared" si="30"/>
        <v>0.15570000000000001</v>
      </c>
      <c r="EJ16" s="59">
        <f t="shared" si="31"/>
        <v>0.16400000000000001</v>
      </c>
      <c r="EK16" s="63">
        <f t="shared" ca="1" si="62"/>
        <v>427367278.15495205</v>
      </c>
      <c r="EL16" s="3" t="str">
        <f>RTD("tos.rtd",,EL$2,"."&amp;$A$2&amp;$AS$1&amp;"C"&amp;$A16)</f>
        <v>--</v>
      </c>
      <c r="EM16" s="3" t="str">
        <f>RTD("tos.rtd",,EM$2,"."&amp;$A$2&amp;$AS$1&amp;"P"&amp;$A16)</f>
        <v>24.32%</v>
      </c>
      <c r="EN16" s="3" t="str">
        <f>RTD("tos.rtd",,EN$2,"."&amp;$A$2&amp;$AU$1&amp;"C"&amp;$A16)</f>
        <v>16.58%</v>
      </c>
      <c r="EO16" s="3" t="str">
        <f>RTD("tos.rtd",,EO$2,"."&amp;$A$2&amp;$AU$1&amp;"P"&amp;$A16)</f>
        <v>17.22%</v>
      </c>
      <c r="EP16" s="3" t="str">
        <f>RTD("tos.rtd",,EP$2,"."&amp;$A$2&amp;$AW$1&amp;"C"&amp;$A16)</f>
        <v>15.57%</v>
      </c>
      <c r="EQ16" s="3" t="str">
        <f>RTD("tos.rtd",,EQ$2,"."&amp;$A$2&amp;$AW$1&amp;"P"&amp;$A16)</f>
        <v>16.40%</v>
      </c>
      <c r="ES16" s="63" t="str">
        <f t="shared" si="63"/>
        <v>590,-1138.00</v>
      </c>
      <c r="ET16" s="63" t="str">
        <f t="shared" ca="1" si="64"/>
        <v>590,-9722279.64</v>
      </c>
      <c r="EU16" s="67">
        <v>593.59</v>
      </c>
      <c r="EV16" s="67" t="s">
        <v>148</v>
      </c>
      <c r="EW16" s="67">
        <v>520.11</v>
      </c>
      <c r="EX16" s="67" t="s">
        <v>149</v>
      </c>
      <c r="EY16" s="67">
        <v>5946</v>
      </c>
      <c r="EZ16" s="67" t="s">
        <v>150</v>
      </c>
      <c r="FA16" s="67">
        <v>21348.5</v>
      </c>
      <c r="FB16" s="67" t="s">
        <v>151</v>
      </c>
      <c r="FC16" s="67" t="s">
        <v>152</v>
      </c>
      <c r="FD16" s="67" t="s">
        <v>153</v>
      </c>
      <c r="FE16" s="68" t="s">
        <v>154</v>
      </c>
      <c r="FF16" s="68" t="s">
        <v>155</v>
      </c>
    </row>
    <row r="17" spans="1:162" s="63" customFormat="1" ht="13.5" thickBot="1" x14ac:dyDescent="0.25">
      <c r="A17" s="2">
        <f t="shared" si="65"/>
        <v>589</v>
      </c>
      <c r="B17" s="3">
        <f t="shared" si="13"/>
        <v>11441</v>
      </c>
      <c r="C17" s="3">
        <f t="shared" si="14"/>
        <v>13425</v>
      </c>
      <c r="D17" s="3">
        <f t="shared" si="15"/>
        <v>2986</v>
      </c>
      <c r="E17" s="3">
        <f t="shared" si="16"/>
        <v>27852</v>
      </c>
      <c r="F17" s="4">
        <f t="shared" si="17"/>
        <v>5920.9706959706964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167</v>
      </c>
      <c r="AN17" s="1">
        <v>-1800</v>
      </c>
      <c r="AO17" s="1">
        <v>589</v>
      </c>
      <c r="AP17" s="1">
        <v>12911</v>
      </c>
      <c r="AQ17" s="1">
        <v>-182482</v>
      </c>
      <c r="AR17" s="1"/>
      <c r="AS17" s="6">
        <f>IF(RTD("tos.rtd",,AS$2,"."&amp;$A$2&amp;$AS$1&amp;"C"&amp;$A17)="N/A",0,RTD("tos.rtd",,AS$2,"."&amp;$A$2&amp;$AS$1&amp;"C"&amp;$A17))</f>
        <v>2933</v>
      </c>
      <c r="AT17" s="7">
        <f>-IF(RTD("tos.rtd",,AT$2,"."&amp;$A$2&amp;$AS$1&amp;"P"&amp;$A17)="N/A",0,RTD("tos.rtd",,AT$2,"."&amp;$A$2&amp;$AS$1&amp;"P"&amp;$A17))</f>
        <v>-8508</v>
      </c>
      <c r="AU17" s="6">
        <f>IF(RTD("tos.rtd",,AU$2,"."&amp;$A$2&amp;$AU$1&amp;"C"&amp;$A17)="N/A",0,RTD("tos.rtd",,AU$2,"."&amp;$A$2&amp;$AU$1&amp;"C"&amp;$A17))</f>
        <v>7316</v>
      </c>
      <c r="AV17" s="7">
        <f>-IF(RTD("tos.rtd",,AV$2,"."&amp;$A$2&amp;$AU$1&amp;"P"&amp;$A17)="N/A",0,RTD("tos.rtd",,AV$2,"."&amp;$A$2&amp;$AU$1&amp;"P"&amp;$A17))</f>
        <v>-6109</v>
      </c>
      <c r="AW17" s="6">
        <f>IF(RTD("tos.rtd",,AW$2,"."&amp;$A$2&amp;$AW$1&amp;"C"&amp;$A17)="N/A",0,RTD("tos.rtd",,AW$2,"."&amp;$A$2&amp;$AW$1&amp;"C"&amp;$A17))</f>
        <v>1153</v>
      </c>
      <c r="AX17" s="7">
        <f>-IF(RTD("tos.rtd",,AX$2,"."&amp;$A$2&amp;$AW$1&amp;"P"&amp;$A17)="N/A",0,RTD("tos.rtd",,AX$2,"."&amp;$A$2&amp;$AW$1&amp;"P"&amp;$A17))</f>
        <v>-1833</v>
      </c>
      <c r="AY17" s="1">
        <f t="shared" si="66"/>
        <v>-5048</v>
      </c>
      <c r="AZ17" s="8">
        <f t="shared" si="32"/>
        <v>589</v>
      </c>
      <c r="BA17" s="6">
        <f>IF(RTD("tos.rtd",,BA$2,"."&amp;$A$2&amp;$AS$1&amp;"C"&amp;$A17)="N/A",0,RTD("tos.rtd",,BA$2,"."&amp;$A$2&amp;$AS$1&amp;"C"&amp;$A17))</f>
        <v>12911</v>
      </c>
      <c r="BB17" s="7">
        <f>-IF(RTD("tos.rtd",,BB$2,"."&amp;$A$2&amp;$AS$1&amp;"P"&amp;$A17)="N/A",0,RTD("tos.rtd",,BB$2,"."&amp;$A$2&amp;$AS$1&amp;"P"&amp;$A17))</f>
        <v>-182482</v>
      </c>
      <c r="BC17" s="6">
        <f>IF(RTD("tos.rtd",,BC$2,"."&amp;$A$2&amp;$AU$1&amp;"C"&amp;$A17)="N/A",0,RTD("tos.rtd",,BC$2,"."&amp;$A$2&amp;$AU$1&amp;"C"&amp;$A17))</f>
        <v>6076</v>
      </c>
      <c r="BD17" s="7">
        <f>-IF(RTD("tos.rtd",,BD$2,"."&amp;$A$2&amp;$AU$1&amp;"P"&amp;$A17)="N/A",0,RTD("tos.rtd",,BD$2,"."&amp;$A$2&amp;$AU$1&amp;"P"&amp;$A17))</f>
        <v>-12940</v>
      </c>
      <c r="BE17" s="6">
        <f>IF(RTD("tos.rtd",,BE$2,"."&amp;$A$2&amp;$AW$1&amp;"C"&amp;$A17)="N/A",0,RTD("tos.rtd",,BE$2,"."&amp;$A$2&amp;$AW$1&amp;"C"&amp;$A17))</f>
        <v>431</v>
      </c>
      <c r="BF17" s="83">
        <f>-IF(RTD("tos.rtd",,BF$2,"."&amp;$A$2&amp;$AW$1&amp;"P"&amp;$A17)="N/A",0,RTD("tos.rtd",,BF$2,"."&amp;$A$2&amp;$AW$1&amp;"P"&amp;$A17))</f>
        <v>-507</v>
      </c>
      <c r="BG17" s="32">
        <f ca="1">+Hoja2!Y18</f>
        <v>-28419</v>
      </c>
      <c r="BH17" s="7">
        <f t="shared" ca="1" si="33"/>
        <v>-204930</v>
      </c>
      <c r="BI17" s="8" t="str">
        <f t="shared" ca="1" si="34"/>
        <v/>
      </c>
      <c r="BJ17" s="3">
        <f ca="1">IF($BP$1=1,DX17,IF(RTD("tos.rtd",,BJ$2,"."&amp;$A$2&amp;$AS$1&amp;"C"&amp;$A17)="N/A",0,RTD("tos.rtd",,BJ$2,"."&amp;$A$2&amp;$AS$1&amp;"C"&amp;$A17)))</f>
        <v>3.5134763952562216E-2</v>
      </c>
      <c r="BK17" s="3">
        <f ca="1">IF($BP$1=1,DY17,-IF(RTD("tos.rtd",,BK$2,"."&amp;$A$2&amp;$AS$1&amp;"P"&amp;$A17)="N/A",0,RTD("tos.rtd",,BK$2,"."&amp;$A$2&amp;$AS$1&amp;"P"&amp;$A17)))</f>
        <v>-6.6522788483650036E-2</v>
      </c>
      <c r="BL17" s="3">
        <f ca="1">IF($BP$1=1,DZ17,IF(RTD("tos.rtd",,BL$2,"."&amp;$A$2&amp;$AU$1&amp;"C"&amp;$A17)="N/A",0,RTD("tos.rtd",,BL$2,"."&amp;$A$2&amp;$AU$1&amp;"C"&amp;$A17)))</f>
        <v>3.5092113120464001E-2</v>
      </c>
      <c r="BM17" s="3">
        <f ca="1">IF($BP$1=1,EA17,-IF(RTD("tos.rtd",,BM$2,"."&amp;$A$2&amp;$AU$1&amp;"P"&amp;$A17)="N/A",0,RTD("tos.rtd",,BM$2,"."&amp;$A$2&amp;$AU$1&amp;"P"&amp;$A17)))</f>
        <v>-3.3952713460936708E-2</v>
      </c>
      <c r="BN17" s="3">
        <f ca="1">IF($BP$1=1,EB17,IF(RTD("tos.rtd",,BN$2,"."&amp;$A$2&amp;$AW$1&amp;"C"&amp;$A17)="N/A",0,RTD("tos.rtd",,BN$2,"."&amp;$A$2&amp;$AW$1&amp;"C"&amp;$A17)))</f>
        <v>3.7200952651763569E-2</v>
      </c>
      <c r="BO17" s="3">
        <f ca="1">IF($BP$1=1,EC17,-IF(RTD("tos.rtd",,BO$2,"."&amp;$A$2&amp;$AW$1&amp;"P"&amp;$A17)="N/A",0,RTD("tos.rtd",,BO$2,"."&amp;$A$2&amp;$AW$1&amp;"P"&amp;$A17)))</f>
        <v>-3.5631685403902061E-2</v>
      </c>
      <c r="BQ17" s="3">
        <f t="shared" ca="1" si="35"/>
        <v>-162463565.53121787</v>
      </c>
      <c r="BR17" s="3" t="str">
        <f t="shared" ca="1" si="67"/>
        <v/>
      </c>
      <c r="BS17" s="3">
        <f t="shared" ca="1" si="36"/>
        <v>17307702.176918566</v>
      </c>
      <c r="BT17" s="3" t="str">
        <f t="shared" ca="1" si="67"/>
        <v>Cruce +</v>
      </c>
      <c r="BU17" s="3">
        <f t="shared" ca="1" si="37"/>
        <v>-7868353.713676244</v>
      </c>
      <c r="BV17" s="3" t="str">
        <f t="shared" ca="1" si="38"/>
        <v>Cruce -</v>
      </c>
      <c r="BX17" s="3">
        <f t="shared" ca="1" si="39"/>
        <v>-4101052020.3804417</v>
      </c>
      <c r="BY17" s="3" t="str">
        <f t="shared" ca="1" si="68"/>
        <v/>
      </c>
      <c r="BZ17" s="3">
        <f t="shared" ca="1" si="40"/>
        <v>-79359684.894092113</v>
      </c>
      <c r="CA17" s="3" t="str">
        <f t="shared" ca="1" si="69"/>
        <v/>
      </c>
      <c r="CB17" s="3">
        <f t="shared" ca="1" si="41"/>
        <v>-713008.14241024479</v>
      </c>
      <c r="CC17" s="3" t="str">
        <f t="shared" ca="1" si="70"/>
        <v/>
      </c>
      <c r="CD17" s="3">
        <f>IF(RTD("tos.rtd",,CD$2,"."&amp;$A$2&amp;$AS$1&amp;"C"&amp;$A17)="N/A",0,RTD("tos.rtd",,CD$2,"."&amp;$A$2&amp;$AS$1&amp;"C"&amp;$A17))</f>
        <v>1</v>
      </c>
      <c r="CE17" s="3">
        <f>-IF(RTD("tos.rtd",,CE$2,"."&amp;$A$2&amp;$AS$1&amp;"P"&amp;$A17)="N/A",0,RTD("tos.rtd",,CE$2,"."&amp;$A$2&amp;$AS$1&amp;"P"&amp;$A17))</f>
        <v>0.02</v>
      </c>
      <c r="CF17" s="3">
        <f>IF(RTD("tos.rtd",,CF$2,"."&amp;$A$2&amp;$AU$1&amp;"C"&amp;$A17)="N/A",0,RTD("tos.rtd",,CF$2,"."&amp;$A$2&amp;$AU$1&amp;"C"&amp;$A17))</f>
        <v>0.66</v>
      </c>
      <c r="CG17" s="3">
        <f>-IF(RTD("tos.rtd",,CG$2,"."&amp;$A$2&amp;$AU$1&amp;"P"&amp;$A17)="N/A",0,RTD("tos.rtd",,CG$2,"."&amp;$A$2&amp;$AU$1&amp;"P"&amp;$A17))</f>
        <v>0.35</v>
      </c>
      <c r="CH17" s="3">
        <f>IF(RTD("tos.rtd",,CH$2,"."&amp;$A$2&amp;$AW$1&amp;"C"&amp;$A17)="N/A",0,RTD("tos.rtd",,CH$2,"."&amp;$A$2&amp;$AW$1&amp;"C"&amp;$A17))</f>
        <v>0.57999999999999996</v>
      </c>
      <c r="CI17" s="3">
        <f>-IF(RTD("tos.rtd",,CI$2,"."&amp;$A$2&amp;$AW$1&amp;"P"&amp;$A17)="N/A",0,RTD("tos.rtd",,CI$2,"."&amp;$A$2&amp;$AW$1&amp;"P"&amp;$A17))</f>
        <v>0.42</v>
      </c>
      <c r="CK17" s="3">
        <f t="shared" si="42"/>
        <v>163673404.44</v>
      </c>
      <c r="CL17" s="3"/>
      <c r="CM17" s="3">
        <f t="shared" si="43"/>
        <v>159382578.81000006</v>
      </c>
      <c r="CN17" s="3"/>
      <c r="CO17" s="3">
        <f t="shared" si="44"/>
        <v>-5990449.9200000018</v>
      </c>
      <c r="CP17" s="3">
        <f t="shared" si="45"/>
        <v>317065533.33000004</v>
      </c>
      <c r="CQ17" s="3">
        <f t="shared" si="46"/>
        <v>-169571</v>
      </c>
      <c r="CR17" s="3"/>
      <c r="CS17" s="3">
        <f t="shared" si="18"/>
        <v>-6864</v>
      </c>
      <c r="CT17" s="3"/>
      <c r="CU17" s="3">
        <f t="shared" si="19"/>
        <v>-76</v>
      </c>
      <c r="CV17" s="3">
        <f t="shared" si="47"/>
        <v>-176511</v>
      </c>
      <c r="CW17" s="3">
        <f t="shared" ca="1" si="48"/>
        <v>-153024217.06797555</v>
      </c>
      <c r="CX17" s="85" t="str">
        <f t="shared" ca="1" si="71"/>
        <v/>
      </c>
      <c r="CY17" s="3">
        <f t="shared" ca="1" si="49"/>
        <v>-4181124713.416944</v>
      </c>
      <c r="CZ17" s="85" t="str">
        <f t="shared" ca="1" si="72"/>
        <v/>
      </c>
      <c r="DA17" s="3">
        <f>IF(RTD("tos.rtd",,DA$2,"."&amp;$A$2&amp;$AS$1&amp;"C"&amp;$A17)="N/A",0,RTD("tos.rtd",,DA$2,"."&amp;$A$2&amp;$AS$1&amp;"C"&amp;$A17))</f>
        <v>3.07</v>
      </c>
      <c r="DB17" s="3">
        <f>IF(RTD("tos.rtd",,DB$2,"."&amp;$A$2&amp;$AS$1&amp;"P"&amp;$A17)="N/A",0,RTD("tos.rtd",,DB$2,"."&amp;$A$2&amp;$AS$1&amp;"P"&amp;$A17))</f>
        <v>0.01</v>
      </c>
      <c r="DC17" s="3">
        <f>IF(RTD("tos.rtd",,DC$2,"."&amp;$A$2&amp;$AS$1&amp;"C"&amp;$A17)="N/A",0,RTD("tos.rtd",,DC$2,"."&amp;$A$2&amp;$AS$1&amp;"C"&amp;$A17))</f>
        <v>4.0999999999999996</v>
      </c>
      <c r="DD17" s="3">
        <f>IF(RTD("tos.rtd",,DD$2,"."&amp;$A$2&amp;$AS$1&amp;"P"&amp;$A17)="N/A",0,RTD("tos.rtd",,DD$2,"."&amp;$A$2&amp;$AS$1&amp;"P"&amp;$A17))</f>
        <v>0.02</v>
      </c>
      <c r="DE17" s="3">
        <f>IF(RTD("tos.rtd",,DE$2,"."&amp;$A$2&amp;$AS$1&amp;"C"&amp;$A17)="N/A",0,RTD("tos.rtd",,DE$2,"."&amp;$A$2&amp;$AS$1&amp;"C"&amp;$A17))</f>
        <v>2.39</v>
      </c>
      <c r="DF17" s="3">
        <f>IF(RTD("tos.rtd",,DF$2,"."&amp;$A$2&amp;$AS$1&amp;"P"&amp;$A17)="N/A",0,RTD("tos.rtd",,DF$2,"."&amp;$A$2&amp;$AS$1&amp;"P"&amp;$A17))</f>
        <v>0.01</v>
      </c>
      <c r="DG17" s="86">
        <f t="shared" si="50"/>
        <v>-3.4099999999999682</v>
      </c>
      <c r="DH17" s="3">
        <f t="shared" si="5"/>
        <v>0</v>
      </c>
      <c r="DI17" s="3">
        <f t="shared" si="6"/>
        <v>0</v>
      </c>
      <c r="DJ17" s="3">
        <f t="shared" si="7"/>
        <v>0</v>
      </c>
      <c r="DK17" s="3">
        <f t="shared" si="8"/>
        <v>0</v>
      </c>
      <c r="DL17" s="3">
        <f t="shared" si="9"/>
        <v>0</v>
      </c>
      <c r="DM17" s="3">
        <f t="shared" si="10"/>
        <v>0</v>
      </c>
      <c r="DN17" s="63" t="str">
        <f t="shared" si="51"/>
        <v>UNKNOWN</v>
      </c>
      <c r="DO17" s="63" t="str">
        <f t="shared" si="52"/>
        <v>UNKNOWN</v>
      </c>
      <c r="DP17" s="3">
        <f t="shared" si="53"/>
        <v>0</v>
      </c>
      <c r="DQ17" s="3">
        <f t="shared" si="54"/>
        <v>0</v>
      </c>
      <c r="DR17" s="3">
        <f t="shared" ca="1" si="55"/>
        <v>0</v>
      </c>
      <c r="DS17" s="3">
        <f t="shared" si="56"/>
        <v>0</v>
      </c>
      <c r="DT17" s="3">
        <f t="shared" si="57"/>
        <v>0</v>
      </c>
      <c r="DU17" s="3">
        <f t="shared" si="58"/>
        <v>0</v>
      </c>
      <c r="DV17" s="3">
        <f t="shared" si="59"/>
        <v>167</v>
      </c>
      <c r="DW17" s="3">
        <f t="shared" si="20"/>
        <v>-1800</v>
      </c>
      <c r="DX17" s="3">
        <f t="shared" ca="1" si="21"/>
        <v>3.5134763952562216E-2</v>
      </c>
      <c r="DY17" s="3">
        <f t="shared" ca="1" si="22"/>
        <v>-6.6522788483650036E-2</v>
      </c>
      <c r="DZ17" s="3">
        <f t="shared" ca="1" si="23"/>
        <v>3.5092113120464001E-2</v>
      </c>
      <c r="EA17" s="3">
        <f t="shared" ca="1" si="24"/>
        <v>-3.3952713460936708E-2</v>
      </c>
      <c r="EB17" s="3">
        <f t="shared" ca="1" si="25"/>
        <v>3.7200952651763569E-2</v>
      </c>
      <c r="EC17" s="3">
        <f t="shared" ca="1" si="26"/>
        <v>-3.5631685403902061E-2</v>
      </c>
      <c r="ED17" s="63">
        <f t="shared" si="60"/>
        <v>-1633</v>
      </c>
      <c r="EE17" s="59">
        <f t="shared" si="61"/>
        <v>0.25</v>
      </c>
      <c r="EF17" s="59">
        <f t="shared" si="27"/>
        <v>0.38500000000000001</v>
      </c>
      <c r="EG17" s="59">
        <f t="shared" si="28"/>
        <v>0.16819999999999999</v>
      </c>
      <c r="EH17" s="59">
        <f t="shared" si="29"/>
        <v>0.17460000000000001</v>
      </c>
      <c r="EI17" s="59">
        <f t="shared" si="30"/>
        <v>0.1573</v>
      </c>
      <c r="EJ17" s="59">
        <f t="shared" si="31"/>
        <v>0.1653</v>
      </c>
      <c r="EK17" s="63">
        <f t="shared" ca="1" si="62"/>
        <v>44082262.570354007</v>
      </c>
      <c r="EL17" s="3" t="str">
        <f>RTD("tos.rtd",,EL$2,"."&amp;$A$2&amp;$AS$1&amp;"C"&amp;$A17)</f>
        <v>--</v>
      </c>
      <c r="EM17" s="3" t="str">
        <f>RTD("tos.rtd",,EM$2,"."&amp;$A$2&amp;$AS$1&amp;"P"&amp;$A17)</f>
        <v>38.50%</v>
      </c>
      <c r="EN17" s="3" t="str">
        <f>RTD("tos.rtd",,EN$2,"."&amp;$A$2&amp;$AU$1&amp;"C"&amp;$A17)</f>
        <v>16.82%</v>
      </c>
      <c r="EO17" s="3" t="str">
        <f>RTD("tos.rtd",,EO$2,"."&amp;$A$2&amp;$AU$1&amp;"P"&amp;$A17)</f>
        <v>17.46%</v>
      </c>
      <c r="EP17" s="3" t="str">
        <f>RTD("tos.rtd",,EP$2,"."&amp;$A$2&amp;$AW$1&amp;"C"&amp;$A17)</f>
        <v>15.73%</v>
      </c>
      <c r="EQ17" s="3" t="str">
        <f>RTD("tos.rtd",,EQ$2,"."&amp;$A$2&amp;$AW$1&amp;"P"&amp;$A17)</f>
        <v>16.53%</v>
      </c>
      <c r="ES17" s="63" t="str">
        <f t="shared" si="63"/>
        <v>589,-1633.00</v>
      </c>
      <c r="ET17" s="63" t="str">
        <f t="shared" ca="1" si="64"/>
        <v>589,-4181124.71</v>
      </c>
      <c r="EU17" s="67">
        <v>593.57000000000005</v>
      </c>
      <c r="EV17" s="67" t="s">
        <v>156</v>
      </c>
      <c r="EW17" s="67">
        <v>520.11</v>
      </c>
      <c r="EX17" s="67" t="s">
        <v>157</v>
      </c>
      <c r="EY17" s="67">
        <v>5946</v>
      </c>
      <c r="EZ17" s="67" t="s">
        <v>158</v>
      </c>
      <c r="FA17" s="67">
        <v>21348</v>
      </c>
      <c r="FB17" s="67" t="s">
        <v>159</v>
      </c>
      <c r="FC17" s="67" t="s">
        <v>160</v>
      </c>
      <c r="FD17" s="67" t="s">
        <v>161</v>
      </c>
      <c r="FE17" s="68" t="s">
        <v>162</v>
      </c>
      <c r="FF17" s="68" t="s">
        <v>163</v>
      </c>
    </row>
    <row r="18" spans="1:162" s="63" customFormat="1" ht="13.5" thickBot="1" x14ac:dyDescent="0.25">
      <c r="A18" s="2">
        <f t="shared" si="65"/>
        <v>588</v>
      </c>
      <c r="B18" s="3">
        <f t="shared" si="13"/>
        <v>10389</v>
      </c>
      <c r="C18" s="3">
        <f t="shared" si="14"/>
        <v>9386</v>
      </c>
      <c r="D18" s="3">
        <f t="shared" si="15"/>
        <v>4938</v>
      </c>
      <c r="E18" s="3">
        <f t="shared" si="16"/>
        <v>24713</v>
      </c>
      <c r="F18" s="4">
        <f t="shared" si="17"/>
        <v>5910.9181141439203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-1293</v>
      </c>
      <c r="AN18" s="1">
        <v>-17925</v>
      </c>
      <c r="AO18" s="1">
        <v>588</v>
      </c>
      <c r="AP18" s="1">
        <v>7335</v>
      </c>
      <c r="AQ18" s="1">
        <v>-126283</v>
      </c>
      <c r="AR18" s="1"/>
      <c r="AS18" s="6">
        <f>IF(RTD("tos.rtd",,AS$2,"."&amp;$A$2&amp;$AS$1&amp;"C"&amp;$A18)="N/A",0,RTD("tos.rtd",,AS$2,"."&amp;$A$2&amp;$AS$1&amp;"C"&amp;$A18))</f>
        <v>2427</v>
      </c>
      <c r="AT18" s="7">
        <f>-IF(RTD("tos.rtd",,AT$2,"."&amp;$A$2&amp;$AS$1&amp;"P"&amp;$A18)="N/A",0,RTD("tos.rtd",,AT$2,"."&amp;$A$2&amp;$AS$1&amp;"P"&amp;$A18))</f>
        <v>-7962</v>
      </c>
      <c r="AU18" s="6">
        <f>IF(RTD("tos.rtd",,AU$2,"."&amp;$A$2&amp;$AU$1&amp;"C"&amp;$A18)="N/A",0,RTD("tos.rtd",,AU$2,"."&amp;$A$2&amp;$AU$1&amp;"C"&amp;$A18))</f>
        <v>2041</v>
      </c>
      <c r="AV18" s="7">
        <f>-IF(RTD("tos.rtd",,AV$2,"."&amp;$A$2&amp;$AU$1&amp;"P"&amp;$A18)="N/A",0,RTD("tos.rtd",,AV$2,"."&amp;$A$2&amp;$AU$1&amp;"P"&amp;$A18))</f>
        <v>-7345</v>
      </c>
      <c r="AW18" s="6">
        <f>IF(RTD("tos.rtd",,AW$2,"."&amp;$A$2&amp;$AW$1&amp;"C"&amp;$A18)="N/A",0,RTD("tos.rtd",,AW$2,"."&amp;$A$2&amp;$AW$1&amp;"C"&amp;$A18))</f>
        <v>2495</v>
      </c>
      <c r="AX18" s="7">
        <f>-IF(RTD("tos.rtd",,AX$2,"."&amp;$A$2&amp;$AW$1&amp;"P"&amp;$A18)="N/A",0,RTD("tos.rtd",,AX$2,"."&amp;$A$2&amp;$AW$1&amp;"P"&amp;$A18))</f>
        <v>-2443</v>
      </c>
      <c r="AY18" s="1">
        <f t="shared" si="66"/>
        <v>-10787</v>
      </c>
      <c r="AZ18" s="8">
        <f t="shared" si="32"/>
        <v>588</v>
      </c>
      <c r="BA18" s="6">
        <f>IF(RTD("tos.rtd",,BA$2,"."&amp;$A$2&amp;$AS$1&amp;"C"&amp;$A18)="N/A",0,RTD("tos.rtd",,BA$2,"."&amp;$A$2&amp;$AS$1&amp;"C"&amp;$A18))</f>
        <v>7335</v>
      </c>
      <c r="BB18" s="7">
        <f>-IF(RTD("tos.rtd",,BB$2,"."&amp;$A$2&amp;$AS$1&amp;"P"&amp;$A18)="N/A",0,RTD("tos.rtd",,BB$2,"."&amp;$A$2&amp;$AS$1&amp;"P"&amp;$A18))</f>
        <v>-126283</v>
      </c>
      <c r="BC18" s="6">
        <f>IF(RTD("tos.rtd",,BC$2,"."&amp;$A$2&amp;$AU$1&amp;"C"&amp;$A18)="N/A",0,RTD("tos.rtd",,BC$2,"."&amp;$A$2&amp;$AU$1&amp;"C"&amp;$A18))</f>
        <v>1998</v>
      </c>
      <c r="BD18" s="7">
        <f>-IF(RTD("tos.rtd",,BD$2,"."&amp;$A$2&amp;$AU$1&amp;"P"&amp;$A18)="N/A",0,RTD("tos.rtd",,BD$2,"."&amp;$A$2&amp;$AU$1&amp;"P"&amp;$A18))</f>
        <v>-8523</v>
      </c>
      <c r="BE18" s="6">
        <f>IF(RTD("tos.rtd",,BE$2,"."&amp;$A$2&amp;$AW$1&amp;"C"&amp;$A18)="N/A",0,RTD("tos.rtd",,BE$2,"."&amp;$A$2&amp;$AW$1&amp;"C"&amp;$A18))</f>
        <v>341</v>
      </c>
      <c r="BF18" s="83">
        <f>-IF(RTD("tos.rtd",,BF$2,"."&amp;$A$2&amp;$AW$1&amp;"P"&amp;$A18)="N/A",0,RTD("tos.rtd",,BF$2,"."&amp;$A$2&amp;$AW$1&amp;"P"&amp;$A18))</f>
        <v>-1087</v>
      </c>
      <c r="BG18" s="32">
        <f ca="1">+Hoja2!Y19</f>
        <v>-47562</v>
      </c>
      <c r="BH18" s="7">
        <f t="shared" ca="1" si="33"/>
        <v>-173781</v>
      </c>
      <c r="BI18" s="8" t="str">
        <f t="shared" ca="1" si="34"/>
        <v/>
      </c>
      <c r="BJ18" s="3">
        <f ca="1">IF($BP$1=1,DX18,IF(RTD("tos.rtd",,BJ$2,"."&amp;$A$2&amp;$AS$1&amp;"C"&amp;$A18)="N/A",0,RTD("tos.rtd",,BJ$2,"."&amp;$A$2&amp;$AS$1&amp;"C"&amp;$A18)))</f>
        <v>5.2214306421442806E-2</v>
      </c>
      <c r="BK18" s="3">
        <f ca="1">IF($BP$1=1,DY18,-IF(RTD("tos.rtd",,BK$2,"."&amp;$A$2&amp;$AS$1&amp;"P"&amp;$A18)="N/A",0,RTD("tos.rtd",,BK$2,"."&amp;$A$2&amp;$AS$1&amp;"P"&amp;$A18)))</f>
        <v>-5.0155472275321508E-2</v>
      </c>
      <c r="BL18" s="3">
        <f ca="1">IF($BP$1=1,DZ18,IF(RTD("tos.rtd",,BL$2,"."&amp;$A$2&amp;$AU$1&amp;"C"&amp;$A18)="N/A",0,RTD("tos.rtd",,BL$2,"."&amp;$A$2&amp;$AU$1&amp;"C"&amp;$A18)))</f>
        <v>3.3492448555734376E-2</v>
      </c>
      <c r="BM18" s="3">
        <f ca="1">IF($BP$1=1,EA18,-IF(RTD("tos.rtd",,BM$2,"."&amp;$A$2&amp;$AU$1&amp;"P"&amp;$A18)="N/A",0,RTD("tos.rtd",,BM$2,"."&amp;$A$2&amp;$AU$1&amp;"P"&amp;$A18)))</f>
        <v>-3.2421828422334216E-2</v>
      </c>
      <c r="BN18" s="3">
        <f ca="1">IF($BP$1=1,EB18,IF(RTD("tos.rtd",,BN$2,"."&amp;$A$2&amp;$AW$1&amp;"C"&amp;$A18)="N/A",0,RTD("tos.rtd",,BN$2,"."&amp;$A$2&amp;$AW$1&amp;"C"&amp;$A18)))</f>
        <v>3.5341086533355756E-2</v>
      </c>
      <c r="BO18" s="3">
        <f ca="1">IF($BP$1=1,EC18,-IF(RTD("tos.rtd",,BO$2,"."&amp;$A$2&amp;$AW$1&amp;"P"&amp;$A18)="N/A",0,RTD("tos.rtd",,BO$2,"."&amp;$A$2&amp;$AW$1&amp;"P"&amp;$A18)))</f>
        <v>-3.4025404079390781E-2</v>
      </c>
      <c r="BQ18" s="3">
        <f t="shared" ca="1" si="35"/>
        <v>-95673688.223758474</v>
      </c>
      <c r="BR18" s="3" t="str">
        <f t="shared" ca="1" si="67"/>
        <v/>
      </c>
      <c r="BS18" s="3">
        <f t="shared" ca="1" si="36"/>
        <v>-59584309.484196693</v>
      </c>
      <c r="BT18" s="3" t="str">
        <f t="shared" ca="1" si="67"/>
        <v>Cruce -</v>
      </c>
      <c r="BU18" s="3">
        <f t="shared" ca="1" si="37"/>
        <v>1772979.4286091477</v>
      </c>
      <c r="BV18" s="3" t="str">
        <f t="shared" ca="1" si="38"/>
        <v>Cruce +</v>
      </c>
      <c r="BX18" s="3">
        <f t="shared" ca="1" si="39"/>
        <v>-2088427968.58424</v>
      </c>
      <c r="BY18" s="3" t="str">
        <f t="shared" ca="1" si="68"/>
        <v/>
      </c>
      <c r="BZ18" s="3">
        <f t="shared" ca="1" si="40"/>
        <v>-73493526.595992163</v>
      </c>
      <c r="CA18" s="3" t="str">
        <f t="shared" ca="1" si="69"/>
        <v/>
      </c>
      <c r="CB18" s="3">
        <f t="shared" ca="1" si="41"/>
        <v>-8750684.1210346818</v>
      </c>
      <c r="CC18" s="3" t="str">
        <f t="shared" ca="1" si="70"/>
        <v/>
      </c>
      <c r="CD18" s="3">
        <f>IF(RTD("tos.rtd",,CD$2,"."&amp;$A$2&amp;$AS$1&amp;"C"&amp;$A18)="N/A",0,RTD("tos.rtd",,CD$2,"."&amp;$A$2&amp;$AS$1&amp;"C"&amp;$A18))</f>
        <v>0.9</v>
      </c>
      <c r="CE18" s="3">
        <f>-IF(RTD("tos.rtd",,CE$2,"."&amp;$A$2&amp;$AS$1&amp;"P"&amp;$A18)="N/A",0,RTD("tos.rtd",,CE$2,"."&amp;$A$2&amp;$AS$1&amp;"P"&amp;$A18))</f>
        <v>0.02</v>
      </c>
      <c r="CF18" s="3">
        <f>IF(RTD("tos.rtd",,CF$2,"."&amp;$A$2&amp;$AU$1&amp;"C"&amp;$A18)="N/A",0,RTD("tos.rtd",,CF$2,"."&amp;$A$2&amp;$AU$1&amp;"C"&amp;$A18))</f>
        <v>0.7</v>
      </c>
      <c r="CG18" s="3">
        <f>-IF(RTD("tos.rtd",,CG$2,"."&amp;$A$2&amp;$AU$1&amp;"P"&amp;$A18)="N/A",0,RTD("tos.rtd",,CG$2,"."&amp;$A$2&amp;$AU$1&amp;"P"&amp;$A18))</f>
        <v>0.31</v>
      </c>
      <c r="CH18" s="3">
        <f>IF(RTD("tos.rtd",,CH$2,"."&amp;$A$2&amp;$AW$1&amp;"C"&amp;$A18)="N/A",0,RTD("tos.rtd",,CH$2,"."&amp;$A$2&amp;$AW$1&amp;"C"&amp;$A18))</f>
        <v>0.6</v>
      </c>
      <c r="CI18" s="3">
        <f>-IF(RTD("tos.rtd",,CI$2,"."&amp;$A$2&amp;$AW$1&amp;"P"&amp;$A18)="N/A",0,RTD("tos.rtd",,CI$2,"."&amp;$A$2&amp;$AW$1&amp;"P"&amp;$A18))</f>
        <v>0.41</v>
      </c>
      <c r="CK18" s="3">
        <f t="shared" si="42"/>
        <v>119966579.46000001</v>
      </c>
      <c r="CL18" s="3"/>
      <c r="CM18" s="3">
        <f t="shared" si="43"/>
        <v>-50251178.250000015</v>
      </c>
      <c r="CN18" s="3"/>
      <c r="CO18" s="3">
        <f t="shared" si="44"/>
        <v>29346214.170000002</v>
      </c>
      <c r="CP18" s="3">
        <f t="shared" si="45"/>
        <v>99061615.379999995</v>
      </c>
      <c r="CQ18" s="3">
        <f t="shared" si="46"/>
        <v>-118948</v>
      </c>
      <c r="CR18" s="3"/>
      <c r="CS18" s="3">
        <f t="shared" si="18"/>
        <v>-6525</v>
      </c>
      <c r="CT18" s="3"/>
      <c r="CU18" s="3">
        <f t="shared" si="19"/>
        <v>-746</v>
      </c>
      <c r="CV18" s="3">
        <f t="shared" si="47"/>
        <v>-126219</v>
      </c>
      <c r="CW18" s="3">
        <f t="shared" ca="1" si="48"/>
        <v>-153485018.27934605</v>
      </c>
      <c r="CX18" s="85" t="str">
        <f t="shared" ca="1" si="71"/>
        <v/>
      </c>
      <c r="CY18" s="3">
        <f t="shared" ca="1" si="49"/>
        <v>-2170672179.3012667</v>
      </c>
      <c r="CZ18" s="85" t="str">
        <f t="shared" ca="1" si="72"/>
        <v/>
      </c>
      <c r="DA18" s="3">
        <f>IF(RTD("tos.rtd",,DA$2,"."&amp;$A$2&amp;$AS$1&amp;"C"&amp;$A18)="N/A",0,RTD("tos.rtd",,DA$2,"."&amp;$A$2&amp;$AS$1&amp;"C"&amp;$A18))</f>
        <v>4.09</v>
      </c>
      <c r="DB18" s="3">
        <f>IF(RTD("tos.rtd",,DB$2,"."&amp;$A$2&amp;$AS$1&amp;"P"&amp;$A18)="N/A",0,RTD("tos.rtd",,DB$2,"."&amp;$A$2&amp;$AS$1&amp;"P"&amp;$A18))</f>
        <v>0.01</v>
      </c>
      <c r="DC18" s="3">
        <f>IF(RTD("tos.rtd",,DC$2,"."&amp;$A$2&amp;$AS$1&amp;"C"&amp;$A18)="N/A",0,RTD("tos.rtd",,DC$2,"."&amp;$A$2&amp;$AS$1&amp;"C"&amp;$A18))</f>
        <v>5.0999999999999996</v>
      </c>
      <c r="DD18" s="3">
        <f>IF(RTD("tos.rtd",,DD$2,"."&amp;$A$2&amp;$AS$1&amp;"P"&amp;$A18)="N/A",0,RTD("tos.rtd",,DD$2,"."&amp;$A$2&amp;$AS$1&amp;"P"&amp;$A18))</f>
        <v>0.02</v>
      </c>
      <c r="DE18" s="3">
        <f>IF(RTD("tos.rtd",,DE$2,"."&amp;$A$2&amp;$AS$1&amp;"C"&amp;$A18)="N/A",0,RTD("tos.rtd",,DE$2,"."&amp;$A$2&amp;$AS$1&amp;"C"&amp;$A18))</f>
        <v>4.05</v>
      </c>
      <c r="DF18" s="3">
        <f>IF(RTD("tos.rtd",,DF$2,"."&amp;$A$2&amp;$AS$1&amp;"P"&amp;$A18)="N/A",0,RTD("tos.rtd",,DF$2,"."&amp;$A$2&amp;$AS$1&amp;"P"&amp;$A18))</f>
        <v>0.01</v>
      </c>
      <c r="DG18" s="86">
        <f t="shared" si="50"/>
        <v>-4.4099999999999682</v>
      </c>
      <c r="DH18" s="3">
        <f t="shared" si="5"/>
        <v>0</v>
      </c>
      <c r="DI18" s="3">
        <f t="shared" si="6"/>
        <v>0</v>
      </c>
      <c r="DJ18" s="3">
        <f t="shared" si="7"/>
        <v>0</v>
      </c>
      <c r="DK18" s="3">
        <f t="shared" si="8"/>
        <v>0</v>
      </c>
      <c r="DL18" s="3">
        <f t="shared" si="9"/>
        <v>0</v>
      </c>
      <c r="DM18" s="3">
        <f t="shared" si="10"/>
        <v>0</v>
      </c>
      <c r="DN18" s="63" t="str">
        <f t="shared" si="51"/>
        <v>UNKNOWN</v>
      </c>
      <c r="DO18" s="63" t="str">
        <f t="shared" si="52"/>
        <v>UNKNOWN</v>
      </c>
      <c r="DP18" s="3">
        <f t="shared" si="53"/>
        <v>0</v>
      </c>
      <c r="DQ18" s="3">
        <f t="shared" si="54"/>
        <v>0</v>
      </c>
      <c r="DR18" s="3">
        <f t="shared" ca="1" si="55"/>
        <v>0</v>
      </c>
      <c r="DS18" s="3">
        <f t="shared" si="56"/>
        <v>0</v>
      </c>
      <c r="DT18" s="3">
        <f t="shared" si="57"/>
        <v>0</v>
      </c>
      <c r="DU18" s="3">
        <f t="shared" si="58"/>
        <v>0</v>
      </c>
      <c r="DV18" s="3">
        <f t="shared" si="59"/>
        <v>-1293</v>
      </c>
      <c r="DW18" s="3">
        <f t="shared" si="20"/>
        <v>-17925</v>
      </c>
      <c r="DX18" s="3">
        <f t="shared" ca="1" si="21"/>
        <v>5.2214306421442806E-2</v>
      </c>
      <c r="DY18" s="3">
        <f t="shared" ca="1" si="22"/>
        <v>-5.0155472275321508E-2</v>
      </c>
      <c r="DZ18" s="3">
        <f t="shared" ca="1" si="23"/>
        <v>3.3492448555734376E-2</v>
      </c>
      <c r="EA18" s="3">
        <f t="shared" ca="1" si="24"/>
        <v>-3.2421828422334216E-2</v>
      </c>
      <c r="EB18" s="3">
        <f t="shared" ca="1" si="25"/>
        <v>3.5341086533355756E-2</v>
      </c>
      <c r="EC18" s="3">
        <f t="shared" ca="1" si="26"/>
        <v>-3.4025404079390781E-2</v>
      </c>
      <c r="ED18" s="63">
        <f t="shared" si="60"/>
        <v>-19218</v>
      </c>
      <c r="EE18" s="59">
        <f t="shared" si="61"/>
        <v>0.77390000000000003</v>
      </c>
      <c r="EF18" s="59">
        <f t="shared" si="27"/>
        <v>0.47949999999999998</v>
      </c>
      <c r="EG18" s="59">
        <f t="shared" si="28"/>
        <v>0.17</v>
      </c>
      <c r="EH18" s="59">
        <f t="shared" si="29"/>
        <v>0.1769</v>
      </c>
      <c r="EI18" s="59">
        <f t="shared" si="30"/>
        <v>0.15890000000000001</v>
      </c>
      <c r="EJ18" s="59">
        <f t="shared" si="31"/>
        <v>0.16669999999999999</v>
      </c>
      <c r="EK18" s="63">
        <f t="shared" ca="1" si="62"/>
        <v>291822931.49733526</v>
      </c>
      <c r="EL18" s="3" t="str">
        <f>RTD("tos.rtd",,EL$2,"."&amp;$A$2&amp;$AS$1&amp;"C"&amp;$A18)</f>
        <v>77.39%</v>
      </c>
      <c r="EM18" s="3" t="str">
        <f>RTD("tos.rtd",,EM$2,"."&amp;$A$2&amp;$AS$1&amp;"P"&amp;$A18)</f>
        <v>47.95%</v>
      </c>
      <c r="EN18" s="3" t="str">
        <f>RTD("tos.rtd",,EN$2,"."&amp;$A$2&amp;$AU$1&amp;"C"&amp;$A18)</f>
        <v>17.00%</v>
      </c>
      <c r="EO18" s="3" t="str">
        <f>RTD("tos.rtd",,EO$2,"."&amp;$A$2&amp;$AU$1&amp;"P"&amp;$A18)</f>
        <v>17.69%</v>
      </c>
      <c r="EP18" s="3" t="str">
        <f>RTD("tos.rtd",,EP$2,"."&amp;$A$2&amp;$AW$1&amp;"C"&amp;$A18)</f>
        <v>15.89%</v>
      </c>
      <c r="EQ18" s="3" t="str">
        <f>RTD("tos.rtd",,EQ$2,"."&amp;$A$2&amp;$AW$1&amp;"P"&amp;$A18)</f>
        <v>16.67%</v>
      </c>
      <c r="ES18" s="63" t="str">
        <f t="shared" si="63"/>
        <v>588,-19218.00</v>
      </c>
      <c r="ET18" s="63" t="str">
        <f t="shared" ca="1" si="64"/>
        <v>588,-2170672.18</v>
      </c>
      <c r="EU18" s="67">
        <v>593.62</v>
      </c>
      <c r="EV18" s="67" t="s">
        <v>164</v>
      </c>
      <c r="EW18" s="67">
        <v>520.16</v>
      </c>
      <c r="EX18" s="67" t="s">
        <v>165</v>
      </c>
      <c r="EY18" s="67">
        <v>5946.25</v>
      </c>
      <c r="EZ18" s="67" t="s">
        <v>166</v>
      </c>
      <c r="FA18" s="67">
        <v>21350.75</v>
      </c>
      <c r="FB18" s="67" t="s">
        <v>167</v>
      </c>
      <c r="FC18" s="67" t="s">
        <v>168</v>
      </c>
      <c r="FD18" s="67" t="s">
        <v>169</v>
      </c>
      <c r="FE18" s="68" t="s">
        <v>170</v>
      </c>
      <c r="FF18" s="68" t="s">
        <v>171</v>
      </c>
    </row>
    <row r="19" spans="1:162" s="63" customFormat="1" ht="13.5" thickBot="1" x14ac:dyDescent="0.25">
      <c r="A19" s="2">
        <f t="shared" si="65"/>
        <v>587</v>
      </c>
      <c r="B19" s="3">
        <f t="shared" si="13"/>
        <v>6251</v>
      </c>
      <c r="C19" s="3">
        <f t="shared" si="14"/>
        <v>7276</v>
      </c>
      <c r="D19" s="3">
        <f t="shared" si="15"/>
        <v>5140</v>
      </c>
      <c r="E19" s="3">
        <f t="shared" si="16"/>
        <v>18667</v>
      </c>
      <c r="F19" s="4">
        <f t="shared" si="17"/>
        <v>5900.8655323171452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-396</v>
      </c>
      <c r="AN19" s="1">
        <v>-8053</v>
      </c>
      <c r="AO19" s="1">
        <v>587</v>
      </c>
      <c r="AP19" s="1">
        <v>3830</v>
      </c>
      <c r="AQ19" s="1">
        <v>-64375</v>
      </c>
      <c r="AR19" s="1"/>
      <c r="AS19" s="6">
        <f>IF(RTD("tos.rtd",,AS$2,"."&amp;$A$2&amp;$AS$1&amp;"C"&amp;$A19)="N/A",0,RTD("tos.rtd",,AS$2,"."&amp;$A$2&amp;$AS$1&amp;"C"&amp;$A19))</f>
        <v>1427</v>
      </c>
      <c r="AT19" s="7">
        <f>-IF(RTD("tos.rtd",,AT$2,"."&amp;$A$2&amp;$AS$1&amp;"P"&amp;$A19)="N/A",0,RTD("tos.rtd",,AT$2,"."&amp;$A$2&amp;$AS$1&amp;"P"&amp;$A19))</f>
        <v>-4824</v>
      </c>
      <c r="AU19" s="6">
        <f>IF(RTD("tos.rtd",,AU$2,"."&amp;$A$2&amp;$AU$1&amp;"C"&amp;$A19)="N/A",0,RTD("tos.rtd",,AU$2,"."&amp;$A$2&amp;$AU$1&amp;"C"&amp;$A19))</f>
        <v>1858</v>
      </c>
      <c r="AV19" s="7">
        <f>-IF(RTD("tos.rtd",,AV$2,"."&amp;$A$2&amp;$AU$1&amp;"P"&amp;$A19)="N/A",0,RTD("tos.rtd",,AV$2,"."&amp;$A$2&amp;$AU$1&amp;"P"&amp;$A19))</f>
        <v>-5418</v>
      </c>
      <c r="AW19" s="6">
        <f>IF(RTD("tos.rtd",,AW$2,"."&amp;$A$2&amp;$AW$1&amp;"C"&amp;$A19)="N/A",0,RTD("tos.rtd",,AW$2,"."&amp;$A$2&amp;$AW$1&amp;"C"&amp;$A19))</f>
        <v>2681</v>
      </c>
      <c r="AX19" s="7">
        <f>-IF(RTD("tos.rtd",,AX$2,"."&amp;$A$2&amp;$AW$1&amp;"P"&amp;$A19)="N/A",0,RTD("tos.rtd",,AX$2,"."&amp;$A$2&amp;$AW$1&amp;"P"&amp;$A19))</f>
        <v>-2459</v>
      </c>
      <c r="AY19" s="1">
        <f t="shared" si="66"/>
        <v>-6735</v>
      </c>
      <c r="AZ19" s="8">
        <f t="shared" si="32"/>
        <v>587</v>
      </c>
      <c r="BA19" s="6">
        <f>IF(RTD("tos.rtd",,BA$2,"."&amp;$A$2&amp;$AS$1&amp;"C"&amp;$A19)="N/A",0,RTD("tos.rtd",,BA$2,"."&amp;$A$2&amp;$AS$1&amp;"C"&amp;$A19))</f>
        <v>3830</v>
      </c>
      <c r="BB19" s="7">
        <f>-IF(RTD("tos.rtd",,BB$2,"."&amp;$A$2&amp;$AS$1&amp;"P"&amp;$A19)="N/A",0,RTD("tos.rtd",,BB$2,"."&amp;$A$2&amp;$AS$1&amp;"P"&amp;$A19))</f>
        <v>-64375</v>
      </c>
      <c r="BC19" s="6">
        <f>IF(RTD("tos.rtd",,BC$2,"."&amp;$A$2&amp;$AU$1&amp;"C"&amp;$A19)="N/A",0,RTD("tos.rtd",,BC$2,"."&amp;$A$2&amp;$AU$1&amp;"C"&amp;$A19))</f>
        <v>487</v>
      </c>
      <c r="BD19" s="7">
        <f>-IF(RTD("tos.rtd",,BD$2,"."&amp;$A$2&amp;$AU$1&amp;"P"&amp;$A19)="N/A",0,RTD("tos.rtd",,BD$2,"."&amp;$A$2&amp;$AU$1&amp;"P"&amp;$A19))</f>
        <v>-5493</v>
      </c>
      <c r="BE19" s="6">
        <f>IF(RTD("tos.rtd",,BE$2,"."&amp;$A$2&amp;$AW$1&amp;"C"&amp;$A19)="N/A",0,RTD("tos.rtd",,BE$2,"."&amp;$A$2&amp;$AW$1&amp;"C"&amp;$A19))</f>
        <v>72</v>
      </c>
      <c r="BF19" s="83">
        <f>-IF(RTD("tos.rtd",,BF$2,"."&amp;$A$2&amp;$AW$1&amp;"P"&amp;$A19)="N/A",0,RTD("tos.rtd",,BF$2,"."&amp;$A$2&amp;$AW$1&amp;"P"&amp;$A19))</f>
        <v>-746</v>
      </c>
      <c r="BG19" s="32">
        <f ca="1">+Hoja2!Y20</f>
        <v>-25842</v>
      </c>
      <c r="BH19" s="7">
        <f t="shared" ca="1" si="33"/>
        <v>-92067</v>
      </c>
      <c r="BI19" s="8" t="str">
        <f t="shared" ca="1" si="34"/>
        <v/>
      </c>
      <c r="BJ19" s="3">
        <f ca="1">IF($BP$1=1,DX19,IF(RTD("tos.rtd",,BJ$2,"."&amp;$A$2&amp;$AS$1&amp;"C"&amp;$A19)="N/A",0,RTD("tos.rtd",,BJ$2,"."&amp;$A$2&amp;$AS$1&amp;"C"&amp;$A19)))</f>
        <v>2.0923154502844542E-3</v>
      </c>
      <c r="BK19" s="3">
        <f ca="1">IF($BP$1=1,DY19,-IF(RTD("tos.rtd",,BK$2,"."&amp;$A$2&amp;$AS$1&amp;"P"&amp;$A19)="N/A",0,RTD("tos.rtd",,BK$2,"."&amp;$A$2&amp;$AS$1&amp;"P"&amp;$A19)))</f>
        <v>-3.415261714539445E-2</v>
      </c>
      <c r="BL19" s="3">
        <f ca="1">IF($BP$1=1,DZ19,IF(RTD("tos.rtd",,BL$2,"."&amp;$A$2&amp;$AU$1&amp;"C"&amp;$A19)="N/A",0,RTD("tos.rtd",,BL$2,"."&amp;$A$2&amp;$AU$1&amp;"C"&amp;$A19)))</f>
        <v>3.1595115743645055E-2</v>
      </c>
      <c r="BM19" s="3">
        <f ca="1">IF($BP$1=1,EA19,-IF(RTD("tos.rtd",,BM$2,"."&amp;$A$2&amp;$AU$1&amp;"P"&amp;$A19)="N/A",0,RTD("tos.rtd",,BM$2,"."&amp;$A$2&amp;$AU$1&amp;"P"&amp;$A19)))</f>
        <v>-3.0746367411459325E-2</v>
      </c>
      <c r="BN19" s="3">
        <f ca="1">IF($BP$1=1,EB19,IF(RTD("tos.rtd",,BN$2,"."&amp;$A$2&amp;$AW$1&amp;"C"&amp;$A19)="N/A",0,RTD("tos.rtd",,BN$2,"."&amp;$A$2&amp;$AW$1&amp;"C"&amp;$A19)))</f>
        <v>3.3301433420917695E-2</v>
      </c>
      <c r="BO19" s="3">
        <f ca="1">IF($BP$1=1,EC19,-IF(RTD("tos.rtd",,BO$2,"."&amp;$A$2&amp;$AW$1&amp;"P"&amp;$A19)="N/A",0,RTD("tos.rtd",,BO$2,"."&amp;$A$2&amp;$AW$1&amp;"P"&amp;$A19)))</f>
        <v>-3.2242357886413629E-2</v>
      </c>
      <c r="BQ19" s="3">
        <f t="shared" ca="1" si="35"/>
        <v>-56771886.606765337</v>
      </c>
      <c r="BR19" s="3" t="str">
        <f t="shared" ca="1" si="67"/>
        <v/>
      </c>
      <c r="BS19" s="3">
        <f t="shared" ca="1" si="36"/>
        <v>-37860476.564953677</v>
      </c>
      <c r="BT19" s="3" t="str">
        <f t="shared" ca="1" si="67"/>
        <v/>
      </c>
      <c r="BU19" s="3">
        <f t="shared" ca="1" si="37"/>
        <v>3508508.1433902904</v>
      </c>
      <c r="BV19" s="3" t="str">
        <f t="shared" ca="1" si="38"/>
        <v/>
      </c>
      <c r="BX19" s="3">
        <f t="shared" ca="1" si="39"/>
        <v>-768776580.81767559</v>
      </c>
      <c r="BY19" s="3" t="str">
        <f t="shared" ca="1" si="68"/>
        <v/>
      </c>
      <c r="BZ19" s="3">
        <f t="shared" ca="1" si="40"/>
        <v>-53871808.856663778</v>
      </c>
      <c r="CA19" s="3" t="str">
        <f t="shared" ca="1" si="69"/>
        <v/>
      </c>
      <c r="CB19" s="3">
        <f t="shared" ca="1" si="41"/>
        <v>-7599847.376291547</v>
      </c>
      <c r="CC19" s="3" t="str">
        <f t="shared" ca="1" si="70"/>
        <v/>
      </c>
      <c r="CD19" s="3">
        <f>IF(RTD("tos.rtd",,CD$2,"."&amp;$A$2&amp;$AS$1&amp;"C"&amp;$A19)="N/A",0,RTD("tos.rtd",,CD$2,"."&amp;$A$2&amp;$AS$1&amp;"C"&amp;$A19))</f>
        <v>1</v>
      </c>
      <c r="CE19" s="3">
        <f>-IF(RTD("tos.rtd",,CE$2,"."&amp;$A$2&amp;$AS$1&amp;"P"&amp;$A19)="N/A",0,RTD("tos.rtd",,CE$2,"."&amp;$A$2&amp;$AS$1&amp;"P"&amp;$A19))</f>
        <v>0.01</v>
      </c>
      <c r="CF19" s="3">
        <f>IF(RTD("tos.rtd",,CF$2,"."&amp;$A$2&amp;$AU$1&amp;"C"&amp;$A19)="N/A",0,RTD("tos.rtd",,CF$2,"."&amp;$A$2&amp;$AU$1&amp;"C"&amp;$A19))</f>
        <v>0.73</v>
      </c>
      <c r="CG19" s="3">
        <f>-IF(RTD("tos.rtd",,CG$2,"."&amp;$A$2&amp;$AU$1&amp;"P"&amp;$A19)="N/A",0,RTD("tos.rtd",,CG$2,"."&amp;$A$2&amp;$AU$1&amp;"P"&amp;$A19))</f>
        <v>0.28000000000000003</v>
      </c>
      <c r="CH19" s="3">
        <f>IF(RTD("tos.rtd",,CH$2,"."&amp;$A$2&amp;$AW$1&amp;"C"&amp;$A19)="N/A",0,RTD("tos.rtd",,CH$2,"."&amp;$A$2&amp;$AW$1&amp;"C"&amp;$A19))</f>
        <v>0.61</v>
      </c>
      <c r="CI19" s="3">
        <f>-IF(RTD("tos.rtd",,CI$2,"."&amp;$A$2&amp;$AW$1&amp;"P"&amp;$A19)="N/A",0,RTD("tos.rtd",,CI$2,"."&amp;$A$2&amp;$AW$1&amp;"P"&amp;$A19))</f>
        <v>0.4</v>
      </c>
      <c r="CK19" s="3">
        <f t="shared" si="42"/>
        <v>81679121.159999996</v>
      </c>
      <c r="CL19" s="3"/>
      <c r="CM19" s="3">
        <f t="shared" si="43"/>
        <v>-9520028.7000000179</v>
      </c>
      <c r="CN19" s="3"/>
      <c r="CO19" s="3">
        <f t="shared" si="44"/>
        <v>38613876.209999993</v>
      </c>
      <c r="CP19" s="3">
        <f t="shared" si="45"/>
        <v>110772968.66999997</v>
      </c>
      <c r="CQ19" s="3">
        <f t="shared" si="46"/>
        <v>-60545</v>
      </c>
      <c r="CR19" s="3"/>
      <c r="CS19" s="3">
        <f t="shared" si="18"/>
        <v>-5006</v>
      </c>
      <c r="CT19" s="3"/>
      <c r="CU19" s="3">
        <f t="shared" si="19"/>
        <v>-674</v>
      </c>
      <c r="CV19" s="3">
        <f t="shared" si="47"/>
        <v>-66225</v>
      </c>
      <c r="CW19" s="3">
        <f t="shared" ca="1" si="48"/>
        <v>-91123855.028328717</v>
      </c>
      <c r="CX19" s="85" t="str">
        <f t="shared" ca="1" si="71"/>
        <v/>
      </c>
      <c r="CY19" s="3">
        <f t="shared" ca="1" si="49"/>
        <v>-830248237.05063093</v>
      </c>
      <c r="CZ19" s="85" t="str">
        <f t="shared" ca="1" si="72"/>
        <v/>
      </c>
      <c r="DA19" s="3">
        <f>IF(RTD("tos.rtd",,DA$2,"."&amp;$A$2&amp;$AS$1&amp;"C"&amp;$A19)="N/A",0,RTD("tos.rtd",,DA$2,"."&amp;$A$2&amp;$AS$1&amp;"C"&amp;$A19))</f>
        <v>5.0999999999999996</v>
      </c>
      <c r="DB19" s="3">
        <f>IF(RTD("tos.rtd",,DB$2,"."&amp;$A$2&amp;$AS$1&amp;"P"&amp;$A19)="N/A",0,RTD("tos.rtd",,DB$2,"."&amp;$A$2&amp;$AS$1&amp;"P"&amp;$A19))</f>
        <v>0.01</v>
      </c>
      <c r="DC19" s="3">
        <f>IF(RTD("tos.rtd",,DC$2,"."&amp;$A$2&amp;$AS$1&amp;"C"&amp;$A19)="N/A",0,RTD("tos.rtd",,DC$2,"."&amp;$A$2&amp;$AS$1&amp;"C"&amp;$A19))</f>
        <v>6.1</v>
      </c>
      <c r="DD19" s="3">
        <f>IF(RTD("tos.rtd",,DD$2,"."&amp;$A$2&amp;$AS$1&amp;"P"&amp;$A19)="N/A",0,RTD("tos.rtd",,DD$2,"."&amp;$A$2&amp;$AS$1&amp;"P"&amp;$A19))</f>
        <v>0.01</v>
      </c>
      <c r="DE19" s="3">
        <f>IF(RTD("tos.rtd",,DE$2,"."&amp;$A$2&amp;$AS$1&amp;"C"&amp;$A19)="N/A",0,RTD("tos.rtd",,DE$2,"."&amp;$A$2&amp;$AS$1&amp;"C"&amp;$A19))</f>
        <v>4.4000000000000004</v>
      </c>
      <c r="DF19" s="3">
        <f>IF(RTD("tos.rtd",,DF$2,"."&amp;$A$2&amp;$AS$1&amp;"P"&amp;$A19)="N/A",0,RTD("tos.rtd",,DF$2,"."&amp;$A$2&amp;$AS$1&amp;"P"&amp;$A19))</f>
        <v>0</v>
      </c>
      <c r="DG19" s="86">
        <f t="shared" si="50"/>
        <v>-5.4099999999999682</v>
      </c>
      <c r="DH19" s="3">
        <f t="shared" si="5"/>
        <v>0</v>
      </c>
      <c r="DI19" s="3">
        <f t="shared" si="6"/>
        <v>0</v>
      </c>
      <c r="DJ19" s="3">
        <f t="shared" si="7"/>
        <v>0</v>
      </c>
      <c r="DK19" s="3">
        <f t="shared" si="8"/>
        <v>0</v>
      </c>
      <c r="DL19" s="3">
        <f t="shared" si="9"/>
        <v>0</v>
      </c>
      <c r="DM19" s="3">
        <f t="shared" si="10"/>
        <v>0</v>
      </c>
      <c r="DN19" s="63" t="str">
        <f t="shared" si="51"/>
        <v>UNKNOWN</v>
      </c>
      <c r="DO19" s="63" t="str">
        <f t="shared" si="52"/>
        <v>UNKNOWN</v>
      </c>
      <c r="DP19" s="3">
        <f t="shared" si="53"/>
        <v>0</v>
      </c>
      <c r="DQ19" s="3">
        <f t="shared" si="54"/>
        <v>0</v>
      </c>
      <c r="DR19" s="3">
        <f t="shared" ca="1" si="55"/>
        <v>0</v>
      </c>
      <c r="DS19" s="3">
        <f t="shared" si="56"/>
        <v>0</v>
      </c>
      <c r="DT19" s="3">
        <f t="shared" si="57"/>
        <v>0</v>
      </c>
      <c r="DU19" s="3">
        <f t="shared" si="58"/>
        <v>0</v>
      </c>
      <c r="DV19" s="3">
        <f t="shared" si="59"/>
        <v>-396</v>
      </c>
      <c r="DW19" s="3">
        <f t="shared" si="20"/>
        <v>-8053</v>
      </c>
      <c r="DX19" s="3">
        <f t="shared" ca="1" si="21"/>
        <v>2.0923154502844542E-3</v>
      </c>
      <c r="DY19" s="3">
        <f t="shared" ca="1" si="22"/>
        <v>-3.415261714539445E-2</v>
      </c>
      <c r="DZ19" s="3">
        <f t="shared" ca="1" si="23"/>
        <v>3.1595115743645055E-2</v>
      </c>
      <c r="EA19" s="3">
        <f t="shared" ca="1" si="24"/>
        <v>-3.0746367411459325E-2</v>
      </c>
      <c r="EB19" s="3">
        <f t="shared" ca="1" si="25"/>
        <v>3.3301433420917695E-2</v>
      </c>
      <c r="EC19" s="3">
        <f t="shared" ca="1" si="26"/>
        <v>-3.2242357886413629E-2</v>
      </c>
      <c r="ED19" s="63">
        <f t="shared" si="60"/>
        <v>-8449</v>
      </c>
      <c r="EE19" s="59">
        <f t="shared" si="61"/>
        <v>0.25</v>
      </c>
      <c r="EF19" s="59">
        <f t="shared" si="27"/>
        <v>0.49399999999999999</v>
      </c>
      <c r="EG19" s="59">
        <f t="shared" si="28"/>
        <v>0.1729</v>
      </c>
      <c r="EH19" s="59">
        <f t="shared" si="29"/>
        <v>0.1794</v>
      </c>
      <c r="EI19" s="59">
        <f t="shared" si="30"/>
        <v>0.1605</v>
      </c>
      <c r="EJ19" s="59">
        <f t="shared" si="31"/>
        <v>0.1681</v>
      </c>
      <c r="EK19" s="63">
        <f t="shared" ca="1" si="62"/>
        <v>96231249.019300386</v>
      </c>
      <c r="EL19" s="3" t="str">
        <f>RTD("tos.rtd",,EL$2,"."&amp;$A$2&amp;$AS$1&amp;"C"&amp;$A19)</f>
        <v>--</v>
      </c>
      <c r="EM19" s="3" t="str">
        <f>RTD("tos.rtd",,EM$2,"."&amp;$A$2&amp;$AS$1&amp;"P"&amp;$A19)</f>
        <v>49.40%</v>
      </c>
      <c r="EN19" s="3" t="str">
        <f>RTD("tos.rtd",,EN$2,"."&amp;$A$2&amp;$AU$1&amp;"C"&amp;$A19)</f>
        <v>17.29%</v>
      </c>
      <c r="EO19" s="3" t="str">
        <f>RTD("tos.rtd",,EO$2,"."&amp;$A$2&amp;$AU$1&amp;"P"&amp;$A19)</f>
        <v>17.94%</v>
      </c>
      <c r="EP19" s="3" t="str">
        <f>RTD("tos.rtd",,EP$2,"."&amp;$A$2&amp;$AW$1&amp;"C"&amp;$A19)</f>
        <v>16.05%</v>
      </c>
      <c r="EQ19" s="3" t="str">
        <f>RTD("tos.rtd",,EQ$2,"."&amp;$A$2&amp;$AW$1&amp;"P"&amp;$A19)</f>
        <v>16.81%</v>
      </c>
      <c r="ES19" s="63" t="str">
        <f t="shared" si="63"/>
        <v>587,-8449.00</v>
      </c>
      <c r="ET19" s="63" t="str">
        <f t="shared" ca="1" si="64"/>
        <v>587,-830248.24</v>
      </c>
      <c r="EU19" s="67">
        <v>593.54999999999995</v>
      </c>
      <c r="EV19" s="67" t="s">
        <v>172</v>
      </c>
      <c r="EW19" s="67">
        <v>520.12</v>
      </c>
      <c r="EX19" s="67" t="s">
        <v>173</v>
      </c>
      <c r="EY19" s="67">
        <v>5945.5</v>
      </c>
      <c r="EZ19" s="67" t="s">
        <v>174</v>
      </c>
      <c r="FA19" s="67">
        <v>21349.25</v>
      </c>
      <c r="FB19" s="67" t="s">
        <v>175</v>
      </c>
      <c r="FC19" s="67" t="s">
        <v>176</v>
      </c>
      <c r="FD19" s="67" t="s">
        <v>177</v>
      </c>
      <c r="FE19" s="68" t="s">
        <v>178</v>
      </c>
      <c r="FF19" s="68" t="s">
        <v>179</v>
      </c>
    </row>
    <row r="20" spans="1:162" s="63" customFormat="1" ht="13.5" thickBot="1" x14ac:dyDescent="0.25">
      <c r="A20" s="2">
        <f t="shared" si="65"/>
        <v>586</v>
      </c>
      <c r="B20" s="3">
        <f t="shared" si="13"/>
        <v>7596</v>
      </c>
      <c r="C20" s="3">
        <f t="shared" si="14"/>
        <v>7017</v>
      </c>
      <c r="D20" s="3">
        <f t="shared" si="15"/>
        <v>3347</v>
      </c>
      <c r="E20" s="3">
        <f t="shared" si="16"/>
        <v>17960</v>
      </c>
      <c r="F20" s="4">
        <f t="shared" si="17"/>
        <v>5890.81295049037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-285</v>
      </c>
      <c r="AN20" s="1">
        <v>9959</v>
      </c>
      <c r="AO20" s="1">
        <v>586</v>
      </c>
      <c r="AP20" s="1">
        <v>1409</v>
      </c>
      <c r="AQ20" s="1">
        <v>-42553</v>
      </c>
      <c r="AR20" s="1"/>
      <c r="AS20" s="6">
        <f>IF(RTD("tos.rtd",,AS$2,"."&amp;$A$2&amp;$AS$1&amp;"C"&amp;$A20)="N/A",0,RTD("tos.rtd",,AS$2,"."&amp;$A$2&amp;$AS$1&amp;"C"&amp;$A20))</f>
        <v>2482</v>
      </c>
      <c r="AT20" s="7">
        <f>-IF(RTD("tos.rtd",,AT$2,"."&amp;$A$2&amp;$AS$1&amp;"P"&amp;$A20)="N/A",0,RTD("tos.rtd",,AT$2,"."&amp;$A$2&amp;$AS$1&amp;"P"&amp;$A20))</f>
        <v>-5114</v>
      </c>
      <c r="AU20" s="6">
        <f>IF(RTD("tos.rtd",,AU$2,"."&amp;$A$2&amp;$AU$1&amp;"C"&amp;$A20)="N/A",0,RTD("tos.rtd",,AU$2,"."&amp;$A$2&amp;$AU$1&amp;"C"&amp;$A20))</f>
        <v>1886</v>
      </c>
      <c r="AV20" s="7">
        <f>-IF(RTD("tos.rtd",,AV$2,"."&amp;$A$2&amp;$AU$1&amp;"P"&amp;$A20)="N/A",0,RTD("tos.rtd",,AV$2,"."&amp;$A$2&amp;$AU$1&amp;"P"&amp;$A20))</f>
        <v>-5131</v>
      </c>
      <c r="AW20" s="6">
        <f>IF(RTD("tos.rtd",,AW$2,"."&amp;$A$2&amp;$AW$1&amp;"C"&amp;$A20)="N/A",0,RTD("tos.rtd",,AW$2,"."&amp;$A$2&amp;$AW$1&amp;"C"&amp;$A20))</f>
        <v>1754</v>
      </c>
      <c r="AX20" s="7">
        <f>-IF(RTD("tos.rtd",,AX$2,"."&amp;$A$2&amp;$AW$1&amp;"P"&amp;$A20)="N/A",0,RTD("tos.rtd",,AX$2,"."&amp;$A$2&amp;$AW$1&amp;"P"&amp;$A20))</f>
        <v>-1593</v>
      </c>
      <c r="AY20" s="1">
        <f t="shared" si="66"/>
        <v>-5716</v>
      </c>
      <c r="AZ20" s="8">
        <f t="shared" si="32"/>
        <v>586</v>
      </c>
      <c r="BA20" s="6">
        <f>IF(RTD("tos.rtd",,BA$2,"."&amp;$A$2&amp;$AS$1&amp;"C"&amp;$A20)="N/A",0,RTD("tos.rtd",,BA$2,"."&amp;$A$2&amp;$AS$1&amp;"C"&amp;$A20))</f>
        <v>1409</v>
      </c>
      <c r="BB20" s="7">
        <f>-IF(RTD("tos.rtd",,BB$2,"."&amp;$A$2&amp;$AS$1&amp;"P"&amp;$A20)="N/A",0,RTD("tos.rtd",,BB$2,"."&amp;$A$2&amp;$AS$1&amp;"P"&amp;$A20))</f>
        <v>-42553</v>
      </c>
      <c r="BC20" s="6">
        <f>IF(RTD("tos.rtd",,BC$2,"."&amp;$A$2&amp;$AU$1&amp;"C"&amp;$A20)="N/A",0,RTD("tos.rtd",,BC$2,"."&amp;$A$2&amp;$AU$1&amp;"C"&amp;$A20))</f>
        <v>151</v>
      </c>
      <c r="BD20" s="7">
        <f>-IF(RTD("tos.rtd",,BD$2,"."&amp;$A$2&amp;$AU$1&amp;"P"&amp;$A20)="N/A",0,RTD("tos.rtd",,BD$2,"."&amp;$A$2&amp;$AU$1&amp;"P"&amp;$A20))</f>
        <v>-5315</v>
      </c>
      <c r="BE20" s="6">
        <f>IF(RTD("tos.rtd",,BE$2,"."&amp;$A$2&amp;$AW$1&amp;"C"&amp;$A20)="N/A",0,RTD("tos.rtd",,BE$2,"."&amp;$A$2&amp;$AW$1&amp;"C"&amp;$A20))</f>
        <v>139</v>
      </c>
      <c r="BF20" s="83">
        <f>-IF(RTD("tos.rtd",,BF$2,"."&amp;$A$2&amp;$AW$1&amp;"P"&amp;$A20)="N/A",0,RTD("tos.rtd",,BF$2,"."&amp;$A$2&amp;$AW$1&amp;"P"&amp;$A20))</f>
        <v>-997</v>
      </c>
      <c r="BG20" s="32">
        <f ca="1">+Hoja2!Y21</f>
        <v>-17643</v>
      </c>
      <c r="BH20" s="7">
        <f t="shared" ca="1" si="33"/>
        <v>-64809</v>
      </c>
      <c r="BI20" s="8" t="str">
        <f t="shared" ca="1" si="34"/>
        <v/>
      </c>
      <c r="BJ20" s="3">
        <f ca="1">IF($BP$1=1,DX20,IF(RTD("tos.rtd",,BJ$2,"."&amp;$A$2&amp;$AS$1&amp;"C"&amp;$A20)="N/A",0,RTD("tos.rtd",,BJ$2,"."&amp;$A$2&amp;$AS$1&amp;"C"&amp;$A20)))</f>
        <v>3.1404880587670222E-4</v>
      </c>
      <c r="BK20" s="3">
        <f ca="1">IF($BP$1=1,DY20,-IF(RTD("tos.rtd",,BK$2,"."&amp;$A$2&amp;$AS$1&amp;"P"&amp;$A20)="N/A",0,RTD("tos.rtd",,BK$2,"."&amp;$A$2&amp;$AS$1&amp;"P"&amp;$A20)))</f>
        <v>-2.7986545344820691E-2</v>
      </c>
      <c r="BL20" s="3">
        <f ca="1">IF($BP$1=1,DZ20,IF(RTD("tos.rtd",,BL$2,"."&amp;$A$2&amp;$AU$1&amp;"C"&amp;$A20)="N/A",0,RTD("tos.rtd",,BL$2,"."&amp;$A$2&amp;$AU$1&amp;"C"&amp;$A20)))</f>
        <v>2.9744816453333423E-2</v>
      </c>
      <c r="BM20" s="3">
        <f ca="1">IF($BP$1=1,EA20,-IF(RTD("tos.rtd",,BM$2,"."&amp;$A$2&amp;$AU$1&amp;"P"&amp;$A20)="N/A",0,RTD("tos.rtd",,BM$2,"."&amp;$A$2&amp;$AU$1&amp;"P"&amp;$A20)))</f>
        <v>-2.90105811191348E-2</v>
      </c>
      <c r="BN20" s="3">
        <f ca="1">IF($BP$1=1,EB20,IF(RTD("tos.rtd",,BN$2,"."&amp;$A$2&amp;$AW$1&amp;"C"&amp;$A20)="N/A",0,RTD("tos.rtd",,BN$2,"."&amp;$A$2&amp;$AW$1&amp;"C"&amp;$A20)))</f>
        <v>3.1127856432742317E-2</v>
      </c>
      <c r="BO20" s="3">
        <f ca="1">IF($BP$1=1,EC20,-IF(RTD("tos.rtd",,BO$2,"."&amp;$A$2&amp;$AW$1&amp;"P"&amp;$A20)="N/A",0,RTD("tos.rtd",,BO$2,"."&amp;$A$2&amp;$AW$1&amp;"P"&amp;$A20)))</f>
        <v>-3.0329117999327668E-2</v>
      </c>
      <c r="BQ20" s="3">
        <f t="shared" ca="1" si="35"/>
        <v>-49955474.068093486</v>
      </c>
      <c r="BR20" s="3" t="str">
        <f t="shared" ca="1" si="67"/>
        <v/>
      </c>
      <c r="BS20" s="3">
        <f t="shared" ca="1" si="36"/>
        <v>-32552179.250934403</v>
      </c>
      <c r="BT20" s="3" t="str">
        <f t="shared" ca="1" si="67"/>
        <v/>
      </c>
      <c r="BU20" s="3">
        <f t="shared" ca="1" si="37"/>
        <v>2205358.6372950785</v>
      </c>
      <c r="BV20" s="3" t="str">
        <f t="shared" ca="1" si="38"/>
        <v/>
      </c>
      <c r="BX20" s="3">
        <f t="shared" ca="1" si="39"/>
        <v>-417794618.22777313</v>
      </c>
      <c r="BY20" s="3" t="str">
        <f t="shared" ca="1" si="68"/>
        <v/>
      </c>
      <c r="BZ20" s="3">
        <f t="shared" ca="1" si="40"/>
        <v>-52537076.092766993</v>
      </c>
      <c r="CA20" s="3" t="str">
        <f t="shared" ca="1" si="69"/>
        <v/>
      </c>
      <c r="CB20" s="3">
        <f t="shared" ca="1" si="41"/>
        <v>-9093581.1464221589</v>
      </c>
      <c r="CC20" s="3" t="str">
        <f t="shared" ca="1" si="70"/>
        <v/>
      </c>
      <c r="CD20" s="3">
        <f>IF(RTD("tos.rtd",,CD$2,"."&amp;$A$2&amp;$AS$1&amp;"C"&amp;$A20)="N/A",0,RTD("tos.rtd",,CD$2,"."&amp;$A$2&amp;$AS$1&amp;"C"&amp;$A20))</f>
        <v>1</v>
      </c>
      <c r="CE20" s="3">
        <f>-IF(RTD("tos.rtd",,CE$2,"."&amp;$A$2&amp;$AS$1&amp;"P"&amp;$A20)="N/A",0,RTD("tos.rtd",,CE$2,"."&amp;$A$2&amp;$AS$1&amp;"P"&amp;$A20))</f>
        <v>0.01</v>
      </c>
      <c r="CF20" s="3">
        <f>IF(RTD("tos.rtd",,CF$2,"."&amp;$A$2&amp;$AU$1&amp;"C"&amp;$A20)="N/A",0,RTD("tos.rtd",,CF$2,"."&amp;$A$2&amp;$AU$1&amp;"C"&amp;$A20))</f>
        <v>0.76</v>
      </c>
      <c r="CG20" s="3">
        <f>-IF(RTD("tos.rtd",,CG$2,"."&amp;$A$2&amp;$AU$1&amp;"P"&amp;$A20)="N/A",0,RTD("tos.rtd",,CG$2,"."&amp;$A$2&amp;$AU$1&amp;"P"&amp;$A20))</f>
        <v>0.25</v>
      </c>
      <c r="CH20" s="3">
        <f>IF(RTD("tos.rtd",,CH$2,"."&amp;$A$2&amp;$AW$1&amp;"C"&amp;$A20)="N/A",0,RTD("tos.rtd",,CH$2,"."&amp;$A$2&amp;$AW$1&amp;"C"&amp;$A20))</f>
        <v>0.62</v>
      </c>
      <c r="CI20" s="3">
        <f>-IF(RTD("tos.rtd",,CI$2,"."&amp;$A$2&amp;$AW$1&amp;"P"&amp;$A20)="N/A",0,RTD("tos.rtd",,CI$2,"."&amp;$A$2&amp;$AW$1&amp;"P"&amp;$A20))</f>
        <v>0.38</v>
      </c>
      <c r="CK20" s="3">
        <f t="shared" si="42"/>
        <v>144006577.25999999</v>
      </c>
      <c r="CL20" s="3"/>
      <c r="CM20" s="3">
        <f t="shared" si="43"/>
        <v>8922287.0099999905</v>
      </c>
      <c r="CN20" s="3"/>
      <c r="CO20" s="3">
        <f t="shared" si="44"/>
        <v>28562455.740000002</v>
      </c>
      <c r="CP20" s="3">
        <f t="shared" si="45"/>
        <v>181491320.00999999</v>
      </c>
      <c r="CQ20" s="3">
        <f t="shared" si="46"/>
        <v>-41144</v>
      </c>
      <c r="CR20" s="3"/>
      <c r="CS20" s="3">
        <f t="shared" si="18"/>
        <v>-5164</v>
      </c>
      <c r="CT20" s="3"/>
      <c r="CU20" s="3">
        <f t="shared" si="19"/>
        <v>-858</v>
      </c>
      <c r="CV20" s="3">
        <f t="shared" si="47"/>
        <v>-47166</v>
      </c>
      <c r="CW20" s="3">
        <f t="shared" ca="1" si="48"/>
        <v>-80302294.681732804</v>
      </c>
      <c r="CX20" s="85" t="str">
        <f t="shared" ca="1" si="71"/>
        <v/>
      </c>
      <c r="CY20" s="3">
        <f t="shared" ca="1" si="49"/>
        <v>-479425275.46696228</v>
      </c>
      <c r="CZ20" s="85" t="str">
        <f t="shared" ca="1" si="72"/>
        <v/>
      </c>
      <c r="DA20" s="3">
        <f>IF(RTD("tos.rtd",,DA$2,"."&amp;$A$2&amp;$AS$1&amp;"C"&amp;$A20)="N/A",0,RTD("tos.rtd",,DA$2,"."&amp;$A$2&amp;$AS$1&amp;"C"&amp;$A20))</f>
        <v>6.08</v>
      </c>
      <c r="DB20" s="3">
        <f>IF(RTD("tos.rtd",,DB$2,"."&amp;$A$2&amp;$AS$1&amp;"P"&amp;$A20)="N/A",0,RTD("tos.rtd",,DB$2,"."&amp;$A$2&amp;$AS$1&amp;"P"&amp;$A20))</f>
        <v>0.01</v>
      </c>
      <c r="DC20" s="3">
        <f>IF(RTD("tos.rtd",,DC$2,"."&amp;$A$2&amp;$AS$1&amp;"C"&amp;$A20)="N/A",0,RTD("tos.rtd",,DC$2,"."&amp;$A$2&amp;$AS$1&amp;"C"&amp;$A20))</f>
        <v>7.09</v>
      </c>
      <c r="DD20" s="3">
        <f>IF(RTD("tos.rtd",,DD$2,"."&amp;$A$2&amp;$AS$1&amp;"P"&amp;$A20)="N/A",0,RTD("tos.rtd",,DD$2,"."&amp;$A$2&amp;$AS$1&amp;"P"&amp;$A20))</f>
        <v>0.01</v>
      </c>
      <c r="DE20" s="3">
        <f>IF(RTD("tos.rtd",,DE$2,"."&amp;$A$2&amp;$AS$1&amp;"C"&amp;$A20)="N/A",0,RTD("tos.rtd",,DE$2,"."&amp;$A$2&amp;$AS$1&amp;"C"&amp;$A20))</f>
        <v>5.4</v>
      </c>
      <c r="DF20" s="3">
        <f>IF(RTD("tos.rtd",,DF$2,"."&amp;$A$2&amp;$AS$1&amp;"P"&amp;$A20)="N/A",0,RTD("tos.rtd",,DF$2,"."&amp;$A$2&amp;$AS$1&amp;"P"&amp;$A20))</f>
        <v>0</v>
      </c>
      <c r="DG20" s="86">
        <f t="shared" si="50"/>
        <v>-6.4099999999999682</v>
      </c>
      <c r="DH20" s="3">
        <f t="shared" si="5"/>
        <v>0</v>
      </c>
      <c r="DI20" s="3">
        <f t="shared" si="6"/>
        <v>0</v>
      </c>
      <c r="DJ20" s="3">
        <f t="shared" si="7"/>
        <v>0</v>
      </c>
      <c r="DK20" s="3">
        <f t="shared" si="8"/>
        <v>0</v>
      </c>
      <c r="DL20" s="3">
        <f t="shared" si="9"/>
        <v>0</v>
      </c>
      <c r="DM20" s="3">
        <f t="shared" si="10"/>
        <v>0</v>
      </c>
      <c r="DN20" s="63" t="str">
        <f t="shared" si="51"/>
        <v>UNKNOWN</v>
      </c>
      <c r="DO20" s="63" t="str">
        <f t="shared" si="52"/>
        <v>UNKNOWN</v>
      </c>
      <c r="DP20" s="3">
        <f t="shared" si="53"/>
        <v>0</v>
      </c>
      <c r="DQ20" s="3">
        <f t="shared" si="54"/>
        <v>0</v>
      </c>
      <c r="DR20" s="3">
        <f t="shared" ca="1" si="55"/>
        <v>0</v>
      </c>
      <c r="DS20" s="3">
        <f t="shared" si="56"/>
        <v>0</v>
      </c>
      <c r="DT20" s="3">
        <f t="shared" si="57"/>
        <v>0</v>
      </c>
      <c r="DU20" s="3">
        <f t="shared" si="58"/>
        <v>0</v>
      </c>
      <c r="DV20" s="3">
        <f t="shared" si="59"/>
        <v>-285</v>
      </c>
      <c r="DW20" s="3">
        <f t="shared" si="20"/>
        <v>9959</v>
      </c>
      <c r="DX20" s="3">
        <f t="shared" ca="1" si="21"/>
        <v>3.1404880587670222E-4</v>
      </c>
      <c r="DY20" s="3">
        <f t="shared" ca="1" si="22"/>
        <v>-2.7986545344820691E-2</v>
      </c>
      <c r="DZ20" s="3">
        <f t="shared" ca="1" si="23"/>
        <v>2.9744816453333423E-2</v>
      </c>
      <c r="EA20" s="3">
        <f t="shared" ca="1" si="24"/>
        <v>-2.90105811191348E-2</v>
      </c>
      <c r="EB20" s="3">
        <f t="shared" ca="1" si="25"/>
        <v>3.1127856432742317E-2</v>
      </c>
      <c r="EC20" s="3">
        <f t="shared" ca="1" si="26"/>
        <v>-3.0329117999327668E-2</v>
      </c>
      <c r="ED20" s="63">
        <f t="shared" si="60"/>
        <v>9674</v>
      </c>
      <c r="EE20" s="59">
        <f t="shared" si="61"/>
        <v>0.25</v>
      </c>
      <c r="EF20" s="59">
        <f t="shared" si="27"/>
        <v>0.57450000000000001</v>
      </c>
      <c r="EG20" s="59">
        <f t="shared" si="28"/>
        <v>0.1749</v>
      </c>
      <c r="EH20" s="59">
        <f t="shared" si="29"/>
        <v>0.18179999999999999</v>
      </c>
      <c r="EI20" s="59">
        <f t="shared" si="30"/>
        <v>0.16220000000000001</v>
      </c>
      <c r="EJ20" s="59">
        <f t="shared" si="31"/>
        <v>0.16950000000000001</v>
      </c>
      <c r="EK20" s="63">
        <f t="shared" ca="1" si="62"/>
        <v>-97847386.01844646</v>
      </c>
      <c r="EL20" s="3" t="str">
        <f>RTD("tos.rtd",,EL$2,"."&amp;$A$2&amp;$AS$1&amp;"C"&amp;$A20)</f>
        <v>--</v>
      </c>
      <c r="EM20" s="3" t="str">
        <f>RTD("tos.rtd",,EM$2,"."&amp;$A$2&amp;$AS$1&amp;"P"&amp;$A20)</f>
        <v>57.45%</v>
      </c>
      <c r="EN20" s="3" t="str">
        <f>RTD("tos.rtd",,EN$2,"."&amp;$A$2&amp;$AU$1&amp;"C"&amp;$A20)</f>
        <v>17.49%</v>
      </c>
      <c r="EO20" s="3" t="str">
        <f>RTD("tos.rtd",,EO$2,"."&amp;$A$2&amp;$AU$1&amp;"P"&amp;$A20)</f>
        <v>18.18%</v>
      </c>
      <c r="EP20" s="3" t="str">
        <f>RTD("tos.rtd",,EP$2,"."&amp;$A$2&amp;$AW$1&amp;"C"&amp;$A20)</f>
        <v>16.22%</v>
      </c>
      <c r="EQ20" s="3" t="str">
        <f>RTD("tos.rtd",,EQ$2,"."&amp;$A$2&amp;$AW$1&amp;"P"&amp;$A20)</f>
        <v>16.95%</v>
      </c>
      <c r="ES20" s="63" t="str">
        <f t="shared" si="63"/>
        <v>586,9674.00</v>
      </c>
      <c r="ET20" s="63" t="str">
        <f t="shared" ca="1" si="64"/>
        <v>586,-479425.28</v>
      </c>
      <c r="EU20" s="67">
        <v>593.52</v>
      </c>
      <c r="EV20" s="67" t="s">
        <v>180</v>
      </c>
      <c r="EW20" s="67">
        <v>520.09</v>
      </c>
      <c r="EX20" s="67" t="s">
        <v>181</v>
      </c>
      <c r="EY20" s="67">
        <v>5945.25</v>
      </c>
      <c r="EZ20" s="67" t="s">
        <v>182</v>
      </c>
      <c r="FA20" s="67">
        <v>21348</v>
      </c>
      <c r="FB20" s="67" t="s">
        <v>183</v>
      </c>
      <c r="FC20" s="67" t="s">
        <v>184</v>
      </c>
      <c r="FD20" s="67" t="s">
        <v>185</v>
      </c>
      <c r="FE20" s="68" t="s">
        <v>186</v>
      </c>
      <c r="FF20" s="68" t="s">
        <v>187</v>
      </c>
    </row>
    <row r="21" spans="1:162" s="63" customFormat="1" ht="13.5" thickBot="1" x14ac:dyDescent="0.25">
      <c r="A21" s="2">
        <f t="shared" si="65"/>
        <v>585</v>
      </c>
      <c r="B21" s="33">
        <f t="shared" si="13"/>
        <v>10730</v>
      </c>
      <c r="C21" s="33">
        <f t="shared" si="14"/>
        <v>29473</v>
      </c>
      <c r="D21" s="33">
        <f t="shared" si="15"/>
        <v>54435</v>
      </c>
      <c r="E21" s="33">
        <f t="shared" si="16"/>
        <v>94638</v>
      </c>
      <c r="F21" s="34">
        <f t="shared" si="17"/>
        <v>5880.7603686635948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19</v>
      </c>
      <c r="AN21" s="12">
        <v>-8723</v>
      </c>
      <c r="AO21" s="12">
        <v>585</v>
      </c>
      <c r="AP21" s="12">
        <v>2375</v>
      </c>
      <c r="AQ21" s="12">
        <v>-41405</v>
      </c>
      <c r="AR21" s="12"/>
      <c r="AS21" s="13">
        <f>IF(RTD("tos.rtd",,AS$2,"."&amp;$A$2&amp;$AS$1&amp;"C"&amp;$A21)="N/A",0,RTD("tos.rtd",,AS$2,"."&amp;$A$2&amp;$AS$1&amp;"C"&amp;$A21))</f>
        <v>1368</v>
      </c>
      <c r="AT21" s="29">
        <f>-IF(RTD("tos.rtd",,AT$2,"."&amp;$A$2&amp;$AS$1&amp;"P"&amp;$A21)="N/A",0,RTD("tos.rtd",,AT$2,"."&amp;$A$2&amp;$AS$1&amp;"P"&amp;$A21))</f>
        <v>-9362</v>
      </c>
      <c r="AU21" s="13">
        <f>IF(RTD("tos.rtd",,AU$2,"."&amp;$A$2&amp;$AU$1&amp;"C"&amp;$A21)="N/A",0,RTD("tos.rtd",,AU$2,"."&amp;$A$2&amp;$AU$1&amp;"C"&amp;$A21))</f>
        <v>12440</v>
      </c>
      <c r="AV21" s="29">
        <f>-IF(RTD("tos.rtd",,AV$2,"."&amp;$A$2&amp;$AU$1&amp;"P"&amp;$A21)="N/A",0,RTD("tos.rtd",,AV$2,"."&amp;$A$2&amp;$AU$1&amp;"P"&amp;$A21))</f>
        <v>-17033</v>
      </c>
      <c r="AW21" s="13">
        <f>IF(RTD("tos.rtd",,AW$2,"."&amp;$A$2&amp;$AW$1&amp;"C"&amp;$A21)="N/A",0,RTD("tos.rtd",,AW$2,"."&amp;$A$2&amp;$AW$1&amp;"C"&amp;$A21))</f>
        <v>27033</v>
      </c>
      <c r="AX21" s="29">
        <f>-IF(RTD("tos.rtd",,AX$2,"."&amp;$A$2&amp;$AW$1&amp;"P"&amp;$A21)="N/A",0,RTD("tos.rtd",,AX$2,"."&amp;$A$2&amp;$AW$1&amp;"P"&amp;$A21))</f>
        <v>-27402</v>
      </c>
      <c r="AY21" s="1">
        <f t="shared" si="66"/>
        <v>-12956</v>
      </c>
      <c r="AZ21" s="8">
        <f t="shared" si="32"/>
        <v>585</v>
      </c>
      <c r="BA21" s="13">
        <f>IF(RTD("tos.rtd",,BA$2,"."&amp;$A$2&amp;$AS$1&amp;"C"&amp;$A21)="N/A",0,RTD("tos.rtd",,BA$2,"."&amp;$A$2&amp;$AS$1&amp;"C"&amp;$A21))</f>
        <v>2375</v>
      </c>
      <c r="BB21" s="29">
        <f>-IF(RTD("tos.rtd",,BB$2,"."&amp;$A$2&amp;$AS$1&amp;"P"&amp;$A21)="N/A",0,RTD("tos.rtd",,BB$2,"."&amp;$A$2&amp;$AS$1&amp;"P"&amp;$A21))</f>
        <v>-41405</v>
      </c>
      <c r="BC21" s="13">
        <f>IF(RTD("tos.rtd",,BC$2,"."&amp;$A$2&amp;$AU$1&amp;"C"&amp;$A21)="N/A",0,RTD("tos.rtd",,BC$2,"."&amp;$A$2&amp;$AU$1&amp;"C"&amp;$A21))</f>
        <v>927</v>
      </c>
      <c r="BD21" s="29">
        <f>-IF(RTD("tos.rtd",,BD$2,"."&amp;$A$2&amp;$AU$1&amp;"P"&amp;$A21)="N/A",0,RTD("tos.rtd",,BD$2,"."&amp;$A$2&amp;$AU$1&amp;"P"&amp;$A21))</f>
        <v>-33731</v>
      </c>
      <c r="BE21" s="13">
        <f>IF(RTD("tos.rtd",,BE$2,"."&amp;$A$2&amp;$AW$1&amp;"C"&amp;$A21)="N/A",0,RTD("tos.rtd",,BE$2,"."&amp;$A$2&amp;$AW$1&amp;"C"&amp;$A21))</f>
        <v>1148</v>
      </c>
      <c r="BF21" s="12">
        <f>-IF(RTD("tos.rtd",,BF$2,"."&amp;$A$2&amp;$AW$1&amp;"P"&amp;$A21)="N/A",0,RTD("tos.rtd",,BF$2,"."&amp;$A$2&amp;$AW$1&amp;"P"&amp;$A21))</f>
        <v>-5434</v>
      </c>
      <c r="BG21" s="100">
        <f ca="1">+Hoja2!Y22</f>
        <v>-62889</v>
      </c>
      <c r="BH21" s="29">
        <f t="shared" ca="1" si="33"/>
        <v>-139009</v>
      </c>
      <c r="BI21" s="8" t="str">
        <f t="shared" ca="1" si="34"/>
        <v/>
      </c>
      <c r="BJ21" s="3">
        <f ca="1">IF($BP$1=1,DX21,IF(RTD("tos.rtd",,BJ$2,"."&amp;$A$2&amp;$AS$1&amp;"C"&amp;$A21)="N/A",0,RTD("tos.rtd",,BJ$2,"."&amp;$A$2&amp;$AS$1&amp;"C"&amp;$A21)))</f>
        <v>3.4016631910337195E-5</v>
      </c>
      <c r="BK21" s="3">
        <f ca="1">IF($BP$1=1,DY21,-IF(RTD("tos.rtd",,BK$2,"."&amp;$A$2&amp;$AS$1&amp;"P"&amp;$A21)="N/A",0,RTD("tos.rtd",,BK$2,"."&amp;$A$2&amp;$AS$1&amp;"P"&amp;$A21)))</f>
        <v>-2.3576103172493958E-2</v>
      </c>
      <c r="BL21" s="3">
        <f ca="1">IF($BP$1=1,DZ21,IF(RTD("tos.rtd",,BL$2,"."&amp;$A$2&amp;$AU$1&amp;"C"&amp;$A21)="N/A",0,RTD("tos.rtd",,BL$2,"."&amp;$A$2&amp;$AU$1&amp;"C"&amp;$A21)))</f>
        <v>2.7830272270989664E-2</v>
      </c>
      <c r="BM21" s="3">
        <f ca="1">IF($BP$1=1,EA21,-IF(RTD("tos.rtd",,BM$2,"."&amp;$A$2&amp;$AU$1&amp;"P"&amp;$A21)="N/A",0,RTD("tos.rtd",,BM$2,"."&amp;$A$2&amp;$AU$1&amp;"P"&amp;$A21)))</f>
        <v>-2.7192646024474146E-2</v>
      </c>
      <c r="BN21" s="3">
        <f ca="1">IF($BP$1=1,EB21,IF(RTD("tos.rtd",,BN$2,"."&amp;$A$2&amp;$AW$1&amp;"C"&amp;$A21)="N/A",0,RTD("tos.rtd",,BN$2,"."&amp;$A$2&amp;$AW$1&amp;"C"&amp;$A21)))</f>
        <v>2.8905865672594788E-2</v>
      </c>
      <c r="BO21" s="3">
        <f ca="1">IF($BP$1=1,EC21,-IF(RTD("tos.rtd",,BO$2,"."&amp;$A$2&amp;$AW$1&amp;"P"&amp;$A21)="N/A",0,RTD("tos.rtd",,BO$2,"."&amp;$A$2&amp;$AW$1&amp;"P"&amp;$A21)))</f>
        <v>-2.8321951929208174E-2</v>
      </c>
      <c r="BQ21" s="3">
        <f t="shared" ca="1" si="35"/>
        <v>-77445082.916216865</v>
      </c>
      <c r="BR21" s="3" t="str">
        <f t="shared" ca="1" si="67"/>
        <v/>
      </c>
      <c r="BS21" s="3">
        <f t="shared" ca="1" si="36"/>
        <v>-41048383.166269764</v>
      </c>
      <c r="BT21" s="3" t="str">
        <f t="shared" ca="1" si="67"/>
        <v/>
      </c>
      <c r="BU21" s="3">
        <f t="shared" ca="1" si="37"/>
        <v>1872014.32959795</v>
      </c>
      <c r="BV21" s="3" t="str">
        <f t="shared" ca="1" si="38"/>
        <v/>
      </c>
      <c r="BX21" s="3">
        <f t="shared" ca="1" si="39"/>
        <v>-342557617.67015821</v>
      </c>
      <c r="BY21" s="3" t="str">
        <f t="shared" ca="1" si="68"/>
        <v/>
      </c>
      <c r="BZ21" s="3">
        <f t="shared" ca="1" si="40"/>
        <v>-312849283.53238219</v>
      </c>
      <c r="CA21" s="3" t="str">
        <f t="shared" ca="1" si="69"/>
        <v/>
      </c>
      <c r="CB21" s="3">
        <f t="shared" ca="1" si="41"/>
        <v>-42365777.913045034</v>
      </c>
      <c r="CC21" s="3" t="str">
        <f t="shared" ca="1" si="70"/>
        <v/>
      </c>
      <c r="CD21" s="3">
        <f>IF(RTD("tos.rtd",,CD$2,"."&amp;$A$2&amp;$AS$1&amp;"C"&amp;$A21)="N/A",0,RTD("tos.rtd",,CD$2,"."&amp;$A$2&amp;$AS$1&amp;"C"&amp;$A21))</f>
        <v>1</v>
      </c>
      <c r="CE21" s="3">
        <f>-IF(RTD("tos.rtd",,CE$2,"."&amp;$A$2&amp;$AS$1&amp;"P"&amp;$A21)="N/A",0,RTD("tos.rtd",,CE$2,"."&amp;$A$2&amp;$AS$1&amp;"P"&amp;$A21))</f>
        <v>0.01</v>
      </c>
      <c r="CF21" s="3">
        <f>IF(RTD("tos.rtd",,CF$2,"."&amp;$A$2&amp;$AU$1&amp;"C"&amp;$A21)="N/A",0,RTD("tos.rtd",,CF$2,"."&amp;$A$2&amp;$AU$1&amp;"C"&amp;$A21))</f>
        <v>0.79</v>
      </c>
      <c r="CG21" s="3">
        <f>-IF(RTD("tos.rtd",,CG$2,"."&amp;$A$2&amp;$AU$1&amp;"P"&amp;$A21)="N/A",0,RTD("tos.rtd",,CG$2,"."&amp;$A$2&amp;$AU$1&amp;"P"&amp;$A21))</f>
        <v>0.22</v>
      </c>
      <c r="CH21" s="3">
        <f>IF(RTD("tos.rtd",,CH$2,"."&amp;$A$2&amp;$AW$1&amp;"C"&amp;$A21)="N/A",0,RTD("tos.rtd",,CH$2,"."&amp;$A$2&amp;$AW$1&amp;"C"&amp;$A21))</f>
        <v>0.64</v>
      </c>
      <c r="CI21" s="3">
        <f>-IF(RTD("tos.rtd",,CI$2,"."&amp;$A$2&amp;$AW$1&amp;"P"&amp;$A21)="N/A",0,RTD("tos.rtd",,CI$2,"."&amp;$A$2&amp;$AW$1&amp;"P"&amp;$A21))</f>
        <v>0.37</v>
      </c>
      <c r="CK21" s="3">
        <f t="shared" si="42"/>
        <v>75495545.579999998</v>
      </c>
      <c r="CL21" s="3"/>
      <c r="CM21" s="3">
        <f t="shared" si="43"/>
        <v>360205421.94000006</v>
      </c>
      <c r="CN21" s="3"/>
      <c r="CO21" s="3">
        <f t="shared" si="44"/>
        <v>424306553.58000004</v>
      </c>
      <c r="CP21" s="3">
        <f t="shared" si="45"/>
        <v>860007521.10000014</v>
      </c>
      <c r="CQ21" s="3">
        <f t="shared" si="46"/>
        <v>-39030</v>
      </c>
      <c r="CR21" s="3"/>
      <c r="CS21" s="3">
        <f t="shared" si="18"/>
        <v>-32804</v>
      </c>
      <c r="CT21" s="3"/>
      <c r="CU21" s="3">
        <f t="shared" si="19"/>
        <v>-4286</v>
      </c>
      <c r="CV21" s="3">
        <f t="shared" si="47"/>
        <v>-76120</v>
      </c>
      <c r="CW21" s="3">
        <f t="shared" ca="1" si="48"/>
        <v>-116621451.75288868</v>
      </c>
      <c r="CX21" s="85" t="str">
        <f t="shared" ca="1" si="71"/>
        <v/>
      </c>
      <c r="CY21" s="3">
        <f t="shared" ca="1" si="49"/>
        <v>-697772679.11558545</v>
      </c>
      <c r="CZ21" s="85" t="str">
        <f t="shared" ca="1" si="72"/>
        <v/>
      </c>
      <c r="DA21" s="3">
        <f>IF(RTD("tos.rtd",,DA$2,"."&amp;$A$2&amp;$AS$1&amp;"C"&amp;$A21)="N/A",0,RTD("tos.rtd",,DA$2,"."&amp;$A$2&amp;$AS$1&amp;"C"&amp;$A21))</f>
        <v>7.16</v>
      </c>
      <c r="DB21" s="3">
        <f>IF(RTD("tos.rtd",,DB$2,"."&amp;$A$2&amp;$AS$1&amp;"P"&amp;$A21)="N/A",0,RTD("tos.rtd",,DB$2,"."&amp;$A$2&amp;$AS$1&amp;"P"&amp;$A21))</f>
        <v>0.01</v>
      </c>
      <c r="DC21" s="3">
        <f>IF(RTD("tos.rtd",,DC$2,"."&amp;$A$2&amp;$AS$1&amp;"C"&amp;$A21)="N/A",0,RTD("tos.rtd",,DC$2,"."&amp;$A$2&amp;$AS$1&amp;"C"&amp;$A21))</f>
        <v>8.1</v>
      </c>
      <c r="DD21" s="3">
        <f>IF(RTD("tos.rtd",,DD$2,"."&amp;$A$2&amp;$AS$1&amp;"P"&amp;$A21)="N/A",0,RTD("tos.rtd",,DD$2,"."&amp;$A$2&amp;$AS$1&amp;"P"&amp;$A21))</f>
        <v>0.01</v>
      </c>
      <c r="DE21" s="3">
        <f>IF(RTD("tos.rtd",,DE$2,"."&amp;$A$2&amp;$AS$1&amp;"C"&amp;$A21)="N/A",0,RTD("tos.rtd",,DE$2,"."&amp;$A$2&amp;$AS$1&amp;"C"&amp;$A21))</f>
        <v>6.39</v>
      </c>
      <c r="DF21" s="3">
        <f>IF(RTD("tos.rtd",,DF$2,"."&amp;$A$2&amp;$AS$1&amp;"P"&amp;$A21)="N/A",0,RTD("tos.rtd",,DF$2,"."&amp;$A$2&amp;$AS$1&amp;"P"&amp;$A21))</f>
        <v>0</v>
      </c>
      <c r="DG21" s="86">
        <f t="shared" si="50"/>
        <v>-7.4099999999999682</v>
      </c>
      <c r="DH21" s="3">
        <f t="shared" si="5"/>
        <v>0</v>
      </c>
      <c r="DI21" s="3">
        <f t="shared" si="6"/>
        <v>0</v>
      </c>
      <c r="DJ21" s="3">
        <f t="shared" si="7"/>
        <v>0</v>
      </c>
      <c r="DK21" s="3">
        <f t="shared" si="8"/>
        <v>0</v>
      </c>
      <c r="DL21" s="3">
        <f t="shared" si="9"/>
        <v>0</v>
      </c>
      <c r="DM21" s="3">
        <f t="shared" si="10"/>
        <v>0</v>
      </c>
      <c r="DN21" s="63" t="str">
        <f t="shared" si="51"/>
        <v>UNKNOWN</v>
      </c>
      <c r="DO21" s="63" t="str">
        <f t="shared" si="52"/>
        <v>UNKNOWN</v>
      </c>
      <c r="DP21" s="3">
        <f t="shared" si="53"/>
        <v>0</v>
      </c>
      <c r="DQ21" s="3">
        <f t="shared" si="54"/>
        <v>0</v>
      </c>
      <c r="DR21" s="3">
        <f t="shared" ca="1" si="55"/>
        <v>0</v>
      </c>
      <c r="DS21" s="3">
        <f t="shared" si="56"/>
        <v>0</v>
      </c>
      <c r="DT21" s="3">
        <f t="shared" si="57"/>
        <v>0</v>
      </c>
      <c r="DU21" s="3">
        <f t="shared" si="58"/>
        <v>0</v>
      </c>
      <c r="DV21" s="3">
        <f t="shared" si="59"/>
        <v>19</v>
      </c>
      <c r="DW21" s="3">
        <f t="shared" si="20"/>
        <v>-8723</v>
      </c>
      <c r="DX21" s="3">
        <f t="shared" ca="1" si="21"/>
        <v>3.4016631910337195E-5</v>
      </c>
      <c r="DY21" s="3">
        <f t="shared" ca="1" si="22"/>
        <v>-2.3576103172493958E-2</v>
      </c>
      <c r="DZ21" s="3">
        <f t="shared" ca="1" si="23"/>
        <v>2.7830272270989664E-2</v>
      </c>
      <c r="EA21" s="3">
        <f t="shared" ca="1" si="24"/>
        <v>-2.7192646024474146E-2</v>
      </c>
      <c r="EB21" s="3">
        <f t="shared" ca="1" si="25"/>
        <v>2.8905865672594788E-2</v>
      </c>
      <c r="EC21" s="3">
        <f t="shared" ca="1" si="26"/>
        <v>-2.8321951929208174E-2</v>
      </c>
      <c r="ED21" s="63">
        <f t="shared" si="60"/>
        <v>-8704</v>
      </c>
      <c r="EE21" s="59">
        <f t="shared" si="61"/>
        <v>0.25</v>
      </c>
      <c r="EF21" s="59">
        <f t="shared" si="27"/>
        <v>0.65390000000000004</v>
      </c>
      <c r="EG21" s="59">
        <f t="shared" si="28"/>
        <v>0.17699999999999999</v>
      </c>
      <c r="EH21" s="59">
        <f t="shared" si="29"/>
        <v>0.1847</v>
      </c>
      <c r="EI21" s="59">
        <f t="shared" si="30"/>
        <v>0.16370000000000001</v>
      </c>
      <c r="EJ21" s="59">
        <f t="shared" si="31"/>
        <v>0.17100000000000001</v>
      </c>
      <c r="EK21" s="63">
        <f t="shared" ca="1" si="62"/>
        <v>72174539.649767801</v>
      </c>
      <c r="EL21" s="3" t="str">
        <f>RTD("tos.rtd",,EL$2,"."&amp;$A$2&amp;$AS$1&amp;"C"&amp;$A21)</f>
        <v>--</v>
      </c>
      <c r="EM21" s="3" t="str">
        <f>RTD("tos.rtd",,EM$2,"."&amp;$A$2&amp;$AS$1&amp;"P"&amp;$A21)</f>
        <v>65.39%</v>
      </c>
      <c r="EN21" s="3" t="str">
        <f>RTD("tos.rtd",,EN$2,"."&amp;$A$2&amp;$AU$1&amp;"C"&amp;$A21)</f>
        <v>17.70%</v>
      </c>
      <c r="EO21" s="3" t="str">
        <f>RTD("tos.rtd",,EO$2,"."&amp;$A$2&amp;$AU$1&amp;"P"&amp;$A21)</f>
        <v>18.47%</v>
      </c>
      <c r="EP21" s="3" t="str">
        <f>RTD("tos.rtd",,EP$2,"."&amp;$A$2&amp;$AW$1&amp;"C"&amp;$A21)</f>
        <v>16.37%</v>
      </c>
      <c r="EQ21" s="3" t="str">
        <f>RTD("tos.rtd",,EQ$2,"."&amp;$A$2&amp;$AW$1&amp;"P"&amp;$A21)</f>
        <v>17.10%</v>
      </c>
      <c r="ES21" s="63" t="str">
        <f t="shared" si="63"/>
        <v>585,-8704.00</v>
      </c>
      <c r="ET21" s="63" t="str">
        <f t="shared" ca="1" si="64"/>
        <v>585,-697772.68</v>
      </c>
      <c r="EU21" s="67">
        <v>593.49</v>
      </c>
      <c r="EV21" s="67" t="s">
        <v>188</v>
      </c>
      <c r="EW21" s="67">
        <v>520.04</v>
      </c>
      <c r="EX21" s="67" t="s">
        <v>189</v>
      </c>
      <c r="EY21" s="67">
        <v>5945.25</v>
      </c>
      <c r="EZ21" s="67" t="s">
        <v>190</v>
      </c>
      <c r="FA21" s="67">
        <v>21346</v>
      </c>
      <c r="FB21" s="67" t="s">
        <v>191</v>
      </c>
      <c r="FC21" s="67" t="s">
        <v>192</v>
      </c>
      <c r="FD21" s="67" t="s">
        <v>193</v>
      </c>
      <c r="FE21" s="68" t="s">
        <v>194</v>
      </c>
      <c r="FF21" s="68" t="s">
        <v>195</v>
      </c>
    </row>
    <row r="22" spans="1:162" s="63" customFormat="1" ht="13.5" thickBot="1" x14ac:dyDescent="0.25">
      <c r="A22" s="2">
        <f t="shared" si="65"/>
        <v>584</v>
      </c>
      <c r="B22" s="3">
        <f t="shared" si="13"/>
        <v>4034</v>
      </c>
      <c r="C22" s="3">
        <f t="shared" si="14"/>
        <v>4430</v>
      </c>
      <c r="D22" s="3">
        <f t="shared" si="15"/>
        <v>1858</v>
      </c>
      <c r="E22" s="3">
        <f t="shared" si="16"/>
        <v>10322</v>
      </c>
      <c r="F22" s="14">
        <f t="shared" si="17"/>
        <v>5870.7077868368187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-21</v>
      </c>
      <c r="AN22" s="1">
        <v>-321</v>
      </c>
      <c r="AO22" s="1">
        <v>584</v>
      </c>
      <c r="AP22" s="1">
        <v>843</v>
      </c>
      <c r="AQ22" s="1">
        <v>-12617</v>
      </c>
      <c r="AR22" s="1"/>
      <c r="AS22" s="6">
        <f>IF(RTD("tos.rtd",,AS$2,"."&amp;$A$2&amp;$AS$1&amp;"C"&amp;$A22)="N/A",0,RTD("tos.rtd",,AS$2,"."&amp;$A$2&amp;$AS$1&amp;"C"&amp;$A22))</f>
        <v>369</v>
      </c>
      <c r="AT22" s="7">
        <f>-IF(RTD("tos.rtd",,AT$2,"."&amp;$A$2&amp;$AS$1&amp;"P"&amp;$A22)="N/A",0,RTD("tos.rtd",,AT$2,"."&amp;$A$2&amp;$AS$1&amp;"P"&amp;$A22))</f>
        <v>-3665</v>
      </c>
      <c r="AU22" s="6">
        <f>IF(RTD("tos.rtd",,AU$2,"."&amp;$A$2&amp;$AU$1&amp;"C"&amp;$A22)="N/A",0,RTD("tos.rtd",,AU$2,"."&amp;$A$2&amp;$AU$1&amp;"C"&amp;$A22))</f>
        <v>1938</v>
      </c>
      <c r="AV22" s="7">
        <f>-IF(RTD("tos.rtd",,AV$2,"."&amp;$A$2&amp;$AU$1&amp;"P"&amp;$A22)="N/A",0,RTD("tos.rtd",,AV$2,"."&amp;$A$2&amp;$AU$1&amp;"P"&amp;$A22))</f>
        <v>-2492</v>
      </c>
      <c r="AW22" s="6">
        <f>IF(RTD("tos.rtd",,AW$2,"."&amp;$A$2&amp;$AW$1&amp;"C"&amp;$A22)="N/A",0,RTD("tos.rtd",,AW$2,"."&amp;$A$2&amp;$AW$1&amp;"C"&amp;$A22))</f>
        <v>916</v>
      </c>
      <c r="AX22" s="7">
        <f>-IF(RTD("tos.rtd",,AX$2,"."&amp;$A$2&amp;$AW$1&amp;"P"&amp;$A22)="N/A",0,RTD("tos.rtd",,AX$2,"."&amp;$A$2&amp;$AW$1&amp;"P"&amp;$A22))</f>
        <v>-942</v>
      </c>
      <c r="AY22" s="1">
        <f t="shared" si="66"/>
        <v>-3876</v>
      </c>
      <c r="AZ22" s="8">
        <f t="shared" si="32"/>
        <v>584</v>
      </c>
      <c r="BA22" s="6">
        <f>IF(RTD("tos.rtd",,BA$2,"."&amp;$A$2&amp;$AS$1&amp;"C"&amp;$A22)="N/A",0,RTD("tos.rtd",,BA$2,"."&amp;$A$2&amp;$AS$1&amp;"C"&amp;$A22))</f>
        <v>843</v>
      </c>
      <c r="BB22" s="7">
        <f>-IF(RTD("tos.rtd",,BB$2,"."&amp;$A$2&amp;$AS$1&amp;"P"&amp;$A22)="N/A",0,RTD("tos.rtd",,BB$2,"."&amp;$A$2&amp;$AS$1&amp;"P"&amp;$A22))</f>
        <v>-12617</v>
      </c>
      <c r="BC22" s="6">
        <f>IF(RTD("tos.rtd",,BC$2,"."&amp;$A$2&amp;$AU$1&amp;"C"&amp;$A22)="N/A",0,RTD("tos.rtd",,BC$2,"."&amp;$A$2&amp;$AU$1&amp;"C"&amp;$A22))</f>
        <v>1146</v>
      </c>
      <c r="BD22" s="7">
        <f>-IF(RTD("tos.rtd",,BD$2,"."&amp;$A$2&amp;$AU$1&amp;"P"&amp;$A22)="N/A",0,RTD("tos.rtd",,BD$2,"."&amp;$A$2&amp;$AU$1&amp;"P"&amp;$A22))</f>
        <v>-3504</v>
      </c>
      <c r="BE22" s="6">
        <f>IF(RTD("tos.rtd",,BE$2,"."&amp;$A$2&amp;$AW$1&amp;"C"&amp;$A22)="N/A",0,RTD("tos.rtd",,BE$2,"."&amp;$A$2&amp;$AW$1&amp;"C"&amp;$A22))</f>
        <v>232</v>
      </c>
      <c r="BF22" s="83">
        <f>-IF(RTD("tos.rtd",,BF$2,"."&amp;$A$2&amp;$AW$1&amp;"P"&amp;$A22)="N/A",0,RTD("tos.rtd",,BF$2,"."&amp;$A$2&amp;$AW$1&amp;"P"&amp;$A22))</f>
        <v>-607</v>
      </c>
      <c r="BG22" s="32">
        <f ca="1">+Hoja2!Y23</f>
        <v>-13522</v>
      </c>
      <c r="BH22" s="7">
        <f t="shared" ca="1" si="33"/>
        <v>-28029</v>
      </c>
      <c r="BI22" s="8" t="str">
        <f t="shared" ca="1" si="34"/>
        <v/>
      </c>
      <c r="BJ22" s="3">
        <f ca="1">IF($BP$1=1,DX22,IF(RTD("tos.rtd",,BJ$2,"."&amp;$A$2&amp;$AS$1&amp;"C"&amp;$A22)="N/A",0,RTD("tos.rtd",,BJ$2,"."&amp;$A$2&amp;$AS$1&amp;"C"&amp;$A22)))</f>
        <v>2.6545119898766379E-6</v>
      </c>
      <c r="BK22" s="3">
        <f ca="1">IF($BP$1=1,DY22,-IF(RTD("tos.rtd",,BK$2,"."&amp;$A$2&amp;$AS$1&amp;"P"&amp;$A22)="N/A",0,RTD("tos.rtd",,BK$2,"."&amp;$A$2&amp;$AS$1&amp;"P"&amp;$A22)))</f>
        <v>-2.0281682330239203E-2</v>
      </c>
      <c r="BL22" s="3">
        <f ca="1">IF($BP$1=1,DZ22,IF(RTD("tos.rtd",,BL$2,"."&amp;$A$2&amp;$AU$1&amp;"C"&amp;$A22)="N/A",0,RTD("tos.rtd",,BL$2,"."&amp;$A$2&amp;$AU$1&amp;"C"&amp;$A22)))</f>
        <v>2.5946751139994388E-2</v>
      </c>
      <c r="BM22" s="3">
        <f ca="1">IF($BP$1=1,EA22,-IF(RTD("tos.rtd",,BM$2,"."&amp;$A$2&amp;$AU$1&amp;"P"&amp;$A22)="N/A",0,RTD("tos.rtd",,BM$2,"."&amp;$A$2&amp;$AU$1&amp;"P"&amp;$A22)))</f>
        <v>-2.5422476222789096E-2</v>
      </c>
      <c r="BN22" s="3">
        <f ca="1">IF($BP$1=1,EB22,IF(RTD("tos.rtd",,BN$2,"."&amp;$A$2&amp;$AW$1&amp;"C"&amp;$A22)="N/A",0,RTD("tos.rtd",,BN$2,"."&amp;$A$2&amp;$AW$1&amp;"C"&amp;$A22)))</f>
        <v>2.6644703105617455E-2</v>
      </c>
      <c r="BO22" s="3">
        <f ca="1">IF($BP$1=1,EC22,-IF(RTD("tos.rtd",,BO$2,"."&amp;$A$2&amp;$AW$1&amp;"P"&amp;$A22)="N/A",0,RTD("tos.rtd",,BO$2,"."&amp;$A$2&amp;$AW$1&amp;"P"&amp;$A22)))</f>
        <v>-2.6275337165721321E-2</v>
      </c>
      <c r="BQ22" s="3">
        <f t="shared" ca="1" si="35"/>
        <v>-26086570.865334712</v>
      </c>
      <c r="BR22" s="3" t="str">
        <f t="shared" ca="1" si="67"/>
        <v/>
      </c>
      <c r="BS22" s="3">
        <f t="shared" ca="1" si="36"/>
        <v>-4586211.948592484</v>
      </c>
      <c r="BT22" s="3" t="str">
        <f t="shared" ca="1" si="67"/>
        <v/>
      </c>
      <c r="BU22" s="3">
        <f t="shared" ca="1" si="37"/>
        <v>-121014.2913296707</v>
      </c>
      <c r="BV22" s="3" t="str">
        <f t="shared" ca="1" si="38"/>
        <v>Cruce -</v>
      </c>
      <c r="BX22" s="3">
        <f t="shared" ca="1" si="39"/>
        <v>-89805108.749277726</v>
      </c>
      <c r="BY22" s="3" t="str">
        <f t="shared" ca="1" si="68"/>
        <v/>
      </c>
      <c r="BZ22" s="3">
        <f t="shared" ca="1" si="40"/>
        <v>-20827237.810806729</v>
      </c>
      <c r="CA22" s="3" t="str">
        <f t="shared" ca="1" si="69"/>
        <v/>
      </c>
      <c r="CB22" s="3">
        <f t="shared" ca="1" si="41"/>
        <v>-3427920.8413873003</v>
      </c>
      <c r="CC22" s="3" t="str">
        <f t="shared" ca="1" si="70"/>
        <v/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</v>
      </c>
      <c r="CF22" s="3">
        <f>IF(RTD("tos.rtd",,CF$2,"."&amp;$A$2&amp;$AU$1&amp;"C"&amp;$A22)="N/A",0,RTD("tos.rtd",,CF$2,"."&amp;$A$2&amp;$AU$1&amp;"C"&amp;$A22))</f>
        <v>0.82</v>
      </c>
      <c r="CG22" s="3">
        <f>-IF(RTD("tos.rtd",,CG$2,"."&amp;$A$2&amp;$AU$1&amp;"P"&amp;$A22)="N/A",0,RTD("tos.rtd",,CG$2,"."&amp;$A$2&amp;$AU$1&amp;"P"&amp;$A22))</f>
        <v>0.19</v>
      </c>
      <c r="CH22" s="3">
        <f>IF(RTD("tos.rtd",,CH$2,"."&amp;$A$2&amp;$AW$1&amp;"C"&amp;$A22)="N/A",0,RTD("tos.rtd",,CH$2,"."&amp;$A$2&amp;$AW$1&amp;"C"&amp;$A22))</f>
        <v>0.65</v>
      </c>
      <c r="CI22" s="3">
        <f>-IF(RTD("tos.rtd",,CI$2,"."&amp;$A$2&amp;$AW$1&amp;"P"&amp;$A22)="N/A",0,RTD("tos.rtd",,CI$2,"."&amp;$A$2&amp;$AW$1&amp;"P"&amp;$A22))</f>
        <v>0.36</v>
      </c>
      <c r="CK22" s="3">
        <f t="shared" si="42"/>
        <v>21859929</v>
      </c>
      <c r="CL22" s="3"/>
      <c r="CM22" s="3">
        <f t="shared" si="43"/>
        <v>66093998.880000003</v>
      </c>
      <c r="CN22" s="3"/>
      <c r="CO22" s="3">
        <f t="shared" si="44"/>
        <v>15182283.48</v>
      </c>
      <c r="CP22" s="3">
        <f t="shared" si="45"/>
        <v>103136211.36</v>
      </c>
      <c r="CQ22" s="3">
        <f t="shared" si="46"/>
        <v>-11774</v>
      </c>
      <c r="CR22" s="3"/>
      <c r="CS22" s="3">
        <f t="shared" si="18"/>
        <v>-2358</v>
      </c>
      <c r="CT22" s="3"/>
      <c r="CU22" s="3">
        <f t="shared" si="19"/>
        <v>-375</v>
      </c>
      <c r="CV22" s="3">
        <f t="shared" si="47"/>
        <v>-14507</v>
      </c>
      <c r="CW22" s="3">
        <f t="shared" ca="1" si="48"/>
        <v>-30793797.105256867</v>
      </c>
      <c r="CX22" s="85" t="str">
        <f t="shared" ca="1" si="71"/>
        <v/>
      </c>
      <c r="CY22" s="3">
        <f t="shared" ca="1" si="49"/>
        <v>-114060267.40147176</v>
      </c>
      <c r="CZ22" s="85" t="str">
        <f t="shared" ca="1" si="72"/>
        <v/>
      </c>
      <c r="DA22" s="3">
        <f>IF(RTD("tos.rtd",,DA$2,"."&amp;$A$2&amp;$AS$1&amp;"C"&amp;$A22)="N/A",0,RTD("tos.rtd",,DA$2,"."&amp;$A$2&amp;$AS$1&amp;"C"&amp;$A22))</f>
        <v>8.1300000000000008</v>
      </c>
      <c r="DB22" s="3">
        <f>IF(RTD("tos.rtd",,DB$2,"."&amp;$A$2&amp;$AS$1&amp;"P"&amp;$A22)="N/A",0,RTD("tos.rtd",,DB$2,"."&amp;$A$2&amp;$AS$1&amp;"P"&amp;$A22))</f>
        <v>0.01</v>
      </c>
      <c r="DC22" s="3">
        <f>IF(RTD("tos.rtd",,DC$2,"."&amp;$A$2&amp;$AS$1&amp;"C"&amp;$A22)="N/A",0,RTD("tos.rtd",,DC$2,"."&amp;$A$2&amp;$AS$1&amp;"C"&amp;$A22))</f>
        <v>9.0500000000000007</v>
      </c>
      <c r="DD22" s="3">
        <f>IF(RTD("tos.rtd",,DD$2,"."&amp;$A$2&amp;$AS$1&amp;"P"&amp;$A22)="N/A",0,RTD("tos.rtd",,DD$2,"."&amp;$A$2&amp;$AS$1&amp;"P"&amp;$A22))</f>
        <v>0.01</v>
      </c>
      <c r="DE22" s="3">
        <f>IF(RTD("tos.rtd",,DE$2,"."&amp;$A$2&amp;$AS$1&amp;"C"&amp;$A22)="N/A",0,RTD("tos.rtd",,DE$2,"."&amp;$A$2&amp;$AS$1&amp;"C"&amp;$A22))</f>
        <v>7.2</v>
      </c>
      <c r="DF22" s="3">
        <f>IF(RTD("tos.rtd",,DF$2,"."&amp;$A$2&amp;$AS$1&amp;"P"&amp;$A22)="N/A",0,RTD("tos.rtd",,DF$2,"."&amp;$A$2&amp;$AS$1&amp;"P"&amp;$A22))</f>
        <v>0</v>
      </c>
      <c r="DG22" s="86">
        <f t="shared" si="50"/>
        <v>-8.4099999999999682</v>
      </c>
      <c r="DH22" s="3">
        <f t="shared" si="5"/>
        <v>0</v>
      </c>
      <c r="DI22" s="3">
        <f t="shared" si="6"/>
        <v>0</v>
      </c>
      <c r="DJ22" s="3">
        <f t="shared" si="7"/>
        <v>0</v>
      </c>
      <c r="DK22" s="3">
        <f t="shared" si="8"/>
        <v>0</v>
      </c>
      <c r="DL22" s="3">
        <f t="shared" si="9"/>
        <v>0</v>
      </c>
      <c r="DM22" s="3">
        <f t="shared" si="10"/>
        <v>0</v>
      </c>
      <c r="DN22" s="63" t="str">
        <f t="shared" si="51"/>
        <v>UNKNOWN</v>
      </c>
      <c r="DO22" s="63" t="str">
        <f t="shared" si="52"/>
        <v>UNKNOWN</v>
      </c>
      <c r="DP22" s="3">
        <f t="shared" si="53"/>
        <v>0</v>
      </c>
      <c r="DQ22" s="3">
        <f t="shared" si="54"/>
        <v>0</v>
      </c>
      <c r="DR22" s="3">
        <f t="shared" ca="1" si="55"/>
        <v>0</v>
      </c>
      <c r="DS22" s="3">
        <f t="shared" si="56"/>
        <v>0</v>
      </c>
      <c r="DT22" s="3">
        <f t="shared" si="57"/>
        <v>0</v>
      </c>
      <c r="DU22" s="3">
        <f t="shared" si="58"/>
        <v>0</v>
      </c>
      <c r="DV22" s="3">
        <f t="shared" si="59"/>
        <v>-21</v>
      </c>
      <c r="DW22" s="3">
        <f t="shared" si="20"/>
        <v>-321</v>
      </c>
      <c r="DX22" s="3">
        <f t="shared" ca="1" si="21"/>
        <v>2.6545119898766379E-6</v>
      </c>
      <c r="DY22" s="3">
        <f t="shared" ca="1" si="22"/>
        <v>-2.0281682330239203E-2</v>
      </c>
      <c r="DZ22" s="3">
        <f t="shared" ca="1" si="23"/>
        <v>2.5946751139994388E-2</v>
      </c>
      <c r="EA22" s="3">
        <f t="shared" ca="1" si="24"/>
        <v>-2.5422476222789096E-2</v>
      </c>
      <c r="EB22" s="3">
        <f t="shared" ca="1" si="25"/>
        <v>2.6644703105617455E-2</v>
      </c>
      <c r="EC22" s="3">
        <f t="shared" ca="1" si="26"/>
        <v>-2.6275337165721321E-2</v>
      </c>
      <c r="ED22" s="63">
        <f t="shared" si="60"/>
        <v>-342</v>
      </c>
      <c r="EE22" s="59">
        <f t="shared" si="61"/>
        <v>0.25</v>
      </c>
      <c r="EF22" s="59">
        <f t="shared" si="27"/>
        <v>0.73250000000000004</v>
      </c>
      <c r="EG22" s="59">
        <f t="shared" si="28"/>
        <v>0.17829999999999999</v>
      </c>
      <c r="EH22" s="59">
        <f t="shared" si="29"/>
        <v>0.187</v>
      </c>
      <c r="EI22" s="59">
        <f t="shared" si="30"/>
        <v>0.16539999999999999</v>
      </c>
      <c r="EJ22" s="59">
        <f t="shared" si="31"/>
        <v>0.17249999999999999</v>
      </c>
      <c r="EK22" s="63">
        <f t="shared" ca="1" si="62"/>
        <v>2284809.7937965784</v>
      </c>
      <c r="EL22" s="3" t="str">
        <f>RTD("tos.rtd",,EL$2,"."&amp;$A$2&amp;$AS$1&amp;"C"&amp;$A22)</f>
        <v>--</v>
      </c>
      <c r="EM22" s="3" t="str">
        <f>RTD("tos.rtd",,EM$2,"."&amp;$A$2&amp;$AS$1&amp;"P"&amp;$A22)</f>
        <v>73.25%</v>
      </c>
      <c r="EN22" s="3" t="str">
        <f>RTD("tos.rtd",,EN$2,"."&amp;$A$2&amp;$AU$1&amp;"C"&amp;$A22)</f>
        <v>17.83%</v>
      </c>
      <c r="EO22" s="3" t="str">
        <f>RTD("tos.rtd",,EO$2,"."&amp;$A$2&amp;$AU$1&amp;"P"&amp;$A22)</f>
        <v>18.70%</v>
      </c>
      <c r="EP22" s="3" t="str">
        <f>RTD("tos.rtd",,EP$2,"."&amp;$A$2&amp;$AW$1&amp;"C"&amp;$A22)</f>
        <v>16.54%</v>
      </c>
      <c r="EQ22" s="3" t="str">
        <f>RTD("tos.rtd",,EQ$2,"."&amp;$A$2&amp;$AW$1&amp;"P"&amp;$A22)</f>
        <v>17.25%</v>
      </c>
      <c r="ES22" s="63" t="str">
        <f t="shared" si="63"/>
        <v>584,-342.00</v>
      </c>
      <c r="ET22" s="63" t="str">
        <f t="shared" ca="1" si="64"/>
        <v>584,-114060.27</v>
      </c>
      <c r="EU22" s="67">
        <v>593.49</v>
      </c>
      <c r="EV22" s="67" t="s">
        <v>196</v>
      </c>
      <c r="EW22" s="67">
        <v>520.04</v>
      </c>
      <c r="EX22" s="67" t="s">
        <v>197</v>
      </c>
      <c r="EY22" s="67">
        <v>5945.25</v>
      </c>
      <c r="EZ22" s="67" t="s">
        <v>198</v>
      </c>
      <c r="FA22" s="67">
        <v>21346.75</v>
      </c>
      <c r="FB22" s="67" t="s">
        <v>199</v>
      </c>
      <c r="FC22" s="67" t="s">
        <v>200</v>
      </c>
      <c r="FD22" s="67" t="s">
        <v>201</v>
      </c>
      <c r="FE22" s="68" t="s">
        <v>202</v>
      </c>
      <c r="FF22" s="68" t="s">
        <v>203</v>
      </c>
    </row>
    <row r="23" spans="1:162" s="63" customFormat="1" ht="13.5" thickBot="1" x14ac:dyDescent="0.25">
      <c r="A23" s="2">
        <f t="shared" si="65"/>
        <v>583</v>
      </c>
      <c r="B23" s="3">
        <f t="shared" ref="B23:B29" si="98">+IF($A$1="ABS",AS23-AT23,AS23+AT23)</f>
        <v>5049</v>
      </c>
      <c r="C23" s="3">
        <f t="shared" ref="C23:C29" si="99">+IF($A$1="ABS",AU23-AV23,AU23+AV23)</f>
        <v>8658</v>
      </c>
      <c r="D23" s="3">
        <f t="shared" ref="D23:D29" si="100">+IF($A$1="ABS",AW23-AX23,AW23+AX23)</f>
        <v>3127</v>
      </c>
      <c r="E23" s="3">
        <f t="shared" ref="E23:E29" si="101">SUM(B23:D23)</f>
        <v>16834</v>
      </c>
      <c r="F23" s="4">
        <f t="shared" ref="F23:F29" si="102">+$F$3/$A$3*A23</f>
        <v>5860.6552050100436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-34</v>
      </c>
      <c r="AN23" s="1">
        <v>4040</v>
      </c>
      <c r="AO23" s="1">
        <v>583</v>
      </c>
      <c r="AP23" s="1">
        <v>537</v>
      </c>
      <c r="AQ23" s="1">
        <v>-10124</v>
      </c>
      <c r="AR23" s="1"/>
      <c r="AS23" s="6">
        <f>IF(RTD("tos.rtd",,AS$2,"."&amp;$A$2&amp;$AS$1&amp;"C"&amp;$A23)="N/A",0,RTD("tos.rtd",,AS$2,"."&amp;$A$2&amp;$AS$1&amp;"C"&amp;$A23))</f>
        <v>495</v>
      </c>
      <c r="AT23" s="7">
        <f>-IF(RTD("tos.rtd",,AT$2,"."&amp;$A$2&amp;$AS$1&amp;"P"&amp;$A23)="N/A",0,RTD("tos.rtd",,AT$2,"."&amp;$A$2&amp;$AS$1&amp;"P"&amp;$A23))</f>
        <v>-4554</v>
      </c>
      <c r="AU23" s="6">
        <f>IF(RTD("tos.rtd",,AU$2,"."&amp;$A$2&amp;$AU$1&amp;"C"&amp;$A23)="N/A",0,RTD("tos.rtd",,AU$2,"."&amp;$A$2&amp;$AU$1&amp;"C"&amp;$A23))</f>
        <v>897</v>
      </c>
      <c r="AV23" s="7">
        <f>-IF(RTD("tos.rtd",,AV$2,"."&amp;$A$2&amp;$AU$1&amp;"P"&amp;$A23)="N/A",0,RTD("tos.rtd",,AV$2,"."&amp;$A$2&amp;$AU$1&amp;"P"&amp;$A23))</f>
        <v>-7761</v>
      </c>
      <c r="AW23" s="6">
        <f>IF(RTD("tos.rtd",,AW$2,"."&amp;$A$2&amp;$AW$1&amp;"C"&amp;$A23)="N/A",0,RTD("tos.rtd",,AW$2,"."&amp;$A$2&amp;$AW$1&amp;"C"&amp;$A23))</f>
        <v>1326</v>
      </c>
      <c r="AX23" s="7">
        <f>-IF(RTD("tos.rtd",,AX$2,"."&amp;$A$2&amp;$AW$1&amp;"P"&amp;$A23)="N/A",0,RTD("tos.rtd",,AX$2,"."&amp;$A$2&amp;$AW$1&amp;"P"&amp;$A23))</f>
        <v>-1801</v>
      </c>
      <c r="AY23" s="1">
        <f t="shared" ref="AY23:AY29" si="103">SUM(AS23:AX23)</f>
        <v>-11398</v>
      </c>
      <c r="AZ23" s="8">
        <f t="shared" si="32"/>
        <v>583</v>
      </c>
      <c r="BA23" s="6">
        <f>IF(RTD("tos.rtd",,BA$2,"."&amp;$A$2&amp;$AS$1&amp;"C"&amp;$A23)="N/A",0,RTD("tos.rtd",,BA$2,"."&amp;$A$2&amp;$AS$1&amp;"C"&amp;$A23))</f>
        <v>537</v>
      </c>
      <c r="BB23" s="7">
        <f>-IF(RTD("tos.rtd",,BB$2,"."&amp;$A$2&amp;$AS$1&amp;"P"&amp;$A23)="N/A",0,RTD("tos.rtd",,BB$2,"."&amp;$A$2&amp;$AS$1&amp;"P"&amp;$A23))</f>
        <v>-10124</v>
      </c>
      <c r="BC23" s="6">
        <f>IF(RTD("tos.rtd",,BC$2,"."&amp;$A$2&amp;$AU$1&amp;"C"&amp;$A23)="N/A",0,RTD("tos.rtd",,BC$2,"."&amp;$A$2&amp;$AU$1&amp;"C"&amp;$A23))</f>
        <v>106</v>
      </c>
      <c r="BD23" s="7">
        <f>-IF(RTD("tos.rtd",,BD$2,"."&amp;$A$2&amp;$AU$1&amp;"P"&amp;$A23)="N/A",0,RTD("tos.rtd",,BD$2,"."&amp;$A$2&amp;$AU$1&amp;"P"&amp;$A23))</f>
        <v>-4740</v>
      </c>
      <c r="BE23" s="6">
        <f>IF(RTD("tos.rtd",,BE$2,"."&amp;$A$2&amp;$AW$1&amp;"C"&amp;$A23)="N/A",0,RTD("tos.rtd",,BE$2,"."&amp;$A$2&amp;$AW$1&amp;"C"&amp;$A23))</f>
        <v>37</v>
      </c>
      <c r="BF23" s="83">
        <f>-IF(RTD("tos.rtd",,BF$2,"."&amp;$A$2&amp;$AW$1&amp;"P"&amp;$A23)="N/A",0,RTD("tos.rtd",,BF$2,"."&amp;$A$2&amp;$AW$1&amp;"P"&amp;$A23))</f>
        <v>-569</v>
      </c>
      <c r="BG23" s="32">
        <f ca="1">+Hoja2!Y24</f>
        <v>-17682</v>
      </c>
      <c r="BH23" s="7">
        <f t="shared" ca="1" si="33"/>
        <v>-32435</v>
      </c>
      <c r="BI23" s="8" t="str">
        <f t="shared" ca="1" si="34"/>
        <v/>
      </c>
      <c r="BJ23" s="3">
        <f ca="1">IF($BP$1=1,DX23,IF(RTD("tos.rtd",,BJ$2,"."&amp;$A$2&amp;$AS$1&amp;"C"&amp;$A23)="N/A",0,RTD("tos.rtd",,BJ$2,"."&amp;$A$2&amp;$AS$1&amp;"C"&amp;$A23)))</f>
        <v>1.4898679369875676E-7</v>
      </c>
      <c r="BK23" s="3">
        <f ca="1">IF($BP$1=1,DY23,-IF(RTD("tos.rtd",,BK$2,"."&amp;$A$2&amp;$AS$1&amp;"P"&amp;$A23)="N/A",0,RTD("tos.rtd",,BK$2,"."&amp;$A$2&amp;$AS$1&amp;"P"&amp;$A23)))</f>
        <v>-1.7733536916894936E-2</v>
      </c>
      <c r="BL23" s="3">
        <f ca="1">IF($BP$1=1,DZ23,IF(RTD("tos.rtd",,BL$2,"."&amp;$A$2&amp;$AU$1&amp;"C"&amp;$A23)="N/A",0,RTD("tos.rtd",,BL$2,"."&amp;$A$2&amp;$AU$1&amp;"C"&amp;$A23)))</f>
        <v>2.4009384616039672E-2</v>
      </c>
      <c r="BM23" s="3">
        <f ca="1">IF($BP$1=1,EA23,-IF(RTD("tos.rtd",,BM$2,"."&amp;$A$2&amp;$AU$1&amp;"P"&amp;$A23)="N/A",0,RTD("tos.rtd",,BM$2,"."&amp;$A$2&amp;$AU$1&amp;"P"&amp;$A23)))</f>
        <v>-2.364162940880743E-2</v>
      </c>
      <c r="BN23" s="3">
        <f ca="1">IF($BP$1=1,EB23,IF(RTD("tos.rtd",,BN$2,"."&amp;$A$2&amp;$AW$1&amp;"C"&amp;$A23)="N/A",0,RTD("tos.rtd",,BN$2,"."&amp;$A$2&amp;$AW$1&amp;"C"&amp;$A23)))</f>
        <v>2.4406477017748708E-2</v>
      </c>
      <c r="BO23" s="3">
        <f ca="1">IF($BP$1=1,EC23,-IF(RTD("tos.rtd",,BO$2,"."&amp;$A$2&amp;$AW$1&amp;"P"&amp;$A23)="N/A",0,RTD("tos.rtd",,BO$2,"."&amp;$A$2&amp;$AW$1&amp;"P"&amp;$A23)))</f>
        <v>-2.4228623774407976E-2</v>
      </c>
      <c r="BQ23" s="3">
        <f t="shared" ref="BQ23:BQ29" ca="1" si="104">+$A$3*$A$3*AS23*BJ23-$A$3*$A$3*AT23*BK23</f>
        <v>-28342147.561341472</v>
      </c>
      <c r="BR23" s="3" t="str">
        <f t="shared" ca="1" si="67"/>
        <v/>
      </c>
      <c r="BS23" s="3">
        <f t="shared" ref="BS23:BS29" ca="1" si="105">+$A$3*$A$3*AU23*BL23-$A$3*$A$3*AV23*BM23</f>
        <v>-56834979.232115135</v>
      </c>
      <c r="BT23" s="3" t="str">
        <f t="shared" ca="1" si="67"/>
        <v/>
      </c>
      <c r="BU23" s="3">
        <f t="shared" ref="BU23:BU29" ca="1" si="106">+$A$3*$A$3*AW23*BN23-$A$3*$A$3*AX23*BO23</f>
        <v>-3956171.7192126792</v>
      </c>
      <c r="BV23" s="3" t="str">
        <f t="shared" ca="1" si="38"/>
        <v/>
      </c>
      <c r="BX23" s="3">
        <f t="shared" ref="BX23:BX29" ca="1" si="107">+$A$3*$A$3*BA23*BJ23-$A$3*$A$3*BB23*BK23</f>
        <v>-63007473.885139637</v>
      </c>
      <c r="BY23" s="3" t="str">
        <f t="shared" ca="1" si="68"/>
        <v/>
      </c>
      <c r="BZ23" s="3">
        <f t="shared" ref="BZ23:BZ29" ca="1" si="108">+$A$3*$A$3*BC23*BL23-$A$3*$A$3*BD23*BM23</f>
        <v>-38434712.612704284</v>
      </c>
      <c r="CA23" s="3" t="str">
        <f t="shared" ca="1" si="69"/>
        <v/>
      </c>
      <c r="CB23" s="3">
        <f t="shared" ref="CB23:CB29" ca="1" si="109">+$A$3*$A$3*BE23*BN23-$A$3*$A$3*BF23*BO23</f>
        <v>-4521300.393341356</v>
      </c>
      <c r="CC23" s="3" t="str">
        <f t="shared" ca="1" si="70"/>
        <v/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</v>
      </c>
      <c r="CF23" s="3">
        <f>IF(RTD("tos.rtd",,CF$2,"."&amp;$A$2&amp;$AU$1&amp;"C"&amp;$A23)="N/A",0,RTD("tos.rtd",,CF$2,"."&amp;$A$2&amp;$AU$1&amp;"C"&amp;$A23))</f>
        <v>0.84</v>
      </c>
      <c r="CG23" s="3">
        <f>-IF(RTD("tos.rtd",,CG$2,"."&amp;$A$2&amp;$AU$1&amp;"P"&amp;$A23)="N/A",0,RTD("tos.rtd",,CG$2,"."&amp;$A$2&amp;$AU$1&amp;"P"&amp;$A23))</f>
        <v>0.17</v>
      </c>
      <c r="CH23" s="3">
        <f>IF(RTD("tos.rtd",,CH$2,"."&amp;$A$2&amp;$AW$1&amp;"C"&amp;$A23)="N/A",0,RTD("tos.rtd",,CH$2,"."&amp;$A$2&amp;$AW$1&amp;"C"&amp;$A23))</f>
        <v>0.66</v>
      </c>
      <c r="CI23" s="3">
        <f>-IF(RTD("tos.rtd",,CI$2,"."&amp;$A$2&amp;$AW$1&amp;"P"&amp;$A23)="N/A",0,RTD("tos.rtd",,CI$2,"."&amp;$A$2&amp;$AW$1&amp;"P"&amp;$A23))</f>
        <v>0.35</v>
      </c>
      <c r="CK23" s="3">
        <f t="shared" si="42"/>
        <v>29324295</v>
      </c>
      <c r="CL23" s="3"/>
      <c r="CM23" s="3">
        <f t="shared" si="43"/>
        <v>-33523889.490000002</v>
      </c>
      <c r="CN23" s="3"/>
      <c r="CO23" s="3">
        <f t="shared" si="44"/>
        <v>14502789.210000008</v>
      </c>
      <c r="CP23" s="3">
        <f t="shared" ref="CP23:CP29" si="110">+CK23+CM23+CO23</f>
        <v>10303194.720000006</v>
      </c>
      <c r="CQ23" s="3">
        <f t="shared" ref="CQ23:CQ29" si="111">+BA23+BB23</f>
        <v>-9587</v>
      </c>
      <c r="CR23" s="3"/>
      <c r="CS23" s="3">
        <f t="shared" ref="CS23:CS29" si="112">+BC23+BD23</f>
        <v>-4634</v>
      </c>
      <c r="CT23" s="3"/>
      <c r="CU23" s="3">
        <f t="shared" ref="CU23:CU29" si="113">+BE23+BF23</f>
        <v>-532</v>
      </c>
      <c r="CV23" s="3">
        <f t="shared" ref="CV23:CV29" si="114">+CQ23+CS23+CU23</f>
        <v>-14753</v>
      </c>
      <c r="CW23" s="3">
        <f t="shared" ref="CW23:CW29" ca="1" si="115">+BQ23+BS23+BU23</f>
        <v>-89133298.512669295</v>
      </c>
      <c r="CX23" s="85" t="str">
        <f t="shared" ca="1" si="71"/>
        <v/>
      </c>
      <c r="CY23" s="3">
        <f t="shared" ref="CY23:CY29" ca="1" si="116">+BX23+BZ23+CB23</f>
        <v>-105963486.89118528</v>
      </c>
      <c r="CZ23" s="85" t="str">
        <f t="shared" ca="1" si="72"/>
        <v/>
      </c>
      <c r="DA23" s="3">
        <f>IF(RTD("tos.rtd",,DA$2,"."&amp;$A$2&amp;$AS$1&amp;"C"&amp;$A23)="N/A",0,RTD("tos.rtd",,DA$2,"."&amp;$A$2&amp;$AS$1&amp;"C"&amp;$A23))</f>
        <v>9.1199999999999992</v>
      </c>
      <c r="DB23" s="3">
        <f>IF(RTD("tos.rtd",,DB$2,"."&amp;$A$2&amp;$AS$1&amp;"P"&amp;$A23)="N/A",0,RTD("tos.rtd",,DB$2,"."&amp;$A$2&amp;$AS$1&amp;"P"&amp;$A23))</f>
        <v>0.01</v>
      </c>
      <c r="DC23" s="3">
        <f>IF(RTD("tos.rtd",,DC$2,"."&amp;$A$2&amp;$AS$1&amp;"C"&amp;$A23)="N/A",0,RTD("tos.rtd",,DC$2,"."&amp;$A$2&amp;$AS$1&amp;"C"&amp;$A23))</f>
        <v>10.08</v>
      </c>
      <c r="DD23" s="3">
        <f>IF(RTD("tos.rtd",,DD$2,"."&amp;$A$2&amp;$AS$1&amp;"P"&amp;$A23)="N/A",0,RTD("tos.rtd",,DD$2,"."&amp;$A$2&amp;$AS$1&amp;"P"&amp;$A23))</f>
        <v>0.01</v>
      </c>
      <c r="DE23" s="3">
        <f>IF(RTD("tos.rtd",,DE$2,"."&amp;$A$2&amp;$AS$1&amp;"C"&amp;$A23)="N/A",0,RTD("tos.rtd",,DE$2,"."&amp;$A$2&amp;$AS$1&amp;"C"&amp;$A23))</f>
        <v>8.41</v>
      </c>
      <c r="DF23" s="3">
        <f>IF(RTD("tos.rtd",,DF$2,"."&amp;$A$2&amp;$AS$1&amp;"P"&amp;$A23)="N/A",0,RTD("tos.rtd",,DF$2,"."&amp;$A$2&amp;$AS$1&amp;"P"&amp;$A23))</f>
        <v>0</v>
      </c>
      <c r="DG23" s="86">
        <f t="shared" si="50"/>
        <v>-9.4099999999999682</v>
      </c>
      <c r="DH23" s="3">
        <f t="shared" si="5"/>
        <v>0</v>
      </c>
      <c r="DI23" s="3">
        <f t="shared" si="6"/>
        <v>0</v>
      </c>
      <c r="DJ23" s="3">
        <f t="shared" si="7"/>
        <v>0</v>
      </c>
      <c r="DK23" s="3">
        <f t="shared" si="8"/>
        <v>0</v>
      </c>
      <c r="DL23" s="3">
        <f t="shared" si="9"/>
        <v>0</v>
      </c>
      <c r="DM23" s="3">
        <f t="shared" si="10"/>
        <v>0</v>
      </c>
      <c r="DN23" s="63" t="str">
        <f t="shared" si="51"/>
        <v>UNKNOWN</v>
      </c>
      <c r="DO23" s="63" t="str">
        <f t="shared" si="52"/>
        <v>UNKNOWN</v>
      </c>
      <c r="DP23" s="3">
        <f t="shared" si="53"/>
        <v>0</v>
      </c>
      <c r="DQ23" s="3">
        <f t="shared" si="54"/>
        <v>0</v>
      </c>
      <c r="DR23" s="3">
        <f t="shared" ca="1" si="55"/>
        <v>0</v>
      </c>
      <c r="DS23" s="3">
        <f t="shared" si="56"/>
        <v>0</v>
      </c>
      <c r="DT23" s="3">
        <f t="shared" si="57"/>
        <v>0</v>
      </c>
      <c r="DU23" s="3">
        <f t="shared" si="58"/>
        <v>0</v>
      </c>
      <c r="DV23" s="3">
        <f t="shared" si="59"/>
        <v>-34</v>
      </c>
      <c r="DW23" s="3">
        <f t="shared" si="20"/>
        <v>4040</v>
      </c>
      <c r="DX23" s="3">
        <f t="shared" ca="1" si="21"/>
        <v>1.4898679369875676E-7</v>
      </c>
      <c r="DY23" s="3">
        <f t="shared" ca="1" si="22"/>
        <v>-1.7733536916894936E-2</v>
      </c>
      <c r="DZ23" s="3">
        <f t="shared" ca="1" si="23"/>
        <v>2.4009384616039672E-2</v>
      </c>
      <c r="EA23" s="3">
        <f t="shared" ca="1" si="24"/>
        <v>-2.364162940880743E-2</v>
      </c>
      <c r="EB23" s="3">
        <f t="shared" ca="1" si="25"/>
        <v>2.4406477017748708E-2</v>
      </c>
      <c r="EC23" s="3">
        <f t="shared" ca="1" si="26"/>
        <v>-2.4228623774407976E-2</v>
      </c>
      <c r="ED23" s="63">
        <f t="shared" si="60"/>
        <v>4006</v>
      </c>
      <c r="EE23" s="59">
        <f t="shared" ref="EE23:EE29" si="117">IFERROR(VALUE(IF(OR(EL23="--",EL23="0.00%"),$EE$1,EL23)),$EE$1)</f>
        <v>0.25</v>
      </c>
      <c r="EF23" s="59">
        <f t="shared" ref="EF23:EF29" si="118">IFERROR(VALUE(IF(OR(EM23="--",EM23="0.00%"),$EE$1,EM23)),$EE$1)</f>
        <v>0.81040000000000001</v>
      </c>
      <c r="EG23" s="59">
        <f t="shared" ref="EG23:EG29" si="119">IFERROR(VALUE(IF(OR(EN23="--",EN23="0.00%"),$EE$1,EN23)),$EE$1)</f>
        <v>0.18049999999999999</v>
      </c>
      <c r="EH23" s="59">
        <f t="shared" ref="EH23:EH29" si="120">IFERROR(VALUE(IF(OR(EO23="--",EO23="0.00%"),$EE$1,EO23)),$EE$1)</f>
        <v>0.1898</v>
      </c>
      <c r="EI23" s="59">
        <f t="shared" ref="EI23:EI29" si="121">IFERROR(VALUE(IF(OR(EP23="--",EP23="0.00%"),$EE$1,EP23)),$EE$1)</f>
        <v>0.1671</v>
      </c>
      <c r="EJ23" s="59">
        <f t="shared" ref="EJ23:EJ29" si="122">IFERROR(VALUE(IF(OR(EQ23="--",EQ23="0.00%"),$EE$1,EQ23)),$EE$1)</f>
        <v>0.1739</v>
      </c>
      <c r="EK23" s="63">
        <f t="shared" ca="1" si="62"/>
        <v>-25143256.215846218</v>
      </c>
      <c r="EL23" s="3" t="str">
        <f>RTD("tos.rtd",,EL$2,"."&amp;$A$2&amp;$AS$1&amp;"C"&amp;$A23)</f>
        <v>--</v>
      </c>
      <c r="EM23" s="3" t="str">
        <f>RTD("tos.rtd",,EM$2,"."&amp;$A$2&amp;$AS$1&amp;"P"&amp;$A23)</f>
        <v>81.04%</v>
      </c>
      <c r="EN23" s="3" t="str">
        <f>RTD("tos.rtd",,EN$2,"."&amp;$A$2&amp;$AU$1&amp;"C"&amp;$A23)</f>
        <v>18.05%</v>
      </c>
      <c r="EO23" s="3" t="str">
        <f>RTD("tos.rtd",,EO$2,"."&amp;$A$2&amp;$AU$1&amp;"P"&amp;$A23)</f>
        <v>18.98%</v>
      </c>
      <c r="EP23" s="3" t="str">
        <f>RTD("tos.rtd",,EP$2,"."&amp;$A$2&amp;$AW$1&amp;"C"&amp;$A23)</f>
        <v>16.71%</v>
      </c>
      <c r="EQ23" s="3" t="str">
        <f>RTD("tos.rtd",,EQ$2,"."&amp;$A$2&amp;$AW$1&amp;"P"&amp;$A23)</f>
        <v>17.39%</v>
      </c>
      <c r="ES23" s="63" t="str">
        <f t="shared" si="63"/>
        <v>583,4006.00</v>
      </c>
      <c r="ET23" s="63" t="str">
        <f t="shared" ca="1" si="64"/>
        <v>583,-105963.49</v>
      </c>
      <c r="EU23" s="67">
        <v>593.52</v>
      </c>
      <c r="EV23" s="67" t="s">
        <v>204</v>
      </c>
      <c r="EW23" s="67">
        <v>520.04</v>
      </c>
      <c r="EX23" s="67" t="s">
        <v>205</v>
      </c>
      <c r="EY23" s="67">
        <v>5945.5</v>
      </c>
      <c r="EZ23" s="67" t="s">
        <v>206</v>
      </c>
      <c r="FA23" s="67">
        <v>21346.5</v>
      </c>
      <c r="FB23" s="67" t="s">
        <v>207</v>
      </c>
      <c r="FC23" s="67" t="s">
        <v>208</v>
      </c>
      <c r="FD23" s="67" t="s">
        <v>209</v>
      </c>
      <c r="FE23" s="68" t="s">
        <v>210</v>
      </c>
      <c r="FF23" s="68" t="s">
        <v>211</v>
      </c>
    </row>
    <row r="24" spans="1:162" s="63" customFormat="1" ht="13.5" thickBot="1" x14ac:dyDescent="0.25">
      <c r="A24" s="2">
        <f t="shared" si="65"/>
        <v>582</v>
      </c>
      <c r="B24" s="3">
        <f t="shared" si="98"/>
        <v>3213</v>
      </c>
      <c r="C24" s="3">
        <f t="shared" si="99"/>
        <v>3637</v>
      </c>
      <c r="D24" s="3">
        <f t="shared" si="100"/>
        <v>3095</v>
      </c>
      <c r="E24" s="3">
        <f t="shared" si="101"/>
        <v>9945</v>
      </c>
      <c r="F24" s="4">
        <f t="shared" si="102"/>
        <v>5850.6026231832684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-18</v>
      </c>
      <c r="AN24" s="1">
        <v>-334</v>
      </c>
      <c r="AO24" s="1">
        <v>582</v>
      </c>
      <c r="AP24" s="1">
        <v>218</v>
      </c>
      <c r="AQ24" s="1">
        <v>-8646</v>
      </c>
      <c r="AR24" s="1"/>
      <c r="AS24" s="6">
        <f>IF(RTD("tos.rtd",,AS$2,"."&amp;$A$2&amp;$AS$1&amp;"C"&amp;$A24)="N/A",0,RTD("tos.rtd",,AS$2,"."&amp;$A$2&amp;$AS$1&amp;"C"&amp;$A24))</f>
        <v>591</v>
      </c>
      <c r="AT24" s="7">
        <f>-IF(RTD("tos.rtd",,AT$2,"."&amp;$A$2&amp;$AS$1&amp;"P"&amp;$A24)="N/A",0,RTD("tos.rtd",,AT$2,"."&amp;$A$2&amp;$AS$1&amp;"P"&amp;$A24))</f>
        <v>-2622</v>
      </c>
      <c r="AU24" s="6">
        <f>IF(RTD("tos.rtd",,AU$2,"."&amp;$A$2&amp;$AU$1&amp;"C"&amp;$A24)="N/A",0,RTD("tos.rtd",,AU$2,"."&amp;$A$2&amp;$AU$1&amp;"C"&amp;$A24))</f>
        <v>941</v>
      </c>
      <c r="AV24" s="7">
        <f>-IF(RTD("tos.rtd",,AV$2,"."&amp;$A$2&amp;$AU$1&amp;"P"&amp;$A24)="N/A",0,RTD("tos.rtd",,AV$2,"."&amp;$A$2&amp;$AU$1&amp;"P"&amp;$A24))</f>
        <v>-2696</v>
      </c>
      <c r="AW24" s="6">
        <f>IF(RTD("tos.rtd",,AW$2,"."&amp;$A$2&amp;$AW$1&amp;"C"&amp;$A24)="N/A",0,RTD("tos.rtd",,AW$2,"."&amp;$A$2&amp;$AW$1&amp;"C"&amp;$A24))</f>
        <v>1713</v>
      </c>
      <c r="AX24" s="7">
        <f>-IF(RTD("tos.rtd",,AX$2,"."&amp;$A$2&amp;$AW$1&amp;"P"&amp;$A24)="N/A",0,RTD("tos.rtd",,AX$2,"."&amp;$A$2&amp;$AW$1&amp;"P"&amp;$A24))</f>
        <v>-1382</v>
      </c>
      <c r="AY24" s="1">
        <f t="shared" si="103"/>
        <v>-3455</v>
      </c>
      <c r="AZ24" s="8">
        <f t="shared" si="32"/>
        <v>582</v>
      </c>
      <c r="BA24" s="6">
        <f>IF(RTD("tos.rtd",,BA$2,"."&amp;$A$2&amp;$AS$1&amp;"C"&amp;$A24)="N/A",0,RTD("tos.rtd",,BA$2,"."&amp;$A$2&amp;$AS$1&amp;"C"&amp;$A24))</f>
        <v>218</v>
      </c>
      <c r="BB24" s="7">
        <f>-IF(RTD("tos.rtd",,BB$2,"."&amp;$A$2&amp;$AS$1&amp;"P"&amp;$A24)="N/A",0,RTD("tos.rtd",,BB$2,"."&amp;$A$2&amp;$AS$1&amp;"P"&amp;$A24))</f>
        <v>-8646</v>
      </c>
      <c r="BC24" s="6">
        <f>IF(RTD("tos.rtd",,BC$2,"."&amp;$A$2&amp;$AU$1&amp;"C"&amp;$A24)="N/A",0,RTD("tos.rtd",,BC$2,"."&amp;$A$2&amp;$AU$1&amp;"C"&amp;$A24))</f>
        <v>108</v>
      </c>
      <c r="BD24" s="7">
        <f>-IF(RTD("tos.rtd",,BD$2,"."&amp;$A$2&amp;$AU$1&amp;"P"&amp;$A24)="N/A",0,RTD("tos.rtd",,BD$2,"."&amp;$A$2&amp;$AU$1&amp;"P"&amp;$A24))</f>
        <v>-2649</v>
      </c>
      <c r="BE24" s="6">
        <f>IF(RTD("tos.rtd",,BE$2,"."&amp;$A$2&amp;$AW$1&amp;"C"&amp;$A24)="N/A",0,RTD("tos.rtd",,BE$2,"."&amp;$A$2&amp;$AW$1&amp;"C"&amp;$A24))</f>
        <v>11</v>
      </c>
      <c r="BF24" s="83">
        <f>-IF(RTD("tos.rtd",,BF$2,"."&amp;$A$2&amp;$AW$1&amp;"P"&amp;$A24)="N/A",0,RTD("tos.rtd",,BF$2,"."&amp;$A$2&amp;$AW$1&amp;"P"&amp;$A24))</f>
        <v>-801</v>
      </c>
      <c r="BG24" s="32">
        <f ca="1">+Hoja2!Y25</f>
        <v>-11140</v>
      </c>
      <c r="BH24" s="7">
        <f t="shared" ca="1" si="33"/>
        <v>-22899</v>
      </c>
      <c r="BI24" s="8" t="str">
        <f t="shared" ca="1" si="34"/>
        <v/>
      </c>
      <c r="BJ24" s="3">
        <f ca="1">IF($BP$1=1,DX24,IF(RTD("tos.rtd",,BJ$2,"."&amp;$A$2&amp;$AS$1&amp;"C"&amp;$A24)="N/A",0,RTD("tos.rtd",,BJ$2,"."&amp;$A$2&amp;$AS$1&amp;"C"&amp;$A24)))</f>
        <v>6.0040798180320313E-9</v>
      </c>
      <c r="BK24" s="3">
        <f ca="1">IF($BP$1=1,DY24,-IF(RTD("tos.rtd",,BK$2,"."&amp;$A$2&amp;$AS$1&amp;"P"&amp;$A24)="N/A",0,RTD("tos.rtd",,BK$2,"."&amp;$A$2&amp;$AS$1&amp;"P"&amp;$A24)))</f>
        <v>-1.5711700051171749E-2</v>
      </c>
      <c r="BL24" s="3">
        <f ca="1">IF($BP$1=1,DZ24,IF(RTD("tos.rtd",,BL$2,"."&amp;$A$2&amp;$AU$1&amp;"C"&amp;$A24)="N/A",0,RTD("tos.rtd",,BL$2,"."&amp;$A$2&amp;$AU$1&amp;"C"&amp;$A24)))</f>
        <v>2.2120279541600243E-2</v>
      </c>
      <c r="BM24" s="3">
        <f ca="1">IF($BP$1=1,EA24,-IF(RTD("tos.rtd",,BM$2,"."&amp;$A$2&amp;$AU$1&amp;"P"&amp;$A24)="N/A",0,RTD("tos.rtd",,BM$2,"."&amp;$A$2&amp;$AU$1&amp;"P"&amp;$A24)))</f>
        <v>-2.1925470034814879E-2</v>
      </c>
      <c r="BN24" s="3">
        <f ca="1">IF($BP$1=1,EB24,IF(RTD("tos.rtd",,BN$2,"."&amp;$A$2&amp;$AW$1&amp;"C"&amp;$A24)="N/A",0,RTD("tos.rtd",,BN$2,"."&amp;$A$2&amp;$AW$1&amp;"C"&amp;$A24)))</f>
        <v>2.2224338698497506E-2</v>
      </c>
      <c r="BO24" s="3">
        <f ca="1">IF($BP$1=1,EC24,-IF(RTD("tos.rtd",,BO$2,"."&amp;$A$2&amp;$AW$1&amp;"P"&amp;$A24)="N/A",0,RTD("tos.rtd",,BO$2,"."&amp;$A$2&amp;$AW$1&amp;"P"&amp;$A24)))</f>
        <v>-2.2204210612737557E-2</v>
      </c>
      <c r="BQ24" s="3">
        <f t="shared" ca="1" si="104"/>
        <v>-14457746.020561481</v>
      </c>
      <c r="BR24" s="3" t="str">
        <f t="shared" ca="1" si="67"/>
        <v/>
      </c>
      <c r="BS24" s="3">
        <f t="shared" ca="1" si="105"/>
        <v>-13439925.539625227</v>
      </c>
      <c r="BT24" s="3" t="str">
        <f t="shared" ca="1" si="67"/>
        <v/>
      </c>
      <c r="BU24" s="3">
        <f t="shared" ca="1" si="106"/>
        <v>2591437.5689523034</v>
      </c>
      <c r="BV24" s="3" t="str">
        <f t="shared" ca="1" si="38"/>
        <v>Cruce +</v>
      </c>
      <c r="BX24" s="3">
        <f t="shared" ca="1" si="107"/>
        <v>-47674173.019194663</v>
      </c>
      <c r="BY24" s="3" t="str">
        <f t="shared" ca="1" si="68"/>
        <v/>
      </c>
      <c r="BZ24" s="3">
        <f t="shared" ca="1" si="108"/>
        <v>-19544938.151511092</v>
      </c>
      <c r="CA24" s="3" t="str">
        <f t="shared" ca="1" si="69"/>
        <v/>
      </c>
      <c r="CB24" s="3">
        <f t="shared" ca="1" si="109"/>
        <v>-6156043.9166590814</v>
      </c>
      <c r="CC24" s="3" t="str">
        <f t="shared" ca="1" si="70"/>
        <v/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</v>
      </c>
      <c r="CF24" s="3">
        <f>IF(RTD("tos.rtd",,CF$2,"."&amp;$A$2&amp;$AU$1&amp;"C"&amp;$A24)="N/A",0,RTD("tos.rtd",,CF$2,"."&amp;$A$2&amp;$AU$1&amp;"C"&amp;$A24))</f>
        <v>0.86</v>
      </c>
      <c r="CG24" s="3">
        <f>-IF(RTD("tos.rtd",,CG$2,"."&amp;$A$2&amp;$AU$1&amp;"P"&amp;$A24)="N/A",0,RTD("tos.rtd",,CG$2,"."&amp;$A$2&amp;$AU$1&amp;"P"&amp;$A24))</f>
        <v>0.15</v>
      </c>
      <c r="CH24" s="3">
        <f>IF(RTD("tos.rtd",,CH$2,"."&amp;$A$2&amp;$AW$1&amp;"C"&amp;$A24)="N/A",0,RTD("tos.rtd",,CH$2,"."&amp;$A$2&amp;$AW$1&amp;"C"&amp;$A24))</f>
        <v>0.67</v>
      </c>
      <c r="CI24" s="3">
        <f>-IF(RTD("tos.rtd",,CI$2,"."&amp;$A$2&amp;$AW$1&amp;"P"&amp;$A24)="N/A",0,RTD("tos.rtd",,CI$2,"."&amp;$A$2&amp;$AW$1&amp;"P"&amp;$A24))</f>
        <v>0.34</v>
      </c>
      <c r="CK24" s="3">
        <f t="shared" si="42"/>
        <v>35011431</v>
      </c>
      <c r="CL24" s="3"/>
      <c r="CM24" s="3">
        <f t="shared" si="43"/>
        <v>23984311.259999998</v>
      </c>
      <c r="CN24" s="3"/>
      <c r="CO24" s="3">
        <f t="shared" si="44"/>
        <v>40155327.030000001</v>
      </c>
      <c r="CP24" s="3">
        <f t="shared" si="110"/>
        <v>99151069.289999992</v>
      </c>
      <c r="CQ24" s="3">
        <f t="shared" si="111"/>
        <v>-8428</v>
      </c>
      <c r="CR24" s="3"/>
      <c r="CS24" s="3">
        <f t="shared" si="112"/>
        <v>-2541</v>
      </c>
      <c r="CT24" s="3"/>
      <c r="CU24" s="3">
        <f t="shared" si="113"/>
        <v>-790</v>
      </c>
      <c r="CV24" s="3">
        <f t="shared" si="114"/>
        <v>-11759</v>
      </c>
      <c r="CW24" s="3">
        <f t="shared" ca="1" si="115"/>
        <v>-25306233.991234403</v>
      </c>
      <c r="CX24" s="85" t="str">
        <f t="shared" ca="1" si="71"/>
        <v/>
      </c>
      <c r="CY24" s="3">
        <f t="shared" ca="1" si="116"/>
        <v>-73375155.087364838</v>
      </c>
      <c r="CZ24" s="85" t="str">
        <f t="shared" ca="1" si="72"/>
        <v/>
      </c>
      <c r="DA24" s="3">
        <f>IF(RTD("tos.rtd",,DA$2,"."&amp;$A$2&amp;$AS$1&amp;"C"&amp;$A24)="N/A",0,RTD("tos.rtd",,DA$2,"."&amp;$A$2&amp;$AS$1&amp;"C"&amp;$A24))</f>
        <v>10.3</v>
      </c>
      <c r="DB24" s="3">
        <f>IF(RTD("tos.rtd",,DB$2,"."&amp;$A$2&amp;$AS$1&amp;"P"&amp;$A24)="N/A",0,RTD("tos.rtd",,DB$2,"."&amp;$A$2&amp;$AS$1&amp;"P"&amp;$A24))</f>
        <v>0.01</v>
      </c>
      <c r="DC24" s="3">
        <f>IF(RTD("tos.rtd",,DC$2,"."&amp;$A$2&amp;$AS$1&amp;"C"&amp;$A24)="N/A",0,RTD("tos.rtd",,DC$2,"."&amp;$A$2&amp;$AS$1&amp;"C"&amp;$A24))</f>
        <v>11.17</v>
      </c>
      <c r="DD24" s="3">
        <f>IF(RTD("tos.rtd",,DD$2,"."&amp;$A$2&amp;$AS$1&amp;"P"&amp;$A24)="N/A",0,RTD("tos.rtd",,DD$2,"."&amp;$A$2&amp;$AS$1&amp;"P"&amp;$A24))</f>
        <v>0.01</v>
      </c>
      <c r="DE24" s="3">
        <f>IF(RTD("tos.rtd",,DE$2,"."&amp;$A$2&amp;$AS$1&amp;"C"&amp;$A24)="N/A",0,RTD("tos.rtd",,DE$2,"."&amp;$A$2&amp;$AS$1&amp;"C"&amp;$A24))</f>
        <v>9.39</v>
      </c>
      <c r="DF24" s="3">
        <f>IF(RTD("tos.rtd",,DF$2,"."&amp;$A$2&amp;$AS$1&amp;"P"&amp;$A24)="N/A",0,RTD("tos.rtd",,DF$2,"."&amp;$A$2&amp;$AS$1&amp;"P"&amp;$A24))</f>
        <v>0</v>
      </c>
      <c r="DG24" s="86">
        <f t="shared" si="50"/>
        <v>-10.409999999999968</v>
      </c>
      <c r="DH24" s="3">
        <f t="shared" si="5"/>
        <v>0</v>
      </c>
      <c r="DI24" s="3">
        <f t="shared" si="6"/>
        <v>0</v>
      </c>
      <c r="DJ24" s="3">
        <f t="shared" si="7"/>
        <v>0</v>
      </c>
      <c r="DK24" s="3">
        <f t="shared" si="8"/>
        <v>0</v>
      </c>
      <c r="DL24" s="3">
        <f t="shared" si="9"/>
        <v>0</v>
      </c>
      <c r="DM24" s="3">
        <f t="shared" si="10"/>
        <v>0</v>
      </c>
      <c r="DN24" s="63" t="str">
        <f t="shared" si="51"/>
        <v>UNKNOWN</v>
      </c>
      <c r="DO24" s="63" t="str">
        <f t="shared" si="52"/>
        <v>UNKNOWN</v>
      </c>
      <c r="DP24" s="3">
        <f t="shared" si="53"/>
        <v>0</v>
      </c>
      <c r="DQ24" s="3">
        <f t="shared" si="54"/>
        <v>0</v>
      </c>
      <c r="DR24" s="3">
        <f t="shared" ca="1" si="55"/>
        <v>0</v>
      </c>
      <c r="DS24" s="3">
        <f t="shared" si="56"/>
        <v>0</v>
      </c>
      <c r="DT24" s="3">
        <f t="shared" si="57"/>
        <v>0</v>
      </c>
      <c r="DU24" s="3">
        <f t="shared" si="58"/>
        <v>0</v>
      </c>
      <c r="DV24" s="3">
        <f t="shared" si="59"/>
        <v>-18</v>
      </c>
      <c r="DW24" s="3">
        <f t="shared" si="20"/>
        <v>-334</v>
      </c>
      <c r="DX24" s="3">
        <f t="shared" ca="1" si="21"/>
        <v>6.0040798180320313E-9</v>
      </c>
      <c r="DY24" s="3">
        <f t="shared" ca="1" si="22"/>
        <v>-1.5711700051171749E-2</v>
      </c>
      <c r="DZ24" s="3">
        <f t="shared" ca="1" si="23"/>
        <v>2.2120279541600243E-2</v>
      </c>
      <c r="EA24" s="3">
        <f t="shared" ca="1" si="24"/>
        <v>-2.1925470034814879E-2</v>
      </c>
      <c r="EB24" s="3">
        <f t="shared" ca="1" si="25"/>
        <v>2.2224338698497506E-2</v>
      </c>
      <c r="EC24" s="3">
        <f t="shared" ca="1" si="26"/>
        <v>-2.2204210612737557E-2</v>
      </c>
      <c r="ED24" s="63">
        <f t="shared" si="60"/>
        <v>-352</v>
      </c>
      <c r="EE24" s="59">
        <f t="shared" si="117"/>
        <v>0.25</v>
      </c>
      <c r="EF24" s="59">
        <f t="shared" si="118"/>
        <v>0.88780000000000003</v>
      </c>
      <c r="EG24" s="59">
        <f t="shared" si="119"/>
        <v>0.1825</v>
      </c>
      <c r="EH24" s="59">
        <f t="shared" si="120"/>
        <v>0.192</v>
      </c>
      <c r="EI24" s="59">
        <f t="shared" si="121"/>
        <v>0.16869999999999999</v>
      </c>
      <c r="EJ24" s="59">
        <f t="shared" si="122"/>
        <v>0.17549999999999999</v>
      </c>
      <c r="EK24" s="63">
        <f t="shared" ca="1" si="62"/>
        <v>1841680.9639031906</v>
      </c>
      <c r="EL24" s="3" t="str">
        <f>RTD("tos.rtd",,EL$2,"."&amp;$A$2&amp;$AS$1&amp;"C"&amp;$A24)</f>
        <v>--</v>
      </c>
      <c r="EM24" s="3" t="str">
        <f>RTD("tos.rtd",,EM$2,"."&amp;$A$2&amp;$AS$1&amp;"P"&amp;$A24)</f>
        <v>88.78%</v>
      </c>
      <c r="EN24" s="3" t="str">
        <f>RTD("tos.rtd",,EN$2,"."&amp;$A$2&amp;$AU$1&amp;"C"&amp;$A24)</f>
        <v>18.25%</v>
      </c>
      <c r="EO24" s="3" t="str">
        <f>RTD("tos.rtd",,EO$2,"."&amp;$A$2&amp;$AU$1&amp;"P"&amp;$A24)</f>
        <v>19.20%</v>
      </c>
      <c r="EP24" s="3" t="str">
        <f>RTD("tos.rtd",,EP$2,"."&amp;$A$2&amp;$AW$1&amp;"C"&amp;$A24)</f>
        <v>16.87%</v>
      </c>
      <c r="EQ24" s="3" t="str">
        <f>RTD("tos.rtd",,EQ$2,"."&amp;$A$2&amp;$AW$1&amp;"P"&amp;$A24)</f>
        <v>17.55%</v>
      </c>
      <c r="ES24" s="63" t="str">
        <f t="shared" si="63"/>
        <v>582,-352.00</v>
      </c>
      <c r="ET24" s="63" t="str">
        <f t="shared" ca="1" si="64"/>
        <v>582,-73375.16</v>
      </c>
      <c r="EU24" s="67">
        <v>593.46</v>
      </c>
      <c r="EV24" s="67" t="s">
        <v>212</v>
      </c>
      <c r="EW24" s="67">
        <v>520.02</v>
      </c>
      <c r="EX24" s="67" t="s">
        <v>213</v>
      </c>
      <c r="EY24" s="67">
        <v>5944.75</v>
      </c>
      <c r="EZ24" s="67" t="s">
        <v>214</v>
      </c>
      <c r="FA24" s="67">
        <v>21345</v>
      </c>
      <c r="FB24" s="67" t="s">
        <v>215</v>
      </c>
      <c r="FC24" s="67" t="s">
        <v>216</v>
      </c>
      <c r="FD24" s="67" t="s">
        <v>217</v>
      </c>
      <c r="FE24" s="68" t="s">
        <v>218</v>
      </c>
      <c r="FF24" s="68" t="s">
        <v>219</v>
      </c>
    </row>
    <row r="25" spans="1:162" s="63" customFormat="1" ht="13.5" thickBot="1" x14ac:dyDescent="0.25">
      <c r="A25" s="2">
        <f t="shared" si="65"/>
        <v>581</v>
      </c>
      <c r="B25" s="3">
        <f t="shared" si="98"/>
        <v>3113</v>
      </c>
      <c r="C25" s="3">
        <f t="shared" si="99"/>
        <v>3908</v>
      </c>
      <c r="D25" s="3">
        <f t="shared" si="100"/>
        <v>4525</v>
      </c>
      <c r="E25" s="3">
        <f t="shared" si="101"/>
        <v>11546</v>
      </c>
      <c r="F25" s="4">
        <f t="shared" si="102"/>
        <v>5840.5500413564932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-85</v>
      </c>
      <c r="AN25" s="1">
        <v>824</v>
      </c>
      <c r="AO25" s="1">
        <v>581</v>
      </c>
      <c r="AP25" s="1">
        <v>120</v>
      </c>
      <c r="AQ25" s="1">
        <v>-6394</v>
      </c>
      <c r="AR25" s="1"/>
      <c r="AS25" s="6">
        <f>IF(RTD("tos.rtd",,AS$2,"."&amp;$A$2&amp;$AS$1&amp;"C"&amp;$A25)="N/A",0,RTD("tos.rtd",,AS$2,"."&amp;$A$2&amp;$AS$1&amp;"C"&amp;$A25))</f>
        <v>348</v>
      </c>
      <c r="AT25" s="7">
        <f>-IF(RTD("tos.rtd",,AT$2,"."&amp;$A$2&amp;$AS$1&amp;"P"&amp;$A25)="N/A",0,RTD("tos.rtd",,AT$2,"."&amp;$A$2&amp;$AS$1&amp;"P"&amp;$A25))</f>
        <v>-2765</v>
      </c>
      <c r="AU25" s="6">
        <f>IF(RTD("tos.rtd",,AU$2,"."&amp;$A$2&amp;$AU$1&amp;"C"&amp;$A25)="N/A",0,RTD("tos.rtd",,AU$2,"."&amp;$A$2&amp;$AU$1&amp;"C"&amp;$A25))</f>
        <v>775</v>
      </c>
      <c r="AV25" s="7">
        <f>-IF(RTD("tos.rtd",,AV$2,"."&amp;$A$2&amp;$AU$1&amp;"P"&amp;$A25)="N/A",0,RTD("tos.rtd",,AV$2,"."&amp;$A$2&amp;$AU$1&amp;"P"&amp;$A25))</f>
        <v>-3133</v>
      </c>
      <c r="AW25" s="6">
        <f>IF(RTD("tos.rtd",,AW$2,"."&amp;$A$2&amp;$AW$1&amp;"C"&amp;$A25)="N/A",0,RTD("tos.rtd",,AW$2,"."&amp;$A$2&amp;$AW$1&amp;"C"&amp;$A25))</f>
        <v>2628</v>
      </c>
      <c r="AX25" s="7">
        <f>-IF(RTD("tos.rtd",,AX$2,"."&amp;$A$2&amp;$AW$1&amp;"P"&amp;$A25)="N/A",0,RTD("tos.rtd",,AX$2,"."&amp;$A$2&amp;$AW$1&amp;"P"&amp;$A25))</f>
        <v>-1897</v>
      </c>
      <c r="AY25" s="1">
        <f t="shared" si="103"/>
        <v>-4044</v>
      </c>
      <c r="AZ25" s="8">
        <f t="shared" si="32"/>
        <v>581</v>
      </c>
      <c r="BA25" s="6">
        <f>IF(RTD("tos.rtd",,BA$2,"."&amp;$A$2&amp;$AS$1&amp;"C"&amp;$A25)="N/A",0,RTD("tos.rtd",,BA$2,"."&amp;$A$2&amp;$AS$1&amp;"C"&amp;$A25))</f>
        <v>120</v>
      </c>
      <c r="BB25" s="7">
        <f>-IF(RTD("tos.rtd",,BB$2,"."&amp;$A$2&amp;$AS$1&amp;"P"&amp;$A25)="N/A",0,RTD("tos.rtd",,BB$2,"."&amp;$A$2&amp;$AS$1&amp;"P"&amp;$A25))</f>
        <v>-6394</v>
      </c>
      <c r="BC25" s="6">
        <f>IF(RTD("tos.rtd",,BC$2,"."&amp;$A$2&amp;$AU$1&amp;"C"&amp;$A25)="N/A",0,RTD("tos.rtd",,BC$2,"."&amp;$A$2&amp;$AU$1&amp;"C"&amp;$A25))</f>
        <v>57</v>
      </c>
      <c r="BD25" s="7">
        <f>-IF(RTD("tos.rtd",,BD$2,"."&amp;$A$2&amp;$AU$1&amp;"P"&amp;$A25)="N/A",0,RTD("tos.rtd",,BD$2,"."&amp;$A$2&amp;$AU$1&amp;"P"&amp;$A25))</f>
        <v>-1926</v>
      </c>
      <c r="BE25" s="6">
        <f>IF(RTD("tos.rtd",,BE$2,"."&amp;$A$2&amp;$AW$1&amp;"C"&amp;$A25)="N/A",0,RTD("tos.rtd",,BE$2,"."&amp;$A$2&amp;$AW$1&amp;"C"&amp;$A25))</f>
        <v>8</v>
      </c>
      <c r="BF25" s="83">
        <f>-IF(RTD("tos.rtd",,BF$2,"."&amp;$A$2&amp;$AW$1&amp;"P"&amp;$A25)="N/A",0,RTD("tos.rtd",,BF$2,"."&amp;$A$2&amp;$AW$1&amp;"P"&amp;$A25))</f>
        <v>-424</v>
      </c>
      <c r="BG25" s="32">
        <f ca="1">+Hoja2!Y26</f>
        <v>-8135</v>
      </c>
      <c r="BH25" s="7">
        <f t="shared" ca="1" si="33"/>
        <v>-16694</v>
      </c>
      <c r="BI25" s="8" t="str">
        <f t="shared" ca="1" si="34"/>
        <v/>
      </c>
      <c r="BJ25" s="3">
        <f ca="1">IF($BP$1=1,DX25,IF(RTD("tos.rtd",,BJ$2,"."&amp;$A$2&amp;$AS$1&amp;"C"&amp;$A25)="N/A",0,RTD("tos.rtd",,BJ$2,"."&amp;$A$2&amp;$AS$1&amp;"C"&amp;$A25)))</f>
        <v>1.7343710544543694E-10</v>
      </c>
      <c r="BK25" s="3">
        <f ca="1">IF($BP$1=1,DY25,-IF(RTD("tos.rtd",,BK$2,"."&amp;$A$2&amp;$AS$1&amp;"P"&amp;$A25)="N/A",0,RTD("tos.rtd",,BK$2,"."&amp;$A$2&amp;$AS$1&amp;"P"&amp;$A25)))</f>
        <v>-1.4067054822762994E-2</v>
      </c>
      <c r="BL25" s="3">
        <f ca="1">IF($BP$1=1,DZ25,IF(RTD("tos.rtd",,BL$2,"."&amp;$A$2&amp;$AU$1&amp;"C"&amp;$A25)="N/A",0,RTD("tos.rtd",,BL$2,"."&amp;$A$2&amp;$AU$1&amp;"C"&amp;$A25)))</f>
        <v>2.0285911352758777E-2</v>
      </c>
      <c r="BM25" s="3">
        <f ca="1">IF($BP$1=1,EA25,-IF(RTD("tos.rtd",,BM$2,"."&amp;$A$2&amp;$AU$1&amp;"P"&amp;$A25)="N/A",0,RTD("tos.rtd",,BM$2,"."&amp;$A$2&amp;$AU$1&amp;"P"&amp;$A25)))</f>
        <v>-2.0253881007584539E-2</v>
      </c>
      <c r="BN25" s="3">
        <f ca="1">IF($BP$1=1,EB25,IF(RTD("tos.rtd",,BN$2,"."&amp;$A$2&amp;$AW$1&amp;"C"&amp;$A25)="N/A",0,RTD("tos.rtd",,BN$2,"."&amp;$A$2&amp;$AW$1&amp;"C"&amp;$A25)))</f>
        <v>2.0097162973721612E-2</v>
      </c>
      <c r="BO25" s="3">
        <f ca="1">IF($BP$1=1,EC25,-IF(RTD("tos.rtd",,BO$2,"."&amp;$A$2&amp;$AW$1&amp;"P"&amp;$A25)="N/A",0,RTD("tos.rtd",,BO$2,"."&amp;$A$2&amp;$AW$1&amp;"P"&amp;$A25)))</f>
        <v>-2.0237443640084056E-2</v>
      </c>
      <c r="BQ25" s="3">
        <f t="shared" ca="1" si="104"/>
        <v>-13650327.676692784</v>
      </c>
      <c r="BR25" s="3" t="str">
        <f t="shared" ca="1" si="67"/>
        <v/>
      </c>
      <c r="BS25" s="3">
        <f t="shared" ca="1" si="105"/>
        <v>-16752168.194047306</v>
      </c>
      <c r="BT25" s="3" t="str">
        <f t="shared" ca="1" si="67"/>
        <v/>
      </c>
      <c r="BU25" s="3">
        <f t="shared" ca="1" si="106"/>
        <v>5062417.8132958617</v>
      </c>
      <c r="BV25" s="3" t="str">
        <f t="shared" ca="1" si="38"/>
        <v/>
      </c>
      <c r="BX25" s="3">
        <f t="shared" ca="1" si="107"/>
        <v>-31566074.242320135</v>
      </c>
      <c r="BY25" s="3" t="str">
        <f t="shared" ca="1" si="68"/>
        <v/>
      </c>
      <c r="BZ25" s="3">
        <f t="shared" ca="1" si="108"/>
        <v>-13284382.465240566</v>
      </c>
      <c r="CA25" s="3" t="str">
        <f t="shared" ca="1" si="69"/>
        <v/>
      </c>
      <c r="CB25" s="3">
        <f t="shared" ca="1" si="109"/>
        <v>-2954960.1839633384</v>
      </c>
      <c r="CC25" s="3" t="str">
        <f t="shared" ca="1" si="70"/>
        <v/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</v>
      </c>
      <c r="CF25" s="3">
        <f>IF(RTD("tos.rtd",,CF$2,"."&amp;$A$2&amp;$AU$1&amp;"C"&amp;$A25)="N/A",0,RTD("tos.rtd",,CF$2,"."&amp;$A$2&amp;$AU$1&amp;"C"&amp;$A25))</f>
        <v>0.88</v>
      </c>
      <c r="CG25" s="3">
        <f>-IF(RTD("tos.rtd",,CG$2,"."&amp;$A$2&amp;$AU$1&amp;"P"&amp;$A25)="N/A",0,RTD("tos.rtd",,CG$2,"."&amp;$A$2&amp;$AU$1&amp;"P"&amp;$A25))</f>
        <v>0.13</v>
      </c>
      <c r="CH25" s="3">
        <f>IF(RTD("tos.rtd",,CH$2,"."&amp;$A$2&amp;$AW$1&amp;"C"&amp;$A25)="N/A",0,RTD("tos.rtd",,CH$2,"."&amp;$A$2&amp;$AW$1&amp;"C"&amp;$A25))</f>
        <v>0.68</v>
      </c>
      <c r="CI25" s="3">
        <f>-IF(RTD("tos.rtd",,CI$2,"."&amp;$A$2&amp;$AW$1&amp;"P"&amp;$A25)="N/A",0,RTD("tos.rtd",,CI$2,"."&amp;$A$2&amp;$AW$1&amp;"P"&amp;$A25))</f>
        <v>0.32</v>
      </c>
      <c r="CK25" s="3">
        <f t="shared" si="42"/>
        <v>20615868</v>
      </c>
      <c r="CL25" s="3"/>
      <c r="CM25" s="3">
        <f t="shared" si="43"/>
        <v>16274095.110000003</v>
      </c>
      <c r="CN25" s="3"/>
      <c r="CO25" s="3">
        <f t="shared" si="44"/>
        <v>69904380.000000015</v>
      </c>
      <c r="CP25" s="3">
        <f t="shared" si="110"/>
        <v>106794343.11000001</v>
      </c>
      <c r="CQ25" s="3">
        <f t="shared" si="111"/>
        <v>-6274</v>
      </c>
      <c r="CR25" s="3"/>
      <c r="CS25" s="3">
        <f t="shared" si="112"/>
        <v>-1869</v>
      </c>
      <c r="CT25" s="3"/>
      <c r="CU25" s="3">
        <f t="shared" si="113"/>
        <v>-416</v>
      </c>
      <c r="CV25" s="3">
        <f t="shared" si="114"/>
        <v>-8559</v>
      </c>
      <c r="CW25" s="3">
        <f t="shared" ca="1" si="115"/>
        <v>-25340078.05744423</v>
      </c>
      <c r="CX25" s="85" t="str">
        <f t="shared" ca="1" si="71"/>
        <v/>
      </c>
      <c r="CY25" s="3">
        <f t="shared" ca="1" si="116"/>
        <v>-47805416.891524039</v>
      </c>
      <c r="CZ25" s="85" t="str">
        <f t="shared" ca="1" si="72"/>
        <v/>
      </c>
      <c r="DA25" s="3">
        <f>IF(RTD("tos.rtd",,DA$2,"."&amp;$A$2&amp;$AS$1&amp;"C"&amp;$A25)="N/A",0,RTD("tos.rtd",,DA$2,"."&amp;$A$2&amp;$AS$1&amp;"C"&amp;$A25))</f>
        <v>11.45</v>
      </c>
      <c r="DB25" s="3">
        <f>IF(RTD("tos.rtd",,DB$2,"."&amp;$A$2&amp;$AS$1&amp;"P"&amp;$A25)="N/A",0,RTD("tos.rtd",,DB$2,"."&amp;$A$2&amp;$AS$1&amp;"P"&amp;$A25))</f>
        <v>0.01</v>
      </c>
      <c r="DC25" s="3">
        <f>IF(RTD("tos.rtd",,DC$2,"."&amp;$A$2&amp;$AS$1&amp;"C"&amp;$A25)="N/A",0,RTD("tos.rtd",,DC$2,"."&amp;$A$2&amp;$AS$1&amp;"C"&amp;$A25))</f>
        <v>12.17</v>
      </c>
      <c r="DD25" s="3">
        <f>IF(RTD("tos.rtd",,DD$2,"."&amp;$A$2&amp;$AS$1&amp;"P"&amp;$A25)="N/A",0,RTD("tos.rtd",,DD$2,"."&amp;$A$2&amp;$AS$1&amp;"P"&amp;$A25))</f>
        <v>0.01</v>
      </c>
      <c r="DE25" s="3">
        <f>IF(RTD("tos.rtd",,DE$2,"."&amp;$A$2&amp;$AS$1&amp;"C"&amp;$A25)="N/A",0,RTD("tos.rtd",,DE$2,"."&amp;$A$2&amp;$AS$1&amp;"C"&amp;$A25))</f>
        <v>10.36</v>
      </c>
      <c r="DF25" s="3">
        <f>IF(RTD("tos.rtd",,DF$2,"."&amp;$A$2&amp;$AS$1&amp;"P"&amp;$A25)="N/A",0,RTD("tos.rtd",,DF$2,"."&amp;$A$2&amp;$AS$1&amp;"P"&amp;$A25))</f>
        <v>0</v>
      </c>
      <c r="DG25" s="86">
        <f t="shared" si="50"/>
        <v>-11.409999999999968</v>
      </c>
      <c r="DH25" s="3">
        <f t="shared" si="5"/>
        <v>0</v>
      </c>
      <c r="DI25" s="3">
        <f t="shared" si="6"/>
        <v>0</v>
      </c>
      <c r="DJ25" s="3">
        <f t="shared" si="7"/>
        <v>0</v>
      </c>
      <c r="DK25" s="3">
        <f t="shared" si="8"/>
        <v>0</v>
      </c>
      <c r="DL25" s="3">
        <f t="shared" si="9"/>
        <v>0</v>
      </c>
      <c r="DM25" s="3">
        <f t="shared" si="10"/>
        <v>0</v>
      </c>
      <c r="DN25" s="63" t="str">
        <f t="shared" si="51"/>
        <v>UNKNOWN</v>
      </c>
      <c r="DO25" s="63" t="str">
        <f t="shared" si="52"/>
        <v>UNKNOWN</v>
      </c>
      <c r="DP25" s="3">
        <f t="shared" si="53"/>
        <v>0</v>
      </c>
      <c r="DQ25" s="3">
        <f t="shared" si="54"/>
        <v>0</v>
      </c>
      <c r="DR25" s="3">
        <f t="shared" ca="1" si="55"/>
        <v>0</v>
      </c>
      <c r="DS25" s="3">
        <f t="shared" si="56"/>
        <v>0</v>
      </c>
      <c r="DT25" s="3">
        <f t="shared" si="57"/>
        <v>0</v>
      </c>
      <c r="DU25" s="3">
        <f t="shared" si="58"/>
        <v>0</v>
      </c>
      <c r="DV25" s="3">
        <f t="shared" si="59"/>
        <v>-85</v>
      </c>
      <c r="DW25" s="3">
        <f t="shared" si="20"/>
        <v>824</v>
      </c>
      <c r="DX25" s="3">
        <f t="shared" ca="1" si="21"/>
        <v>1.7343710544543694E-10</v>
      </c>
      <c r="DY25" s="3">
        <f t="shared" ca="1" si="22"/>
        <v>-1.4067054822762994E-2</v>
      </c>
      <c r="DZ25" s="3">
        <f t="shared" ca="1" si="23"/>
        <v>2.0285911352758777E-2</v>
      </c>
      <c r="EA25" s="3">
        <f t="shared" ca="1" si="24"/>
        <v>-2.0253881007584539E-2</v>
      </c>
      <c r="EB25" s="3">
        <f t="shared" ca="1" si="25"/>
        <v>2.0097162973721612E-2</v>
      </c>
      <c r="EC25" s="3">
        <f t="shared" ca="1" si="26"/>
        <v>-2.0237443640084056E-2</v>
      </c>
      <c r="ED25" s="63">
        <f t="shared" si="60"/>
        <v>739</v>
      </c>
      <c r="EE25" s="59">
        <f t="shared" si="117"/>
        <v>0.25</v>
      </c>
      <c r="EF25" s="59">
        <f t="shared" si="118"/>
        <v>0.96460000000000001</v>
      </c>
      <c r="EG25" s="59">
        <f t="shared" si="119"/>
        <v>0.18340000000000001</v>
      </c>
      <c r="EH25" s="59">
        <f t="shared" si="120"/>
        <v>0.1943</v>
      </c>
      <c r="EI25" s="59">
        <f t="shared" si="121"/>
        <v>0.16930000000000001</v>
      </c>
      <c r="EJ25" s="59">
        <f t="shared" si="122"/>
        <v>0.17699999999999999</v>
      </c>
      <c r="EK25" s="63">
        <f t="shared" ca="1" si="62"/>
        <v>-4067945.7639617403</v>
      </c>
      <c r="EL25" s="3" t="str">
        <f>RTD("tos.rtd",,EL$2,"."&amp;$A$2&amp;$AS$1&amp;"C"&amp;$A25)</f>
        <v>--</v>
      </c>
      <c r="EM25" s="3" t="str">
        <f>RTD("tos.rtd",,EM$2,"."&amp;$A$2&amp;$AS$1&amp;"P"&amp;$A25)</f>
        <v>96.46%</v>
      </c>
      <c r="EN25" s="3" t="str">
        <f>RTD("tos.rtd",,EN$2,"."&amp;$A$2&amp;$AU$1&amp;"C"&amp;$A25)</f>
        <v>18.34%</v>
      </c>
      <c r="EO25" s="3" t="str">
        <f>RTD("tos.rtd",,EO$2,"."&amp;$A$2&amp;$AU$1&amp;"P"&amp;$A25)</f>
        <v>19.43%</v>
      </c>
      <c r="EP25" s="3" t="str">
        <f>RTD("tos.rtd",,EP$2,"."&amp;$A$2&amp;$AW$1&amp;"C"&amp;$A25)</f>
        <v>16.93%</v>
      </c>
      <c r="EQ25" s="3" t="str">
        <f>RTD("tos.rtd",,EQ$2,"."&amp;$A$2&amp;$AW$1&amp;"P"&amp;$A25)</f>
        <v>17.70%</v>
      </c>
      <c r="ES25" s="63" t="str">
        <f t="shared" si="63"/>
        <v>581,739.00</v>
      </c>
      <c r="ET25" s="63" t="str">
        <f t="shared" ca="1" si="64"/>
        <v>581,-47805.42</v>
      </c>
      <c r="EU25" s="67">
        <v>593.49</v>
      </c>
      <c r="EV25" s="67" t="s">
        <v>220</v>
      </c>
      <c r="EW25" s="67">
        <v>520.03</v>
      </c>
      <c r="EX25" s="67" t="s">
        <v>221</v>
      </c>
      <c r="EY25" s="67">
        <v>5945.25</v>
      </c>
      <c r="EZ25" s="67" t="s">
        <v>222</v>
      </c>
      <c r="FA25" s="67">
        <v>21345.25</v>
      </c>
      <c r="FB25" s="67" t="s">
        <v>223</v>
      </c>
      <c r="FC25" s="67" t="s">
        <v>224</v>
      </c>
      <c r="FD25" s="67" t="s">
        <v>225</v>
      </c>
      <c r="FE25" s="68" t="s">
        <v>226</v>
      </c>
      <c r="FF25" s="68" t="s">
        <v>227</v>
      </c>
    </row>
    <row r="26" spans="1:162" s="63" customFormat="1" ht="13.5" thickBot="1" x14ac:dyDescent="0.25">
      <c r="A26" s="2">
        <f t="shared" si="65"/>
        <v>580</v>
      </c>
      <c r="B26" s="3">
        <f t="shared" si="98"/>
        <v>18584</v>
      </c>
      <c r="C26" s="3">
        <f t="shared" si="99"/>
        <v>23286</v>
      </c>
      <c r="D26" s="3">
        <f t="shared" si="100"/>
        <v>178494</v>
      </c>
      <c r="E26" s="3">
        <f t="shared" si="101"/>
        <v>220364</v>
      </c>
      <c r="F26" s="4">
        <f t="shared" si="102"/>
        <v>5830.4974595297181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-78</v>
      </c>
      <c r="AN26" s="1">
        <v>3869</v>
      </c>
      <c r="AO26" s="1">
        <v>580</v>
      </c>
      <c r="AP26" s="1">
        <v>262</v>
      </c>
      <c r="AQ26" s="1">
        <v>-9863</v>
      </c>
      <c r="AR26" s="1"/>
      <c r="AS26" s="6">
        <f>IF(RTD("tos.rtd",,AS$2,"."&amp;$A$2&amp;$AS$1&amp;"C"&amp;$A26)="N/A",0,RTD("tos.rtd",,AS$2,"."&amp;$A$2&amp;$AS$1&amp;"C"&amp;$A26))</f>
        <v>3529</v>
      </c>
      <c r="AT26" s="7">
        <f>-IF(RTD("tos.rtd",,AT$2,"."&amp;$A$2&amp;$AS$1&amp;"P"&amp;$A26)="N/A",0,RTD("tos.rtd",,AT$2,"."&amp;$A$2&amp;$AS$1&amp;"P"&amp;$A26))</f>
        <v>-15055</v>
      </c>
      <c r="AU26" s="6">
        <f>IF(RTD("tos.rtd",,AU$2,"."&amp;$A$2&amp;$AU$1&amp;"C"&amp;$A26)="N/A",0,RTD("tos.rtd",,AU$2,"."&amp;$A$2&amp;$AU$1&amp;"C"&amp;$A26))</f>
        <v>4564</v>
      </c>
      <c r="AV26" s="7">
        <f>-IF(RTD("tos.rtd",,AV$2,"."&amp;$A$2&amp;$AU$1&amp;"P"&amp;$A26)="N/A",0,RTD("tos.rtd",,AV$2,"."&amp;$A$2&amp;$AU$1&amp;"P"&amp;$A26))</f>
        <v>-18722</v>
      </c>
      <c r="AW26" s="6">
        <f>IF(RTD("tos.rtd",,AW$2,"."&amp;$A$2&amp;$AW$1&amp;"C"&amp;$A26)="N/A",0,RTD("tos.rtd",,AW$2,"."&amp;$A$2&amp;$AW$1&amp;"C"&amp;$A26))</f>
        <v>142283</v>
      </c>
      <c r="AX26" s="7">
        <f>-IF(RTD("tos.rtd",,AX$2,"."&amp;$A$2&amp;$AW$1&amp;"P"&amp;$A26)="N/A",0,RTD("tos.rtd",,AX$2,"."&amp;$A$2&amp;$AW$1&amp;"P"&amp;$A26))</f>
        <v>-36211</v>
      </c>
      <c r="AY26" s="1">
        <f t="shared" si="103"/>
        <v>80388</v>
      </c>
      <c r="AZ26" s="8">
        <f t="shared" si="32"/>
        <v>580</v>
      </c>
      <c r="BA26" s="6">
        <f>IF(RTD("tos.rtd",,BA$2,"."&amp;$A$2&amp;$AS$1&amp;"C"&amp;$A26)="N/A",0,RTD("tos.rtd",,BA$2,"."&amp;$A$2&amp;$AS$1&amp;"C"&amp;$A26))</f>
        <v>262</v>
      </c>
      <c r="BB26" s="7">
        <f>-IF(RTD("tos.rtd",,BB$2,"."&amp;$A$2&amp;$AS$1&amp;"P"&amp;$A26)="N/A",0,RTD("tos.rtd",,BB$2,"."&amp;$A$2&amp;$AS$1&amp;"P"&amp;$A26))</f>
        <v>-9863</v>
      </c>
      <c r="BC26" s="6">
        <f>IF(RTD("tos.rtd",,BC$2,"."&amp;$A$2&amp;$AU$1&amp;"C"&amp;$A26)="N/A",0,RTD("tos.rtd",,BC$2,"."&amp;$A$2&amp;$AU$1&amp;"C"&amp;$A26))</f>
        <v>396</v>
      </c>
      <c r="BD26" s="7">
        <f>-IF(RTD("tos.rtd",,BD$2,"."&amp;$A$2&amp;$AU$1&amp;"P"&amp;$A26)="N/A",0,RTD("tos.rtd",,BD$2,"."&amp;$A$2&amp;$AU$1&amp;"P"&amp;$A26))</f>
        <v>-26414</v>
      </c>
      <c r="BE26" s="6">
        <f>IF(RTD("tos.rtd",,BE$2,"."&amp;$A$2&amp;$AW$1&amp;"C"&amp;$A26)="N/A",0,RTD("tos.rtd",,BE$2,"."&amp;$A$2&amp;$AW$1&amp;"C"&amp;$A26))</f>
        <v>311</v>
      </c>
      <c r="BF26" s="83">
        <f>-IF(RTD("tos.rtd",,BF$2,"."&amp;$A$2&amp;$AW$1&amp;"P"&amp;$A26)="N/A",0,RTD("tos.rtd",,BF$2,"."&amp;$A$2&amp;$AW$1&amp;"P"&amp;$A26))</f>
        <v>-6292</v>
      </c>
      <c r="BG26" s="32">
        <f ca="1">+Hoja2!Y27</f>
        <v>-44497</v>
      </c>
      <c r="BH26" s="7">
        <f t="shared" ca="1" si="33"/>
        <v>-86097</v>
      </c>
      <c r="BI26" s="8" t="str">
        <f t="shared" ca="1" si="34"/>
        <v/>
      </c>
      <c r="BJ26" s="3">
        <f ca="1">IF($BP$1=1,DX26,IF(RTD("tos.rtd",,BJ$2,"."&amp;$A$2&amp;$AS$1&amp;"C"&amp;$A26)="N/A",0,RTD("tos.rtd",,BJ$2,"."&amp;$A$2&amp;$AS$1&amp;"C"&amp;$A26)))</f>
        <v>3.5850157688372774E-12</v>
      </c>
      <c r="BK26" s="3">
        <f ca="1">IF($BP$1=1,DY26,-IF(RTD("tos.rtd",,BK$2,"."&amp;$A$2&amp;$AS$1&amp;"P"&amp;$A26)="N/A",0,RTD("tos.rtd",,BK$2,"."&amp;$A$2&amp;$AS$1&amp;"P"&amp;$A26)))</f>
        <v>-1.2708201802179995E-2</v>
      </c>
      <c r="BL26" s="3">
        <f ca="1">IF($BP$1=1,DZ26,IF(RTD("tos.rtd",,BL$2,"."&amp;$A$2&amp;$AU$1&amp;"C"&amp;$A26)="N/A",0,RTD("tos.rtd",,BL$2,"."&amp;$A$2&amp;$AU$1&amp;"C"&amp;$A26)))</f>
        <v>1.8493824333671371E-2</v>
      </c>
      <c r="BM26" s="3">
        <f ca="1">IF($BP$1=1,EA26,-IF(RTD("tos.rtd",,BM$2,"."&amp;$A$2&amp;$AU$1&amp;"P"&amp;$A26)="N/A",0,RTD("tos.rtd",,BM$2,"."&amp;$A$2&amp;$AU$1&amp;"P"&amp;$A26)))</f>
        <v>-1.8641918856978166E-2</v>
      </c>
      <c r="BN26" s="3">
        <f ca="1">IF($BP$1=1,EB26,IF(RTD("tos.rtd",,BN$2,"."&amp;$A$2&amp;$AW$1&amp;"C"&amp;$A26)="N/A",0,RTD("tos.rtd",,BN$2,"."&amp;$A$2&amp;$AW$1&amp;"C"&amp;$A26)))</f>
        <v>1.8076552367967291E-2</v>
      </c>
      <c r="BO26" s="3">
        <f ca="1">IF($BP$1=1,EC26,-IF(RTD("tos.rtd",,BO$2,"."&amp;$A$2&amp;$AW$1&amp;"P"&amp;$A26)="N/A",0,RTD("tos.rtd",,BO$2,"."&amp;$A$2&amp;$AW$1&amp;"P"&amp;$A26)))</f>
        <v>-1.8349488797111475E-2</v>
      </c>
      <c r="BQ26" s="3">
        <f t="shared" ca="1" si="104"/>
        <v>-67144373.241838887</v>
      </c>
      <c r="BR26" s="3" t="str">
        <f t="shared" ca="1" si="67"/>
        <v/>
      </c>
      <c r="BS26" s="3">
        <f t="shared" ca="1" si="105"/>
        <v>-92864140.784616664</v>
      </c>
      <c r="BT26" s="3" t="str">
        <f t="shared" ca="1" si="67"/>
        <v/>
      </c>
      <c r="BU26" s="3">
        <f t="shared" ca="1" si="106"/>
        <v>669447875.17031312</v>
      </c>
      <c r="BV26" s="3" t="str">
        <f t="shared" ca="1" si="38"/>
        <v/>
      </c>
      <c r="BX26" s="3">
        <f t="shared" ca="1" si="107"/>
        <v>-43988372.854406267</v>
      </c>
      <c r="BY26" s="3" t="str">
        <f t="shared" ca="1" si="68"/>
        <v/>
      </c>
      <c r="BZ26" s="3">
        <f t="shared" ca="1" si="108"/>
        <v>-170240071.36951509</v>
      </c>
      <c r="CA26" s="3" t="str">
        <f t="shared" ca="1" si="69"/>
        <v/>
      </c>
      <c r="CB26" s="3">
        <f t="shared" ca="1" si="109"/>
        <v>-38545909.977062821</v>
      </c>
      <c r="CC26" s="3" t="str">
        <f t="shared" ca="1" si="70"/>
        <v/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</v>
      </c>
      <c r="CF26" s="3">
        <f>IF(RTD("tos.rtd",,CF$2,"."&amp;$A$2&amp;$AU$1&amp;"C"&amp;$A26)="N/A",0,RTD("tos.rtd",,CF$2,"."&amp;$A$2&amp;$AU$1&amp;"C"&amp;$A26))</f>
        <v>0.9</v>
      </c>
      <c r="CG26" s="3">
        <f>-IF(RTD("tos.rtd",,CG$2,"."&amp;$A$2&amp;$AU$1&amp;"P"&amp;$A26)="N/A",0,RTD("tos.rtd",,CG$2,"."&amp;$A$2&amp;$AU$1&amp;"P"&amp;$A26))</f>
        <v>0.11</v>
      </c>
      <c r="CH26" s="3">
        <f>IF(RTD("tos.rtd",,CH$2,"."&amp;$A$2&amp;$AW$1&amp;"C"&amp;$A26)="N/A",0,RTD("tos.rtd",,CH$2,"."&amp;$A$2&amp;$AW$1&amp;"C"&amp;$A26))</f>
        <v>0.69</v>
      </c>
      <c r="CI26" s="3">
        <f>-IF(RTD("tos.rtd",,CI$2,"."&amp;$A$2&amp;$AW$1&amp;"P"&amp;$A26)="N/A",0,RTD("tos.rtd",,CI$2,"."&amp;$A$2&amp;$AW$1&amp;"P"&amp;$A26))</f>
        <v>0.31</v>
      </c>
      <c r="CK26" s="3">
        <f t="shared" si="42"/>
        <v>209061489</v>
      </c>
      <c r="CL26" s="3"/>
      <c r="CM26" s="3">
        <f t="shared" si="43"/>
        <v>121336231.38000003</v>
      </c>
      <c r="CN26" s="3"/>
      <c r="CO26" s="3">
        <f t="shared" si="44"/>
        <v>5150996656.2599983</v>
      </c>
      <c r="CP26" s="3">
        <f t="shared" si="110"/>
        <v>5481394376.6399984</v>
      </c>
      <c r="CQ26" s="3">
        <f t="shared" si="111"/>
        <v>-9601</v>
      </c>
      <c r="CR26" s="3"/>
      <c r="CS26" s="3">
        <f t="shared" si="112"/>
        <v>-26018</v>
      </c>
      <c r="CT26" s="3"/>
      <c r="CU26" s="3">
        <f t="shared" si="113"/>
        <v>-5981</v>
      </c>
      <c r="CV26" s="3">
        <f t="shared" si="114"/>
        <v>-41600</v>
      </c>
      <c r="CW26" s="3">
        <f t="shared" ca="1" si="115"/>
        <v>509439361.1438576</v>
      </c>
      <c r="CX26" s="85" t="str">
        <f t="shared" ca="1" si="71"/>
        <v>Cruce +</v>
      </c>
      <c r="CY26" s="3">
        <f t="shared" ca="1" si="116"/>
        <v>-252774354.20098418</v>
      </c>
      <c r="CZ26" s="85" t="str">
        <f t="shared" ca="1" si="72"/>
        <v/>
      </c>
      <c r="DA26" s="3">
        <f>IF(RTD("tos.rtd",,DA$2,"."&amp;$A$2&amp;$AS$1&amp;"C"&amp;$A26)="N/A",0,RTD("tos.rtd",,DA$2,"."&amp;$A$2&amp;$AS$1&amp;"C"&amp;$A26))</f>
        <v>12.55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13.17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11.36</v>
      </c>
      <c r="DF26" s="3">
        <f>IF(RTD("tos.rtd",,DF$2,"."&amp;$A$2&amp;$AS$1&amp;"P"&amp;$A26)="N/A",0,RTD("tos.rtd",,DF$2,"."&amp;$A$2&amp;$AS$1&amp;"P"&amp;$A26))</f>
        <v>0</v>
      </c>
      <c r="DG26" s="86">
        <f t="shared" si="50"/>
        <v>-12.409999999999968</v>
      </c>
      <c r="DH26" s="3">
        <f t="shared" si="5"/>
        <v>0</v>
      </c>
      <c r="DI26" s="3">
        <f t="shared" si="6"/>
        <v>0</v>
      </c>
      <c r="DJ26" s="3">
        <f t="shared" si="7"/>
        <v>0</v>
      </c>
      <c r="DK26" s="3">
        <f t="shared" si="8"/>
        <v>0</v>
      </c>
      <c r="DL26" s="3">
        <f t="shared" si="9"/>
        <v>0</v>
      </c>
      <c r="DM26" s="3">
        <f t="shared" si="10"/>
        <v>0</v>
      </c>
      <c r="DN26" s="63" t="str">
        <f t="shared" si="51"/>
        <v>UNKNOWN</v>
      </c>
      <c r="DO26" s="63" t="str">
        <f t="shared" si="52"/>
        <v>UNKNOWN</v>
      </c>
      <c r="DP26" s="3">
        <f t="shared" si="53"/>
        <v>0</v>
      </c>
      <c r="DQ26" s="3">
        <f t="shared" si="54"/>
        <v>0</v>
      </c>
      <c r="DR26" s="3">
        <f t="shared" ca="1" si="55"/>
        <v>0</v>
      </c>
      <c r="DS26" s="3">
        <f t="shared" si="56"/>
        <v>0</v>
      </c>
      <c r="DT26" s="3">
        <f t="shared" si="57"/>
        <v>0</v>
      </c>
      <c r="DU26" s="3">
        <f t="shared" si="58"/>
        <v>0</v>
      </c>
      <c r="DV26" s="3">
        <f t="shared" si="59"/>
        <v>-78</v>
      </c>
      <c r="DW26" s="3">
        <f t="shared" si="20"/>
        <v>3869</v>
      </c>
      <c r="DX26" s="3">
        <f t="shared" ca="1" si="21"/>
        <v>3.5850157688372774E-12</v>
      </c>
      <c r="DY26" s="3">
        <f t="shared" ca="1" si="22"/>
        <v>-1.2708201802179995E-2</v>
      </c>
      <c r="DZ26" s="3">
        <f t="shared" ca="1" si="23"/>
        <v>1.8493824333671371E-2</v>
      </c>
      <c r="EA26" s="3">
        <f t="shared" ca="1" si="24"/>
        <v>-1.8641918856978166E-2</v>
      </c>
      <c r="EB26" s="3">
        <f t="shared" ca="1" si="25"/>
        <v>1.8076552367967291E-2</v>
      </c>
      <c r="EC26" s="3">
        <f t="shared" ca="1" si="26"/>
        <v>-1.8349488797111475E-2</v>
      </c>
      <c r="ED26" s="63">
        <f t="shared" si="60"/>
        <v>3791</v>
      </c>
      <c r="EE26" s="59">
        <f t="shared" si="117"/>
        <v>0.25</v>
      </c>
      <c r="EF26" s="59">
        <f t="shared" si="118"/>
        <v>1.0409999999999999</v>
      </c>
      <c r="EG26" s="59">
        <f t="shared" si="119"/>
        <v>0.1845</v>
      </c>
      <c r="EH26" s="59">
        <f t="shared" si="120"/>
        <v>0.1961</v>
      </c>
      <c r="EI26" s="59">
        <f t="shared" si="121"/>
        <v>0.1709</v>
      </c>
      <c r="EJ26" s="59">
        <f t="shared" si="122"/>
        <v>0.17860000000000001</v>
      </c>
      <c r="EK26" s="63">
        <f t="shared" ca="1" si="62"/>
        <v>-17255501.83270213</v>
      </c>
      <c r="EL26" s="3" t="str">
        <f>RTD("tos.rtd",,EL$2,"."&amp;$A$2&amp;$AS$1&amp;"C"&amp;$A26)</f>
        <v>--</v>
      </c>
      <c r="EM26" s="3" t="str">
        <f>RTD("tos.rtd",,EM$2,"."&amp;$A$2&amp;$AS$1&amp;"P"&amp;$A26)</f>
        <v>104.10%</v>
      </c>
      <c r="EN26" s="3" t="str">
        <f>RTD("tos.rtd",,EN$2,"."&amp;$A$2&amp;$AU$1&amp;"C"&amp;$A26)</f>
        <v>18.45%</v>
      </c>
      <c r="EO26" s="3" t="str">
        <f>RTD("tos.rtd",,EO$2,"."&amp;$A$2&amp;$AU$1&amp;"P"&amp;$A26)</f>
        <v>19.61%</v>
      </c>
      <c r="EP26" s="3" t="str">
        <f>RTD("tos.rtd",,EP$2,"."&amp;$A$2&amp;$AW$1&amp;"C"&amp;$A26)</f>
        <v>17.09%</v>
      </c>
      <c r="EQ26" s="3" t="str">
        <f>RTD("tos.rtd",,EQ$2,"."&amp;$A$2&amp;$AW$1&amp;"P"&amp;$A26)</f>
        <v>17.86%</v>
      </c>
      <c r="ES26" s="63" t="str">
        <f t="shared" si="63"/>
        <v>580,3791.00</v>
      </c>
      <c r="ET26" s="63" t="str">
        <f t="shared" ca="1" si="64"/>
        <v>580,-252774.35</v>
      </c>
      <c r="EU26" s="67">
        <v>593.46</v>
      </c>
      <c r="EV26" s="67" t="s">
        <v>228</v>
      </c>
      <c r="EW26" s="67">
        <v>520.01</v>
      </c>
      <c r="EX26" s="67" t="s">
        <v>229</v>
      </c>
      <c r="EY26" s="67">
        <v>5945</v>
      </c>
      <c r="EZ26" s="67" t="s">
        <v>230</v>
      </c>
      <c r="FA26" s="67">
        <v>21344.75</v>
      </c>
      <c r="FB26" s="67" t="s">
        <v>231</v>
      </c>
      <c r="FC26" s="67" t="s">
        <v>232</v>
      </c>
      <c r="FD26" s="67" t="s">
        <v>233</v>
      </c>
      <c r="FE26" s="68" t="s">
        <v>234</v>
      </c>
      <c r="FF26" s="68" t="s">
        <v>235</v>
      </c>
    </row>
    <row r="27" spans="1:162" s="63" customFormat="1" ht="13.5" thickBot="1" x14ac:dyDescent="0.25">
      <c r="A27" s="2">
        <f t="shared" si="65"/>
        <v>579</v>
      </c>
      <c r="B27" s="3">
        <f t="shared" si="98"/>
        <v>5677</v>
      </c>
      <c r="C27" s="3">
        <f t="shared" si="99"/>
        <v>4027</v>
      </c>
      <c r="D27" s="3">
        <f t="shared" si="100"/>
        <v>2859</v>
      </c>
      <c r="E27" s="3">
        <f t="shared" si="101"/>
        <v>12563</v>
      </c>
      <c r="F27" s="4">
        <f t="shared" si="102"/>
        <v>5820.444877702942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51</v>
      </c>
      <c r="AN27" s="1">
        <v>231</v>
      </c>
      <c r="AO27" s="1">
        <v>579</v>
      </c>
      <c r="AP27" s="1">
        <v>89</v>
      </c>
      <c r="AQ27" s="1">
        <v>-6565</v>
      </c>
      <c r="AR27" s="1"/>
      <c r="AS27" s="6">
        <f>IF(RTD("tos.rtd",,AS$2,"."&amp;$A$2&amp;$AS$1&amp;"C"&amp;$A27)="N/A",0,RTD("tos.rtd",,AS$2,"."&amp;$A$2&amp;$AS$1&amp;"C"&amp;$A27))</f>
        <v>357</v>
      </c>
      <c r="AT27" s="7">
        <f>-IF(RTD("tos.rtd",,AT$2,"."&amp;$A$2&amp;$AS$1&amp;"P"&amp;$A27)="N/A",0,RTD("tos.rtd",,AT$2,"."&amp;$A$2&amp;$AS$1&amp;"P"&amp;$A27))</f>
        <v>-5320</v>
      </c>
      <c r="AU27" s="6">
        <f>IF(RTD("tos.rtd",,AU$2,"."&amp;$A$2&amp;$AU$1&amp;"C"&amp;$A27)="N/A",0,RTD("tos.rtd",,AU$2,"."&amp;$A$2&amp;$AU$1&amp;"C"&amp;$A27))</f>
        <v>775</v>
      </c>
      <c r="AV27" s="7">
        <f>-IF(RTD("tos.rtd",,AV$2,"."&amp;$A$2&amp;$AU$1&amp;"P"&amp;$A27)="N/A",0,RTD("tos.rtd",,AV$2,"."&amp;$A$2&amp;$AU$1&amp;"P"&amp;$A27))</f>
        <v>-3252</v>
      </c>
      <c r="AW27" s="6">
        <f>IF(RTD("tos.rtd",,AW$2,"."&amp;$A$2&amp;$AW$1&amp;"C"&amp;$A27)="N/A",0,RTD("tos.rtd",,AW$2,"."&amp;$A$2&amp;$AW$1&amp;"C"&amp;$A27))</f>
        <v>641</v>
      </c>
      <c r="AX27" s="7">
        <f>-IF(RTD("tos.rtd",,AX$2,"."&amp;$A$2&amp;$AW$1&amp;"P"&amp;$A27)="N/A",0,RTD("tos.rtd",,AX$2,"."&amp;$A$2&amp;$AW$1&amp;"P"&amp;$A27))</f>
        <v>-2218</v>
      </c>
      <c r="AY27" s="1">
        <f t="shared" si="103"/>
        <v>-9017</v>
      </c>
      <c r="AZ27" s="8">
        <f t="shared" si="32"/>
        <v>579</v>
      </c>
      <c r="BA27" s="6">
        <f>IF(RTD("tos.rtd",,BA$2,"."&amp;$A$2&amp;$AS$1&amp;"C"&amp;$A27)="N/A",0,RTD("tos.rtd",,BA$2,"."&amp;$A$2&amp;$AS$1&amp;"C"&amp;$A27))</f>
        <v>89</v>
      </c>
      <c r="BB27" s="7">
        <f>-IF(RTD("tos.rtd",,BB$2,"."&amp;$A$2&amp;$AS$1&amp;"P"&amp;$A27)="N/A",0,RTD("tos.rtd",,BB$2,"."&amp;$A$2&amp;$AS$1&amp;"P"&amp;$A27))</f>
        <v>-6565</v>
      </c>
      <c r="BC27" s="6">
        <f>IF(RTD("tos.rtd",,BC$2,"."&amp;$A$2&amp;$AU$1&amp;"C"&amp;$A27)="N/A",0,RTD("tos.rtd",,BC$2,"."&amp;$A$2&amp;$AU$1&amp;"C"&amp;$A27))</f>
        <v>17</v>
      </c>
      <c r="BD27" s="7">
        <f>-IF(RTD("tos.rtd",,BD$2,"."&amp;$A$2&amp;$AU$1&amp;"P"&amp;$A27)="N/A",0,RTD("tos.rtd",,BD$2,"."&amp;$A$2&amp;$AU$1&amp;"P"&amp;$A27))</f>
        <v>-2274</v>
      </c>
      <c r="BE27" s="6">
        <f>IF(RTD("tos.rtd",,BE$2,"."&amp;$A$2&amp;$AW$1&amp;"C"&amp;$A27)="N/A",0,RTD("tos.rtd",,BE$2,"."&amp;$A$2&amp;$AW$1&amp;"C"&amp;$A27))</f>
        <v>4</v>
      </c>
      <c r="BF27" s="83">
        <f>-IF(RTD("tos.rtd",,BF$2,"."&amp;$A$2&amp;$AW$1&amp;"P"&amp;$A27)="N/A",0,RTD("tos.rtd",,BF$2,"."&amp;$A$2&amp;$AW$1&amp;"P"&amp;$A27))</f>
        <v>-251</v>
      </c>
      <c r="BG27" s="32">
        <f ca="1">+Hoja2!Y28</f>
        <v>-6028</v>
      </c>
      <c r="BH27" s="7">
        <f t="shared" ca="1" si="33"/>
        <v>-15008</v>
      </c>
      <c r="BI27" s="8" t="str">
        <f t="shared" ca="1" si="34"/>
        <v/>
      </c>
      <c r="BJ27" s="3">
        <f ca="1">IF($BP$1=1,DX27,IF(RTD("tos.rtd",,BJ$2,"."&amp;$A$2&amp;$AS$1&amp;"C"&amp;$A27)="N/A",0,RTD("tos.rtd",,BJ$2,"."&amp;$A$2&amp;$AS$1&amp;"C"&amp;$A27)))</f>
        <v>5.2935319579215809E-14</v>
      </c>
      <c r="BK27" s="3">
        <f ca="1">IF($BP$1=1,DY27,-IF(RTD("tos.rtd",,BK$2,"."&amp;$A$2&amp;$AS$1&amp;"P"&amp;$A27)="N/A",0,RTD("tos.rtd",,BK$2,"."&amp;$A$2&amp;$AS$1&amp;"P"&amp;$A27)))</f>
        <v>-1.1567246206393432E-2</v>
      </c>
      <c r="BL27" s="3">
        <f ca="1">IF($BP$1=1,DZ27,IF(RTD("tos.rtd",,BL$2,"."&amp;$A$2&amp;$AU$1&amp;"C"&amp;$A27)="N/A",0,RTD("tos.rtd",,BL$2,"."&amp;$A$2&amp;$AU$1&amp;"C"&amp;$A27)))</f>
        <v>1.6737781649496974E-2</v>
      </c>
      <c r="BM27" s="3">
        <f ca="1">IF($BP$1=1,EA27,-IF(RTD("tos.rtd",,BM$2,"."&amp;$A$2&amp;$AU$1&amp;"P"&amp;$A27)="N/A",0,RTD("tos.rtd",,BM$2,"."&amp;$A$2&amp;$AU$1&amp;"P"&amp;$A27)))</f>
        <v>-1.709955517749441E-2</v>
      </c>
      <c r="BN27" s="3">
        <f ca="1">IF($BP$1=1,EB27,IF(RTD("tos.rtd",,BN$2,"."&amp;$A$2&amp;$AW$1&amp;"C"&amp;$A27)="N/A",0,RTD("tos.rtd",,BN$2,"."&amp;$A$2&amp;$AW$1&amp;"C"&amp;$A27)))</f>
        <v>1.6273716868120854E-2</v>
      </c>
      <c r="BO27" s="3">
        <f ca="1">IF($BP$1=1,EC27,-IF(RTD("tos.rtd",,BO$2,"."&amp;$A$2&amp;$AW$1&amp;"P"&amp;$A27)="N/A",0,RTD("tos.rtd",,BO$2,"."&amp;$A$2&amp;$AW$1&amp;"P"&amp;$A27)))</f>
        <v>-1.6548077828639911E-2</v>
      </c>
      <c r="BQ27" s="3">
        <f t="shared" ca="1" si="104"/>
        <v>-21596649.181980893</v>
      </c>
      <c r="BR27" s="3" t="str">
        <f t="shared" ca="1" si="67"/>
        <v/>
      </c>
      <c r="BS27" s="3">
        <f t="shared" ca="1" si="105"/>
        <v>-14963077.895586308</v>
      </c>
      <c r="BT27" s="3" t="str">
        <f t="shared" ca="1" si="67"/>
        <v/>
      </c>
      <c r="BU27" s="3">
        <f t="shared" ca="1" si="106"/>
        <v>-9220212.7178471796</v>
      </c>
      <c r="BV27" s="3" t="str">
        <f t="shared" ca="1" si="38"/>
        <v>Cruce -</v>
      </c>
      <c r="BX27" s="3">
        <f t="shared" ca="1" si="107"/>
        <v>-26650752.233033706</v>
      </c>
      <c r="BY27" s="3" t="str">
        <f t="shared" ca="1" si="68"/>
        <v/>
      </c>
      <c r="BZ27" s="3">
        <f t="shared" ca="1" si="108"/>
        <v>-13546600.891549874</v>
      </c>
      <c r="CA27" s="3" t="str">
        <f t="shared" ca="1" si="69"/>
        <v/>
      </c>
      <c r="CB27" s="3">
        <f t="shared" ca="1" si="109"/>
        <v>-1434847.8803923486</v>
      </c>
      <c r="CC27" s="3" t="str">
        <f t="shared" ca="1" si="70"/>
        <v/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</v>
      </c>
      <c r="CF27" s="3">
        <f>IF(RTD("tos.rtd",,CF$2,"."&amp;$A$2&amp;$AU$1&amp;"C"&amp;$A27)="N/A",0,RTD("tos.rtd",,CF$2,"."&amp;$A$2&amp;$AU$1&amp;"C"&amp;$A27))</f>
        <v>0.92</v>
      </c>
      <c r="CG27" s="3">
        <f>-IF(RTD("tos.rtd",,CG$2,"."&amp;$A$2&amp;$AU$1&amp;"P"&amp;$A27)="N/A",0,RTD("tos.rtd",,CG$2,"."&amp;$A$2&amp;$AU$1&amp;"P"&amp;$A27))</f>
        <v>0.1</v>
      </c>
      <c r="CH27" s="3">
        <f>IF(RTD("tos.rtd",,CH$2,"."&amp;$A$2&amp;$AW$1&amp;"C"&amp;$A27)="N/A",0,RTD("tos.rtd",,CH$2,"."&amp;$A$2&amp;$AW$1&amp;"C"&amp;$A27))</f>
        <v>0.7</v>
      </c>
      <c r="CI27" s="3">
        <f>-IF(RTD("tos.rtd",,CI$2,"."&amp;$A$2&amp;$AW$1&amp;"P"&amp;$A27)="N/A",0,RTD("tos.rtd",,CI$2,"."&amp;$A$2&amp;$AW$1&amp;"P"&amp;$A27))</f>
        <v>0.3</v>
      </c>
      <c r="CK27" s="3">
        <f t="shared" si="42"/>
        <v>21149037</v>
      </c>
      <c r="CL27" s="3"/>
      <c r="CM27" s="3">
        <f t="shared" si="43"/>
        <v>22973659.799999997</v>
      </c>
      <c r="CN27" s="3"/>
      <c r="CO27" s="3">
        <f t="shared" si="44"/>
        <v>-12837524.699999999</v>
      </c>
      <c r="CP27" s="3">
        <f t="shared" si="110"/>
        <v>31285172.099999998</v>
      </c>
      <c r="CQ27" s="3">
        <f t="shared" si="111"/>
        <v>-6476</v>
      </c>
      <c r="CR27" s="3"/>
      <c r="CS27" s="3">
        <f t="shared" si="112"/>
        <v>-2257</v>
      </c>
      <c r="CT27" s="3"/>
      <c r="CU27" s="3">
        <f t="shared" si="113"/>
        <v>-247</v>
      </c>
      <c r="CV27" s="3">
        <f t="shared" si="114"/>
        <v>-8980</v>
      </c>
      <c r="CW27" s="3">
        <f t="shared" ca="1" si="115"/>
        <v>-45779939.795414388</v>
      </c>
      <c r="CX27" s="85" t="str">
        <f t="shared" ca="1" si="71"/>
        <v>Cruce -</v>
      </c>
      <c r="CY27" s="3">
        <f t="shared" ca="1" si="116"/>
        <v>-41632201.00497593</v>
      </c>
      <c r="CZ27" s="85" t="str">
        <f t="shared" ca="1" si="72"/>
        <v/>
      </c>
      <c r="DA27" s="3">
        <f>IF(RTD("tos.rtd",,DA$2,"."&amp;$A$2&amp;$AS$1&amp;"C"&amp;$A27)="N/A",0,RTD("tos.rtd",,DA$2,"."&amp;$A$2&amp;$AS$1&amp;"C"&amp;$A27))</f>
        <v>13.27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14.11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12.45</v>
      </c>
      <c r="DF27" s="3">
        <f>IF(RTD("tos.rtd",,DF$2,"."&amp;$A$2&amp;$AS$1&amp;"P"&amp;$A27)="N/A",0,RTD("tos.rtd",,DF$2,"."&amp;$A$2&amp;$AS$1&amp;"P"&amp;$A27))</f>
        <v>0</v>
      </c>
      <c r="DG27" s="86">
        <f t="shared" si="50"/>
        <v>-13.409999999999968</v>
      </c>
      <c r="DH27" s="3">
        <f t="shared" si="5"/>
        <v>0</v>
      </c>
      <c r="DI27" s="3">
        <f t="shared" si="6"/>
        <v>0</v>
      </c>
      <c r="DJ27" s="3">
        <f t="shared" si="7"/>
        <v>0</v>
      </c>
      <c r="DK27" s="3">
        <f t="shared" si="8"/>
        <v>0</v>
      </c>
      <c r="DL27" s="3">
        <f t="shared" si="9"/>
        <v>0</v>
      </c>
      <c r="DM27" s="3">
        <f t="shared" si="10"/>
        <v>0</v>
      </c>
      <c r="DN27" s="63" t="str">
        <f t="shared" si="51"/>
        <v>UNKNOWN</v>
      </c>
      <c r="DO27" s="63" t="str">
        <f t="shared" si="52"/>
        <v>UNKNOWN</v>
      </c>
      <c r="DP27" s="3">
        <f t="shared" si="53"/>
        <v>0</v>
      </c>
      <c r="DQ27" s="3">
        <f t="shared" si="54"/>
        <v>0</v>
      </c>
      <c r="DR27" s="3">
        <f t="shared" ca="1" si="55"/>
        <v>0</v>
      </c>
      <c r="DS27" s="3">
        <f t="shared" si="56"/>
        <v>0</v>
      </c>
      <c r="DT27" s="3">
        <f t="shared" si="57"/>
        <v>0</v>
      </c>
      <c r="DU27" s="3">
        <f t="shared" si="58"/>
        <v>0</v>
      </c>
      <c r="DV27" s="3">
        <f t="shared" si="59"/>
        <v>51</v>
      </c>
      <c r="DW27" s="3">
        <f t="shared" si="20"/>
        <v>231</v>
      </c>
      <c r="DX27" s="3">
        <f t="shared" ca="1" si="21"/>
        <v>5.2935319579215809E-14</v>
      </c>
      <c r="DY27" s="3">
        <f t="shared" ca="1" si="22"/>
        <v>-1.1567246206393432E-2</v>
      </c>
      <c r="DZ27" s="3">
        <f t="shared" ca="1" si="23"/>
        <v>1.6737781649496974E-2</v>
      </c>
      <c r="EA27" s="3">
        <f t="shared" ca="1" si="24"/>
        <v>-1.709955517749441E-2</v>
      </c>
      <c r="EB27" s="3">
        <f t="shared" ca="1" si="25"/>
        <v>1.6273716868120854E-2</v>
      </c>
      <c r="EC27" s="3">
        <f t="shared" ca="1" si="26"/>
        <v>-1.6548077828639911E-2</v>
      </c>
      <c r="ED27" s="63">
        <f t="shared" si="60"/>
        <v>282</v>
      </c>
      <c r="EE27" s="59">
        <f t="shared" si="117"/>
        <v>0.25</v>
      </c>
      <c r="EF27" s="59">
        <f t="shared" si="118"/>
        <v>1.117</v>
      </c>
      <c r="EG27" s="59">
        <f t="shared" si="119"/>
        <v>0.18479999999999999</v>
      </c>
      <c r="EH27" s="59">
        <f t="shared" si="120"/>
        <v>0.19839999999999999</v>
      </c>
      <c r="EI27" s="59">
        <f t="shared" si="121"/>
        <v>0.17430000000000001</v>
      </c>
      <c r="EJ27" s="59">
        <f t="shared" si="122"/>
        <v>0.18</v>
      </c>
      <c r="EK27" s="63">
        <f t="shared" ca="1" si="62"/>
        <v>-937749.24079587939</v>
      </c>
      <c r="EL27" s="3" t="str">
        <f>RTD("tos.rtd",,EL$2,"."&amp;$A$2&amp;$AS$1&amp;"C"&amp;$A27)</f>
        <v>--</v>
      </c>
      <c r="EM27" s="3" t="str">
        <f>RTD("tos.rtd",,EM$2,"."&amp;$A$2&amp;$AS$1&amp;"P"&amp;$A27)</f>
        <v>111.70%</v>
      </c>
      <c r="EN27" s="3" t="str">
        <f>RTD("tos.rtd",,EN$2,"."&amp;$A$2&amp;$AU$1&amp;"C"&amp;$A27)</f>
        <v>18.48%</v>
      </c>
      <c r="EO27" s="3" t="str">
        <f>RTD("tos.rtd",,EO$2,"."&amp;$A$2&amp;$AU$1&amp;"P"&amp;$A27)</f>
        <v>19.84%</v>
      </c>
      <c r="EP27" s="3" t="str">
        <f>RTD("tos.rtd",,EP$2,"."&amp;$A$2&amp;$AW$1&amp;"C"&amp;$A27)</f>
        <v>17.43%</v>
      </c>
      <c r="EQ27" s="3" t="str">
        <f>RTD("tos.rtd",,EQ$2,"."&amp;$A$2&amp;$AW$1&amp;"P"&amp;$A27)</f>
        <v>18.00%</v>
      </c>
      <c r="ES27" s="63" t="str">
        <f t="shared" si="63"/>
        <v>579,282.00</v>
      </c>
      <c r="ET27" s="63" t="str">
        <f t="shared" ca="1" si="64"/>
        <v>579,-41632.20</v>
      </c>
      <c r="EU27" s="67">
        <v>593.41999999999996</v>
      </c>
      <c r="EV27" s="67" t="s">
        <v>236</v>
      </c>
      <c r="EW27" s="67">
        <v>519.97</v>
      </c>
      <c r="EX27" s="67" t="s">
        <v>237</v>
      </c>
      <c r="EY27" s="67">
        <v>5944.25</v>
      </c>
      <c r="EZ27" s="67" t="s">
        <v>238</v>
      </c>
      <c r="FA27" s="67">
        <v>21342.25</v>
      </c>
      <c r="FB27" s="67" t="s">
        <v>239</v>
      </c>
      <c r="FC27" s="67" t="s">
        <v>240</v>
      </c>
      <c r="FD27" s="67" t="s">
        <v>241</v>
      </c>
      <c r="FE27" s="68" t="s">
        <v>242</v>
      </c>
      <c r="FF27" s="68" t="s">
        <v>243</v>
      </c>
    </row>
    <row r="28" spans="1:162" s="63" customFormat="1" ht="13.5" thickBot="1" x14ac:dyDescent="0.25">
      <c r="A28" s="2">
        <f t="shared" si="65"/>
        <v>578</v>
      </c>
      <c r="B28" s="3">
        <f t="shared" si="98"/>
        <v>4474</v>
      </c>
      <c r="C28" s="3">
        <f t="shared" si="99"/>
        <v>3310</v>
      </c>
      <c r="D28" s="3">
        <f t="shared" si="100"/>
        <v>3893</v>
      </c>
      <c r="E28" s="3">
        <f t="shared" si="101"/>
        <v>11677</v>
      </c>
      <c r="F28" s="4">
        <f t="shared" si="102"/>
        <v>5810.3922958761668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0</v>
      </c>
      <c r="AN28" s="1">
        <v>2810</v>
      </c>
      <c r="AO28" s="1">
        <v>578</v>
      </c>
      <c r="AP28" s="1">
        <v>40</v>
      </c>
      <c r="AQ28" s="1">
        <v>-4828</v>
      </c>
      <c r="AR28" s="1"/>
      <c r="AS28" s="6">
        <f>IF(RTD("tos.rtd",,AS$2,"."&amp;$A$2&amp;$AS$1&amp;"C"&amp;$A28)="N/A",0,RTD("tos.rtd",,AS$2,"."&amp;$A$2&amp;$AS$1&amp;"C"&amp;$A28))</f>
        <v>923</v>
      </c>
      <c r="AT28" s="7">
        <f>-IF(RTD("tos.rtd",,AT$2,"."&amp;$A$2&amp;$AS$1&amp;"P"&amp;$A28)="N/A",0,RTD("tos.rtd",,AT$2,"."&amp;$A$2&amp;$AS$1&amp;"P"&amp;$A28))</f>
        <v>-3551</v>
      </c>
      <c r="AU28" s="6">
        <f>IF(RTD("tos.rtd",,AU$2,"."&amp;$A$2&amp;$AU$1&amp;"C"&amp;$A28)="N/A",0,RTD("tos.rtd",,AU$2,"."&amp;$A$2&amp;$AU$1&amp;"C"&amp;$A28))</f>
        <v>688</v>
      </c>
      <c r="AV28" s="7">
        <f>-IF(RTD("tos.rtd",,AV$2,"."&amp;$A$2&amp;$AU$1&amp;"P"&amp;$A28)="N/A",0,RTD("tos.rtd",,AV$2,"."&amp;$A$2&amp;$AU$1&amp;"P"&amp;$A28))</f>
        <v>-2622</v>
      </c>
      <c r="AW28" s="6">
        <f>IF(RTD("tos.rtd",,AW$2,"."&amp;$A$2&amp;$AW$1&amp;"C"&amp;$A28)="N/A",0,RTD("tos.rtd",,AW$2,"."&amp;$A$2&amp;$AW$1&amp;"C"&amp;$A28))</f>
        <v>1260</v>
      </c>
      <c r="AX28" s="7">
        <f>-IF(RTD("tos.rtd",,AX$2,"."&amp;$A$2&amp;$AW$1&amp;"P"&amp;$A28)="N/A",0,RTD("tos.rtd",,AX$2,"."&amp;$A$2&amp;$AW$1&amp;"P"&amp;$A28))</f>
        <v>-2633</v>
      </c>
      <c r="AY28" s="1">
        <f t="shared" si="103"/>
        <v>-5935</v>
      </c>
      <c r="AZ28" s="8">
        <f t="shared" si="32"/>
        <v>578</v>
      </c>
      <c r="BA28" s="6">
        <f>IF(RTD("tos.rtd",,BA$2,"."&amp;$A$2&amp;$AS$1&amp;"C"&amp;$A28)="N/A",0,RTD("tos.rtd",,BA$2,"."&amp;$A$2&amp;$AS$1&amp;"C"&amp;$A28))</f>
        <v>40</v>
      </c>
      <c r="BB28" s="7">
        <f>-IF(RTD("tos.rtd",,BB$2,"."&amp;$A$2&amp;$AS$1&amp;"P"&amp;$A28)="N/A",0,RTD("tos.rtd",,BB$2,"."&amp;$A$2&amp;$AS$1&amp;"P"&amp;$A28))</f>
        <v>-4828</v>
      </c>
      <c r="BC28" s="6">
        <f>IF(RTD("tos.rtd",,BC$2,"."&amp;$A$2&amp;$AU$1&amp;"C"&amp;$A28)="N/A",0,RTD("tos.rtd",,BC$2,"."&amp;$A$2&amp;$AU$1&amp;"C"&amp;$A28))</f>
        <v>53</v>
      </c>
      <c r="BD28" s="7">
        <f>-IF(RTD("tos.rtd",,BD$2,"."&amp;$A$2&amp;$AU$1&amp;"P"&amp;$A28)="N/A",0,RTD("tos.rtd",,BD$2,"."&amp;$A$2&amp;$AU$1&amp;"P"&amp;$A28))</f>
        <v>-2120</v>
      </c>
      <c r="BE28" s="6">
        <f>IF(RTD("tos.rtd",,BE$2,"."&amp;$A$2&amp;$AW$1&amp;"C"&amp;$A28)="N/A",0,RTD("tos.rtd",,BE$2,"."&amp;$A$2&amp;$AW$1&amp;"C"&amp;$A28))</f>
        <v>3</v>
      </c>
      <c r="BF28" s="83">
        <f>-IF(RTD("tos.rtd",,BF$2,"."&amp;$A$2&amp;$AW$1&amp;"P"&amp;$A28)="N/A",0,RTD("tos.rtd",,BF$2,"."&amp;$A$2&amp;$AW$1&amp;"P"&amp;$A28))</f>
        <v>-584</v>
      </c>
      <c r="BG28" s="32">
        <f ca="1">+Hoja2!Y29</f>
        <v>-9734</v>
      </c>
      <c r="BH28" s="7">
        <f t="shared" ca="1" si="33"/>
        <v>-17170</v>
      </c>
      <c r="BI28" s="8" t="str">
        <f t="shared" ca="1" si="34"/>
        <v/>
      </c>
      <c r="BJ28" s="3">
        <f ca="1">IF($BP$1=1,DX28,IF(RTD("tos.rtd",,BJ$2,"."&amp;$A$2&amp;$AS$1&amp;"C"&amp;$A28)="N/A",0,RTD("tos.rtd",,BJ$2,"."&amp;$A$2&amp;$AS$1&amp;"C"&amp;$A28)))</f>
        <v>5.5738158177759748E-16</v>
      </c>
      <c r="BK28" s="3">
        <f ca="1">IF($BP$1=1,DY28,-IF(RTD("tos.rtd",,BK$2,"."&amp;$A$2&amp;$AS$1&amp;"P"&amp;$A28)="N/A",0,RTD("tos.rtd",,BK$2,"."&amp;$A$2&amp;$AS$1&amp;"P"&amp;$A28)))</f>
        <v>-1.0597817802163076E-2</v>
      </c>
      <c r="BL28" s="3">
        <f ca="1">IF($BP$1=1,DZ28,IF(RTD("tos.rtd",,BL$2,"."&amp;$A$2&amp;$AU$1&amp;"C"&amp;$A28)="N/A",0,RTD("tos.rtd",,BL$2,"."&amp;$A$2&amp;$AU$1&amp;"C"&amp;$A28)))</f>
        <v>1.5074772906513486E-2</v>
      </c>
      <c r="BM28" s="3">
        <f ca="1">IF($BP$1=1,EA28,-IF(RTD("tos.rtd",,BM$2,"."&amp;$A$2&amp;$AU$1&amp;"P"&amp;$A28)="N/A",0,RTD("tos.rtd",,BM$2,"."&amp;$A$2&amp;$AU$1&amp;"P"&amp;$A28)))</f>
        <v>-1.5632542081378258E-2</v>
      </c>
      <c r="BN28" s="3">
        <f ca="1">IF($BP$1=1,EB28,IF(RTD("tos.rtd",,BN$2,"."&amp;$A$2&amp;$AW$1&amp;"C"&amp;$A28)="N/A",0,RTD("tos.rtd",,BN$2,"."&amp;$A$2&amp;$AW$1&amp;"C"&amp;$A28)))</f>
        <v>1.4546950355822121E-2</v>
      </c>
      <c r="BO28" s="3">
        <f ca="1">IF($BP$1=1,EC28,-IF(RTD("tos.rtd",,BO$2,"."&amp;$A$2&amp;$AW$1&amp;"P"&amp;$A28)="N/A",0,RTD("tos.rtd",,BO$2,"."&amp;$A$2&amp;$AW$1&amp;"P"&amp;$A28)))</f>
        <v>-1.4859362020147093E-2</v>
      </c>
      <c r="BQ28" s="3">
        <f t="shared" ca="1" si="104"/>
        <v>-13207234.315568591</v>
      </c>
      <c r="BR28" s="3" t="str">
        <f t="shared" ca="1" si="67"/>
        <v/>
      </c>
      <c r="BS28" s="3">
        <f t="shared" ca="1" si="105"/>
        <v>-10745052.780856915</v>
      </c>
      <c r="BT28" s="3" t="str">
        <f t="shared" ca="1" si="67"/>
        <v/>
      </c>
      <c r="BU28" s="3">
        <f t="shared" ca="1" si="106"/>
        <v>-7298187.5785889691</v>
      </c>
      <c r="BV28" s="3" t="str">
        <f t="shared" ca="1" si="38"/>
        <v/>
      </c>
      <c r="BX28" s="3">
        <f t="shared" ca="1" si="107"/>
        <v>-17956780.42116756</v>
      </c>
      <c r="BY28" s="3" t="str">
        <f t="shared" ca="1" si="68"/>
        <v/>
      </c>
      <c r="BZ28" s="3">
        <f t="shared" ca="1" si="108"/>
        <v>-11350421.437062807</v>
      </c>
      <c r="CA28" s="3" t="str">
        <f t="shared" ca="1" si="69"/>
        <v/>
      </c>
      <c r="CB28" s="3">
        <f t="shared" ca="1" si="109"/>
        <v>-3030178.4305313239</v>
      </c>
      <c r="CC28" s="3" t="str">
        <f t="shared" ca="1" si="70"/>
        <v/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</v>
      </c>
      <c r="CF28" s="3">
        <f>IF(RTD("tos.rtd",,CF$2,"."&amp;$A$2&amp;$AU$1&amp;"C"&amp;$A28)="N/A",0,RTD("tos.rtd",,CF$2,"."&amp;$A$2&amp;$AU$1&amp;"C"&amp;$A28))</f>
        <v>0.93</v>
      </c>
      <c r="CG28" s="3">
        <f>-IF(RTD("tos.rtd",,CG$2,"."&amp;$A$2&amp;$AU$1&amp;"P"&amp;$A28)="N/A",0,RTD("tos.rtd",,CG$2,"."&amp;$A$2&amp;$AU$1&amp;"P"&amp;$A28))</f>
        <v>0.08</v>
      </c>
      <c r="CH28" s="3">
        <f>IF(RTD("tos.rtd",,CH$2,"."&amp;$A$2&amp;$AW$1&amp;"C"&amp;$A28)="N/A",0,RTD("tos.rtd",,CH$2,"."&amp;$A$2&amp;$AW$1&amp;"C"&amp;$A28))</f>
        <v>0.71</v>
      </c>
      <c r="CI28" s="3">
        <f>-IF(RTD("tos.rtd",,CI$2,"."&amp;$A$2&amp;$AW$1&amp;"P"&amp;$A28)="N/A",0,RTD("tos.rtd",,CI$2,"."&amp;$A$2&amp;$AW$1&amp;"P"&amp;$A28))</f>
        <v>0.28999999999999998</v>
      </c>
      <c r="CK28" s="3">
        <f t="shared" si="42"/>
        <v>54679443</v>
      </c>
      <c r="CL28" s="3"/>
      <c r="CM28" s="3">
        <f t="shared" si="43"/>
        <v>25478369.279999997</v>
      </c>
      <c r="CN28" s="3"/>
      <c r="CO28" s="3">
        <f t="shared" si="44"/>
        <v>7762348.2299999893</v>
      </c>
      <c r="CP28" s="3">
        <f t="shared" si="110"/>
        <v>87920160.50999999</v>
      </c>
      <c r="CQ28" s="3">
        <f t="shared" si="111"/>
        <v>-4788</v>
      </c>
      <c r="CR28" s="3"/>
      <c r="CS28" s="3">
        <f t="shared" si="112"/>
        <v>-2067</v>
      </c>
      <c r="CT28" s="3"/>
      <c r="CU28" s="3">
        <f t="shared" si="113"/>
        <v>-581</v>
      </c>
      <c r="CV28" s="3">
        <f t="shared" si="114"/>
        <v>-7436</v>
      </c>
      <c r="CW28" s="3">
        <f t="shared" ca="1" si="115"/>
        <v>-31250474.675014473</v>
      </c>
      <c r="CX28" s="85" t="str">
        <f t="shared" ca="1" si="71"/>
        <v/>
      </c>
      <c r="CY28" s="3">
        <f t="shared" ca="1" si="116"/>
        <v>-32337380.28876169</v>
      </c>
      <c r="CZ28" s="85" t="str">
        <f t="shared" ca="1" si="72"/>
        <v/>
      </c>
      <c r="DA28" s="3">
        <f>IF(RTD("tos.rtd",,DA$2,"."&amp;$A$2&amp;$AS$1&amp;"C"&amp;$A28)="N/A",0,RTD("tos.rtd",,DA$2,"."&amp;$A$2&amp;$AS$1&amp;"C"&amp;$A28))</f>
        <v>12.8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15.12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13.38</v>
      </c>
      <c r="DF28" s="3">
        <f>IF(RTD("tos.rtd",,DF$2,"."&amp;$A$2&amp;$AS$1&amp;"P"&amp;$A28)="N/A",0,RTD("tos.rtd",,DF$2,"."&amp;$A$2&amp;$AS$1&amp;"P"&amp;$A28))</f>
        <v>0</v>
      </c>
      <c r="DG28" s="86">
        <f t="shared" si="50"/>
        <v>-14.409999999999968</v>
      </c>
      <c r="DH28" s="3">
        <f t="shared" si="5"/>
        <v>0</v>
      </c>
      <c r="DI28" s="3">
        <f t="shared" si="6"/>
        <v>0</v>
      </c>
      <c r="DJ28" s="3">
        <f t="shared" si="7"/>
        <v>0</v>
      </c>
      <c r="DK28" s="3">
        <f t="shared" si="8"/>
        <v>0</v>
      </c>
      <c r="DL28" s="3">
        <f t="shared" si="9"/>
        <v>0</v>
      </c>
      <c r="DM28" s="3">
        <f t="shared" si="10"/>
        <v>0</v>
      </c>
      <c r="DN28" s="63" t="str">
        <f t="shared" si="51"/>
        <v>UNKNOWN</v>
      </c>
      <c r="DO28" s="63" t="str">
        <f t="shared" si="52"/>
        <v>UNKNOWN</v>
      </c>
      <c r="DP28" s="3">
        <f t="shared" si="53"/>
        <v>0</v>
      </c>
      <c r="DQ28" s="3">
        <f t="shared" si="54"/>
        <v>0</v>
      </c>
      <c r="DR28" s="3">
        <f t="shared" ca="1" si="55"/>
        <v>0</v>
      </c>
      <c r="DS28" s="3">
        <f t="shared" si="56"/>
        <v>0</v>
      </c>
      <c r="DT28" s="3">
        <f t="shared" si="57"/>
        <v>0</v>
      </c>
      <c r="DU28" s="3">
        <f t="shared" si="58"/>
        <v>0</v>
      </c>
      <c r="DV28" s="3">
        <f t="shared" si="59"/>
        <v>0</v>
      </c>
      <c r="DW28" s="3">
        <f t="shared" si="20"/>
        <v>2810</v>
      </c>
      <c r="DX28" s="3">
        <f t="shared" ca="1" si="21"/>
        <v>5.5738158177759748E-16</v>
      </c>
      <c r="DY28" s="3">
        <f t="shared" ca="1" si="22"/>
        <v>-1.0597817802163076E-2</v>
      </c>
      <c r="DZ28" s="3">
        <f t="shared" ca="1" si="23"/>
        <v>1.5074772906513486E-2</v>
      </c>
      <c r="EA28" s="3">
        <f t="shared" ca="1" si="24"/>
        <v>-1.5632542081378258E-2</v>
      </c>
      <c r="EB28" s="3">
        <f t="shared" ca="1" si="25"/>
        <v>1.4546950355822121E-2</v>
      </c>
      <c r="EC28" s="3">
        <f t="shared" ca="1" si="26"/>
        <v>-1.4859362020147093E-2</v>
      </c>
      <c r="ED28" s="63">
        <f t="shared" si="60"/>
        <v>2810</v>
      </c>
      <c r="EE28" s="59">
        <f t="shared" si="117"/>
        <v>0.25</v>
      </c>
      <c r="EF28" s="59">
        <f t="shared" si="118"/>
        <v>1.1927000000000001</v>
      </c>
      <c r="EG28" s="59">
        <f t="shared" si="119"/>
        <v>0.18579999999999999</v>
      </c>
      <c r="EH28" s="59">
        <f t="shared" si="120"/>
        <v>0.20050000000000001</v>
      </c>
      <c r="EI28" s="59">
        <f t="shared" si="121"/>
        <v>0.17630000000000001</v>
      </c>
      <c r="EJ28" s="59">
        <f t="shared" si="122"/>
        <v>0.18160000000000001</v>
      </c>
      <c r="EK28" s="63">
        <f t="shared" ca="1" si="62"/>
        <v>-10451233.01231998</v>
      </c>
      <c r="EL28" s="3" t="str">
        <f>RTD("tos.rtd",,EL$2,"."&amp;$A$2&amp;$AS$1&amp;"C"&amp;$A28)</f>
        <v>--</v>
      </c>
      <c r="EM28" s="3" t="str">
        <f>RTD("tos.rtd",,EM$2,"."&amp;$A$2&amp;$AS$1&amp;"P"&amp;$A28)</f>
        <v>119.27%</v>
      </c>
      <c r="EN28" s="3" t="str">
        <f>RTD("tos.rtd",,EN$2,"."&amp;$A$2&amp;$AU$1&amp;"C"&amp;$A28)</f>
        <v>18.58%</v>
      </c>
      <c r="EO28" s="3" t="str">
        <f>RTD("tos.rtd",,EO$2,"."&amp;$A$2&amp;$AU$1&amp;"P"&amp;$A28)</f>
        <v>20.05%</v>
      </c>
      <c r="EP28" s="3" t="str">
        <f>RTD("tos.rtd",,EP$2,"."&amp;$A$2&amp;$AW$1&amp;"C"&amp;$A28)</f>
        <v>17.63%</v>
      </c>
      <c r="EQ28" s="3" t="str">
        <f>RTD("tos.rtd",,EQ$2,"."&amp;$A$2&amp;$AW$1&amp;"P"&amp;$A28)</f>
        <v>18.16%</v>
      </c>
      <c r="ES28" s="63" t="str">
        <f t="shared" si="63"/>
        <v>578,2810.00</v>
      </c>
      <c r="ET28" s="63" t="str">
        <f t="shared" ca="1" si="64"/>
        <v>578,-32337.38</v>
      </c>
      <c r="EU28" s="67">
        <v>593.35</v>
      </c>
      <c r="EV28" s="67" t="s">
        <v>244</v>
      </c>
      <c r="EW28" s="67">
        <v>519.86</v>
      </c>
      <c r="EX28" s="67" t="s">
        <v>245</v>
      </c>
      <c r="EY28" s="67">
        <v>5943.75</v>
      </c>
      <c r="EZ28" s="67" t="s">
        <v>246</v>
      </c>
      <c r="FA28" s="67">
        <v>21337.75</v>
      </c>
      <c r="FB28" s="67" t="s">
        <v>247</v>
      </c>
      <c r="FC28" s="67" t="s">
        <v>248</v>
      </c>
      <c r="FD28" s="67" t="s">
        <v>249</v>
      </c>
      <c r="FE28" s="68" t="s">
        <v>250</v>
      </c>
      <c r="FF28" s="68" t="s">
        <v>251</v>
      </c>
    </row>
    <row r="29" spans="1:162" s="63" customFormat="1" ht="13.5" thickBot="1" x14ac:dyDescent="0.25">
      <c r="A29" s="2">
        <f t="shared" si="65"/>
        <v>577</v>
      </c>
      <c r="B29" s="3">
        <f t="shared" si="98"/>
        <v>2236</v>
      </c>
      <c r="C29" s="3">
        <f t="shared" si="99"/>
        <v>2028</v>
      </c>
      <c r="D29" s="3">
        <f t="shared" si="100"/>
        <v>3910</v>
      </c>
      <c r="E29" s="3">
        <f t="shared" si="101"/>
        <v>8174</v>
      </c>
      <c r="F29" s="4">
        <f t="shared" si="102"/>
        <v>5800.3397140493917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6</v>
      </c>
      <c r="AN29" s="1">
        <v>-782</v>
      </c>
      <c r="AO29" s="1">
        <v>577</v>
      </c>
      <c r="AP29" s="1">
        <v>32</v>
      </c>
      <c r="AQ29" s="1">
        <v>-1626</v>
      </c>
      <c r="AR29" s="1"/>
      <c r="AS29" s="6">
        <f>IF(RTD("tos.rtd",,AS$2,"."&amp;$A$2&amp;$AS$1&amp;"C"&amp;$A29)="N/A",0,RTD("tos.rtd",,AS$2,"."&amp;$A$2&amp;$AS$1&amp;"C"&amp;$A29))</f>
        <v>149</v>
      </c>
      <c r="AT29" s="7">
        <f>-IF(RTD("tos.rtd",,AT$2,"."&amp;$A$2&amp;$AS$1&amp;"P"&amp;$A29)="N/A",0,RTD("tos.rtd",,AT$2,"."&amp;$A$2&amp;$AS$1&amp;"P"&amp;$A29))</f>
        <v>-2087</v>
      </c>
      <c r="AU29" s="6">
        <f>IF(RTD("tos.rtd",,AU$2,"."&amp;$A$2&amp;$AU$1&amp;"C"&amp;$A29)="N/A",0,RTD("tos.rtd",,AU$2,"."&amp;$A$2&amp;$AU$1&amp;"C"&amp;$A29))</f>
        <v>390</v>
      </c>
      <c r="AV29" s="7">
        <f>-IF(RTD("tos.rtd",,AV$2,"."&amp;$A$2&amp;$AU$1&amp;"P"&amp;$A29)="N/A",0,RTD("tos.rtd",,AV$2,"."&amp;$A$2&amp;$AU$1&amp;"P"&amp;$A29))</f>
        <v>-1638</v>
      </c>
      <c r="AW29" s="6">
        <f>IF(RTD("tos.rtd",,AW$2,"."&amp;$A$2&amp;$AW$1&amp;"C"&amp;$A29)="N/A",0,RTD("tos.rtd",,AW$2,"."&amp;$A$2&amp;$AW$1&amp;"C"&amp;$A29))</f>
        <v>1593</v>
      </c>
      <c r="AX29" s="7">
        <f>-IF(RTD("tos.rtd",,AX$2,"."&amp;$A$2&amp;$AW$1&amp;"P"&amp;$A29)="N/A",0,RTD("tos.rtd",,AX$2,"."&amp;$A$2&amp;$AW$1&amp;"P"&amp;$A29))</f>
        <v>-2317</v>
      </c>
      <c r="AY29" s="1">
        <f t="shared" si="103"/>
        <v>-3910</v>
      </c>
      <c r="AZ29" s="8">
        <f t="shared" si="32"/>
        <v>577</v>
      </c>
      <c r="BA29" s="6">
        <f>IF(RTD("tos.rtd",,BA$2,"."&amp;$A$2&amp;$AS$1&amp;"C"&amp;$A29)="N/A",0,RTD("tos.rtd",,BA$2,"."&amp;$A$2&amp;$AS$1&amp;"C"&amp;$A29))</f>
        <v>32</v>
      </c>
      <c r="BB29" s="7">
        <f>-IF(RTD("tos.rtd",,BB$2,"."&amp;$A$2&amp;$AS$1&amp;"P"&amp;$A29)="N/A",0,RTD("tos.rtd",,BB$2,"."&amp;$A$2&amp;$AS$1&amp;"P"&amp;$A29))</f>
        <v>-1626</v>
      </c>
      <c r="BC29" s="6">
        <f>IF(RTD("tos.rtd",,BC$2,"."&amp;$A$2&amp;$AU$1&amp;"C"&amp;$A29)="N/A",0,RTD("tos.rtd",,BC$2,"."&amp;$A$2&amp;$AU$1&amp;"C"&amp;$A29))</f>
        <v>41</v>
      </c>
      <c r="BD29" s="7">
        <f>-IF(RTD("tos.rtd",,BD$2,"."&amp;$A$2&amp;$AU$1&amp;"P"&amp;$A29)="N/A",0,RTD("tos.rtd",,BD$2,"."&amp;$A$2&amp;$AU$1&amp;"P"&amp;$A29))</f>
        <v>-2302</v>
      </c>
      <c r="BE29" s="6">
        <f>IF(RTD("tos.rtd",,BE$2,"."&amp;$A$2&amp;$AW$1&amp;"C"&amp;$A29)="N/A",0,RTD("tos.rtd",,BE$2,"."&amp;$A$2&amp;$AW$1&amp;"C"&amp;$A29))</f>
        <v>17</v>
      </c>
      <c r="BF29" s="83">
        <f>-IF(RTD("tos.rtd",,BF$2,"."&amp;$A$2&amp;$AW$1&amp;"P"&amp;$A29)="N/A",0,RTD("tos.rtd",,BF$2,"."&amp;$A$2&amp;$AW$1&amp;"P"&amp;$A29))</f>
        <v>-258</v>
      </c>
      <c r="BG29" s="32">
        <f ca="1">+Hoja2!Y30</f>
        <v>-6646</v>
      </c>
      <c r="BH29" s="7">
        <f t="shared" ca="1" si="33"/>
        <v>-10742</v>
      </c>
      <c r="BI29" s="8" t="str">
        <f t="shared" ca="1" si="34"/>
        <v/>
      </c>
      <c r="BJ29" s="3">
        <f ca="1">IF($BP$1=1,DX29,IF(RTD("tos.rtd",,BJ$2,"."&amp;$A$2&amp;$AS$1&amp;"C"&amp;$A29)="N/A",0,RTD("tos.rtd",,BJ$2,"."&amp;$A$2&amp;$AS$1&amp;"C"&amp;$A29)))</f>
        <v>4.1778679943086145E-18</v>
      </c>
      <c r="BK29" s="3">
        <f ca="1">IF($BP$1=1,DY29,-IF(RTD("tos.rtd",,BK$2,"."&amp;$A$2&amp;$AS$1&amp;"P"&amp;$A29)="N/A",0,RTD("tos.rtd",,BK$2,"."&amp;$A$2&amp;$AS$1&amp;"P"&amp;$A29)))</f>
        <v>-9.7643123996323886E-3</v>
      </c>
      <c r="BL29" s="3">
        <f ca="1">IF($BP$1=1,DZ29,IF(RTD("tos.rtd",,BL$2,"."&amp;$A$2&amp;$AU$1&amp;"C"&amp;$A29)="N/A",0,RTD("tos.rtd",,BL$2,"."&amp;$A$2&amp;$AU$1&amp;"C"&amp;$A29)))</f>
        <v>1.3389946031874276E-2</v>
      </c>
      <c r="BM29" s="3">
        <f ca="1">IF($BP$1=1,EA29,-IF(RTD("tos.rtd",,BM$2,"."&amp;$A$2&amp;$AU$1&amp;"P"&amp;$A29)="N/A",0,RTD("tos.rtd",,BM$2,"."&amp;$A$2&amp;$AU$1&amp;"P"&amp;$A29)))</f>
        <v>-1.4244099029319257E-2</v>
      </c>
      <c r="BN29" s="3">
        <f ca="1">IF($BP$1=1,EB29,IF(RTD("tos.rtd",,BN$2,"."&amp;$A$2&amp;$AW$1&amp;"C"&amp;$A29)="N/A",0,RTD("tos.rtd",,BN$2,"."&amp;$A$2&amp;$AW$1&amp;"C"&amp;$A29)))</f>
        <v>1.2920534879858919E-2</v>
      </c>
      <c r="BO29" s="3">
        <f ca="1">IF($BP$1=1,EC29,-IF(RTD("tos.rtd",,BO$2,"."&amp;$A$2&amp;$AW$1&amp;"P"&amp;$A29)="N/A",0,RTD("tos.rtd",,BO$2,"."&amp;$A$2&amp;$AW$1&amp;"P"&amp;$A29)))</f>
        <v>-1.3278337299848959E-2</v>
      </c>
      <c r="BQ29" s="3">
        <f t="shared" ca="1" si="104"/>
        <v>-7151693.2201053882</v>
      </c>
      <c r="BR29" s="3" t="str">
        <f t="shared" ca="1" si="67"/>
        <v/>
      </c>
      <c r="BS29" s="3">
        <f t="shared" ca="1" si="105"/>
        <v>-6355611.5104395198</v>
      </c>
      <c r="BT29" s="3" t="str">
        <f t="shared" ca="1" si="67"/>
        <v/>
      </c>
      <c r="BU29" s="3">
        <f t="shared" ca="1" si="106"/>
        <v>-3573893.7408224316</v>
      </c>
      <c r="BV29" s="3" t="str">
        <f t="shared" ca="1" si="38"/>
        <v/>
      </c>
      <c r="BX29" s="3">
        <f t="shared" ca="1" si="107"/>
        <v>-5571946.8978875726</v>
      </c>
      <c r="BY29" s="3" t="str">
        <f t="shared" ca="1" si="68"/>
        <v/>
      </c>
      <c r="BZ29" s="3">
        <f t="shared" ca="1" si="108"/>
        <v>-11314941.108914651</v>
      </c>
      <c r="CA29" s="3" t="str">
        <f t="shared" ca="1" si="69"/>
        <v/>
      </c>
      <c r="CB29" s="3">
        <f t="shared" ca="1" si="109"/>
        <v>-1125201.2729802229</v>
      </c>
      <c r="CC29" s="3" t="str">
        <f t="shared" ca="1" si="70"/>
        <v/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</v>
      </c>
      <c r="CF29" s="3">
        <f>IF(RTD("tos.rtd",,CF$2,"."&amp;$A$2&amp;$AU$1&amp;"C"&amp;$A29)="N/A",0,RTD("tos.rtd",,CF$2,"."&amp;$A$2&amp;$AU$1&amp;"C"&amp;$A29))</f>
        <v>0.94</v>
      </c>
      <c r="CG29" s="3">
        <f>-IF(RTD("tos.rtd",,CG$2,"."&amp;$A$2&amp;$AU$1&amp;"P"&amp;$A29)="N/A",0,RTD("tos.rtd",,CG$2,"."&amp;$A$2&amp;$AU$1&amp;"P"&amp;$A29))</f>
        <v>7.0000000000000007E-2</v>
      </c>
      <c r="CH29" s="3">
        <f>IF(RTD("tos.rtd",,CH$2,"."&amp;$A$2&amp;$AW$1&amp;"C"&amp;$A29)="N/A",0,RTD("tos.rtd",,CH$2,"."&amp;$A$2&amp;$AW$1&amp;"C"&amp;$A29))</f>
        <v>0.72</v>
      </c>
      <c r="CI29" s="3">
        <f>-IF(RTD("tos.rtd",,CI$2,"."&amp;$A$2&amp;$AW$1&amp;"P"&amp;$A29)="N/A",0,RTD("tos.rtd",,CI$2,"."&amp;$A$2&amp;$AW$1&amp;"P"&amp;$A29))</f>
        <v>0.28000000000000003</v>
      </c>
      <c r="CK29" s="3">
        <f t="shared" si="42"/>
        <v>8826909</v>
      </c>
      <c r="CL29" s="3"/>
      <c r="CM29" s="3">
        <f t="shared" si="43"/>
        <v>14925177.539999997</v>
      </c>
      <c r="CN29" s="3"/>
      <c r="CO29" s="3">
        <f t="shared" si="44"/>
        <v>29513866.199999996</v>
      </c>
      <c r="CP29" s="3">
        <f t="shared" si="110"/>
        <v>53265952.739999995</v>
      </c>
      <c r="CQ29" s="3">
        <f t="shared" si="111"/>
        <v>-1594</v>
      </c>
      <c r="CR29" s="3"/>
      <c r="CS29" s="3">
        <f t="shared" si="112"/>
        <v>-2261</v>
      </c>
      <c r="CT29" s="3"/>
      <c r="CU29" s="3">
        <f t="shared" si="113"/>
        <v>-241</v>
      </c>
      <c r="CV29" s="3">
        <f t="shared" si="114"/>
        <v>-4096</v>
      </c>
      <c r="CW29" s="3">
        <f t="shared" ca="1" si="115"/>
        <v>-17081198.471367341</v>
      </c>
      <c r="CX29" s="85" t="str">
        <f t="shared" ca="1" si="71"/>
        <v/>
      </c>
      <c r="CY29" s="3">
        <f t="shared" ca="1" si="116"/>
        <v>-18012089.279782448</v>
      </c>
      <c r="CZ29" s="85" t="str">
        <f t="shared" ca="1" si="72"/>
        <v/>
      </c>
      <c r="DA29" s="3">
        <f>IF(RTD("tos.rtd",,DA$2,"."&amp;$A$2&amp;$AS$1&amp;"C"&amp;$A29)="N/A",0,RTD("tos.rtd",,DA$2,"."&amp;$A$2&amp;$AS$1&amp;"C"&amp;$A29))</f>
        <v>15.56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16.12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14.36</v>
      </c>
      <c r="DF29" s="3">
        <f>IF(RTD("tos.rtd",,DF$2,"."&amp;$A$2&amp;$AS$1&amp;"P"&amp;$A29)="N/A",0,RTD("tos.rtd",,DF$2,"."&amp;$A$2&amp;$AS$1&amp;"P"&amp;$A29))</f>
        <v>0</v>
      </c>
      <c r="DG29" s="86">
        <f t="shared" si="50"/>
        <v>-15.409999999999968</v>
      </c>
      <c r="DH29" s="3">
        <f t="shared" si="5"/>
        <v>0</v>
      </c>
      <c r="DI29" s="3">
        <f t="shared" si="6"/>
        <v>0</v>
      </c>
      <c r="DJ29" s="3">
        <f t="shared" si="7"/>
        <v>0</v>
      </c>
      <c r="DK29" s="3">
        <f t="shared" si="8"/>
        <v>0</v>
      </c>
      <c r="DL29" s="3">
        <f t="shared" si="9"/>
        <v>0</v>
      </c>
      <c r="DM29" s="3">
        <f t="shared" si="10"/>
        <v>0</v>
      </c>
      <c r="DN29" s="63" t="str">
        <f t="shared" si="51"/>
        <v>UNKNOWN</v>
      </c>
      <c r="DO29" s="63" t="str">
        <f t="shared" si="52"/>
        <v>UNKNOWN</v>
      </c>
      <c r="DP29" s="3">
        <f t="shared" si="53"/>
        <v>0</v>
      </c>
      <c r="DQ29" s="3">
        <f t="shared" si="54"/>
        <v>0</v>
      </c>
      <c r="DR29" s="3">
        <f t="shared" ca="1" si="55"/>
        <v>0</v>
      </c>
      <c r="DS29" s="3">
        <f t="shared" si="56"/>
        <v>0</v>
      </c>
      <c r="DT29" s="3">
        <f t="shared" si="57"/>
        <v>0</v>
      </c>
      <c r="DU29" s="3">
        <f t="shared" si="58"/>
        <v>0</v>
      </c>
      <c r="DV29" s="3">
        <f t="shared" si="59"/>
        <v>6</v>
      </c>
      <c r="DW29" s="3">
        <f t="shared" si="20"/>
        <v>-782</v>
      </c>
      <c r="DX29" s="3">
        <f t="shared" ca="1" si="21"/>
        <v>4.1778679943086145E-18</v>
      </c>
      <c r="DY29" s="3">
        <f t="shared" ca="1" si="22"/>
        <v>-9.7643123996323886E-3</v>
      </c>
      <c r="DZ29" s="3">
        <f t="shared" ca="1" si="23"/>
        <v>1.3389946031874276E-2</v>
      </c>
      <c r="EA29" s="3">
        <f t="shared" ca="1" si="24"/>
        <v>-1.4244099029319257E-2</v>
      </c>
      <c r="EB29" s="3">
        <f t="shared" ca="1" si="25"/>
        <v>1.2920534879858919E-2</v>
      </c>
      <c r="EC29" s="3">
        <f t="shared" ca="1" si="26"/>
        <v>-1.3278337299848959E-2</v>
      </c>
      <c r="ED29" s="63">
        <f t="shared" si="60"/>
        <v>-776</v>
      </c>
      <c r="EE29" s="59">
        <f t="shared" si="117"/>
        <v>0.25</v>
      </c>
      <c r="EF29" s="59">
        <f t="shared" si="118"/>
        <v>1.2681</v>
      </c>
      <c r="EG29" s="59">
        <f t="shared" si="119"/>
        <v>0.18490000000000001</v>
      </c>
      <c r="EH29" s="59">
        <f t="shared" si="120"/>
        <v>0.20250000000000001</v>
      </c>
      <c r="EI29" s="59">
        <f t="shared" si="121"/>
        <v>0.17780000000000001</v>
      </c>
      <c r="EJ29" s="59">
        <f t="shared" si="122"/>
        <v>0.18310000000000001</v>
      </c>
      <c r="EK29" s="63">
        <f t="shared" ca="1" si="62"/>
        <v>2679743.2190332604</v>
      </c>
      <c r="EL29" s="3" t="str">
        <f>RTD("tos.rtd",,EL$2,"."&amp;$A$2&amp;$AS$1&amp;"C"&amp;$A29)</f>
        <v>--</v>
      </c>
      <c r="EM29" s="3" t="str">
        <f>RTD("tos.rtd",,EM$2,"."&amp;$A$2&amp;$AS$1&amp;"P"&amp;$A29)</f>
        <v>126.81%</v>
      </c>
      <c r="EN29" s="3" t="str">
        <f>RTD("tos.rtd",,EN$2,"."&amp;$A$2&amp;$AU$1&amp;"C"&amp;$A29)</f>
        <v>18.49%</v>
      </c>
      <c r="EO29" s="3" t="str">
        <f>RTD("tos.rtd",,EO$2,"."&amp;$A$2&amp;$AU$1&amp;"P"&amp;$A29)</f>
        <v>20.25%</v>
      </c>
      <c r="EP29" s="3" t="str">
        <f>RTD("tos.rtd",,EP$2,"."&amp;$A$2&amp;$AW$1&amp;"C"&amp;$A29)</f>
        <v>17.78%</v>
      </c>
      <c r="EQ29" s="3" t="str">
        <f>RTD("tos.rtd",,EQ$2,"."&amp;$A$2&amp;$AW$1&amp;"P"&amp;$A29)</f>
        <v>18.31%</v>
      </c>
      <c r="ES29" s="63" t="str">
        <f t="shared" si="63"/>
        <v>577,-776.00</v>
      </c>
      <c r="ET29" s="63" t="str">
        <f t="shared" ca="1" si="64"/>
        <v>577,-18012.09</v>
      </c>
      <c r="EU29" s="67">
        <v>593.4</v>
      </c>
      <c r="EV29" s="67" t="s">
        <v>252</v>
      </c>
      <c r="EW29" s="67">
        <v>519.91999999999996</v>
      </c>
      <c r="EX29" s="67" t="s">
        <v>253</v>
      </c>
      <c r="EY29" s="67">
        <v>5944.25</v>
      </c>
      <c r="EZ29" s="67" t="s">
        <v>254</v>
      </c>
      <c r="FA29" s="67">
        <v>21340.5</v>
      </c>
      <c r="FB29" s="67" t="s">
        <v>255</v>
      </c>
      <c r="FC29" s="67" t="s">
        <v>256</v>
      </c>
      <c r="FD29" s="67" t="s">
        <v>257</v>
      </c>
      <c r="FE29" s="68" t="s">
        <v>258</v>
      </c>
      <c r="FF29" s="68" t="s">
        <v>259</v>
      </c>
    </row>
    <row r="30" spans="1:162" s="63" customFormat="1" ht="13.5" thickBot="1" x14ac:dyDescent="0.25">
      <c r="A30" s="2">
        <f t="shared" si="65"/>
        <v>576</v>
      </c>
      <c r="B30" s="3">
        <f t="shared" si="13"/>
        <v>2796</v>
      </c>
      <c r="C30" s="3">
        <f t="shared" si="14"/>
        <v>2455</v>
      </c>
      <c r="D30" s="3">
        <f t="shared" si="15"/>
        <v>3083</v>
      </c>
      <c r="E30" s="3">
        <f t="shared" si="16"/>
        <v>8334</v>
      </c>
      <c r="F30" s="4">
        <f t="shared" si="17"/>
        <v>5790.2871322226165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27</v>
      </c>
      <c r="AN30" s="1">
        <v>-53</v>
      </c>
      <c r="AO30" s="1">
        <v>576</v>
      </c>
      <c r="AP30" s="1">
        <v>57</v>
      </c>
      <c r="AQ30" s="1">
        <v>-549</v>
      </c>
      <c r="AR30" s="1"/>
      <c r="AS30" s="6">
        <f>IF(RTD("tos.rtd",,AS$2,"."&amp;$A$2&amp;$AS$1&amp;"C"&amp;$A30)="N/A",0,RTD("tos.rtd",,AS$2,"."&amp;$A$2&amp;$AS$1&amp;"C"&amp;$A30))</f>
        <v>164</v>
      </c>
      <c r="AT30" s="7">
        <f>-IF(RTD("tos.rtd",,AT$2,"."&amp;$A$2&amp;$AS$1&amp;"P"&amp;$A30)="N/A",0,RTD("tos.rtd",,AT$2,"."&amp;$A$2&amp;$AS$1&amp;"P"&amp;$A30))</f>
        <v>-2632</v>
      </c>
      <c r="AU30" s="6">
        <f>IF(RTD("tos.rtd",,AU$2,"."&amp;$A$2&amp;$AU$1&amp;"C"&amp;$A30)="N/A",0,RTD("tos.rtd",,AU$2,"."&amp;$A$2&amp;$AU$1&amp;"C"&amp;$A30))</f>
        <v>402</v>
      </c>
      <c r="AV30" s="7">
        <f>-IF(RTD("tos.rtd",,AV$2,"."&amp;$A$2&amp;$AU$1&amp;"P"&amp;$A30)="N/A",0,RTD("tos.rtd",,AV$2,"."&amp;$A$2&amp;$AU$1&amp;"P"&amp;$A30))</f>
        <v>-2053</v>
      </c>
      <c r="AW30" s="6">
        <f>IF(RTD("tos.rtd",,AW$2,"."&amp;$A$2&amp;$AW$1&amp;"C"&amp;$A30)="N/A",0,RTD("tos.rtd",,AW$2,"."&amp;$A$2&amp;$AW$1&amp;"C"&amp;$A30))</f>
        <v>1286</v>
      </c>
      <c r="AX30" s="7">
        <f>-IF(RTD("tos.rtd",,AX$2,"."&amp;$A$2&amp;$AW$1&amp;"P"&amp;$A30)="N/A",0,RTD("tos.rtd",,AX$2,"."&amp;$A$2&amp;$AW$1&amp;"P"&amp;$A30))</f>
        <v>-1797</v>
      </c>
      <c r="AY30" s="1">
        <f t="shared" si="66"/>
        <v>-4630</v>
      </c>
      <c r="AZ30" s="8">
        <f t="shared" si="32"/>
        <v>576</v>
      </c>
      <c r="BA30" s="6">
        <f>IF(RTD("tos.rtd",,BA$2,"."&amp;$A$2&amp;$AS$1&amp;"C"&amp;$A30)="N/A",0,RTD("tos.rtd",,BA$2,"."&amp;$A$2&amp;$AS$1&amp;"C"&amp;$A30))</f>
        <v>57</v>
      </c>
      <c r="BB30" s="7">
        <f>-IF(RTD("tos.rtd",,BB$2,"."&amp;$A$2&amp;$AS$1&amp;"P"&amp;$A30)="N/A",0,RTD("tos.rtd",,BB$2,"."&amp;$A$2&amp;$AS$1&amp;"P"&amp;$A30))</f>
        <v>-549</v>
      </c>
      <c r="BC30" s="6">
        <f>IF(RTD("tos.rtd",,BC$2,"."&amp;$A$2&amp;$AU$1&amp;"C"&amp;$A30)="N/A",0,RTD("tos.rtd",,BC$2,"."&amp;$A$2&amp;$AU$1&amp;"C"&amp;$A30))</f>
        <v>16</v>
      </c>
      <c r="BD30" s="7">
        <f>-IF(RTD("tos.rtd",,BD$2,"."&amp;$A$2&amp;$AU$1&amp;"P"&amp;$A30)="N/A",0,RTD("tos.rtd",,BD$2,"."&amp;$A$2&amp;$AU$1&amp;"P"&amp;$A30))</f>
        <v>-2712</v>
      </c>
      <c r="BE30" s="6">
        <f>IF(RTD("tos.rtd",,BE$2,"."&amp;$A$2&amp;$AW$1&amp;"C"&amp;$A30)="N/A",0,RTD("tos.rtd",,BE$2,"."&amp;$A$2&amp;$AW$1&amp;"C"&amp;$A30))</f>
        <v>4</v>
      </c>
      <c r="BF30" s="83">
        <f>-IF(RTD("tos.rtd",,BF$2,"."&amp;$A$2&amp;$AW$1&amp;"P"&amp;$A30)="N/A",0,RTD("tos.rtd",,BF$2,"."&amp;$A$2&amp;$AW$1&amp;"P"&amp;$A30))</f>
        <v>-518</v>
      </c>
      <c r="BG30" s="32">
        <f ca="1">+Hoja2!Y31</f>
        <v>-5505</v>
      </c>
      <c r="BH30" s="7">
        <f t="shared" ca="1" si="33"/>
        <v>-9207</v>
      </c>
      <c r="BI30" s="8" t="str">
        <f t="shared" ca="1" si="34"/>
        <v/>
      </c>
      <c r="BJ30" s="3">
        <f ca="1">IF($BP$1=1,DX30,IF(RTD("tos.rtd",,BJ$2,"."&amp;$A$2&amp;$AS$1&amp;"C"&amp;$A30)="N/A",0,RTD("tos.rtd",,BJ$2,"."&amp;$A$2&amp;$AS$1&amp;"C"&amp;$A30)))</f>
        <v>2.2253045335326203E-20</v>
      </c>
      <c r="BK30" s="3">
        <f ca="1">IF($BP$1=1,DY30,-IF(RTD("tos.rtd",,BK$2,"."&amp;$A$2&amp;$AS$1&amp;"P"&amp;$A30)="N/A",0,RTD("tos.rtd",,BK$2,"."&amp;$A$2&amp;$AS$1&amp;"P"&amp;$A30)))</f>
        <v>-9.0402728434342359E-3</v>
      </c>
      <c r="BL30" s="3">
        <f ca="1">IF($BP$1=1,DZ30,IF(RTD("tos.rtd",,BL$2,"."&amp;$A$2&amp;$AU$1&amp;"C"&amp;$A30)="N/A",0,RTD("tos.rtd",,BL$2,"."&amp;$A$2&amp;$AU$1&amp;"C"&amp;$A30)))</f>
        <v>1.1792796740371186E-2</v>
      </c>
      <c r="BM30" s="3">
        <f ca="1">IF($BP$1=1,EA30,-IF(RTD("tos.rtd",,BM$2,"."&amp;$A$2&amp;$AU$1&amp;"P"&amp;$A30)="N/A",0,RTD("tos.rtd",,BM$2,"."&amp;$A$2&amp;$AU$1&amp;"P"&amp;$A30)))</f>
        <v>-1.2975239320993209E-2</v>
      </c>
      <c r="BN30" s="3">
        <f ca="1">IF($BP$1=1,EB30,IF(RTD("tos.rtd",,BN$2,"."&amp;$A$2&amp;$AW$1&amp;"C"&amp;$A30)="N/A",0,RTD("tos.rtd",,BN$2,"."&amp;$A$2&amp;$AW$1&amp;"C"&amp;$A30)))</f>
        <v>1.1369491805479677E-2</v>
      </c>
      <c r="BO30" s="3">
        <f ca="1">IF($BP$1=1,EC30,-IF(RTD("tos.rtd",,BO$2,"."&amp;$A$2&amp;$AW$1&amp;"P"&amp;$A30)="N/A",0,RTD("tos.rtd",,BO$2,"."&amp;$A$2&amp;$AW$1&amp;"P"&amp;$A30)))</f>
        <v>-1.1827694572704238E-2</v>
      </c>
      <c r="BQ30" s="3">
        <f t="shared" ca="1" si="35"/>
        <v>-8350494.3167214748</v>
      </c>
      <c r="BR30" s="3" t="str">
        <f t="shared" ca="1" si="67"/>
        <v/>
      </c>
      <c r="BS30" s="3">
        <f t="shared" ca="1" si="36"/>
        <v>-7684905.7200486232</v>
      </c>
      <c r="BT30" s="3" t="str">
        <f t="shared" ca="1" si="67"/>
        <v/>
      </c>
      <c r="BU30" s="3">
        <f t="shared" ca="1" si="37"/>
        <v>-2327919.1809556168</v>
      </c>
      <c r="BV30" s="3" t="str">
        <f t="shared" ca="1" si="38"/>
        <v/>
      </c>
      <c r="BX30" s="3">
        <f t="shared" ca="1" si="39"/>
        <v>-1741801.4361246543</v>
      </c>
      <c r="BY30" s="3" t="str">
        <f t="shared" ca="1" si="68"/>
        <v/>
      </c>
      <c r="BZ30" s="3">
        <f t="shared" ca="1" si="40"/>
        <v>-12283293.941252442</v>
      </c>
      <c r="CA30" s="3" t="str">
        <f t="shared" ca="1" si="69"/>
        <v/>
      </c>
      <c r="CB30" s="3">
        <f t="shared" ca="1" si="41"/>
        <v>-2134218.5586851141</v>
      </c>
      <c r="CC30" s="3" t="str">
        <f t="shared" ca="1" si="70"/>
        <v/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0.96</v>
      </c>
      <c r="CG30" s="3">
        <f>-IF(RTD("tos.rtd",,CG$2,"."&amp;$A$2&amp;$AU$1&amp;"P"&amp;$A30)="N/A",0,RTD("tos.rtd",,CG$2,"."&amp;$A$2&amp;$AU$1&amp;"P"&amp;$A30))</f>
        <v>0.06</v>
      </c>
      <c r="CH30" s="3">
        <f>IF(RTD("tos.rtd",,CH$2,"."&amp;$A$2&amp;$AW$1&amp;"C"&amp;$A30)="N/A",0,RTD("tos.rtd",,CH$2,"."&amp;$A$2&amp;$AW$1&amp;"C"&amp;$A30))</f>
        <v>0.73</v>
      </c>
      <c r="CI30" s="3">
        <f>-IF(RTD("tos.rtd",,CI$2,"."&amp;$A$2&amp;$AW$1&amp;"P"&amp;$A30)="N/A",0,RTD("tos.rtd",,CI$2,"."&amp;$A$2&amp;$AW$1&amp;"P"&amp;$A30))</f>
        <v>0.27</v>
      </c>
      <c r="CK30" s="3">
        <f t="shared" si="42"/>
        <v>9715524</v>
      </c>
      <c r="CL30" s="3"/>
      <c r="CM30" s="3">
        <f t="shared" si="43"/>
        <v>15564980.339999996</v>
      </c>
      <c r="CN30" s="3"/>
      <c r="CO30" s="3">
        <f t="shared" si="44"/>
        <v>26871125.189999994</v>
      </c>
      <c r="CP30" s="3">
        <f t="shared" si="45"/>
        <v>52151629.529999986</v>
      </c>
      <c r="CQ30" s="3">
        <f t="shared" si="46"/>
        <v>-492</v>
      </c>
      <c r="CR30" s="3"/>
      <c r="CS30" s="3">
        <f t="shared" si="18"/>
        <v>-2696</v>
      </c>
      <c r="CT30" s="3"/>
      <c r="CU30" s="3">
        <f t="shared" si="19"/>
        <v>-514</v>
      </c>
      <c r="CV30" s="3">
        <f t="shared" si="47"/>
        <v>-3702</v>
      </c>
      <c r="CW30" s="3">
        <f t="shared" ca="1" si="48"/>
        <v>-18363319.217725717</v>
      </c>
      <c r="CX30" s="85" t="str">
        <f t="shared" ca="1" si="71"/>
        <v/>
      </c>
      <c r="CY30" s="3">
        <f t="shared" ca="1" si="49"/>
        <v>-16159313.936062211</v>
      </c>
      <c r="CZ30" s="85" t="str">
        <f t="shared" ca="1" si="72"/>
        <v/>
      </c>
      <c r="DA30" s="3">
        <f>IF(RTD("tos.rtd",,DA$2,"."&amp;$A$2&amp;$AS$1&amp;"C"&amp;$A30)="N/A",0,RTD("tos.rtd",,DA$2,"."&amp;$A$2&amp;$AS$1&amp;"C"&amp;$A30))</f>
        <v>15.34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17.12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15.38</v>
      </c>
      <c r="DF30" s="3">
        <f>IF(RTD("tos.rtd",,DF$2,"."&amp;$A$2&amp;$AS$1&amp;"P"&amp;$A30)="N/A",0,RTD("tos.rtd",,DF$2,"."&amp;$A$2&amp;$AS$1&amp;"P"&amp;$A30))</f>
        <v>0</v>
      </c>
      <c r="DG30" s="86">
        <f t="shared" si="50"/>
        <v>-16.409999999999968</v>
      </c>
      <c r="DH30" s="3">
        <f t="shared" si="5"/>
        <v>0</v>
      </c>
      <c r="DI30" s="3">
        <f t="shared" si="6"/>
        <v>0</v>
      </c>
      <c r="DJ30" s="3">
        <f t="shared" si="7"/>
        <v>0</v>
      </c>
      <c r="DK30" s="3">
        <f t="shared" si="8"/>
        <v>0</v>
      </c>
      <c r="DL30" s="3">
        <f t="shared" si="9"/>
        <v>0</v>
      </c>
      <c r="DM30" s="3">
        <f t="shared" si="10"/>
        <v>0</v>
      </c>
      <c r="DN30" s="63" t="str">
        <f t="shared" si="51"/>
        <v>UNKNOWN</v>
      </c>
      <c r="DO30" s="63" t="str">
        <f t="shared" si="52"/>
        <v>UNKNOWN</v>
      </c>
      <c r="DP30" s="3">
        <f t="shared" si="53"/>
        <v>0</v>
      </c>
      <c r="DQ30" s="3">
        <f t="shared" si="54"/>
        <v>0</v>
      </c>
      <c r="DR30" s="3">
        <f t="shared" ca="1" si="55"/>
        <v>0</v>
      </c>
      <c r="DS30" s="3">
        <f t="shared" si="56"/>
        <v>0</v>
      </c>
      <c r="DT30" s="3">
        <f t="shared" si="57"/>
        <v>0</v>
      </c>
      <c r="DU30" s="3">
        <f t="shared" si="58"/>
        <v>0</v>
      </c>
      <c r="DV30" s="3">
        <f t="shared" si="59"/>
        <v>27</v>
      </c>
      <c r="DW30" s="3">
        <f t="shared" si="20"/>
        <v>-53</v>
      </c>
      <c r="DX30" s="3">
        <f t="shared" ca="1" si="21"/>
        <v>2.2253045335326203E-20</v>
      </c>
      <c r="DY30" s="3">
        <f t="shared" ca="1" si="22"/>
        <v>-9.0402728434342359E-3</v>
      </c>
      <c r="DZ30" s="3">
        <f t="shared" ca="1" si="23"/>
        <v>1.1792796740371186E-2</v>
      </c>
      <c r="EA30" s="3">
        <f t="shared" ca="1" si="24"/>
        <v>-1.2975239320993209E-2</v>
      </c>
      <c r="EB30" s="3">
        <f t="shared" ca="1" si="25"/>
        <v>1.1369491805479677E-2</v>
      </c>
      <c r="EC30" s="3">
        <f t="shared" ca="1" si="26"/>
        <v>-1.1827694572704238E-2</v>
      </c>
      <c r="ED30" s="63">
        <f t="shared" si="60"/>
        <v>-26</v>
      </c>
      <c r="EE30" s="59">
        <f t="shared" si="61"/>
        <v>0.25</v>
      </c>
      <c r="EF30" s="59">
        <f t="shared" si="27"/>
        <v>1.3431999999999999</v>
      </c>
      <c r="EG30" s="59">
        <f t="shared" si="28"/>
        <v>0.18429999999999999</v>
      </c>
      <c r="EH30" s="59">
        <f t="shared" si="29"/>
        <v>0.20530000000000001</v>
      </c>
      <c r="EI30" s="59">
        <f t="shared" si="30"/>
        <v>0.17860000000000001</v>
      </c>
      <c r="EJ30" s="59">
        <f t="shared" si="31"/>
        <v>0.18479999999999999</v>
      </c>
      <c r="EK30" s="63">
        <f t="shared" ca="1" si="62"/>
        <v>168152.05121057681</v>
      </c>
      <c r="EL30" s="3" t="str">
        <f>RTD("tos.rtd",,EL$2,"."&amp;$A$2&amp;$AS$1&amp;"C"&amp;$A30)</f>
        <v>--</v>
      </c>
      <c r="EM30" s="3" t="str">
        <f>RTD("tos.rtd",,EM$2,"."&amp;$A$2&amp;$AS$1&amp;"P"&amp;$A30)</f>
        <v>134.32%</v>
      </c>
      <c r="EN30" s="3" t="str">
        <f>RTD("tos.rtd",,EN$2,"."&amp;$A$2&amp;$AU$1&amp;"C"&amp;$A30)</f>
        <v>18.43%</v>
      </c>
      <c r="EO30" s="3" t="str">
        <f>RTD("tos.rtd",,EO$2,"."&amp;$A$2&amp;$AU$1&amp;"P"&amp;$A30)</f>
        <v>20.53%</v>
      </c>
      <c r="EP30" s="3" t="str">
        <f>RTD("tos.rtd",,EP$2,"."&amp;$A$2&amp;$AW$1&amp;"C"&amp;$A30)</f>
        <v>17.86%</v>
      </c>
      <c r="EQ30" s="3" t="str">
        <f>RTD("tos.rtd",,EQ$2,"."&amp;$A$2&amp;$AW$1&amp;"P"&amp;$A30)</f>
        <v>18.48%</v>
      </c>
      <c r="ES30" s="63" t="str">
        <f t="shared" si="63"/>
        <v>576,-26.00</v>
      </c>
      <c r="ET30" s="63" t="str">
        <f t="shared" ca="1" si="64"/>
        <v>576,-16159.31</v>
      </c>
      <c r="EU30" s="67">
        <v>593.35</v>
      </c>
      <c r="EV30" s="67" t="s">
        <v>260</v>
      </c>
      <c r="EW30" s="67">
        <v>519.96</v>
      </c>
      <c r="EX30" s="67" t="s">
        <v>261</v>
      </c>
      <c r="EY30" s="67">
        <v>5944.5</v>
      </c>
      <c r="EZ30" s="67" t="s">
        <v>262</v>
      </c>
      <c r="FA30" s="67">
        <v>21342.5</v>
      </c>
      <c r="FB30" s="67" t="s">
        <v>263</v>
      </c>
      <c r="FC30" s="67" t="s">
        <v>264</v>
      </c>
      <c r="FD30" s="67" t="s">
        <v>265</v>
      </c>
      <c r="FE30" s="68" t="s">
        <v>266</v>
      </c>
      <c r="FF30" s="68" t="s">
        <v>267</v>
      </c>
    </row>
    <row r="31" spans="1:162" s="63" customFormat="1" ht="13.5" thickBot="1" x14ac:dyDescent="0.25">
      <c r="A31" s="2">
        <f t="shared" si="65"/>
        <v>575</v>
      </c>
      <c r="B31" s="3">
        <f t="shared" si="13"/>
        <v>6641</v>
      </c>
      <c r="C31" s="3">
        <f t="shared" si="14"/>
        <v>17243</v>
      </c>
      <c r="D31" s="3">
        <f t="shared" si="15"/>
        <v>90543</v>
      </c>
      <c r="E31" s="3">
        <f t="shared" si="16"/>
        <v>114427</v>
      </c>
      <c r="F31" s="4">
        <f t="shared" si="17"/>
        <v>5780.2345503958404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-56</v>
      </c>
      <c r="AN31" s="1">
        <v>-31</v>
      </c>
      <c r="AO31" s="1">
        <v>575</v>
      </c>
      <c r="AP31" s="1">
        <v>209</v>
      </c>
      <c r="AQ31" s="1">
        <v>-551</v>
      </c>
      <c r="AR31" s="1"/>
      <c r="AS31" s="6">
        <f>IF(RTD("tos.rtd",,AS$2,"."&amp;$A$2&amp;$AS$1&amp;"C"&amp;$A31)="N/A",0,RTD("tos.rtd",,AS$2,"."&amp;$A$2&amp;$AS$1&amp;"C"&amp;$A31))</f>
        <v>488</v>
      </c>
      <c r="AT31" s="7">
        <f>-IF(RTD("tos.rtd",,AT$2,"."&amp;$A$2&amp;$AS$1&amp;"P"&amp;$A31)="N/A",0,RTD("tos.rtd",,AT$2,"."&amp;$A$2&amp;$AS$1&amp;"P"&amp;$A31))</f>
        <v>-6153</v>
      </c>
      <c r="AU31" s="6">
        <f>IF(RTD("tos.rtd",,AU$2,"."&amp;$A$2&amp;$AU$1&amp;"C"&amp;$A31)="N/A",0,RTD("tos.rtd",,AU$2,"."&amp;$A$2&amp;$AU$1&amp;"C"&amp;$A31))</f>
        <v>2765</v>
      </c>
      <c r="AV31" s="7">
        <f>-IF(RTD("tos.rtd",,AV$2,"."&amp;$A$2&amp;$AU$1&amp;"P"&amp;$A31)="N/A",0,RTD("tos.rtd",,AV$2,"."&amp;$A$2&amp;$AU$1&amp;"P"&amp;$A31))</f>
        <v>-14478</v>
      </c>
      <c r="AW31" s="6">
        <f>IF(RTD("tos.rtd",,AW$2,"."&amp;$A$2&amp;$AW$1&amp;"C"&amp;$A31)="N/A",0,RTD("tos.rtd",,AW$2,"."&amp;$A$2&amp;$AW$1&amp;"C"&amp;$A31))</f>
        <v>24735</v>
      </c>
      <c r="AX31" s="7">
        <f>-IF(RTD("tos.rtd",,AX$2,"."&amp;$A$2&amp;$AW$1&amp;"P"&amp;$A31)="N/A",0,RTD("tos.rtd",,AX$2,"."&amp;$A$2&amp;$AW$1&amp;"P"&amp;$A31))</f>
        <v>-65808</v>
      </c>
      <c r="AY31" s="1">
        <f t="shared" si="66"/>
        <v>-58451</v>
      </c>
      <c r="AZ31" s="8">
        <f t="shared" si="32"/>
        <v>575</v>
      </c>
      <c r="BA31" s="6">
        <f>IF(RTD("tos.rtd",,BA$2,"."&amp;$A$2&amp;$AS$1&amp;"C"&amp;$A31)="N/A",0,RTD("tos.rtd",,BA$2,"."&amp;$A$2&amp;$AS$1&amp;"C"&amp;$A31))</f>
        <v>209</v>
      </c>
      <c r="BB31" s="7">
        <f>-IF(RTD("tos.rtd",,BB$2,"."&amp;$A$2&amp;$AS$1&amp;"P"&amp;$A31)="N/A",0,RTD("tos.rtd",,BB$2,"."&amp;$A$2&amp;$AS$1&amp;"P"&amp;$A31))</f>
        <v>-551</v>
      </c>
      <c r="BC31" s="6">
        <f>IF(RTD("tos.rtd",,BC$2,"."&amp;$A$2&amp;$AU$1&amp;"C"&amp;$A31)="N/A",0,RTD("tos.rtd",,BC$2,"."&amp;$A$2&amp;$AU$1&amp;"C"&amp;$A31))</f>
        <v>248</v>
      </c>
      <c r="BD31" s="7">
        <f>-IF(RTD("tos.rtd",,BD$2,"."&amp;$A$2&amp;$AU$1&amp;"P"&amp;$A31)="N/A",0,RTD("tos.rtd",,BD$2,"."&amp;$A$2&amp;$AU$1&amp;"P"&amp;$A31))</f>
        <v>-6418</v>
      </c>
      <c r="BE31" s="6">
        <f>IF(RTD("tos.rtd",,BE$2,"."&amp;$A$2&amp;$AW$1&amp;"C"&amp;$A31)="N/A",0,RTD("tos.rtd",,BE$2,"."&amp;$A$2&amp;$AW$1&amp;"C"&amp;$A31))</f>
        <v>166</v>
      </c>
      <c r="BF31" s="83">
        <f>-IF(RTD("tos.rtd",,BF$2,"."&amp;$A$2&amp;$AW$1&amp;"P"&amp;$A31)="N/A",0,RTD("tos.rtd",,BF$2,"."&amp;$A$2&amp;$AW$1&amp;"P"&amp;$A31))</f>
        <v>-5007</v>
      </c>
      <c r="BG31" s="32">
        <f ca="1">+Hoja2!Y32</f>
        <v>-19615</v>
      </c>
      <c r="BH31" s="7">
        <f t="shared" ca="1" si="33"/>
        <v>-30968</v>
      </c>
      <c r="BI31" s="8" t="str">
        <f t="shared" ca="1" si="34"/>
        <v/>
      </c>
      <c r="BJ31" s="3">
        <f ca="1">IF($BP$1=1,DX31,IF(RTD("tos.rtd",,BJ$2,"."&amp;$A$2&amp;$AS$1&amp;"C"&amp;$A31)="N/A",0,RTD("tos.rtd",,BJ$2,"."&amp;$A$2&amp;$AS$1&amp;"C"&amp;$A31)))</f>
        <v>8.4079399093849228E-23</v>
      </c>
      <c r="BK31" s="3">
        <f ca="1">IF($BP$1=1,DY31,-IF(RTD("tos.rtd",,BK$2,"."&amp;$A$2&amp;$AS$1&amp;"P"&amp;$A31)="N/A",0,RTD("tos.rtd",,BK$2,"."&amp;$A$2&amp;$AS$1&amp;"P"&amp;$A31)))</f>
        <v>-8.406869732093987E-3</v>
      </c>
      <c r="BL31" s="3">
        <f ca="1">IF($BP$1=1,DZ31,IF(RTD("tos.rtd",,BL$2,"."&amp;$A$2&amp;$AU$1&amp;"C"&amp;$A31)="N/A",0,RTD("tos.rtd",,BL$2,"."&amp;$A$2&amp;$AU$1&amp;"C"&amp;$A31)))</f>
        <v>1.0247483643279851E-2</v>
      </c>
      <c r="BM31" s="3">
        <f ca="1">IF($BP$1=1,EA31,-IF(RTD("tos.rtd",,BM$2,"."&amp;$A$2&amp;$AU$1&amp;"P"&amp;$A31)="N/A",0,RTD("tos.rtd",,BM$2,"."&amp;$A$2&amp;$AU$1&amp;"P"&amp;$A31)))</f>
        <v>-1.1781436819233338E-2</v>
      </c>
      <c r="BN31" s="3">
        <f ca="1">IF($BP$1=1,EB31,IF(RTD("tos.rtd",,BN$2,"."&amp;$A$2&amp;$AW$1&amp;"C"&amp;$A31)="N/A",0,RTD("tos.rtd",,BN$2,"."&amp;$A$2&amp;$AW$1&amp;"C"&amp;$A31)))</f>
        <v>1.0049401721791961E-2</v>
      </c>
      <c r="BO31" s="3">
        <f ca="1">IF($BP$1=1,EC31,-IF(RTD("tos.rtd",,BO$2,"."&amp;$A$2&amp;$AW$1&amp;"P"&amp;$A31)="N/A",0,RTD("tos.rtd",,BO$2,"."&amp;$A$2&amp;$AW$1&amp;"P"&amp;$A31)))</f>
        <v>-1.049658844341704E-2</v>
      </c>
      <c r="BQ31" s="3">
        <f t="shared" ca="1" si="35"/>
        <v>-18153735.135544218</v>
      </c>
      <c r="BR31" s="3" t="str">
        <f t="shared" ca="1" si="67"/>
        <v/>
      </c>
      <c r="BS31" s="3">
        <f t="shared" ca="1" si="36"/>
        <v>-49918142.237994984</v>
      </c>
      <c r="BT31" s="3" t="str">
        <f t="shared" ca="1" si="67"/>
        <v/>
      </c>
      <c r="BU31" s="3">
        <f t="shared" ca="1" si="37"/>
        <v>-155185544.1139164</v>
      </c>
      <c r="BV31" s="3" t="str">
        <f t="shared" ca="1" si="38"/>
        <v/>
      </c>
      <c r="BX31" s="3">
        <f t="shared" ca="1" si="39"/>
        <v>-1625663.5884422013</v>
      </c>
      <c r="BY31" s="3" t="str">
        <f t="shared" ca="1" si="68"/>
        <v/>
      </c>
      <c r="BZ31" s="3">
        <f t="shared" ca="1" si="40"/>
        <v>-25644549.60121939</v>
      </c>
      <c r="CA31" s="3" t="str">
        <f t="shared" ca="1" si="69"/>
        <v/>
      </c>
      <c r="CB31" s="3">
        <f t="shared" ca="1" si="41"/>
        <v>-17859200.041305434</v>
      </c>
      <c r="CC31" s="3" t="str">
        <f t="shared" ca="1" si="70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0.97</v>
      </c>
      <c r="CG31" s="3">
        <f>-IF(RTD("tos.rtd",,CG$2,"."&amp;$A$2&amp;$AU$1&amp;"P"&amp;$A31)="N/A",0,RTD("tos.rtd",,CG$2,"."&amp;$A$2&amp;$AU$1&amp;"P"&amp;$A31))</f>
        <v>0.05</v>
      </c>
      <c r="CH31" s="3">
        <f>IF(RTD("tos.rtd",,CH$2,"."&amp;$A$2&amp;$AW$1&amp;"C"&amp;$A31)="N/A",0,RTD("tos.rtd",,CH$2,"."&amp;$A$2&amp;$AW$1&amp;"C"&amp;$A31))</f>
        <v>0.74</v>
      </c>
      <c r="CI31" s="3">
        <f>-IF(RTD("tos.rtd",,CI$2,"."&amp;$A$2&amp;$AW$1&amp;"P"&amp;$A31)="N/A",0,RTD("tos.rtd",,CI$2,"."&amp;$A$2&amp;$AW$1&amp;"P"&amp;$A31))</f>
        <v>0.27</v>
      </c>
      <c r="CK31" s="3">
        <f t="shared" si="42"/>
        <v>28909608</v>
      </c>
      <c r="CL31" s="3"/>
      <c r="CM31" s="3">
        <f t="shared" si="43"/>
        <v>116002764.14999998</v>
      </c>
      <c r="CN31" s="3"/>
      <c r="CO31" s="3">
        <f t="shared" si="44"/>
        <v>31737773.340000153</v>
      </c>
      <c r="CP31" s="3">
        <f t="shared" si="45"/>
        <v>176650145.49000013</v>
      </c>
      <c r="CQ31" s="3">
        <f t="shared" si="46"/>
        <v>-342</v>
      </c>
      <c r="CR31" s="3"/>
      <c r="CS31" s="3">
        <f t="shared" si="18"/>
        <v>-6170</v>
      </c>
      <c r="CT31" s="3"/>
      <c r="CU31" s="3">
        <f t="shared" si="19"/>
        <v>-4841</v>
      </c>
      <c r="CV31" s="3">
        <f t="shared" si="47"/>
        <v>-11353</v>
      </c>
      <c r="CW31" s="3">
        <f t="shared" ca="1" si="48"/>
        <v>-223257421.48745561</v>
      </c>
      <c r="CX31" s="85" t="str">
        <f t="shared" ca="1" si="71"/>
        <v/>
      </c>
      <c r="CY31" s="3">
        <f t="shared" ca="1" si="49"/>
        <v>-45129413.23096703</v>
      </c>
      <c r="CZ31" s="85" t="str">
        <f t="shared" ca="1" si="72"/>
        <v/>
      </c>
      <c r="DA31" s="3">
        <f>IF(RTD("tos.rtd",,DA$2,"."&amp;$A$2&amp;$AS$1&amp;"C"&amp;$A31)="N/A",0,RTD("tos.rtd",,DA$2,"."&amp;$A$2&amp;$AS$1&amp;"C"&amp;$A31))</f>
        <v>16.54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18.12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16.38</v>
      </c>
      <c r="DF31" s="3">
        <f>IF(RTD("tos.rtd",,DF$2,"."&amp;$A$2&amp;$AS$1&amp;"P"&amp;$A31)="N/A",0,RTD("tos.rtd",,DF$2,"."&amp;$A$2&amp;$AS$1&amp;"P"&amp;$A31))</f>
        <v>0</v>
      </c>
      <c r="DG31" s="86">
        <f t="shared" si="50"/>
        <v>-17.409999999999968</v>
      </c>
      <c r="DH31" s="3">
        <f t="shared" si="5"/>
        <v>0</v>
      </c>
      <c r="DI31" s="3">
        <f t="shared" si="6"/>
        <v>0</v>
      </c>
      <c r="DJ31" s="3">
        <f t="shared" si="7"/>
        <v>0</v>
      </c>
      <c r="DK31" s="3">
        <f t="shared" si="8"/>
        <v>0</v>
      </c>
      <c r="DL31" s="3">
        <f t="shared" si="9"/>
        <v>0</v>
      </c>
      <c r="DM31" s="3">
        <f t="shared" si="10"/>
        <v>0</v>
      </c>
      <c r="DN31" s="63" t="str">
        <f t="shared" si="51"/>
        <v>UNKNOWN</v>
      </c>
      <c r="DO31" s="63" t="str">
        <f t="shared" si="52"/>
        <v>UNKNOWN</v>
      </c>
      <c r="DP31" s="3">
        <f t="shared" si="53"/>
        <v>0</v>
      </c>
      <c r="DQ31" s="3">
        <f t="shared" si="54"/>
        <v>0</v>
      </c>
      <c r="DR31" s="3">
        <f t="shared" ca="1" si="55"/>
        <v>0</v>
      </c>
      <c r="DS31" s="3">
        <f t="shared" si="56"/>
        <v>0</v>
      </c>
      <c r="DT31" s="3">
        <f t="shared" si="57"/>
        <v>0</v>
      </c>
      <c r="DU31" s="3">
        <f t="shared" si="58"/>
        <v>0</v>
      </c>
      <c r="DV31" s="3">
        <f t="shared" si="59"/>
        <v>-56</v>
      </c>
      <c r="DW31" s="3">
        <f t="shared" si="20"/>
        <v>-31</v>
      </c>
      <c r="DX31" s="3">
        <f t="shared" ca="1" si="21"/>
        <v>8.4079399093849228E-23</v>
      </c>
      <c r="DY31" s="3">
        <f t="shared" ca="1" si="22"/>
        <v>-8.406869732093987E-3</v>
      </c>
      <c r="DZ31" s="3">
        <f t="shared" ca="1" si="23"/>
        <v>1.0247483643279851E-2</v>
      </c>
      <c r="EA31" s="3">
        <f t="shared" ca="1" si="24"/>
        <v>-1.1781436819233338E-2</v>
      </c>
      <c r="EB31" s="3">
        <f t="shared" ca="1" si="25"/>
        <v>1.0049401721791961E-2</v>
      </c>
      <c r="EC31" s="3">
        <f t="shared" ca="1" si="26"/>
        <v>-1.049658844341704E-2</v>
      </c>
      <c r="ED31" s="63">
        <f t="shared" si="60"/>
        <v>-87</v>
      </c>
      <c r="EE31" s="59">
        <f t="shared" si="61"/>
        <v>0.25</v>
      </c>
      <c r="EF31" s="59">
        <f t="shared" si="27"/>
        <v>1.4180999999999999</v>
      </c>
      <c r="EG31" s="59">
        <f t="shared" si="28"/>
        <v>0.1832</v>
      </c>
      <c r="EH31" s="59">
        <f t="shared" si="29"/>
        <v>0.2077</v>
      </c>
      <c r="EI31" s="59">
        <f t="shared" si="30"/>
        <v>0.1807</v>
      </c>
      <c r="EJ31" s="59">
        <f t="shared" si="31"/>
        <v>0.1865</v>
      </c>
      <c r="EK31" s="63">
        <f t="shared" ca="1" si="62"/>
        <v>91462.016772610237</v>
      </c>
      <c r="EL31" s="3" t="str">
        <f>RTD("tos.rtd",,EL$2,"."&amp;$A$2&amp;$AS$1&amp;"C"&amp;$A31)</f>
        <v>--</v>
      </c>
      <c r="EM31" s="3" t="str">
        <f>RTD("tos.rtd",,EM$2,"."&amp;$A$2&amp;$AS$1&amp;"P"&amp;$A31)</f>
        <v>141.81%</v>
      </c>
      <c r="EN31" s="3" t="str">
        <f>RTD("tos.rtd",,EN$2,"."&amp;$A$2&amp;$AU$1&amp;"C"&amp;$A31)</f>
        <v>18.32%</v>
      </c>
      <c r="EO31" s="3" t="str">
        <f>RTD("tos.rtd",,EO$2,"."&amp;$A$2&amp;$AU$1&amp;"P"&amp;$A31)</f>
        <v>20.77%</v>
      </c>
      <c r="EP31" s="3" t="str">
        <f>RTD("tos.rtd",,EP$2,"."&amp;$A$2&amp;$AW$1&amp;"C"&amp;$A31)</f>
        <v>18.07%</v>
      </c>
      <c r="EQ31" s="3" t="str">
        <f>RTD("tos.rtd",,EQ$2,"."&amp;$A$2&amp;$AW$1&amp;"P"&amp;$A31)</f>
        <v>18.65%</v>
      </c>
      <c r="ES31" s="63" t="str">
        <f t="shared" si="63"/>
        <v>575,-87.00</v>
      </c>
      <c r="ET31" s="63" t="str">
        <f t="shared" ca="1" si="64"/>
        <v>575,-45129.41</v>
      </c>
      <c r="EU31" s="67">
        <v>593.54</v>
      </c>
      <c r="EV31" s="67" t="s">
        <v>268</v>
      </c>
      <c r="EW31" s="67">
        <v>520.09</v>
      </c>
      <c r="EX31" s="67" t="s">
        <v>269</v>
      </c>
      <c r="EY31" s="67">
        <v>5945.75</v>
      </c>
      <c r="EZ31" s="67" t="s">
        <v>270</v>
      </c>
      <c r="FA31" s="67">
        <v>21347.25</v>
      </c>
      <c r="FB31" s="67" t="s">
        <v>271</v>
      </c>
      <c r="FC31" s="67" t="s">
        <v>272</v>
      </c>
      <c r="FD31" s="67" t="s">
        <v>273</v>
      </c>
      <c r="FE31" s="68" t="s">
        <v>274</v>
      </c>
      <c r="FF31" s="68" t="s">
        <v>275</v>
      </c>
    </row>
    <row r="32" spans="1:162" s="63" customFormat="1" ht="13.5" thickBot="1" x14ac:dyDescent="0.25">
      <c r="A32" s="2">
        <f t="shared" si="65"/>
        <v>574</v>
      </c>
      <c r="B32" s="3">
        <f t="shared" si="13"/>
        <v>3372</v>
      </c>
      <c r="C32" s="3">
        <f t="shared" si="14"/>
        <v>2630</v>
      </c>
      <c r="D32" s="3">
        <f t="shared" si="15"/>
        <v>2163</v>
      </c>
      <c r="E32" s="3">
        <f t="shared" si="16"/>
        <v>8165</v>
      </c>
      <c r="F32" s="4">
        <f t="shared" si="17"/>
        <v>5770.1819685690652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28</v>
      </c>
      <c r="AN32" s="1">
        <v>-415</v>
      </c>
      <c r="AO32" s="1">
        <v>574</v>
      </c>
      <c r="AP32" s="1">
        <v>37</v>
      </c>
      <c r="AQ32" s="1">
        <v>-711</v>
      </c>
      <c r="AR32" s="1"/>
      <c r="AS32" s="6">
        <f>IF(RTD("tos.rtd",,AS$2,"."&amp;$A$2&amp;$AS$1&amp;"C"&amp;$A32)="N/A",0,RTD("tos.rtd",,AS$2,"."&amp;$A$2&amp;$AS$1&amp;"C"&amp;$A32))</f>
        <v>268</v>
      </c>
      <c r="AT32" s="7">
        <f>-IF(RTD("tos.rtd",,AT$2,"."&amp;$A$2&amp;$AS$1&amp;"P"&amp;$A32)="N/A",0,RTD("tos.rtd",,AT$2,"."&amp;$A$2&amp;$AS$1&amp;"P"&amp;$A32))</f>
        <v>-3104</v>
      </c>
      <c r="AU32" s="6">
        <f>IF(RTD("tos.rtd",,AU$2,"."&amp;$A$2&amp;$AU$1&amp;"C"&amp;$A32)="N/A",0,RTD("tos.rtd",,AU$2,"."&amp;$A$2&amp;$AU$1&amp;"C"&amp;$A32))</f>
        <v>586</v>
      </c>
      <c r="AV32" s="7">
        <f>-IF(RTD("tos.rtd",,AV$2,"."&amp;$A$2&amp;$AU$1&amp;"P"&amp;$A32)="N/A",0,RTD("tos.rtd",,AV$2,"."&amp;$A$2&amp;$AU$1&amp;"P"&amp;$A32))</f>
        <v>-2044</v>
      </c>
      <c r="AW32" s="6">
        <f>IF(RTD("tos.rtd",,AW$2,"."&amp;$A$2&amp;$AW$1&amp;"C"&amp;$A32)="N/A",0,RTD("tos.rtd",,AW$2,"."&amp;$A$2&amp;$AW$1&amp;"C"&amp;$A32))</f>
        <v>1063</v>
      </c>
      <c r="AX32" s="7">
        <f>-IF(RTD("tos.rtd",,AX$2,"."&amp;$A$2&amp;$AW$1&amp;"P"&amp;$A32)="N/A",0,RTD("tos.rtd",,AX$2,"."&amp;$A$2&amp;$AW$1&amp;"P"&amp;$A32))</f>
        <v>-1100</v>
      </c>
      <c r="AY32" s="1">
        <f t="shared" si="66"/>
        <v>-4331</v>
      </c>
      <c r="AZ32" s="8">
        <f t="shared" si="32"/>
        <v>574</v>
      </c>
      <c r="BA32" s="6">
        <f>IF(RTD("tos.rtd",,BA$2,"."&amp;$A$2&amp;$AS$1&amp;"C"&amp;$A32)="N/A",0,RTD("tos.rtd",,BA$2,"."&amp;$A$2&amp;$AS$1&amp;"C"&amp;$A32))</f>
        <v>37</v>
      </c>
      <c r="BB32" s="7">
        <f>-IF(RTD("tos.rtd",,BB$2,"."&amp;$A$2&amp;$AS$1&amp;"P"&amp;$A32)="N/A",0,RTD("tos.rtd",,BB$2,"."&amp;$A$2&amp;$AS$1&amp;"P"&amp;$A32))</f>
        <v>-711</v>
      </c>
      <c r="BC32" s="6">
        <f>IF(RTD("tos.rtd",,BC$2,"."&amp;$A$2&amp;$AU$1&amp;"C"&amp;$A32)="N/A",0,RTD("tos.rtd",,BC$2,"."&amp;$A$2&amp;$AU$1&amp;"C"&amp;$A32))</f>
        <v>44</v>
      </c>
      <c r="BD32" s="7">
        <f>-IF(RTD("tos.rtd",,BD$2,"."&amp;$A$2&amp;$AU$1&amp;"P"&amp;$A32)="N/A",0,RTD("tos.rtd",,BD$2,"."&amp;$A$2&amp;$AU$1&amp;"P"&amp;$A32))</f>
        <v>-1548</v>
      </c>
      <c r="BE32" s="6">
        <f>IF(RTD("tos.rtd",,BE$2,"."&amp;$A$2&amp;$AW$1&amp;"C"&amp;$A32)="N/A",0,RTD("tos.rtd",,BE$2,"."&amp;$A$2&amp;$AW$1&amp;"C"&amp;$A32))</f>
        <v>3</v>
      </c>
      <c r="BF32" s="83">
        <f>-IF(RTD("tos.rtd",,BF$2,"."&amp;$A$2&amp;$AW$1&amp;"P"&amp;$A32)="N/A",0,RTD("tos.rtd",,BF$2,"."&amp;$A$2&amp;$AW$1&amp;"P"&amp;$A32))</f>
        <v>-1367</v>
      </c>
      <c r="BG32" s="32">
        <f ca="1">+Hoja2!Y33</f>
        <v>-1944</v>
      </c>
      <c r="BH32" s="7">
        <f t="shared" ca="1" si="33"/>
        <v>-5486</v>
      </c>
      <c r="BI32" s="8" t="str">
        <f t="shared" ca="1" si="34"/>
        <v/>
      </c>
      <c r="BJ32" s="3">
        <f ca="1">IF($BP$1=1,DX32,IF(RTD("tos.rtd",,BJ$2,"."&amp;$A$2&amp;$AS$1&amp;"C"&amp;$A32)="N/A",0,RTD("tos.rtd",,BJ$2,"."&amp;$A$2&amp;$AS$1&amp;"C"&amp;$A32)))</f>
        <v>2.249484673225801E-25</v>
      </c>
      <c r="BK32" s="3">
        <f ca="1">IF($BP$1=1,DY32,-IF(RTD("tos.rtd",,BK$2,"."&amp;$A$2&amp;$AS$1&amp;"P"&amp;$A32)="N/A",0,RTD("tos.rtd",,BK$2,"."&amp;$A$2&amp;$AS$1&amp;"P"&amp;$A32)))</f>
        <v>-7.848272640698848E-3</v>
      </c>
      <c r="BL32" s="3">
        <f ca="1">IF($BP$1=1,DZ32,IF(RTD("tos.rtd",,BL$2,"."&amp;$A$2&amp;$AU$1&amp;"C"&amp;$A32)="N/A",0,RTD("tos.rtd",,BL$2,"."&amp;$A$2&amp;$AU$1&amp;"C"&amp;$A32)))</f>
        <v>8.8182789491712526E-3</v>
      </c>
      <c r="BM32" s="3">
        <f ca="1">IF($BP$1=1,EA32,-IF(RTD("tos.rtd",,BM$2,"."&amp;$A$2&amp;$AU$1&amp;"P"&amp;$A32)="N/A",0,RTD("tos.rtd",,BM$2,"."&amp;$A$2&amp;$AU$1&amp;"P"&amp;$A32)))</f>
        <v>-1.0665746006123871E-2</v>
      </c>
      <c r="BN32" s="3">
        <f ca="1">IF($BP$1=1,EB32,IF(RTD("tos.rtd",,BN$2,"."&amp;$A$2&amp;$AW$1&amp;"C"&amp;$A32)="N/A",0,RTD("tos.rtd",,BN$2,"."&amp;$A$2&amp;$AW$1&amp;"C"&amp;$A32)))</f>
        <v>8.8835523540449716E-3</v>
      </c>
      <c r="BO32" s="3">
        <f ca="1">IF($BP$1=1,EC32,-IF(RTD("tos.rtd",,BO$2,"."&amp;$A$2&amp;$AW$1&amp;"P"&amp;$A32)="N/A",0,RTD("tos.rtd",,BO$2,"."&amp;$A$2&amp;$AW$1&amp;"P"&amp;$A32)))</f>
        <v>-9.2601640521323067E-3</v>
      </c>
      <c r="BQ32" s="3">
        <f t="shared" ca="1" si="35"/>
        <v>-8549496.8361272197</v>
      </c>
      <c r="BR32" s="3" t="str">
        <f t="shared" ca="1" si="67"/>
        <v/>
      </c>
      <c r="BS32" s="3">
        <f t="shared" ca="1" si="36"/>
        <v>-5837440.7714298461</v>
      </c>
      <c r="BT32" s="3" t="str">
        <f t="shared" ca="1" si="67"/>
        <v/>
      </c>
      <c r="BU32" s="3">
        <f t="shared" ca="1" si="37"/>
        <v>-260743.0316705415</v>
      </c>
      <c r="BV32" s="3" t="str">
        <f t="shared" ca="1" si="38"/>
        <v/>
      </c>
      <c r="BX32" s="3">
        <f t="shared" ca="1" si="39"/>
        <v>-1958341.5755433158</v>
      </c>
      <c r="BY32" s="3" t="str">
        <f t="shared" ca="1" si="68"/>
        <v/>
      </c>
      <c r="BZ32" s="3">
        <f t="shared" ca="1" si="40"/>
        <v>-5658209.8138818098</v>
      </c>
      <c r="CA32" s="3" t="str">
        <f t="shared" ca="1" si="69"/>
        <v/>
      </c>
      <c r="CB32" s="3">
        <f t="shared" ca="1" si="41"/>
        <v>-4433193.2042147545</v>
      </c>
      <c r="CC32" s="3" t="str">
        <f t="shared" ca="1" si="70"/>
        <v/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0.97</v>
      </c>
      <c r="CG32" s="3">
        <f>-IF(RTD("tos.rtd",,CG$2,"."&amp;$A$2&amp;$AU$1&amp;"P"&amp;$A32)="N/A",0,RTD("tos.rtd",,CG$2,"."&amp;$A$2&amp;$AU$1&amp;"P"&amp;$A32))</f>
        <v>0.05</v>
      </c>
      <c r="CH32" s="3">
        <f>IF(RTD("tos.rtd",,CH$2,"."&amp;$A$2&amp;$AW$1&amp;"C"&amp;$A32)="N/A",0,RTD("tos.rtd",,CH$2,"."&amp;$A$2&amp;$AW$1&amp;"C"&amp;$A32))</f>
        <v>0.75</v>
      </c>
      <c r="CI32" s="3">
        <f>-IF(RTD("tos.rtd",,CI$2,"."&amp;$A$2&amp;$AW$1&amp;"P"&amp;$A32)="N/A",0,RTD("tos.rtd",,CI$2,"."&amp;$A$2&amp;$AW$1&amp;"P"&amp;$A32))</f>
        <v>0.26</v>
      </c>
      <c r="CK32" s="3">
        <f t="shared" si="42"/>
        <v>15876588</v>
      </c>
      <c r="CL32" s="3"/>
      <c r="CM32" s="3">
        <f t="shared" si="43"/>
        <v>27619339.019999992</v>
      </c>
      <c r="CN32" s="3"/>
      <c r="CO32" s="3">
        <f t="shared" si="44"/>
        <v>30286961.25</v>
      </c>
      <c r="CP32" s="3">
        <f t="shared" si="45"/>
        <v>73782888.269999996</v>
      </c>
      <c r="CQ32" s="3">
        <f t="shared" si="46"/>
        <v>-674</v>
      </c>
      <c r="CR32" s="3"/>
      <c r="CS32" s="3">
        <f t="shared" si="18"/>
        <v>-1504</v>
      </c>
      <c r="CT32" s="3"/>
      <c r="CU32" s="3">
        <f t="shared" si="19"/>
        <v>-1364</v>
      </c>
      <c r="CV32" s="3">
        <f t="shared" si="47"/>
        <v>-3542</v>
      </c>
      <c r="CW32" s="3">
        <f t="shared" ca="1" si="48"/>
        <v>-14647680.639227606</v>
      </c>
      <c r="CX32" s="85" t="str">
        <f t="shared" ca="1" si="71"/>
        <v/>
      </c>
      <c r="CY32" s="3">
        <f t="shared" ca="1" si="49"/>
        <v>-12049744.59363988</v>
      </c>
      <c r="CZ32" s="85" t="str">
        <f t="shared" ca="1" si="72"/>
        <v/>
      </c>
      <c r="DA32" s="3">
        <f>IF(RTD("tos.rtd",,DA$2,"."&amp;$A$2&amp;$AS$1&amp;"C"&amp;$A32)="N/A",0,RTD("tos.rtd",,DA$2,"."&amp;$A$2&amp;$AS$1&amp;"C"&amp;$A32))</f>
        <v>18.07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19.11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17.38</v>
      </c>
      <c r="DF32" s="3">
        <f>IF(RTD("tos.rtd",,DF$2,"."&amp;$A$2&amp;$AS$1&amp;"P"&amp;$A32)="N/A",0,RTD("tos.rtd",,DF$2,"."&amp;$A$2&amp;$AS$1&amp;"P"&amp;$A32))</f>
        <v>0</v>
      </c>
      <c r="DG32" s="86">
        <f t="shared" si="50"/>
        <v>-18.409999999999968</v>
      </c>
      <c r="DH32" s="3">
        <f t="shared" si="5"/>
        <v>0</v>
      </c>
      <c r="DI32" s="3">
        <f t="shared" si="6"/>
        <v>0</v>
      </c>
      <c r="DJ32" s="3">
        <f t="shared" si="7"/>
        <v>0</v>
      </c>
      <c r="DK32" s="3">
        <f t="shared" si="8"/>
        <v>0</v>
      </c>
      <c r="DL32" s="3">
        <f t="shared" si="9"/>
        <v>0</v>
      </c>
      <c r="DM32" s="3">
        <f t="shared" si="10"/>
        <v>0</v>
      </c>
      <c r="DN32" s="63" t="str">
        <f t="shared" si="51"/>
        <v>UNKNOWN</v>
      </c>
      <c r="DO32" s="63" t="str">
        <f t="shared" si="52"/>
        <v>UNKNOWN</v>
      </c>
      <c r="DP32" s="3">
        <f t="shared" si="53"/>
        <v>0</v>
      </c>
      <c r="DQ32" s="3">
        <f t="shared" si="54"/>
        <v>0</v>
      </c>
      <c r="DR32" s="3">
        <f t="shared" ca="1" si="55"/>
        <v>0</v>
      </c>
      <c r="DS32" s="3">
        <f t="shared" si="56"/>
        <v>0</v>
      </c>
      <c r="DT32" s="3">
        <f t="shared" si="57"/>
        <v>0</v>
      </c>
      <c r="DU32" s="3">
        <f t="shared" si="58"/>
        <v>0</v>
      </c>
      <c r="DV32" s="3">
        <f t="shared" si="59"/>
        <v>28</v>
      </c>
      <c r="DW32" s="3">
        <f t="shared" si="20"/>
        <v>-415</v>
      </c>
      <c r="DX32" s="3">
        <f t="shared" ca="1" si="21"/>
        <v>2.249484673225801E-25</v>
      </c>
      <c r="DY32" s="3">
        <f t="shared" ca="1" si="22"/>
        <v>-7.848272640698848E-3</v>
      </c>
      <c r="DZ32" s="3">
        <f t="shared" ca="1" si="23"/>
        <v>8.8182789491712526E-3</v>
      </c>
      <c r="EA32" s="3">
        <f t="shared" ca="1" si="24"/>
        <v>-1.0665746006123871E-2</v>
      </c>
      <c r="EB32" s="3">
        <f t="shared" ca="1" si="25"/>
        <v>8.8835523540449716E-3</v>
      </c>
      <c r="EC32" s="3">
        <f t="shared" ca="1" si="26"/>
        <v>-9.2601640521323067E-3</v>
      </c>
      <c r="ED32" s="63">
        <f t="shared" si="60"/>
        <v>-387</v>
      </c>
      <c r="EE32" s="59">
        <f t="shared" si="61"/>
        <v>0.25</v>
      </c>
      <c r="EF32" s="59">
        <f t="shared" si="27"/>
        <v>1.4927999999999999</v>
      </c>
      <c r="EG32" s="59">
        <f t="shared" si="28"/>
        <v>0.18229999999999999</v>
      </c>
      <c r="EH32" s="59">
        <f t="shared" si="29"/>
        <v>0.2099</v>
      </c>
      <c r="EI32" s="59">
        <f t="shared" si="30"/>
        <v>0.18310000000000001</v>
      </c>
      <c r="EJ32" s="59">
        <f t="shared" si="31"/>
        <v>0.18790000000000001</v>
      </c>
      <c r="EK32" s="63">
        <f t="shared" ca="1" si="62"/>
        <v>1143054.5061188133</v>
      </c>
      <c r="EL32" s="3" t="str">
        <f>RTD("tos.rtd",,EL$2,"."&amp;$A$2&amp;$AS$1&amp;"C"&amp;$A32)</f>
        <v>--</v>
      </c>
      <c r="EM32" s="3" t="str">
        <f>RTD("tos.rtd",,EM$2,"."&amp;$A$2&amp;$AS$1&amp;"P"&amp;$A32)</f>
        <v>149.28%</v>
      </c>
      <c r="EN32" s="3" t="str">
        <f>RTD("tos.rtd",,EN$2,"."&amp;$A$2&amp;$AU$1&amp;"C"&amp;$A32)</f>
        <v>18.23%</v>
      </c>
      <c r="EO32" s="3" t="str">
        <f>RTD("tos.rtd",,EO$2,"."&amp;$A$2&amp;$AU$1&amp;"P"&amp;$A32)</f>
        <v>20.99%</v>
      </c>
      <c r="EP32" s="3" t="str">
        <f>RTD("tos.rtd",,EP$2,"."&amp;$A$2&amp;$AW$1&amp;"C"&amp;$A32)</f>
        <v>18.31%</v>
      </c>
      <c r="EQ32" s="3" t="str">
        <f>RTD("tos.rtd",,EQ$2,"."&amp;$A$2&amp;$AW$1&amp;"P"&amp;$A32)</f>
        <v>18.79%</v>
      </c>
      <c r="ES32" s="63" t="str">
        <f t="shared" si="63"/>
        <v>574,-387.00</v>
      </c>
      <c r="ET32" s="63" t="str">
        <f t="shared" ca="1" si="64"/>
        <v>574,-12049.74</v>
      </c>
      <c r="EU32" s="67">
        <v>593.47</v>
      </c>
      <c r="EV32" s="67" t="s">
        <v>276</v>
      </c>
      <c r="EW32" s="67">
        <v>520.01</v>
      </c>
      <c r="EX32" s="67" t="s">
        <v>277</v>
      </c>
      <c r="EY32" s="67">
        <v>5944.75</v>
      </c>
      <c r="EZ32" s="67" t="s">
        <v>278</v>
      </c>
      <c r="FA32" s="67">
        <v>21344</v>
      </c>
      <c r="FB32" s="67" t="s">
        <v>279</v>
      </c>
      <c r="FC32" s="67" t="s">
        <v>280</v>
      </c>
      <c r="FD32" s="67" t="s">
        <v>281</v>
      </c>
      <c r="FE32" s="68" t="s">
        <v>282</v>
      </c>
      <c r="FF32" s="68" t="s">
        <v>283</v>
      </c>
    </row>
    <row r="33" spans="1:162" s="63" customFormat="1" ht="13.5" thickBot="1" x14ac:dyDescent="0.25">
      <c r="A33" s="2">
        <f t="shared" si="65"/>
        <v>573</v>
      </c>
      <c r="B33" s="3">
        <f t="shared" si="13"/>
        <v>2000</v>
      </c>
      <c r="C33" s="3">
        <f t="shared" si="14"/>
        <v>2670</v>
      </c>
      <c r="D33" s="3">
        <f t="shared" si="15"/>
        <v>2226</v>
      </c>
      <c r="E33" s="3">
        <f t="shared" si="16"/>
        <v>6896</v>
      </c>
      <c r="F33" s="4">
        <f t="shared" si="17"/>
        <v>5760.1293867422901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-10</v>
      </c>
      <c r="AN33" s="1">
        <v>329</v>
      </c>
      <c r="AO33" s="1">
        <v>573</v>
      </c>
      <c r="AP33" s="1">
        <v>12</v>
      </c>
      <c r="AQ33" s="1">
        <v>-1285</v>
      </c>
      <c r="AR33" s="1"/>
      <c r="AS33" s="6">
        <f>IF(RTD("tos.rtd",,AS$2,"."&amp;$A$2&amp;$AS$1&amp;"C"&amp;$A33)="N/A",0,RTD("tos.rtd",,AS$2,"."&amp;$A$2&amp;$AS$1&amp;"C"&amp;$A33))</f>
        <v>139</v>
      </c>
      <c r="AT33" s="7">
        <f>-IF(RTD("tos.rtd",,AT$2,"."&amp;$A$2&amp;$AS$1&amp;"P"&amp;$A33)="N/A",0,RTD("tos.rtd",,AT$2,"."&amp;$A$2&amp;$AS$1&amp;"P"&amp;$A33))</f>
        <v>-1861</v>
      </c>
      <c r="AU33" s="6">
        <f>IF(RTD("tos.rtd",,AU$2,"."&amp;$A$2&amp;$AU$1&amp;"C"&amp;$A33)="N/A",0,RTD("tos.rtd",,AU$2,"."&amp;$A$2&amp;$AU$1&amp;"C"&amp;$A33))</f>
        <v>426</v>
      </c>
      <c r="AV33" s="7">
        <f>-IF(RTD("tos.rtd",,AV$2,"."&amp;$A$2&amp;$AU$1&amp;"P"&amp;$A33)="N/A",0,RTD("tos.rtd",,AV$2,"."&amp;$A$2&amp;$AU$1&amp;"P"&amp;$A33))</f>
        <v>-2244</v>
      </c>
      <c r="AW33" s="6">
        <f>IF(RTD("tos.rtd",,AW$2,"."&amp;$A$2&amp;$AW$1&amp;"C"&amp;$A33)="N/A",0,RTD("tos.rtd",,AW$2,"."&amp;$A$2&amp;$AW$1&amp;"C"&amp;$A33))</f>
        <v>989</v>
      </c>
      <c r="AX33" s="7">
        <f>-IF(RTD("tos.rtd",,AX$2,"."&amp;$A$2&amp;$AW$1&amp;"P"&amp;$A33)="N/A",0,RTD("tos.rtd",,AX$2,"."&amp;$A$2&amp;$AW$1&amp;"P"&amp;$A33))</f>
        <v>-1237</v>
      </c>
      <c r="AY33" s="1">
        <f t="shared" si="66"/>
        <v>-3788</v>
      </c>
      <c r="AZ33" s="8">
        <f t="shared" si="32"/>
        <v>573</v>
      </c>
      <c r="BA33" s="6">
        <f>IF(RTD("tos.rtd",,BA$2,"."&amp;$A$2&amp;$AS$1&amp;"C"&amp;$A33)="N/A",0,RTD("tos.rtd",,BA$2,"."&amp;$A$2&amp;$AS$1&amp;"C"&amp;$A33))</f>
        <v>12</v>
      </c>
      <c r="BB33" s="7">
        <f>-IF(RTD("tos.rtd",,BB$2,"."&amp;$A$2&amp;$AS$1&amp;"P"&amp;$A33)="N/A",0,RTD("tos.rtd",,BB$2,"."&amp;$A$2&amp;$AS$1&amp;"P"&amp;$A33))</f>
        <v>-1285</v>
      </c>
      <c r="BC33" s="6">
        <f>IF(RTD("tos.rtd",,BC$2,"."&amp;$A$2&amp;$AU$1&amp;"C"&amp;$A33)="N/A",0,RTD("tos.rtd",,BC$2,"."&amp;$A$2&amp;$AU$1&amp;"C"&amp;$A33))</f>
        <v>53</v>
      </c>
      <c r="BD33" s="7">
        <f>-IF(RTD("tos.rtd",,BD$2,"."&amp;$A$2&amp;$AU$1&amp;"P"&amp;$A33)="N/A",0,RTD("tos.rtd",,BD$2,"."&amp;$A$2&amp;$AU$1&amp;"P"&amp;$A33))</f>
        <v>-1229</v>
      </c>
      <c r="BE33" s="6">
        <f>IF(RTD("tos.rtd",,BE$2,"."&amp;$A$2&amp;$AW$1&amp;"C"&amp;$A33)="N/A",0,RTD("tos.rtd",,BE$2,"."&amp;$A$2&amp;$AW$1&amp;"C"&amp;$A33))</f>
        <v>3</v>
      </c>
      <c r="BF33" s="83">
        <f>-IF(RTD("tos.rtd",,BF$2,"."&amp;$A$2&amp;$AW$1&amp;"P"&amp;$A33)="N/A",0,RTD("tos.rtd",,BF$2,"."&amp;$A$2&amp;$AW$1&amp;"P"&amp;$A33))</f>
        <v>-929</v>
      </c>
      <c r="BG33" s="32">
        <f ca="1">+Hoja2!Y34</f>
        <v>-2969</v>
      </c>
      <c r="BH33" s="7">
        <f t="shared" ca="1" si="33"/>
        <v>-6344</v>
      </c>
      <c r="BI33" s="8" t="str">
        <f t="shared" ca="1" si="34"/>
        <v/>
      </c>
      <c r="BJ33" s="3">
        <f ca="1">IF($BP$1=1,DX33,IF(RTD("tos.rtd",,BJ$2,"."&amp;$A$2&amp;$AS$1&amp;"C"&amp;$A33)="N/A",0,RTD("tos.rtd",,BJ$2,"."&amp;$A$2&amp;$AS$1&amp;"C"&amp;$A33)))</f>
        <v>4.2539534585979997E-28</v>
      </c>
      <c r="BK33" s="3">
        <f ca="1">IF($BP$1=1,DY33,-IF(RTD("tos.rtd",,BK$2,"."&amp;$A$2&amp;$AS$1&amp;"P"&amp;$A33)="N/A",0,RTD("tos.rtd",,BK$2,"."&amp;$A$2&amp;$AS$1&amp;"P"&amp;$A33)))</f>
        <v>-7.3521063358109656E-3</v>
      </c>
      <c r="BL33" s="3">
        <f ca="1">IF($BP$1=1,DZ33,IF(RTD("tos.rtd",,BL$2,"."&amp;$A$2&amp;$AU$1&amp;"C"&amp;$A33)="N/A",0,RTD("tos.rtd",,BL$2,"."&amp;$A$2&amp;$AU$1&amp;"C"&amp;$A33)))</f>
        <v>7.0463246810134154E-3</v>
      </c>
      <c r="BM33" s="3">
        <f ca="1">IF($BP$1=1,EA33,-IF(RTD("tos.rtd",,BM$2,"."&amp;$A$2&amp;$AU$1&amp;"P"&amp;$A33)="N/A",0,RTD("tos.rtd",,BM$2,"."&amp;$A$2&amp;$AU$1&amp;"P"&amp;$A33)))</f>
        <v>-9.6681032897680298E-3</v>
      </c>
      <c r="BN33" s="3">
        <f ca="1">IF($BP$1=1,EB33,IF(RTD("tos.rtd",,BN$2,"."&amp;$A$2&amp;$AW$1&amp;"C"&amp;$A33)="N/A",0,RTD("tos.rtd",,BN$2,"."&amp;$A$2&amp;$AW$1&amp;"C"&amp;$A33)))</f>
        <v>7.7830097940331721E-3</v>
      </c>
      <c r="BO33" s="3">
        <f ca="1">IF($BP$1=1,EC33,-IF(RTD("tos.rtd",,BO$2,"."&amp;$A$2&amp;$AW$1&amp;"P"&amp;$A33)="N/A",0,RTD("tos.rtd",,BO$2,"."&amp;$A$2&amp;$AW$1&amp;"P"&amp;$A33)))</f>
        <v>-8.1444430456105218E-3</v>
      </c>
      <c r="BQ33" s="3">
        <f t="shared" ca="1" si="35"/>
        <v>-4801787.2561452985</v>
      </c>
      <c r="BR33" s="3" t="str">
        <f t="shared" ca="1" si="67"/>
        <v/>
      </c>
      <c r="BS33" s="3">
        <f t="shared" ca="1" si="36"/>
        <v>-6560472.8028609082</v>
      </c>
      <c r="BT33" s="3" t="str">
        <f t="shared" ca="1" si="67"/>
        <v/>
      </c>
      <c r="BU33" s="3">
        <f t="shared" ca="1" si="37"/>
        <v>-834305.26012977632</v>
      </c>
      <c r="BV33" s="3" t="str">
        <f t="shared" ca="1" si="38"/>
        <v/>
      </c>
      <c r="BX33" s="3">
        <f t="shared" ca="1" si="39"/>
        <v>-3315581.2058821646</v>
      </c>
      <c r="BY33" s="3" t="str">
        <f t="shared" ca="1" si="68"/>
        <v/>
      </c>
      <c r="BZ33" s="3">
        <f t="shared" ca="1" si="40"/>
        <v>-4038954.0085717184</v>
      </c>
      <c r="CA33" s="3" t="str">
        <f t="shared" ca="1" si="69"/>
        <v/>
      </c>
      <c r="CB33" s="3">
        <f t="shared" ca="1" si="41"/>
        <v>-2647156.2365900846</v>
      </c>
      <c r="CC33" s="3" t="str">
        <f t="shared" ca="1" si="70"/>
        <v/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0.98</v>
      </c>
      <c r="CG33" s="3">
        <f>-IF(RTD("tos.rtd",,CG$2,"."&amp;$A$2&amp;$AU$1&amp;"P"&amp;$A33)="N/A",0,RTD("tos.rtd",,CG$2,"."&amp;$A$2&amp;$AU$1&amp;"P"&amp;$A33))</f>
        <v>0.04</v>
      </c>
      <c r="CH33" s="3">
        <f>IF(RTD("tos.rtd",,CH$2,"."&amp;$A$2&amp;$AW$1&amp;"C"&amp;$A33)="N/A",0,RTD("tos.rtd",,CH$2,"."&amp;$A$2&amp;$AW$1&amp;"C"&amp;$A33))</f>
        <v>0.76</v>
      </c>
      <c r="CI33" s="3">
        <f>-IF(RTD("tos.rtd",,CI$2,"."&amp;$A$2&amp;$AW$1&amp;"P"&amp;$A33)="N/A",0,RTD("tos.rtd",,CI$2,"."&amp;$A$2&amp;$AW$1&amp;"P"&amp;$A33))</f>
        <v>0.25</v>
      </c>
      <c r="CK33" s="3">
        <f t="shared" si="42"/>
        <v>8234499</v>
      </c>
      <c r="CL33" s="3"/>
      <c r="CM33" s="3">
        <f t="shared" si="43"/>
        <v>19414460.52</v>
      </c>
      <c r="CN33" s="3"/>
      <c r="CO33" s="3">
        <f t="shared" si="44"/>
        <v>26207625.989999995</v>
      </c>
      <c r="CP33" s="3">
        <f t="shared" si="45"/>
        <v>53856585.50999999</v>
      </c>
      <c r="CQ33" s="3">
        <f t="shared" si="46"/>
        <v>-1273</v>
      </c>
      <c r="CR33" s="3"/>
      <c r="CS33" s="3">
        <f t="shared" si="18"/>
        <v>-1176</v>
      </c>
      <c r="CT33" s="3"/>
      <c r="CU33" s="3">
        <f t="shared" si="19"/>
        <v>-926</v>
      </c>
      <c r="CV33" s="3">
        <f t="shared" si="47"/>
        <v>-3375</v>
      </c>
      <c r="CW33" s="3">
        <f t="shared" ca="1" si="48"/>
        <v>-12196565.319135983</v>
      </c>
      <c r="CX33" s="85" t="str">
        <f t="shared" ca="1" si="71"/>
        <v/>
      </c>
      <c r="CY33" s="3">
        <f t="shared" ca="1" si="49"/>
        <v>-10001691.451043967</v>
      </c>
      <c r="CZ33" s="85" t="str">
        <f t="shared" ca="1" si="72"/>
        <v/>
      </c>
      <c r="DA33" s="3">
        <f>IF(RTD("tos.rtd",,DA$2,"."&amp;$A$2&amp;$AS$1&amp;"C"&amp;$A33)="N/A",0,RTD("tos.rtd",,DA$2,"."&amp;$A$2&amp;$AS$1&amp;"C"&amp;$A33))</f>
        <v>18.5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20.12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18.38</v>
      </c>
      <c r="DF33" s="3">
        <f>IF(RTD("tos.rtd",,DF$2,"."&amp;$A$2&amp;$AS$1&amp;"P"&amp;$A33)="N/A",0,RTD("tos.rtd",,DF$2,"."&amp;$A$2&amp;$AS$1&amp;"P"&amp;$A33))</f>
        <v>0</v>
      </c>
      <c r="DG33" s="86">
        <f t="shared" si="50"/>
        <v>-19.409999999999968</v>
      </c>
      <c r="DH33" s="3">
        <f t="shared" si="5"/>
        <v>0</v>
      </c>
      <c r="DI33" s="3">
        <f t="shared" si="6"/>
        <v>0</v>
      </c>
      <c r="DJ33" s="3">
        <f t="shared" si="7"/>
        <v>0</v>
      </c>
      <c r="DK33" s="3">
        <f t="shared" si="8"/>
        <v>0</v>
      </c>
      <c r="DL33" s="3">
        <f t="shared" si="9"/>
        <v>0</v>
      </c>
      <c r="DM33" s="3">
        <f t="shared" si="10"/>
        <v>0</v>
      </c>
      <c r="DN33" s="63" t="str">
        <f t="shared" si="51"/>
        <v>UNKNOWN</v>
      </c>
      <c r="DO33" s="63" t="str">
        <f t="shared" si="52"/>
        <v>UNKNOWN</v>
      </c>
      <c r="DP33" s="3">
        <f t="shared" si="53"/>
        <v>0</v>
      </c>
      <c r="DQ33" s="3">
        <f t="shared" si="54"/>
        <v>0</v>
      </c>
      <c r="DR33" s="3">
        <f t="shared" ca="1" si="55"/>
        <v>0</v>
      </c>
      <c r="DS33" s="3">
        <f t="shared" si="56"/>
        <v>0</v>
      </c>
      <c r="DT33" s="3">
        <f t="shared" si="57"/>
        <v>0</v>
      </c>
      <c r="DU33" s="3">
        <f t="shared" si="58"/>
        <v>0</v>
      </c>
      <c r="DV33" s="3">
        <f t="shared" si="59"/>
        <v>-10</v>
      </c>
      <c r="DW33" s="3">
        <f t="shared" si="20"/>
        <v>329</v>
      </c>
      <c r="DX33" s="3">
        <f t="shared" ca="1" si="21"/>
        <v>4.2539534585979997E-28</v>
      </c>
      <c r="DY33" s="3">
        <f t="shared" ca="1" si="22"/>
        <v>-7.3521063358109656E-3</v>
      </c>
      <c r="DZ33" s="3">
        <f t="shared" ca="1" si="23"/>
        <v>7.0463246810134154E-3</v>
      </c>
      <c r="EA33" s="3">
        <f t="shared" ca="1" si="24"/>
        <v>-9.6681032897680298E-3</v>
      </c>
      <c r="EB33" s="3">
        <f t="shared" ca="1" si="25"/>
        <v>7.7830097940331721E-3</v>
      </c>
      <c r="EC33" s="3">
        <f t="shared" ca="1" si="26"/>
        <v>-8.1444430456105218E-3</v>
      </c>
      <c r="ED33" s="63">
        <f t="shared" si="60"/>
        <v>319</v>
      </c>
      <c r="EE33" s="59">
        <f t="shared" si="61"/>
        <v>0.25</v>
      </c>
      <c r="EF33" s="59">
        <f t="shared" si="27"/>
        <v>1.5672999999999999</v>
      </c>
      <c r="EG33" s="59">
        <f t="shared" si="28"/>
        <v>0.17610000000000001</v>
      </c>
      <c r="EH33" s="59">
        <f t="shared" si="29"/>
        <v>0.2127</v>
      </c>
      <c r="EI33" s="59">
        <f t="shared" si="30"/>
        <v>0.18479999999999999</v>
      </c>
      <c r="EJ33" s="59">
        <f t="shared" si="31"/>
        <v>0.18940000000000001</v>
      </c>
      <c r="EK33" s="63">
        <f t="shared" ca="1" si="62"/>
        <v>-848891.99745932466</v>
      </c>
      <c r="EL33" s="3" t="str">
        <f>RTD("tos.rtd",,EL$2,"."&amp;$A$2&amp;$AS$1&amp;"C"&amp;$A33)</f>
        <v>--</v>
      </c>
      <c r="EM33" s="3" t="str">
        <f>RTD("tos.rtd",,EM$2,"."&amp;$A$2&amp;$AS$1&amp;"P"&amp;$A33)</f>
        <v>156.73%</v>
      </c>
      <c r="EN33" s="3" t="str">
        <f>RTD("tos.rtd",,EN$2,"."&amp;$A$2&amp;$AU$1&amp;"C"&amp;$A33)</f>
        <v>17.61%</v>
      </c>
      <c r="EO33" s="3" t="str">
        <f>RTD("tos.rtd",,EO$2,"."&amp;$A$2&amp;$AU$1&amp;"P"&amp;$A33)</f>
        <v>21.27%</v>
      </c>
      <c r="EP33" s="3" t="str">
        <f>RTD("tos.rtd",,EP$2,"."&amp;$A$2&amp;$AW$1&amp;"C"&amp;$A33)</f>
        <v>18.48%</v>
      </c>
      <c r="EQ33" s="3" t="str">
        <f>RTD("tos.rtd",,EQ$2,"."&amp;$A$2&amp;$AW$1&amp;"P"&amp;$A33)</f>
        <v>18.94%</v>
      </c>
      <c r="ES33" s="63" t="str">
        <f t="shared" si="63"/>
        <v>573,319.00</v>
      </c>
      <c r="ET33" s="63" t="str">
        <f t="shared" ca="1" si="64"/>
        <v>573,-10001.69</v>
      </c>
      <c r="EU33" s="67">
        <v>593.49</v>
      </c>
      <c r="EV33" s="67" t="s">
        <v>284</v>
      </c>
      <c r="EW33" s="67">
        <v>520.02</v>
      </c>
      <c r="EX33" s="67" t="s">
        <v>285</v>
      </c>
      <c r="EY33" s="67">
        <v>5945.25</v>
      </c>
      <c r="EZ33" s="67" t="s">
        <v>286</v>
      </c>
      <c r="FA33" s="67">
        <v>21344.25</v>
      </c>
      <c r="FB33" s="67" t="s">
        <v>287</v>
      </c>
      <c r="FC33" s="67" t="s">
        <v>288</v>
      </c>
      <c r="FD33" s="67" t="s">
        <v>289</v>
      </c>
      <c r="FE33" s="68" t="s">
        <v>290</v>
      </c>
      <c r="FF33" s="68" t="s">
        <v>291</v>
      </c>
    </row>
    <row r="34" spans="1:162" s="63" customFormat="1" ht="13.5" thickBot="1" x14ac:dyDescent="0.25">
      <c r="A34" s="2">
        <f t="shared" si="65"/>
        <v>572</v>
      </c>
      <c r="B34" s="3">
        <f t="shared" si="13"/>
        <v>2709</v>
      </c>
      <c r="C34" s="3">
        <f t="shared" si="14"/>
        <v>1777</v>
      </c>
      <c r="D34" s="3">
        <f t="shared" si="15"/>
        <v>2928</v>
      </c>
      <c r="E34" s="3">
        <f t="shared" si="16"/>
        <v>7414</v>
      </c>
      <c r="F34" s="4">
        <f t="shared" si="17"/>
        <v>5750.0768049155149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0</v>
      </c>
      <c r="AN34" s="1">
        <v>-4536</v>
      </c>
      <c r="AO34" s="1">
        <v>572</v>
      </c>
      <c r="AP34" s="1">
        <v>6</v>
      </c>
      <c r="AQ34" s="1">
        <v>-4536</v>
      </c>
      <c r="AR34" s="1"/>
      <c r="AS34" s="6">
        <f>IF(RTD("tos.rtd",,AS$2,"."&amp;$A$2&amp;$AS$1&amp;"C"&amp;$A34)="N/A",0,RTD("tos.rtd",,AS$2,"."&amp;$A$2&amp;$AS$1&amp;"C"&amp;$A34))</f>
        <v>226</v>
      </c>
      <c r="AT34" s="7">
        <f>-IF(RTD("tos.rtd",,AT$2,"."&amp;$A$2&amp;$AS$1&amp;"P"&amp;$A34)="N/A",0,RTD("tos.rtd",,AT$2,"."&amp;$A$2&amp;$AS$1&amp;"P"&amp;$A34))</f>
        <v>-2483</v>
      </c>
      <c r="AU34" s="6">
        <f>IF(RTD("tos.rtd",,AU$2,"."&amp;$A$2&amp;$AU$1&amp;"C"&amp;$A34)="N/A",0,RTD("tos.rtd",,AU$2,"."&amp;$A$2&amp;$AU$1&amp;"C"&amp;$A34))</f>
        <v>542</v>
      </c>
      <c r="AV34" s="7">
        <f>-IF(RTD("tos.rtd",,AV$2,"."&amp;$A$2&amp;$AU$1&amp;"P"&amp;$A34)="N/A",0,RTD("tos.rtd",,AV$2,"."&amp;$A$2&amp;$AU$1&amp;"P"&amp;$A34))</f>
        <v>-1235</v>
      </c>
      <c r="AW34" s="6">
        <f>IF(RTD("tos.rtd",,AW$2,"."&amp;$A$2&amp;$AW$1&amp;"C"&amp;$A34)="N/A",0,RTD("tos.rtd",,AW$2,"."&amp;$A$2&amp;$AW$1&amp;"C"&amp;$A34))</f>
        <v>764</v>
      </c>
      <c r="AX34" s="7">
        <f>-IF(RTD("tos.rtd",,AX$2,"."&amp;$A$2&amp;$AW$1&amp;"P"&amp;$A34)="N/A",0,RTD("tos.rtd",,AX$2,"."&amp;$A$2&amp;$AW$1&amp;"P"&amp;$A34))</f>
        <v>-2164</v>
      </c>
      <c r="AY34" s="1">
        <f t="shared" si="66"/>
        <v>-4350</v>
      </c>
      <c r="AZ34" s="8">
        <f t="shared" si="32"/>
        <v>572</v>
      </c>
      <c r="BA34" s="6">
        <f>IF(RTD("tos.rtd",,BA$2,"."&amp;$A$2&amp;$AS$1&amp;"C"&amp;$A34)="N/A",0,RTD("tos.rtd",,BA$2,"."&amp;$A$2&amp;$AS$1&amp;"C"&amp;$A34))</f>
        <v>6</v>
      </c>
      <c r="BB34" s="7">
        <f>-IF(RTD("tos.rtd",,BB$2,"."&amp;$A$2&amp;$AS$1&amp;"P"&amp;$A34)="N/A",0,RTD("tos.rtd",,BB$2,"."&amp;$A$2&amp;$AS$1&amp;"P"&amp;$A34))</f>
        <v>-4536</v>
      </c>
      <c r="BC34" s="6">
        <f>IF(RTD("tos.rtd",,BC$2,"."&amp;$A$2&amp;$AU$1&amp;"C"&amp;$A34)="N/A",0,RTD("tos.rtd",,BC$2,"."&amp;$A$2&amp;$AU$1&amp;"C"&amp;$A34))</f>
        <v>21</v>
      </c>
      <c r="BD34" s="7">
        <f>-IF(RTD("tos.rtd",,BD$2,"."&amp;$A$2&amp;$AU$1&amp;"P"&amp;$A34)="N/A",0,RTD("tos.rtd",,BD$2,"."&amp;$A$2&amp;$AU$1&amp;"P"&amp;$A34))</f>
        <v>-726</v>
      </c>
      <c r="BE34" s="6">
        <f>IF(RTD("tos.rtd",,BE$2,"."&amp;$A$2&amp;$AW$1&amp;"C"&amp;$A34)="N/A",0,RTD("tos.rtd",,BE$2,"."&amp;$A$2&amp;$AW$1&amp;"C"&amp;$A34))</f>
        <v>5</v>
      </c>
      <c r="BF34" s="83">
        <f>-IF(RTD("tos.rtd",,BF$2,"."&amp;$A$2&amp;$AW$1&amp;"P"&amp;$A34)="N/A",0,RTD("tos.rtd",,BF$2,"."&amp;$A$2&amp;$AW$1&amp;"P"&amp;$A34))</f>
        <v>-374</v>
      </c>
      <c r="BG34" s="32">
        <f ca="1">+Hoja2!Y35</f>
        <v>-3876</v>
      </c>
      <c r="BH34" s="7">
        <f t="shared" ca="1" si="33"/>
        <v>-9480</v>
      </c>
      <c r="BI34" s="8" t="str">
        <f t="shared" ca="1" si="34"/>
        <v/>
      </c>
      <c r="BJ34" s="3">
        <f ca="1">IF($BP$1=1,DX34,IF(RTD("tos.rtd",,BJ$2,"."&amp;$A$2&amp;$AS$1&amp;"C"&amp;$A34)="N/A",0,RTD("tos.rtd",,BJ$2,"."&amp;$A$2&amp;$AS$1&amp;"C"&amp;$A34)))</f>
        <v>5.6759255302492385E-31</v>
      </c>
      <c r="BK34" s="3">
        <f ca="1">IF($BP$1=1,DY34,-IF(RTD("tos.rtd",,BK$2,"."&amp;$A$2&amp;$AS$1&amp;"P"&amp;$A34)="N/A",0,RTD("tos.rtd",,BK$2,"."&amp;$A$2&amp;$AS$1&amp;"P"&amp;$A34)))</f>
        <v>-6.9085626864764608E-3</v>
      </c>
      <c r="BL34" s="3">
        <f ca="1">IF($BP$1=1,DZ34,IF(RTD("tos.rtd",,BL$2,"."&amp;$A$2&amp;$AU$1&amp;"C"&amp;$A34)="N/A",0,RTD("tos.rtd",,BL$2,"."&amp;$A$2&amp;$AU$1&amp;"C"&amp;$A34)))</f>
        <v>5.7294034872095523E-3</v>
      </c>
      <c r="BM34" s="3">
        <f ca="1">IF($BP$1=1,EA34,-IF(RTD("tos.rtd",,BM$2,"."&amp;$A$2&amp;$AU$1&amp;"P"&amp;$A34)="N/A",0,RTD("tos.rtd",,BM$2,"."&amp;$A$2&amp;$AU$1&amp;"P"&amp;$A34)))</f>
        <v>-8.7152976297365358E-3</v>
      </c>
      <c r="BN34" s="3">
        <f ca="1">IF($BP$1=1,EB34,IF(RTD("tos.rtd",,BN$2,"."&amp;$A$2&amp;$AW$1&amp;"C"&amp;$A34)="N/A",0,RTD("tos.rtd",,BN$2,"."&amp;$A$2&amp;$AW$1&amp;"C"&amp;$A34)))</f>
        <v>6.7735800081633246E-3</v>
      </c>
      <c r="BO34" s="3">
        <f ca="1">IF($BP$1=1,EC34,-IF(RTD("tos.rtd",,BO$2,"."&amp;$A$2&amp;$AW$1&amp;"P"&amp;$A34)="N/A",0,RTD("tos.rtd",,BO$2,"."&amp;$A$2&amp;$AW$1&amp;"P"&amp;$A34)))</f>
        <v>-7.1451494055222589E-3</v>
      </c>
      <c r="BQ34" s="3">
        <f t="shared" ca="1" si="35"/>
        <v>-6020175.9431379875</v>
      </c>
      <c r="BR34" s="3" t="str">
        <f t="shared" ca="1" si="67"/>
        <v/>
      </c>
      <c r="BS34" s="3">
        <f t="shared" ca="1" si="36"/>
        <v>-2687591.7108263886</v>
      </c>
      <c r="BT34" s="3" t="str">
        <f t="shared" ca="1" si="67"/>
        <v/>
      </c>
      <c r="BU34" s="3">
        <f t="shared" ca="1" si="37"/>
        <v>-3610249.5678277723</v>
      </c>
      <c r="BV34" s="3" t="str">
        <f t="shared" ca="1" si="38"/>
        <v/>
      </c>
      <c r="BX34" s="3">
        <f t="shared" ca="1" si="39"/>
        <v>-10997792.2183141</v>
      </c>
      <c r="BY34" s="3" t="str">
        <f t="shared" ca="1" si="68"/>
        <v/>
      </c>
      <c r="BZ34" s="3">
        <f t="shared" ca="1" si="40"/>
        <v>-2178340.2187418882</v>
      </c>
      <c r="CA34" s="3" t="str">
        <f t="shared" ca="1" si="69"/>
        <v/>
      </c>
      <c r="CB34" s="3">
        <f t="shared" ca="1" si="41"/>
        <v>-925951.75525131566</v>
      </c>
      <c r="CC34" s="3" t="str">
        <f t="shared" ca="1" si="70"/>
        <v/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0.99</v>
      </c>
      <c r="CG34" s="3">
        <f>-IF(RTD("tos.rtd",,CG$2,"."&amp;$A$2&amp;$AU$1&amp;"P"&amp;$A34)="N/A",0,RTD("tos.rtd",,CG$2,"."&amp;$A$2&amp;$AU$1&amp;"P"&amp;$A34))</f>
        <v>0.03</v>
      </c>
      <c r="CH34" s="3">
        <f>IF(RTD("tos.rtd",,CH$2,"."&amp;$A$2&amp;$AW$1&amp;"C"&amp;$A34)="N/A",0,RTD("tos.rtd",,CH$2,"."&amp;$A$2&amp;$AW$1&amp;"C"&amp;$A34))</f>
        <v>0.77</v>
      </c>
      <c r="CI34" s="3">
        <f>-IF(RTD("tos.rtd",,CI$2,"."&amp;$A$2&amp;$AW$1&amp;"P"&amp;$A34)="N/A",0,RTD("tos.rtd",,CI$2,"."&amp;$A$2&amp;$AW$1&amp;"P"&amp;$A34))</f>
        <v>0.24</v>
      </c>
      <c r="CK34" s="3">
        <f t="shared" si="42"/>
        <v>13388466</v>
      </c>
      <c r="CL34" s="3"/>
      <c r="CM34" s="3">
        <f t="shared" si="43"/>
        <v>29592656.73</v>
      </c>
      <c r="CN34" s="3"/>
      <c r="CO34" s="3">
        <f t="shared" si="44"/>
        <v>4082889.7199999988</v>
      </c>
      <c r="CP34" s="3">
        <f t="shared" si="45"/>
        <v>47064012.450000003</v>
      </c>
      <c r="CQ34" s="3">
        <f t="shared" si="46"/>
        <v>-4530</v>
      </c>
      <c r="CR34" s="3"/>
      <c r="CS34" s="3">
        <f t="shared" si="18"/>
        <v>-705</v>
      </c>
      <c r="CT34" s="3"/>
      <c r="CU34" s="3">
        <f t="shared" si="19"/>
        <v>-369</v>
      </c>
      <c r="CV34" s="3">
        <f t="shared" si="47"/>
        <v>-5604</v>
      </c>
      <c r="CW34" s="3">
        <f t="shared" ca="1" si="48"/>
        <v>-12318017.221792148</v>
      </c>
      <c r="CX34" s="85" t="str">
        <f t="shared" ca="1" si="71"/>
        <v/>
      </c>
      <c r="CY34" s="3">
        <f t="shared" ca="1" si="49"/>
        <v>-14102084.192307305</v>
      </c>
      <c r="CZ34" s="85" t="str">
        <f t="shared" ca="1" si="72"/>
        <v/>
      </c>
      <c r="DA34" s="3">
        <f>IF(RTD("tos.rtd",,DA$2,"."&amp;$A$2&amp;$AS$1&amp;"C"&amp;$A34)="N/A",0,RTD("tos.rtd",,DA$2,"."&amp;$A$2&amp;$AS$1&amp;"C"&amp;$A34))</f>
        <v>18.07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21.12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19.36</v>
      </c>
      <c r="DF34" s="3">
        <f>IF(RTD("tos.rtd",,DF$2,"."&amp;$A$2&amp;$AS$1&amp;"P"&amp;$A34)="N/A",0,RTD("tos.rtd",,DF$2,"."&amp;$A$2&amp;$AS$1&amp;"P"&amp;$A34))</f>
        <v>0</v>
      </c>
      <c r="DG34" s="86">
        <f t="shared" si="50"/>
        <v>-20.409999999999968</v>
      </c>
      <c r="DH34" s="3">
        <f t="shared" si="5"/>
        <v>0</v>
      </c>
      <c r="DI34" s="3">
        <f t="shared" si="6"/>
        <v>0</v>
      </c>
      <c r="DJ34" s="3">
        <f t="shared" si="7"/>
        <v>0</v>
      </c>
      <c r="DK34" s="3">
        <f t="shared" si="8"/>
        <v>0</v>
      </c>
      <c r="DL34" s="3">
        <f t="shared" si="9"/>
        <v>0</v>
      </c>
      <c r="DM34" s="3">
        <f t="shared" si="10"/>
        <v>0</v>
      </c>
      <c r="DN34" s="63" t="str">
        <f t="shared" si="51"/>
        <v>UNKNOWN</v>
      </c>
      <c r="DO34" s="63" t="str">
        <f t="shared" si="52"/>
        <v>UNKNOWN</v>
      </c>
      <c r="DP34" s="3">
        <f t="shared" si="53"/>
        <v>0</v>
      </c>
      <c r="DQ34" s="3">
        <f t="shared" si="54"/>
        <v>0</v>
      </c>
      <c r="DR34" s="3">
        <f t="shared" ca="1" si="55"/>
        <v>0</v>
      </c>
      <c r="DS34" s="3">
        <f t="shared" si="56"/>
        <v>0</v>
      </c>
      <c r="DT34" s="3">
        <f t="shared" si="57"/>
        <v>0</v>
      </c>
      <c r="DU34" s="3">
        <f t="shared" si="58"/>
        <v>0</v>
      </c>
      <c r="DV34" s="3">
        <f t="shared" si="59"/>
        <v>0</v>
      </c>
      <c r="DW34" s="3">
        <f t="shared" si="20"/>
        <v>-4536</v>
      </c>
      <c r="DX34" s="3">
        <f t="shared" ca="1" si="21"/>
        <v>5.6759255302492385E-31</v>
      </c>
      <c r="DY34" s="3">
        <f t="shared" ca="1" si="22"/>
        <v>-6.9085626864764608E-3</v>
      </c>
      <c r="DZ34" s="3">
        <f t="shared" ca="1" si="23"/>
        <v>5.7294034872095523E-3</v>
      </c>
      <c r="EA34" s="3">
        <f t="shared" ca="1" si="24"/>
        <v>-8.7152976297365358E-3</v>
      </c>
      <c r="EB34" s="3">
        <f t="shared" ca="1" si="25"/>
        <v>6.7735800081633246E-3</v>
      </c>
      <c r="EC34" s="3">
        <f t="shared" ca="1" si="26"/>
        <v>-7.1451494055222589E-3</v>
      </c>
      <c r="ED34" s="63">
        <f t="shared" si="60"/>
        <v>-4536</v>
      </c>
      <c r="EE34" s="59">
        <f t="shared" si="61"/>
        <v>0.25</v>
      </c>
      <c r="EF34" s="59">
        <f t="shared" si="27"/>
        <v>1.6415999999999999</v>
      </c>
      <c r="EG34" s="59">
        <f t="shared" si="28"/>
        <v>0.17369999999999999</v>
      </c>
      <c r="EH34" s="59">
        <f t="shared" si="29"/>
        <v>0.21479999999999999</v>
      </c>
      <c r="EI34" s="59">
        <f t="shared" si="30"/>
        <v>0.1862</v>
      </c>
      <c r="EJ34" s="59">
        <f t="shared" si="31"/>
        <v>0.191</v>
      </c>
      <c r="EK34" s="63">
        <f t="shared" ca="1" si="62"/>
        <v>10997792.2183141</v>
      </c>
      <c r="EL34" s="3" t="str">
        <f>RTD("tos.rtd",,EL$2,"."&amp;$A$2&amp;$AS$1&amp;"C"&amp;$A34)</f>
        <v>--</v>
      </c>
      <c r="EM34" s="3" t="str">
        <f>RTD("tos.rtd",,EM$2,"."&amp;$A$2&amp;$AS$1&amp;"P"&amp;$A34)</f>
        <v>164.16%</v>
      </c>
      <c r="EN34" s="3" t="str">
        <f>RTD("tos.rtd",,EN$2,"."&amp;$A$2&amp;$AU$1&amp;"C"&amp;$A34)</f>
        <v>17.37%</v>
      </c>
      <c r="EO34" s="3" t="str">
        <f>RTD("tos.rtd",,EO$2,"."&amp;$A$2&amp;$AU$1&amp;"P"&amp;$A34)</f>
        <v>21.48%</v>
      </c>
      <c r="EP34" s="3" t="str">
        <f>RTD("tos.rtd",,EP$2,"."&amp;$A$2&amp;$AW$1&amp;"C"&amp;$A34)</f>
        <v>18.62%</v>
      </c>
      <c r="EQ34" s="3" t="str">
        <f>RTD("tos.rtd",,EQ$2,"."&amp;$A$2&amp;$AW$1&amp;"P"&amp;$A34)</f>
        <v>19.10%</v>
      </c>
      <c r="ES34" s="63" t="str">
        <f t="shared" si="63"/>
        <v>572,-4536.00</v>
      </c>
      <c r="ET34" s="63" t="str">
        <f t="shared" ca="1" si="64"/>
        <v>572,-14102.08</v>
      </c>
      <c r="EU34" s="67">
        <v>593.44000000000005</v>
      </c>
      <c r="EV34" s="67" t="s">
        <v>292</v>
      </c>
      <c r="EW34" s="67">
        <v>519.95000000000005</v>
      </c>
      <c r="EX34" s="67" t="s">
        <v>293</v>
      </c>
      <c r="EY34" s="67">
        <v>5944.5</v>
      </c>
      <c r="EZ34" s="67" t="s">
        <v>294</v>
      </c>
      <c r="FA34" s="67">
        <v>21341.5</v>
      </c>
      <c r="FB34" s="67" t="s">
        <v>295</v>
      </c>
      <c r="FC34" s="67" t="s">
        <v>296</v>
      </c>
      <c r="FD34" s="67" t="s">
        <v>297</v>
      </c>
      <c r="FE34" s="68" t="s">
        <v>298</v>
      </c>
      <c r="FF34" s="68" t="s">
        <v>299</v>
      </c>
    </row>
    <row r="35" spans="1:162" s="63" customFormat="1" ht="13.5" thickBot="1" x14ac:dyDescent="0.25">
      <c r="A35" s="2">
        <f t="shared" si="65"/>
        <v>571</v>
      </c>
      <c r="B35" s="3">
        <f t="shared" si="13"/>
        <v>1669</v>
      </c>
      <c r="C35" s="3">
        <f t="shared" si="14"/>
        <v>2112</v>
      </c>
      <c r="D35" s="3">
        <f t="shared" si="15"/>
        <v>2746</v>
      </c>
      <c r="E35" s="3">
        <f t="shared" si="16"/>
        <v>6527</v>
      </c>
      <c r="F35" s="4">
        <f t="shared" si="17"/>
        <v>5740.0242230887388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22</v>
      </c>
      <c r="AN35" s="1">
        <v>-272</v>
      </c>
      <c r="AO35" s="1">
        <v>571</v>
      </c>
      <c r="AP35" s="1">
        <v>23</v>
      </c>
      <c r="AQ35" s="1">
        <v>-272</v>
      </c>
      <c r="AR35" s="1"/>
      <c r="AS35" s="6">
        <f>IF(RTD("tos.rtd",,AS$2,"."&amp;$A$2&amp;$AS$1&amp;"C"&amp;$A35)="N/A",0,RTD("tos.rtd",,AS$2,"."&amp;$A$2&amp;$AS$1&amp;"C"&amp;$A35))</f>
        <v>342</v>
      </c>
      <c r="AT35" s="7">
        <f>-IF(RTD("tos.rtd",,AT$2,"."&amp;$A$2&amp;$AS$1&amp;"P"&amp;$A35)="N/A",0,RTD("tos.rtd",,AT$2,"."&amp;$A$2&amp;$AS$1&amp;"P"&amp;$A35))</f>
        <v>-1327</v>
      </c>
      <c r="AU35" s="6">
        <f>IF(RTD("tos.rtd",,AU$2,"."&amp;$A$2&amp;$AU$1&amp;"C"&amp;$A35)="N/A",0,RTD("tos.rtd",,AU$2,"."&amp;$A$2&amp;$AU$1&amp;"C"&amp;$A35))</f>
        <v>1106</v>
      </c>
      <c r="AV35" s="7">
        <f>-IF(RTD("tos.rtd",,AV$2,"."&amp;$A$2&amp;$AU$1&amp;"P"&amp;$A35)="N/A",0,RTD("tos.rtd",,AV$2,"."&amp;$A$2&amp;$AU$1&amp;"P"&amp;$A35))</f>
        <v>-1006</v>
      </c>
      <c r="AW35" s="6">
        <f>IF(RTD("tos.rtd",,AW$2,"."&amp;$A$2&amp;$AW$1&amp;"C"&amp;$A35)="N/A",0,RTD("tos.rtd",,AW$2,"."&amp;$A$2&amp;$AW$1&amp;"C"&amp;$A35))</f>
        <v>1430</v>
      </c>
      <c r="AX35" s="7">
        <f>-IF(RTD("tos.rtd",,AX$2,"."&amp;$A$2&amp;$AW$1&amp;"P"&amp;$A35)="N/A",0,RTD("tos.rtd",,AX$2,"."&amp;$A$2&amp;$AW$1&amp;"P"&amp;$A35))</f>
        <v>-1316</v>
      </c>
      <c r="AY35" s="1">
        <f t="shared" si="66"/>
        <v>-771</v>
      </c>
      <c r="AZ35" s="8">
        <f t="shared" si="32"/>
        <v>571</v>
      </c>
      <c r="BA35" s="6">
        <f>IF(RTD("tos.rtd",,BA$2,"."&amp;$A$2&amp;$AS$1&amp;"C"&amp;$A35)="N/A",0,RTD("tos.rtd",,BA$2,"."&amp;$A$2&amp;$AS$1&amp;"C"&amp;$A35))</f>
        <v>23</v>
      </c>
      <c r="BB35" s="7">
        <f>-IF(RTD("tos.rtd",,BB$2,"."&amp;$A$2&amp;$AS$1&amp;"P"&amp;$A35)="N/A",0,RTD("tos.rtd",,BB$2,"."&amp;$A$2&amp;$AS$1&amp;"P"&amp;$A35))</f>
        <v>-272</v>
      </c>
      <c r="BC35" s="6">
        <f>IF(RTD("tos.rtd",,BC$2,"."&amp;$A$2&amp;$AU$1&amp;"C"&amp;$A35)="N/A",0,RTD("tos.rtd",,BC$2,"."&amp;$A$2&amp;$AU$1&amp;"C"&amp;$A35))</f>
        <v>62</v>
      </c>
      <c r="BD35" s="7">
        <f>-IF(RTD("tos.rtd",,BD$2,"."&amp;$A$2&amp;$AU$1&amp;"P"&amp;$A35)="N/A",0,RTD("tos.rtd",,BD$2,"."&amp;$A$2&amp;$AU$1&amp;"P"&amp;$A35))</f>
        <v>-682</v>
      </c>
      <c r="BE35" s="6">
        <f>IF(RTD("tos.rtd",,BE$2,"."&amp;$A$2&amp;$AW$1&amp;"C"&amp;$A35)="N/A",0,RTD("tos.rtd",,BE$2,"."&amp;$A$2&amp;$AW$1&amp;"C"&amp;$A35))</f>
        <v>16</v>
      </c>
      <c r="BF35" s="83">
        <f>-IF(RTD("tos.rtd",,BF$2,"."&amp;$A$2&amp;$AW$1&amp;"P"&amp;$A35)="N/A",0,RTD("tos.rtd",,BF$2,"."&amp;$A$2&amp;$AW$1&amp;"P"&amp;$A35))</f>
        <v>-116</v>
      </c>
      <c r="BG35" s="32">
        <f ca="1">+Hoja2!Y36</f>
        <v>-2440</v>
      </c>
      <c r="BH35" s="7">
        <f t="shared" ca="1" si="33"/>
        <v>-3409</v>
      </c>
      <c r="BI35" s="8" t="str">
        <f t="shared" ca="1" si="34"/>
        <v/>
      </c>
      <c r="BJ35" s="3">
        <f ca="1">IF($BP$1=1,DX35,IF(RTD("tos.rtd",,BJ$2,"."&amp;$A$2&amp;$AS$1&amp;"C"&amp;$A35)="N/A",0,RTD("tos.rtd",,BJ$2,"."&amp;$A$2&amp;$AS$1&amp;"C"&amp;$A35)))</f>
        <v>5.3336916523384116E-34</v>
      </c>
      <c r="BK35" s="3">
        <f ca="1">IF($BP$1=1,DY35,-IF(RTD("tos.rtd",,BK$2,"."&amp;$A$2&amp;$AS$1&amp;"P"&amp;$A35)="N/A",0,RTD("tos.rtd",,BK$2,"."&amp;$A$2&amp;$AS$1&amp;"P"&amp;$A35)))</f>
        <v>-6.5106022593125921E-3</v>
      </c>
      <c r="BL35" s="3">
        <f ca="1">IF($BP$1=1,DZ35,IF(RTD("tos.rtd",,BL$2,"."&amp;$A$2&amp;$AU$1&amp;"C"&amp;$A35)="N/A",0,RTD("tos.rtd",,BL$2,"."&amp;$A$2&amp;$AU$1&amp;"C"&amp;$A35)))</f>
        <v>3.6944907810268638E-3</v>
      </c>
      <c r="BM35" s="3">
        <f ca="1">IF($BP$1=1,EA35,-IF(RTD("tos.rtd",,BM$2,"."&amp;$A$2&amp;$AU$1&amp;"P"&amp;$A35)="N/A",0,RTD("tos.rtd",,BM$2,"."&amp;$A$2&amp;$AU$1&amp;"P"&amp;$A35)))</f>
        <v>-7.9144060272973143E-3</v>
      </c>
      <c r="BN35" s="3">
        <f ca="1">IF($BP$1=1,EB35,IF(RTD("tos.rtd",,BN$2,"."&amp;$A$2&amp;$AW$1&amp;"C"&amp;$A35)="N/A",0,RTD("tos.rtd",,BN$2,"."&amp;$A$2&amp;$AW$1&amp;"C"&amp;$A35)))</f>
        <v>5.9112523167093624E-3</v>
      </c>
      <c r="BO35" s="3">
        <f ca="1">IF($BP$1=1,EC35,-IF(RTD("tos.rtd",,BO$2,"."&amp;$A$2&amp;$AW$1&amp;"P"&amp;$A35)="N/A",0,RTD("tos.rtd",,BO$2,"."&amp;$A$2&amp;$AW$1&amp;"P"&amp;$A35)))</f>
        <v>-6.2413390084911256E-3</v>
      </c>
      <c r="BQ35" s="3">
        <f t="shared" ca="1" si="35"/>
        <v>-3032053.4242287669</v>
      </c>
      <c r="BR35" s="3" t="str">
        <f t="shared" ca="1" si="67"/>
        <v/>
      </c>
      <c r="BS35" s="3">
        <f t="shared" ca="1" si="36"/>
        <v>-1360205.4583321484</v>
      </c>
      <c r="BT35" s="3" t="str">
        <f t="shared" ca="1" si="67"/>
        <v/>
      </c>
      <c r="BU35" s="3">
        <f t="shared" ca="1" si="37"/>
        <v>84048.45759024471</v>
      </c>
      <c r="BV35" s="3" t="str">
        <f t="shared" ca="1" si="38"/>
        <v>Cruce +</v>
      </c>
      <c r="BX35" s="3">
        <f t="shared" ca="1" si="39"/>
        <v>-621490.9807009981</v>
      </c>
      <c r="BY35" s="3" t="str">
        <f t="shared" ca="1" si="68"/>
        <v/>
      </c>
      <c r="BZ35" s="3">
        <f t="shared" ca="1" si="40"/>
        <v>-1813906.381364465</v>
      </c>
      <c r="CA35" s="3" t="str">
        <f t="shared" ca="1" si="69"/>
        <v/>
      </c>
      <c r="CB35" s="3">
        <f t="shared" ca="1" si="41"/>
        <v>-220893.04862683761</v>
      </c>
      <c r="CC35" s="3" t="str">
        <f t="shared" ca="1" si="70"/>
        <v/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0.99</v>
      </c>
      <c r="CG35" s="3">
        <f>-IF(RTD("tos.rtd",,CG$2,"."&amp;$A$2&amp;$AU$1&amp;"P"&amp;$A35)="N/A",0,RTD("tos.rtd",,CG$2,"."&amp;$A$2&amp;$AU$1&amp;"P"&amp;$A35))</f>
        <v>0.03</v>
      </c>
      <c r="CH35" s="3">
        <f>IF(RTD("tos.rtd",,CH$2,"."&amp;$A$2&amp;$AW$1&amp;"C"&amp;$A35)="N/A",0,RTD("tos.rtd",,CH$2,"."&amp;$A$2&amp;$AW$1&amp;"C"&amp;$A35))</f>
        <v>0.77</v>
      </c>
      <c r="CI35" s="3">
        <f>-IF(RTD("tos.rtd",,CI$2,"."&amp;$A$2&amp;$AW$1&amp;"P"&amp;$A35)="N/A",0,RTD("tos.rtd",,CI$2,"."&amp;$A$2&amp;$AW$1&amp;"P"&amp;$A35))</f>
        <v>0.23</v>
      </c>
      <c r="CK35" s="3">
        <f t="shared" si="42"/>
        <v>20260422</v>
      </c>
      <c r="CL35" s="3"/>
      <c r="CM35" s="3">
        <f t="shared" si="43"/>
        <v>63077447.159999996</v>
      </c>
      <c r="CN35" s="3"/>
      <c r="CO35" s="3">
        <f t="shared" si="44"/>
        <v>47299199.219999999</v>
      </c>
      <c r="CP35" s="3">
        <f t="shared" si="45"/>
        <v>130637068.38</v>
      </c>
      <c r="CQ35" s="3">
        <f t="shared" si="46"/>
        <v>-249</v>
      </c>
      <c r="CR35" s="3"/>
      <c r="CS35" s="3">
        <f t="shared" si="18"/>
        <v>-620</v>
      </c>
      <c r="CT35" s="3"/>
      <c r="CU35" s="3">
        <f t="shared" si="19"/>
        <v>-100</v>
      </c>
      <c r="CV35" s="3">
        <f t="shared" si="47"/>
        <v>-969</v>
      </c>
      <c r="CW35" s="3">
        <f t="shared" ca="1" si="48"/>
        <v>-4308210.4249706706</v>
      </c>
      <c r="CX35" s="85" t="str">
        <f t="shared" ca="1" si="71"/>
        <v/>
      </c>
      <c r="CY35" s="3">
        <f t="shared" ca="1" si="49"/>
        <v>-2656290.4106923011</v>
      </c>
      <c r="CZ35" s="85" t="str">
        <f t="shared" ca="1" si="72"/>
        <v/>
      </c>
      <c r="DA35" s="3">
        <f>IF(RTD("tos.rtd",,DA$2,"."&amp;$A$2&amp;$AS$1&amp;"C"&amp;$A35)="N/A",0,RTD("tos.rtd",,DA$2,"."&amp;$A$2&amp;$AS$1&amp;"C"&amp;$A35))</f>
        <v>19.440000000000001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22.12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20.38</v>
      </c>
      <c r="DF35" s="3">
        <f>IF(RTD("tos.rtd",,DF$2,"."&amp;$A$2&amp;$AS$1&amp;"P"&amp;$A35)="N/A",0,RTD("tos.rtd",,DF$2,"."&amp;$A$2&amp;$AS$1&amp;"P"&amp;$A35))</f>
        <v>0</v>
      </c>
      <c r="DG35" s="86">
        <f t="shared" si="50"/>
        <v>-21.409999999999968</v>
      </c>
      <c r="DH35" s="3">
        <f t="shared" si="5"/>
        <v>0</v>
      </c>
      <c r="DI35" s="3">
        <f t="shared" si="6"/>
        <v>0</v>
      </c>
      <c r="DJ35" s="3">
        <f t="shared" si="7"/>
        <v>0</v>
      </c>
      <c r="DK35" s="3">
        <f t="shared" si="8"/>
        <v>0</v>
      </c>
      <c r="DL35" s="3">
        <f t="shared" si="9"/>
        <v>0</v>
      </c>
      <c r="DM35" s="3">
        <f t="shared" si="10"/>
        <v>0</v>
      </c>
      <c r="DN35" s="63" t="str">
        <f t="shared" si="51"/>
        <v>UNKNOWN</v>
      </c>
      <c r="DO35" s="63" t="str">
        <f t="shared" si="52"/>
        <v>UNKNOWN</v>
      </c>
      <c r="DP35" s="3">
        <f t="shared" si="53"/>
        <v>0</v>
      </c>
      <c r="DQ35" s="3">
        <f t="shared" si="54"/>
        <v>0</v>
      </c>
      <c r="DR35" s="3">
        <f t="shared" ca="1" si="55"/>
        <v>0</v>
      </c>
      <c r="DS35" s="3">
        <f t="shared" si="56"/>
        <v>0</v>
      </c>
      <c r="DT35" s="3">
        <f t="shared" si="57"/>
        <v>0</v>
      </c>
      <c r="DU35" s="3">
        <f t="shared" si="58"/>
        <v>0</v>
      </c>
      <c r="DV35" s="3">
        <f t="shared" si="59"/>
        <v>22</v>
      </c>
      <c r="DW35" s="3">
        <f t="shared" si="20"/>
        <v>-272</v>
      </c>
      <c r="DX35" s="3">
        <f t="shared" ca="1" si="21"/>
        <v>5.3336916523384116E-34</v>
      </c>
      <c r="DY35" s="3">
        <f t="shared" ca="1" si="22"/>
        <v>-6.5106022593125921E-3</v>
      </c>
      <c r="DZ35" s="3">
        <f t="shared" ca="1" si="23"/>
        <v>3.6944907810268638E-3</v>
      </c>
      <c r="EA35" s="3">
        <f t="shared" ca="1" si="24"/>
        <v>-7.9144060272973143E-3</v>
      </c>
      <c r="EB35" s="3">
        <f t="shared" ca="1" si="25"/>
        <v>5.9112523167093624E-3</v>
      </c>
      <c r="EC35" s="3">
        <f t="shared" ca="1" si="26"/>
        <v>-6.2413390084911256E-3</v>
      </c>
      <c r="ED35" s="63">
        <f t="shared" si="60"/>
        <v>-250</v>
      </c>
      <c r="EE35" s="59">
        <f t="shared" si="61"/>
        <v>0.25</v>
      </c>
      <c r="EF35" s="59">
        <f t="shared" si="27"/>
        <v>1.7158</v>
      </c>
      <c r="EG35" s="59">
        <f t="shared" si="28"/>
        <v>0.161</v>
      </c>
      <c r="EH35" s="59">
        <f t="shared" si="29"/>
        <v>0.21820000000000001</v>
      </c>
      <c r="EI35" s="59">
        <f t="shared" si="30"/>
        <v>0.18809999999999999</v>
      </c>
      <c r="EJ35" s="59">
        <f t="shared" si="31"/>
        <v>0.1925</v>
      </c>
      <c r="EK35" s="63">
        <f t="shared" ca="1" si="62"/>
        <v>621490.98070099822</v>
      </c>
      <c r="EL35" s="3" t="str">
        <f>RTD("tos.rtd",,EL$2,"."&amp;$A$2&amp;$AS$1&amp;"C"&amp;$A35)</f>
        <v>--</v>
      </c>
      <c r="EM35" s="3" t="str">
        <f>RTD("tos.rtd",,EM$2,"."&amp;$A$2&amp;$AS$1&amp;"P"&amp;$A35)</f>
        <v>171.58%</v>
      </c>
      <c r="EN35" s="3" t="str">
        <f>RTD("tos.rtd",,EN$2,"."&amp;$A$2&amp;$AU$1&amp;"C"&amp;$A35)</f>
        <v>16.10%</v>
      </c>
      <c r="EO35" s="3" t="str">
        <f>RTD("tos.rtd",,EO$2,"."&amp;$A$2&amp;$AU$1&amp;"P"&amp;$A35)</f>
        <v>21.82%</v>
      </c>
      <c r="EP35" s="3" t="str">
        <f>RTD("tos.rtd",,EP$2,"."&amp;$A$2&amp;$AW$1&amp;"C"&amp;$A35)</f>
        <v>18.81%</v>
      </c>
      <c r="EQ35" s="3" t="str">
        <f>RTD("tos.rtd",,EQ$2,"."&amp;$A$2&amp;$AW$1&amp;"P"&amp;$A35)</f>
        <v>19.25%</v>
      </c>
      <c r="ES35" s="63" t="str">
        <f t="shared" si="63"/>
        <v>571,-250.00</v>
      </c>
      <c r="ET35" s="63" t="str">
        <f t="shared" ca="1" si="64"/>
        <v>571,-2656.29</v>
      </c>
      <c r="EU35" s="67">
        <v>593.41999999999996</v>
      </c>
      <c r="EV35" s="67" t="s">
        <v>300</v>
      </c>
      <c r="EW35" s="67">
        <v>519.9</v>
      </c>
      <c r="EX35" s="67" t="s">
        <v>301</v>
      </c>
      <c r="EY35" s="67">
        <v>5944.25</v>
      </c>
      <c r="EZ35" s="67" t="s">
        <v>302</v>
      </c>
      <c r="FA35" s="67">
        <v>21339.5</v>
      </c>
      <c r="FB35" s="67" t="s">
        <v>303</v>
      </c>
      <c r="FC35" s="67" t="s">
        <v>304</v>
      </c>
      <c r="FD35" s="67" t="s">
        <v>305</v>
      </c>
      <c r="FE35" s="68" t="s">
        <v>306</v>
      </c>
      <c r="FF35" s="68" t="s">
        <v>307</v>
      </c>
    </row>
    <row r="36" spans="1:162" s="63" customFormat="1" ht="13.5" thickBot="1" x14ac:dyDescent="0.25">
      <c r="A36" s="2">
        <f t="shared" si="65"/>
        <v>570</v>
      </c>
      <c r="B36" s="3">
        <f t="shared" si="13"/>
        <v>5201</v>
      </c>
      <c r="C36" s="3">
        <f t="shared" si="14"/>
        <v>18305</v>
      </c>
      <c r="D36" s="3">
        <f t="shared" si="15"/>
        <v>75462</v>
      </c>
      <c r="E36" s="3">
        <f t="shared" si="16"/>
        <v>98968</v>
      </c>
      <c r="F36" s="4">
        <f t="shared" si="17"/>
        <v>5729.9716412619637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-1</v>
      </c>
      <c r="AN36" s="1">
        <v>6492</v>
      </c>
      <c r="AO36" s="1">
        <v>570</v>
      </c>
      <c r="AP36" s="1">
        <v>34</v>
      </c>
      <c r="AQ36" s="1">
        <v>-7020</v>
      </c>
      <c r="AR36" s="1"/>
      <c r="AS36" s="6">
        <f>IF(RTD("tos.rtd",,AS$2,"."&amp;$A$2&amp;$AS$1&amp;"C"&amp;$A36)="N/A",0,RTD("tos.rtd",,AS$2,"."&amp;$A$2&amp;$AS$1&amp;"C"&amp;$A36))</f>
        <v>484</v>
      </c>
      <c r="AT36" s="7">
        <f>-IF(RTD("tos.rtd",,AT$2,"."&amp;$A$2&amp;$AS$1&amp;"P"&amp;$A36)="N/A",0,RTD("tos.rtd",,AT$2,"."&amp;$A$2&amp;$AS$1&amp;"P"&amp;$A36))</f>
        <v>-4717</v>
      </c>
      <c r="AU36" s="6">
        <f>IF(RTD("tos.rtd",,AU$2,"."&amp;$A$2&amp;$AU$1&amp;"C"&amp;$A36)="N/A",0,RTD("tos.rtd",,AU$2,"."&amp;$A$2&amp;$AU$1&amp;"C"&amp;$A36))</f>
        <v>4346</v>
      </c>
      <c r="AV36" s="7">
        <f>-IF(RTD("tos.rtd",,AV$2,"."&amp;$A$2&amp;$AU$1&amp;"P"&amp;$A36)="N/A",0,RTD("tos.rtd",,AV$2,"."&amp;$A$2&amp;$AU$1&amp;"P"&amp;$A36))</f>
        <v>-13959</v>
      </c>
      <c r="AW36" s="6">
        <f>IF(RTD("tos.rtd",,AW$2,"."&amp;$A$2&amp;$AW$1&amp;"C"&amp;$A36)="N/A",0,RTD("tos.rtd",,AW$2,"."&amp;$A$2&amp;$AW$1&amp;"C"&amp;$A36))</f>
        <v>43741</v>
      </c>
      <c r="AX36" s="7">
        <f>-IF(RTD("tos.rtd",,AX$2,"."&amp;$A$2&amp;$AW$1&amp;"P"&amp;$A36)="N/A",0,RTD("tos.rtd",,AX$2,"."&amp;$A$2&amp;$AW$1&amp;"P"&amp;$A36))</f>
        <v>-31721</v>
      </c>
      <c r="AY36" s="1">
        <f t="shared" si="66"/>
        <v>-1826</v>
      </c>
      <c r="AZ36" s="8">
        <f t="shared" si="32"/>
        <v>570</v>
      </c>
      <c r="BA36" s="6">
        <f>IF(RTD("tos.rtd",,BA$2,"."&amp;$A$2&amp;$AS$1&amp;"C"&amp;$A36)="N/A",0,RTD("tos.rtd",,BA$2,"."&amp;$A$2&amp;$AS$1&amp;"C"&amp;$A36))</f>
        <v>34</v>
      </c>
      <c r="BB36" s="7">
        <f>-IF(RTD("tos.rtd",,BB$2,"."&amp;$A$2&amp;$AS$1&amp;"P"&amp;$A36)="N/A",0,RTD("tos.rtd",,BB$2,"."&amp;$A$2&amp;$AS$1&amp;"P"&amp;$A36))</f>
        <v>-7020</v>
      </c>
      <c r="BC36" s="6">
        <f>IF(RTD("tos.rtd",,BC$2,"."&amp;$A$2&amp;$AU$1&amp;"C"&amp;$A36)="N/A",0,RTD("tos.rtd",,BC$2,"."&amp;$A$2&amp;$AU$1&amp;"C"&amp;$A36))</f>
        <v>130</v>
      </c>
      <c r="BD36" s="7">
        <f>-IF(RTD("tos.rtd",,BD$2,"."&amp;$A$2&amp;$AU$1&amp;"P"&amp;$A36)="N/A",0,RTD("tos.rtd",,BD$2,"."&amp;$A$2&amp;$AU$1&amp;"P"&amp;$A36))</f>
        <v>-7647</v>
      </c>
      <c r="BE36" s="6">
        <f>IF(RTD("tos.rtd",,BE$2,"."&amp;$A$2&amp;$AW$1&amp;"C"&amp;$A36)="N/A",0,RTD("tos.rtd",,BE$2,"."&amp;$A$2&amp;$AW$1&amp;"C"&amp;$A36))</f>
        <v>165</v>
      </c>
      <c r="BF36" s="83">
        <f>-IF(RTD("tos.rtd",,BF$2,"."&amp;$A$2&amp;$AW$1&amp;"P"&amp;$A36)="N/A",0,RTD("tos.rtd",,BF$2,"."&amp;$A$2&amp;$AW$1&amp;"P"&amp;$A36))</f>
        <v>-8951</v>
      </c>
      <c r="BG36" s="32">
        <f ca="1">+Hoja2!Y37</f>
        <v>-17268</v>
      </c>
      <c r="BH36" s="7">
        <f t="shared" ca="1" si="33"/>
        <v>-40557</v>
      </c>
      <c r="BI36" s="8" t="str">
        <f t="shared" ca="1" si="34"/>
        <v/>
      </c>
      <c r="BJ36" s="3">
        <f ca="1">IF($BP$1=1,DX36,IF(RTD("tos.rtd",,BJ$2,"."&amp;$A$2&amp;$AS$1&amp;"C"&amp;$A36)="N/A",0,RTD("tos.rtd",,BJ$2,"."&amp;$A$2&amp;$AS$1&amp;"C"&amp;$A36)))</f>
        <v>3.5235005625317157E-37</v>
      </c>
      <c r="BK36" s="3">
        <f ca="1">IF($BP$1=1,DY36,-IF(RTD("tos.rtd",,BK$2,"."&amp;$A$2&amp;$AS$1&amp;"P"&amp;$A36)="N/A",0,RTD("tos.rtd",,BK$2,"."&amp;$A$2&amp;$AS$1&amp;"P"&amp;$A36)))</f>
        <v>-6.1508715217665592E-3</v>
      </c>
      <c r="BL36" s="3">
        <f ca="1">IF($BP$1=1,DZ36,IF(RTD("tos.rtd",,BL$2,"."&amp;$A$2&amp;$AU$1&amp;"C"&amp;$A36)="N/A",0,RTD("tos.rtd",,BL$2,"."&amp;$A$2&amp;$AU$1&amp;"C"&amp;$A36)))</f>
        <v>0</v>
      </c>
      <c r="BM36" s="3">
        <f ca="1">IF($BP$1=1,EA36,-IF(RTD("tos.rtd",,BM$2,"."&amp;$A$2&amp;$AU$1&amp;"P"&amp;$A36)="N/A",0,RTD("tos.rtd",,BM$2,"."&amp;$A$2&amp;$AU$1&amp;"P"&amp;$A36)))</f>
        <v>-7.1427068465713004E-3</v>
      </c>
      <c r="BN36" s="3">
        <f ca="1">IF($BP$1=1,EB36,IF(RTD("tos.rtd",,BN$2,"."&amp;$A$2&amp;$AW$1&amp;"C"&amp;$A36)="N/A",0,RTD("tos.rtd",,BN$2,"."&amp;$A$2&amp;$AW$1&amp;"C"&amp;$A36)))</f>
        <v>5.1032349247663415E-3</v>
      </c>
      <c r="BO36" s="3">
        <f ca="1">IF($BP$1=1,EC36,-IF(RTD("tos.rtd",,BO$2,"."&amp;$A$2&amp;$AW$1&amp;"P"&amp;$A36)="N/A",0,RTD("tos.rtd",,BO$2,"."&amp;$A$2&amp;$AW$1&amp;"P"&amp;$A36)))</f>
        <v>-5.4413393083108377E-3</v>
      </c>
      <c r="BQ36" s="3">
        <f t="shared" ca="1" si="35"/>
        <v>-10182332.946326531</v>
      </c>
      <c r="BR36" s="3" t="str">
        <f t="shared" ca="1" si="67"/>
        <v/>
      </c>
      <c r="BS36" s="3">
        <f t="shared" ca="1" si="36"/>
        <v>-34991446.423171706</v>
      </c>
      <c r="BT36" s="3" t="str">
        <f t="shared" ca="1" si="67"/>
        <v/>
      </c>
      <c r="BU36" s="3">
        <f t="shared" ca="1" si="37"/>
        <v>17763621.370398492</v>
      </c>
      <c r="BV36" s="3" t="str">
        <f t="shared" ca="1" si="38"/>
        <v/>
      </c>
      <c r="BX36" s="3">
        <f t="shared" ca="1" si="39"/>
        <v>-15153694.569262717</v>
      </c>
      <c r="BY36" s="3" t="str">
        <f t="shared" ca="1" si="68"/>
        <v/>
      </c>
      <c r="BZ36" s="3">
        <f t="shared" ca="1" si="40"/>
        <v>-19168965.599111259</v>
      </c>
      <c r="CA36" s="3" t="str">
        <f t="shared" ca="1" si="69"/>
        <v/>
      </c>
      <c r="CB36" s="3">
        <f t="shared" ca="1" si="41"/>
        <v>-16797639.50213889</v>
      </c>
      <c r="CC36" s="3" t="str">
        <f t="shared" ca="1" si="70"/>
        <v/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1</v>
      </c>
      <c r="CG36" s="3">
        <f>-IF(RTD("tos.rtd",,CG$2,"."&amp;$A$2&amp;$AU$1&amp;"P"&amp;$A36)="N/A",0,RTD("tos.rtd",,CG$2,"."&amp;$A$2&amp;$AU$1&amp;"P"&amp;$A36))</f>
        <v>0.03</v>
      </c>
      <c r="CH36" s="3">
        <f>IF(RTD("tos.rtd",,CH$2,"."&amp;$A$2&amp;$AW$1&amp;"C"&amp;$A36)="N/A",0,RTD("tos.rtd",,CH$2,"."&amp;$A$2&amp;$AW$1&amp;"C"&amp;$A36))</f>
        <v>0.78</v>
      </c>
      <c r="CI36" s="3">
        <f>-IF(RTD("tos.rtd",,CI$2,"."&amp;$A$2&amp;$AW$1&amp;"P"&amp;$A36)="N/A",0,RTD("tos.rtd",,CI$2,"."&amp;$A$2&amp;$AW$1&amp;"P"&amp;$A36))</f>
        <v>0.22</v>
      </c>
      <c r="CK36" s="3">
        <f t="shared" si="42"/>
        <v>28672644</v>
      </c>
      <c r="CL36" s="3"/>
      <c r="CM36" s="3">
        <f t="shared" si="43"/>
        <v>232653032.43000001</v>
      </c>
      <c r="CN36" s="3"/>
      <c r="CO36" s="3">
        <f t="shared" si="44"/>
        <v>1607762825.7600002</v>
      </c>
      <c r="CP36" s="3">
        <f t="shared" si="45"/>
        <v>1869088502.1900003</v>
      </c>
      <c r="CQ36" s="3">
        <f t="shared" si="46"/>
        <v>-6986</v>
      </c>
      <c r="CR36" s="3"/>
      <c r="CS36" s="3">
        <f t="shared" si="18"/>
        <v>-7517</v>
      </c>
      <c r="CT36" s="3"/>
      <c r="CU36" s="3">
        <f t="shared" si="19"/>
        <v>-8786</v>
      </c>
      <c r="CV36" s="3">
        <f t="shared" si="47"/>
        <v>-23289</v>
      </c>
      <c r="CW36" s="3">
        <f t="shared" ca="1" si="48"/>
        <v>-27410157.999099746</v>
      </c>
      <c r="CX36" s="85" t="str">
        <f t="shared" ca="1" si="71"/>
        <v/>
      </c>
      <c r="CY36" s="3">
        <f t="shared" ca="1" si="49"/>
        <v>-51120299.670512863</v>
      </c>
      <c r="CZ36" s="85" t="str">
        <f t="shared" ca="1" si="72"/>
        <v/>
      </c>
      <c r="DA36" s="3">
        <f>IF(RTD("tos.rtd",,DA$2,"."&amp;$A$2&amp;$AS$1&amp;"C"&amp;$A36)="N/A",0,RTD("tos.rtd",,DA$2,"."&amp;$A$2&amp;$AS$1&amp;"C"&amp;$A36))</f>
        <v>21.68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23.12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21.38</v>
      </c>
      <c r="DF36" s="3">
        <f>IF(RTD("tos.rtd",,DF$2,"."&amp;$A$2&amp;$AS$1&amp;"P"&amp;$A36)="N/A",0,RTD("tos.rtd",,DF$2,"."&amp;$A$2&amp;$AS$1&amp;"P"&amp;$A36))</f>
        <v>0</v>
      </c>
      <c r="DG36" s="86">
        <f t="shared" si="50"/>
        <v>-22.409999999999968</v>
      </c>
      <c r="DH36" s="3">
        <f t="shared" si="5"/>
        <v>0</v>
      </c>
      <c r="DI36" s="3">
        <f t="shared" si="6"/>
        <v>0</v>
      </c>
      <c r="DJ36" s="3">
        <f t="shared" si="7"/>
        <v>0</v>
      </c>
      <c r="DK36" s="3">
        <f t="shared" si="8"/>
        <v>0</v>
      </c>
      <c r="DL36" s="3">
        <f t="shared" si="9"/>
        <v>0</v>
      </c>
      <c r="DM36" s="3">
        <f t="shared" si="10"/>
        <v>0</v>
      </c>
      <c r="DN36" s="63" t="str">
        <f t="shared" si="51"/>
        <v>UNKNOWN</v>
      </c>
      <c r="DO36" s="63" t="str">
        <f t="shared" si="52"/>
        <v>UNKNOWN</v>
      </c>
      <c r="DP36" s="3">
        <f t="shared" si="53"/>
        <v>0</v>
      </c>
      <c r="DQ36" s="3">
        <f t="shared" si="54"/>
        <v>0</v>
      </c>
      <c r="DR36" s="3">
        <f t="shared" ca="1" si="55"/>
        <v>0</v>
      </c>
      <c r="DS36" s="3">
        <f t="shared" si="56"/>
        <v>0</v>
      </c>
      <c r="DT36" s="3">
        <f t="shared" si="57"/>
        <v>0</v>
      </c>
      <c r="DU36" s="3">
        <f t="shared" si="58"/>
        <v>0</v>
      </c>
      <c r="DV36" s="3">
        <f t="shared" si="59"/>
        <v>-1</v>
      </c>
      <c r="DW36" s="3">
        <f t="shared" si="20"/>
        <v>6492</v>
      </c>
      <c r="DX36" s="3">
        <f t="shared" ca="1" si="21"/>
        <v>3.5235005625317157E-37</v>
      </c>
      <c r="DY36" s="3">
        <f t="shared" ca="1" si="22"/>
        <v>-6.1508715217665592E-3</v>
      </c>
      <c r="DZ36" s="3">
        <f t="shared" ca="1" si="23"/>
        <v>0</v>
      </c>
      <c r="EA36" s="3">
        <f t="shared" ca="1" si="24"/>
        <v>-7.1427068465713004E-3</v>
      </c>
      <c r="EB36" s="3">
        <f t="shared" ca="1" si="25"/>
        <v>5.1032349247663415E-3</v>
      </c>
      <c r="EC36" s="3">
        <f t="shared" ca="1" si="26"/>
        <v>-5.4413393083108377E-3</v>
      </c>
      <c r="ED36" s="63">
        <f t="shared" si="60"/>
        <v>6491</v>
      </c>
      <c r="EE36" s="59">
        <f t="shared" si="61"/>
        <v>0.25</v>
      </c>
      <c r="EF36" s="59">
        <f t="shared" si="27"/>
        <v>1.7898000000000001</v>
      </c>
      <c r="EG36" s="59">
        <f t="shared" si="28"/>
        <v>1.1000000000000001E-3</v>
      </c>
      <c r="EH36" s="59">
        <f t="shared" si="29"/>
        <v>0.2208</v>
      </c>
      <c r="EI36" s="59">
        <f t="shared" si="30"/>
        <v>0.18940000000000001</v>
      </c>
      <c r="EJ36" s="59">
        <f t="shared" si="31"/>
        <v>0.19409999999999999</v>
      </c>
      <c r="EK36" s="63">
        <f t="shared" ca="1" si="62"/>
        <v>-14013929.507642958</v>
      </c>
      <c r="EL36" s="3" t="str">
        <f>RTD("tos.rtd",,EL$2,"."&amp;$A$2&amp;$AS$1&amp;"C"&amp;$A36)</f>
        <v>--</v>
      </c>
      <c r="EM36" s="3" t="str">
        <f>RTD("tos.rtd",,EM$2,"."&amp;$A$2&amp;$AS$1&amp;"P"&amp;$A36)</f>
        <v>178.98%</v>
      </c>
      <c r="EN36" s="3" t="str">
        <f>RTD("tos.rtd",,EN$2,"."&amp;$A$2&amp;$AU$1&amp;"C"&amp;$A36)</f>
        <v>0.11%</v>
      </c>
      <c r="EO36" s="3" t="str">
        <f>RTD("tos.rtd",,EO$2,"."&amp;$A$2&amp;$AU$1&amp;"P"&amp;$A36)</f>
        <v>22.08%</v>
      </c>
      <c r="EP36" s="3" t="str">
        <f>RTD("tos.rtd",,EP$2,"."&amp;$A$2&amp;$AW$1&amp;"C"&amp;$A36)</f>
        <v>18.94%</v>
      </c>
      <c r="EQ36" s="3" t="str">
        <f>RTD("tos.rtd",,EQ$2,"."&amp;$A$2&amp;$AW$1&amp;"P"&amp;$A36)</f>
        <v>19.41%</v>
      </c>
      <c r="ES36" s="63" t="str">
        <f t="shared" si="63"/>
        <v>570,6491.00</v>
      </c>
      <c r="ET36" s="63" t="str">
        <f t="shared" ca="1" si="64"/>
        <v>570,-51120.30</v>
      </c>
      <c r="EU36" s="67">
        <v>593.34</v>
      </c>
      <c r="EV36" s="67" t="s">
        <v>308</v>
      </c>
      <c r="EW36" s="67">
        <v>519.79999999999995</v>
      </c>
      <c r="EX36" s="67" t="s">
        <v>309</v>
      </c>
      <c r="EY36" s="67">
        <v>5943.75</v>
      </c>
      <c r="EZ36" s="67" t="s">
        <v>310</v>
      </c>
      <c r="FA36" s="67">
        <v>21335</v>
      </c>
      <c r="FB36" s="67" t="s">
        <v>311</v>
      </c>
      <c r="FC36" s="67" t="s">
        <v>312</v>
      </c>
      <c r="FD36" s="67" t="s">
        <v>313</v>
      </c>
      <c r="FE36" s="68" t="s">
        <v>314</v>
      </c>
      <c r="FF36" s="68" t="s">
        <v>315</v>
      </c>
    </row>
    <row r="37" spans="1:162" s="63" customFormat="1" ht="13.5" thickBot="1" x14ac:dyDescent="0.25">
      <c r="A37" s="2">
        <f t="shared" si="65"/>
        <v>569</v>
      </c>
      <c r="B37" s="3">
        <f t="shared" si="13"/>
        <v>10931</v>
      </c>
      <c r="C37" s="3">
        <f t="shared" si="14"/>
        <v>2204</v>
      </c>
      <c r="D37" s="3">
        <f t="shared" si="15"/>
        <v>2503</v>
      </c>
      <c r="E37" s="3">
        <f t="shared" si="16"/>
        <v>15638</v>
      </c>
      <c r="F37" s="4">
        <f t="shared" si="17"/>
        <v>5719.9190594351885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6</v>
      </c>
      <c r="AN37" s="1">
        <v>-189</v>
      </c>
      <c r="AO37" s="1">
        <v>569</v>
      </c>
      <c r="AP37" s="1">
        <v>8</v>
      </c>
      <c r="AQ37" s="1">
        <v>-189</v>
      </c>
      <c r="AR37" s="1"/>
      <c r="AS37" s="6">
        <f>IF(RTD("tos.rtd",,AS$2,"."&amp;$A$2&amp;$AS$1&amp;"C"&amp;$A37)="N/A",0,RTD("tos.rtd",,AS$2,"."&amp;$A$2&amp;$AS$1&amp;"C"&amp;$A37))</f>
        <v>142</v>
      </c>
      <c r="AT37" s="7">
        <f>-IF(RTD("tos.rtd",,AT$2,"."&amp;$A$2&amp;$AS$1&amp;"P"&amp;$A37)="N/A",0,RTD("tos.rtd",,AT$2,"."&amp;$A$2&amp;$AS$1&amp;"P"&amp;$A37))</f>
        <v>-10789</v>
      </c>
      <c r="AU37" s="6">
        <f>IF(RTD("tos.rtd",,AU$2,"."&amp;$A$2&amp;$AU$1&amp;"C"&amp;$A37)="N/A",0,RTD("tos.rtd",,AU$2,"."&amp;$A$2&amp;$AU$1&amp;"C"&amp;$A37))</f>
        <v>530</v>
      </c>
      <c r="AV37" s="7">
        <f>-IF(RTD("tos.rtd",,AV$2,"."&amp;$A$2&amp;$AU$1&amp;"P"&amp;$A37)="N/A",0,RTD("tos.rtd",,AV$2,"."&amp;$A$2&amp;$AU$1&amp;"P"&amp;$A37))</f>
        <v>-1674</v>
      </c>
      <c r="AW37" s="6">
        <f>IF(RTD("tos.rtd",,AW$2,"."&amp;$A$2&amp;$AW$1&amp;"C"&amp;$A37)="N/A",0,RTD("tos.rtd",,AW$2,"."&amp;$A$2&amp;$AW$1&amp;"C"&amp;$A37))</f>
        <v>1261</v>
      </c>
      <c r="AX37" s="7">
        <f>-IF(RTD("tos.rtd",,AX$2,"."&amp;$A$2&amp;$AW$1&amp;"P"&amp;$A37)="N/A",0,RTD("tos.rtd",,AX$2,"."&amp;$A$2&amp;$AW$1&amp;"P"&amp;$A37))</f>
        <v>-1242</v>
      </c>
      <c r="AY37" s="1">
        <f t="shared" si="66"/>
        <v>-11772</v>
      </c>
      <c r="AZ37" s="8">
        <f t="shared" si="32"/>
        <v>569</v>
      </c>
      <c r="BA37" s="6">
        <f>IF(RTD("tos.rtd",,BA$2,"."&amp;$A$2&amp;$AS$1&amp;"C"&amp;$A37)="N/A",0,RTD("tos.rtd",,BA$2,"."&amp;$A$2&amp;$AS$1&amp;"C"&amp;$A37))</f>
        <v>8</v>
      </c>
      <c r="BB37" s="7">
        <f>-IF(RTD("tos.rtd",,BB$2,"."&amp;$A$2&amp;$AS$1&amp;"P"&amp;$A37)="N/A",0,RTD("tos.rtd",,BB$2,"."&amp;$A$2&amp;$AS$1&amp;"P"&amp;$A37))</f>
        <v>-189</v>
      </c>
      <c r="BC37" s="6">
        <f>IF(RTD("tos.rtd",,BC$2,"."&amp;$A$2&amp;$AU$1&amp;"C"&amp;$A37)="N/A",0,RTD("tos.rtd",,BC$2,"."&amp;$A$2&amp;$AU$1&amp;"C"&amp;$A37))</f>
        <v>8</v>
      </c>
      <c r="BD37" s="7">
        <f>-IF(RTD("tos.rtd",,BD$2,"."&amp;$A$2&amp;$AU$1&amp;"P"&amp;$A37)="N/A",0,RTD("tos.rtd",,BD$2,"."&amp;$A$2&amp;$AU$1&amp;"P"&amp;$A37))</f>
        <v>-336</v>
      </c>
      <c r="BE37" s="6">
        <f>IF(RTD("tos.rtd",,BE$2,"."&amp;$A$2&amp;$AW$1&amp;"C"&amp;$A37)="N/A",0,RTD("tos.rtd",,BE$2,"."&amp;$A$2&amp;$AW$1&amp;"C"&amp;$A37))</f>
        <v>8</v>
      </c>
      <c r="BF37" s="83">
        <f>-IF(RTD("tos.rtd",,BF$2,"."&amp;$A$2&amp;$AW$1&amp;"P"&amp;$A37)="N/A",0,RTD("tos.rtd",,BF$2,"."&amp;$A$2&amp;$AW$1&amp;"P"&amp;$A37))</f>
        <v>-296</v>
      </c>
      <c r="BG37" s="32">
        <f ca="1">+Hoja2!Y38</f>
        <v>-2902</v>
      </c>
      <c r="BH37" s="7">
        <f t="shared" ca="1" si="33"/>
        <v>-3699</v>
      </c>
      <c r="BI37" s="8" t="str">
        <f t="shared" ca="1" si="34"/>
        <v/>
      </c>
      <c r="BJ37" s="3">
        <f ca="1">IF($BP$1=1,DX37,IF(RTD("tos.rtd",,BJ$2,"."&amp;$A$2&amp;$AS$1&amp;"C"&amp;$A37)="N/A",0,RTD("tos.rtd",,BJ$2,"."&amp;$A$2&amp;$AS$1&amp;"C"&amp;$A37)))</f>
        <v>1.6333486269248327E-40</v>
      </c>
      <c r="BK37" s="3">
        <f ca="1">IF($BP$1=1,DY37,-IF(RTD("tos.rtd",,BK$2,"."&amp;$A$2&amp;$AS$1&amp;"P"&amp;$A37)="N/A",0,RTD("tos.rtd",,BK$2,"."&amp;$A$2&amp;$AS$1&amp;"P"&amp;$A37)))</f>
        <v>-5.824862734914487E-3</v>
      </c>
      <c r="BL37" s="3">
        <f ca="1">IF($BP$1=1,DZ37,IF(RTD("tos.rtd",,BL$2,"."&amp;$A$2&amp;$AU$1&amp;"C"&amp;$A37)="N/A",0,RTD("tos.rtd",,BL$2,"."&amp;$A$2&amp;$AU$1&amp;"C"&amp;$A37)))</f>
        <v>0</v>
      </c>
      <c r="BM37" s="3">
        <f ca="1">IF($BP$1=1,EA37,-IF(RTD("tos.rtd",,BM$2,"."&amp;$A$2&amp;$AU$1&amp;"P"&amp;$A37)="N/A",0,RTD("tos.rtd",,BM$2,"."&amp;$A$2&amp;$AU$1&amp;"P"&amp;$A37)))</f>
        <v>-6.5707075554252365E-3</v>
      </c>
      <c r="BN37" s="3">
        <f ca="1">IF($BP$1=1,EB37,IF(RTD("tos.rtd",,BN$2,"."&amp;$A$2&amp;$AW$1&amp;"C"&amp;$A37)="N/A",0,RTD("tos.rtd",,BN$2,"."&amp;$A$2&amp;$AW$1&amp;"C"&amp;$A37)))</f>
        <v>4.3963611289391021E-3</v>
      </c>
      <c r="BO37" s="3">
        <f ca="1">IF($BP$1=1,EC37,-IF(RTD("tos.rtd",,BO$2,"."&amp;$A$2&amp;$AW$1&amp;"P"&amp;$A37)="N/A",0,RTD("tos.rtd",,BO$2,"."&amp;$A$2&amp;$AW$1&amp;"P"&amp;$A37)))</f>
        <v>-4.7237338103510778E-3</v>
      </c>
      <c r="BQ37" s="3">
        <f t="shared" ca="1" si="35"/>
        <v>-22055233.009554356</v>
      </c>
      <c r="BR37" s="3" t="str">
        <f t="shared" ca="1" si="67"/>
        <v/>
      </c>
      <c r="BS37" s="3">
        <f t="shared" ca="1" si="36"/>
        <v>-3860222.6422981112</v>
      </c>
      <c r="BT37" s="3" t="str">
        <f t="shared" ca="1" si="67"/>
        <v/>
      </c>
      <c r="BU37" s="3">
        <f t="shared" ca="1" si="37"/>
        <v>-113379.88920119265</v>
      </c>
      <c r="BV37" s="3" t="str">
        <f t="shared" ca="1" si="38"/>
        <v>Cruce -</v>
      </c>
      <c r="BX37" s="3">
        <f t="shared" ca="1" si="39"/>
        <v>-386360.09257630678</v>
      </c>
      <c r="BY37" s="3" t="str">
        <f t="shared" ca="1" si="68"/>
        <v/>
      </c>
      <c r="BZ37" s="3">
        <f t="shared" ca="1" si="40"/>
        <v>-774811.71314944176</v>
      </c>
      <c r="CA37" s="3" t="str">
        <f t="shared" ca="1" si="69"/>
        <v/>
      </c>
      <c r="CB37" s="3">
        <f t="shared" ca="1" si="41"/>
        <v>-478363.37901324534</v>
      </c>
      <c r="CC37" s="3" t="str">
        <f t="shared" ca="1" si="70"/>
        <v/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1</v>
      </c>
      <c r="CG37" s="3">
        <f>-IF(RTD("tos.rtd",,CG$2,"."&amp;$A$2&amp;$AU$1&amp;"P"&amp;$A37)="N/A",0,RTD("tos.rtd",,CG$2,"."&amp;$A$2&amp;$AU$1&amp;"P"&amp;$A37))</f>
        <v>0.02</v>
      </c>
      <c r="CH37" s="3">
        <f>IF(RTD("tos.rtd",,CH$2,"."&amp;$A$2&amp;$AW$1&amp;"C"&amp;$A37)="N/A",0,RTD("tos.rtd",,CH$2,"."&amp;$A$2&amp;$AW$1&amp;"C"&amp;$A37))</f>
        <v>0.79</v>
      </c>
      <c r="CI37" s="3">
        <f>-IF(RTD("tos.rtd",,CI$2,"."&amp;$A$2&amp;$AW$1&amp;"P"&amp;$A37)="N/A",0,RTD("tos.rtd",,CI$2,"."&amp;$A$2&amp;$AW$1&amp;"P"&amp;$A37))</f>
        <v>0.22</v>
      </c>
      <c r="CK37" s="3">
        <f t="shared" si="42"/>
        <v>8412222</v>
      </c>
      <c r="CL37" s="3"/>
      <c r="CM37" s="3">
        <f t="shared" si="43"/>
        <v>29414341.32</v>
      </c>
      <c r="CN37" s="3"/>
      <c r="CO37" s="3">
        <f t="shared" si="44"/>
        <v>42828280.950000003</v>
      </c>
      <c r="CP37" s="3">
        <f t="shared" si="45"/>
        <v>80654844.270000011</v>
      </c>
      <c r="CQ37" s="3">
        <f t="shared" si="46"/>
        <v>-181</v>
      </c>
      <c r="CR37" s="3"/>
      <c r="CS37" s="3">
        <f t="shared" si="18"/>
        <v>-328</v>
      </c>
      <c r="CT37" s="3"/>
      <c r="CU37" s="3">
        <f t="shared" si="19"/>
        <v>-288</v>
      </c>
      <c r="CV37" s="3">
        <f t="shared" si="47"/>
        <v>-797</v>
      </c>
      <c r="CW37" s="3">
        <f t="shared" ca="1" si="48"/>
        <v>-26028835.54105366</v>
      </c>
      <c r="CX37" s="85" t="str">
        <f t="shared" ca="1" si="71"/>
        <v/>
      </c>
      <c r="CY37" s="3">
        <f t="shared" ca="1" si="49"/>
        <v>-1639535.1847389941</v>
      </c>
      <c r="CZ37" s="85" t="str">
        <f t="shared" ca="1" si="72"/>
        <v/>
      </c>
      <c r="DA37" s="3">
        <f>IF(RTD("tos.rtd",,DA$2,"."&amp;$A$2&amp;$AS$1&amp;"C"&amp;$A37)="N/A",0,RTD("tos.rtd",,DA$2,"."&amp;$A$2&amp;$AS$1&amp;"C"&amp;$A37))</f>
        <v>21.23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24.11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22.38</v>
      </c>
      <c r="DF37" s="3">
        <f>IF(RTD("tos.rtd",,DF$2,"."&amp;$A$2&amp;$AS$1&amp;"P"&amp;$A37)="N/A",0,RTD("tos.rtd",,DF$2,"."&amp;$A$2&amp;$AS$1&amp;"P"&amp;$A37))</f>
        <v>0</v>
      </c>
      <c r="DG37" s="86">
        <f t="shared" si="50"/>
        <v>-23.409999999999968</v>
      </c>
      <c r="DH37" s="3">
        <f t="shared" si="5"/>
        <v>0</v>
      </c>
      <c r="DI37" s="3">
        <f t="shared" si="6"/>
        <v>0</v>
      </c>
      <c r="DJ37" s="3">
        <f t="shared" si="7"/>
        <v>0</v>
      </c>
      <c r="DK37" s="3">
        <f t="shared" si="8"/>
        <v>0</v>
      </c>
      <c r="DL37" s="3">
        <f t="shared" si="9"/>
        <v>0</v>
      </c>
      <c r="DM37" s="3">
        <f t="shared" si="10"/>
        <v>0</v>
      </c>
      <c r="DN37" s="63" t="str">
        <f t="shared" si="51"/>
        <v>UNKNOWN</v>
      </c>
      <c r="DO37" s="63" t="str">
        <f t="shared" si="52"/>
        <v>UNKNOWN</v>
      </c>
      <c r="DP37" s="3">
        <f t="shared" si="53"/>
        <v>0</v>
      </c>
      <c r="DQ37" s="3">
        <f t="shared" si="54"/>
        <v>0</v>
      </c>
      <c r="DR37" s="3">
        <f t="shared" ca="1" si="55"/>
        <v>0</v>
      </c>
      <c r="DS37" s="3">
        <f t="shared" si="56"/>
        <v>0</v>
      </c>
      <c r="DT37" s="3">
        <f t="shared" si="57"/>
        <v>0</v>
      </c>
      <c r="DU37" s="3">
        <f t="shared" si="58"/>
        <v>0</v>
      </c>
      <c r="DV37" s="3">
        <f t="shared" si="59"/>
        <v>6</v>
      </c>
      <c r="DW37" s="3">
        <f t="shared" si="20"/>
        <v>-189</v>
      </c>
      <c r="DX37" s="3">
        <f t="shared" ca="1" si="21"/>
        <v>1.6333486269248327E-40</v>
      </c>
      <c r="DY37" s="3">
        <f t="shared" ca="1" si="22"/>
        <v>-5.824862734914487E-3</v>
      </c>
      <c r="DZ37" s="3">
        <f t="shared" ca="1" si="23"/>
        <v>0</v>
      </c>
      <c r="EA37" s="3">
        <f t="shared" ca="1" si="24"/>
        <v>-6.5707075554252365E-3</v>
      </c>
      <c r="EB37" s="3">
        <f t="shared" ca="1" si="25"/>
        <v>4.3963611289391021E-3</v>
      </c>
      <c r="EC37" s="3">
        <f t="shared" ca="1" si="26"/>
        <v>-4.7237338103510778E-3</v>
      </c>
      <c r="ED37" s="63">
        <f t="shared" si="60"/>
        <v>-183</v>
      </c>
      <c r="EE37" s="59">
        <f t="shared" si="61"/>
        <v>0.25</v>
      </c>
      <c r="EF37" s="59">
        <f t="shared" si="27"/>
        <v>1.8636999999999999</v>
      </c>
      <c r="EG37" s="59">
        <f t="shared" si="28"/>
        <v>1.1000000000000001E-3</v>
      </c>
      <c r="EH37" s="59">
        <f t="shared" si="29"/>
        <v>0.2258</v>
      </c>
      <c r="EI37" s="59">
        <f t="shared" si="30"/>
        <v>0.1908</v>
      </c>
      <c r="EJ37" s="59">
        <f t="shared" si="31"/>
        <v>0.1956</v>
      </c>
      <c r="EK37" s="63">
        <f t="shared" ca="1" si="62"/>
        <v>386360.09257630672</v>
      </c>
      <c r="EL37" s="3" t="str">
        <f>RTD("tos.rtd",,EL$2,"."&amp;$A$2&amp;$AS$1&amp;"C"&amp;$A37)</f>
        <v>--</v>
      </c>
      <c r="EM37" s="3" t="str">
        <f>RTD("tos.rtd",,EM$2,"."&amp;$A$2&amp;$AS$1&amp;"P"&amp;$A37)</f>
        <v>186.37%</v>
      </c>
      <c r="EN37" s="3" t="str">
        <f>RTD("tos.rtd",,EN$2,"."&amp;$A$2&amp;$AU$1&amp;"C"&amp;$A37)</f>
        <v>0.11%</v>
      </c>
      <c r="EO37" s="3" t="str">
        <f>RTD("tos.rtd",,EO$2,"."&amp;$A$2&amp;$AU$1&amp;"P"&amp;$A37)</f>
        <v>22.58%</v>
      </c>
      <c r="EP37" s="3" t="str">
        <f>RTD("tos.rtd",,EP$2,"."&amp;$A$2&amp;$AW$1&amp;"C"&amp;$A37)</f>
        <v>19.08%</v>
      </c>
      <c r="EQ37" s="3" t="str">
        <f>RTD("tos.rtd",,EQ$2,"."&amp;$A$2&amp;$AW$1&amp;"P"&amp;$A37)</f>
        <v>19.56%</v>
      </c>
      <c r="ES37" s="63" t="str">
        <f t="shared" si="63"/>
        <v>569,-183.00</v>
      </c>
      <c r="ET37" s="63" t="str">
        <f t="shared" ca="1" si="64"/>
        <v>569,-1639.54</v>
      </c>
      <c r="EU37" s="67">
        <v>593.36</v>
      </c>
      <c r="EV37" s="67" t="s">
        <v>316</v>
      </c>
      <c r="EW37" s="67">
        <v>519.79999999999995</v>
      </c>
      <c r="EX37" s="67" t="s">
        <v>317</v>
      </c>
      <c r="EY37" s="67">
        <v>5943.5</v>
      </c>
      <c r="EZ37" s="67" t="s">
        <v>318</v>
      </c>
      <c r="FA37" s="67">
        <v>21335.25</v>
      </c>
      <c r="FB37" s="67" t="s">
        <v>319</v>
      </c>
      <c r="FC37" s="67" t="s">
        <v>320</v>
      </c>
      <c r="FD37" s="67" t="s">
        <v>321</v>
      </c>
      <c r="FE37" s="68" t="s">
        <v>322</v>
      </c>
      <c r="FF37" s="68" t="s">
        <v>323</v>
      </c>
    </row>
    <row r="38" spans="1:162" s="63" customFormat="1" ht="13.5" thickBot="1" x14ac:dyDescent="0.25">
      <c r="A38" s="2">
        <f t="shared" si="65"/>
        <v>568</v>
      </c>
      <c r="B38" s="35">
        <f t="shared" si="13"/>
        <v>10293</v>
      </c>
      <c r="C38" s="35">
        <f t="shared" si="14"/>
        <v>7930</v>
      </c>
      <c r="D38" s="35">
        <f t="shared" si="15"/>
        <v>5425</v>
      </c>
      <c r="E38" s="35">
        <f t="shared" si="16"/>
        <v>23648</v>
      </c>
      <c r="F38" s="11">
        <f t="shared" si="17"/>
        <v>5709.8664776084133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0</v>
      </c>
      <c r="AN38" s="1">
        <v>-9</v>
      </c>
      <c r="AO38" s="1">
        <v>568</v>
      </c>
      <c r="AP38" s="1">
        <v>2</v>
      </c>
      <c r="AQ38" s="1">
        <v>-9</v>
      </c>
      <c r="AR38" s="1"/>
      <c r="AS38" s="15">
        <f>IF(RTD("tos.rtd",,AS$2,"."&amp;$A$2&amp;$AS$1&amp;"C"&amp;$A38)="N/A",0,RTD("tos.rtd",,AS$2,"."&amp;$A$2&amp;$AS$1&amp;"C"&amp;$A38))</f>
        <v>228</v>
      </c>
      <c r="AT38" s="36">
        <f>-IF(RTD("tos.rtd",,AT$2,"."&amp;$A$2&amp;$AS$1&amp;"P"&amp;$A38)="N/A",0,RTD("tos.rtd",,AT$2,"."&amp;$A$2&amp;$AS$1&amp;"P"&amp;$A38))</f>
        <v>-10065</v>
      </c>
      <c r="AU38" s="15">
        <f>IF(RTD("tos.rtd",,AU$2,"."&amp;$A$2&amp;$AU$1&amp;"C"&amp;$A38)="N/A",0,RTD("tos.rtd",,AU$2,"."&amp;$A$2&amp;$AU$1&amp;"C"&amp;$A38))</f>
        <v>1214</v>
      </c>
      <c r="AV38" s="36">
        <f>-IF(RTD("tos.rtd",,AV$2,"."&amp;$A$2&amp;$AU$1&amp;"P"&amp;$A38)="N/A",0,RTD("tos.rtd",,AV$2,"."&amp;$A$2&amp;$AU$1&amp;"P"&amp;$A38))</f>
        <v>-6716</v>
      </c>
      <c r="AW38" s="15">
        <f>IF(RTD("tos.rtd",,AW$2,"."&amp;$A$2&amp;$AW$1&amp;"C"&amp;$A38)="N/A",0,RTD("tos.rtd",,AW$2,"."&amp;$A$2&amp;$AW$1&amp;"C"&amp;$A38))</f>
        <v>1443</v>
      </c>
      <c r="AX38" s="36">
        <f>-IF(RTD("tos.rtd",,AX$2,"."&amp;$A$2&amp;$AW$1&amp;"P"&amp;$A38)="N/A",0,RTD("tos.rtd",,AX$2,"."&amp;$A$2&amp;$AW$1&amp;"P"&amp;$A38))</f>
        <v>-3982</v>
      </c>
      <c r="AY38" s="1">
        <f t="shared" si="66"/>
        <v>-17878</v>
      </c>
      <c r="AZ38" s="8">
        <f t="shared" si="32"/>
        <v>568</v>
      </c>
      <c r="BA38" s="15">
        <f>IF(RTD("tos.rtd",,BA$2,"."&amp;$A$2&amp;$AS$1&amp;"C"&amp;$A38)="N/A",0,RTD("tos.rtd",,BA$2,"."&amp;$A$2&amp;$AS$1&amp;"C"&amp;$A38))</f>
        <v>2</v>
      </c>
      <c r="BB38" s="36">
        <f>-IF(RTD("tos.rtd",,BB$2,"."&amp;$A$2&amp;$AS$1&amp;"P"&amp;$A38)="N/A",0,RTD("tos.rtd",,BB$2,"."&amp;$A$2&amp;$AS$1&amp;"P"&amp;$A38))</f>
        <v>-9</v>
      </c>
      <c r="BC38" s="15">
        <f>IF(RTD("tos.rtd",,BC$2,"."&amp;$A$2&amp;$AU$1&amp;"C"&amp;$A38)="N/A",0,RTD("tos.rtd",,BC$2,"."&amp;$A$2&amp;$AU$1&amp;"C"&amp;$A38))</f>
        <v>104</v>
      </c>
      <c r="BD38" s="36">
        <f>-IF(RTD("tos.rtd",,BD$2,"."&amp;$A$2&amp;$AU$1&amp;"P"&amp;$A38)="N/A",0,RTD("tos.rtd",,BD$2,"."&amp;$A$2&amp;$AU$1&amp;"P"&amp;$A38))</f>
        <v>-633</v>
      </c>
      <c r="BE38" s="15">
        <f>IF(RTD("tos.rtd",,BE$2,"."&amp;$A$2&amp;$AW$1&amp;"C"&amp;$A38)="N/A",0,RTD("tos.rtd",,BE$2,"."&amp;$A$2&amp;$AW$1&amp;"C"&amp;$A38))</f>
        <v>1</v>
      </c>
      <c r="BF38" s="16">
        <f>-IF(RTD("tos.rtd",,BF$2,"."&amp;$A$2&amp;$AW$1&amp;"P"&amp;$A38)="N/A",0,RTD("tos.rtd",,BF$2,"."&amp;$A$2&amp;$AW$1&amp;"P"&amp;$A38))</f>
        <v>-354</v>
      </c>
      <c r="BG38" s="32">
        <f ca="1">+Hoja2!Y39</f>
        <v>-6056</v>
      </c>
      <c r="BH38" s="36">
        <f t="shared" ca="1" si="33"/>
        <v>-6945</v>
      </c>
      <c r="BI38" s="8" t="str">
        <f t="shared" ca="1" si="34"/>
        <v/>
      </c>
      <c r="BJ38" s="3">
        <f ca="1">IF($BP$1=1,DX38,IF(RTD("tos.rtd",,BJ$2,"."&amp;$A$2&amp;$AS$1&amp;"C"&amp;$A38)="N/A",0,RTD("tos.rtd",,BJ$2,"."&amp;$A$2&amp;$AS$1&amp;"C"&amp;$A38)))</f>
        <v>5.303215879694998E-44</v>
      </c>
      <c r="BK38" s="3">
        <f ca="1">IF($BP$1=1,DY38,-IF(RTD("tos.rtd",,BK$2,"."&amp;$A$2&amp;$AS$1&amp;"P"&amp;$A38)="N/A",0,RTD("tos.rtd",,BK$2,"."&amp;$A$2&amp;$AS$1&amp;"P"&amp;$A38)))</f>
        <v>-5.5281057377884312E-3</v>
      </c>
      <c r="BL38" s="3">
        <f ca="1">IF($BP$1=1,DZ38,IF(RTD("tos.rtd",,BL$2,"."&amp;$A$2&amp;$AU$1&amp;"C"&amp;$A38)="N/A",0,RTD("tos.rtd",,BL$2,"."&amp;$A$2&amp;$AU$1&amp;"C"&amp;$A38)))</f>
        <v>0</v>
      </c>
      <c r="BM38" s="3">
        <f ca="1">IF($BP$1=1,EA38,-IF(RTD("tos.rtd",,BM$2,"."&amp;$A$2&amp;$AU$1&amp;"P"&amp;$A38)="N/A",0,RTD("tos.rtd",,BM$2,"."&amp;$A$2&amp;$AU$1&amp;"P"&amp;$A38)))</f>
        <v>-5.8286641894782004E-3</v>
      </c>
      <c r="BN38" s="3">
        <f ca="1">IF($BP$1=1,EB38,IF(RTD("tos.rtd",,BN$2,"."&amp;$A$2&amp;$AW$1&amp;"C"&amp;$A38)="N/A",0,RTD("tos.rtd",,BN$2,"."&amp;$A$2&amp;$AW$1&amp;"C"&amp;$A38)))</f>
        <v>3.8458215304086009E-3</v>
      </c>
      <c r="BO38" s="3">
        <f ca="1">IF($BP$1=1,EC38,-IF(RTD("tos.rtd",,BO$2,"."&amp;$A$2&amp;$AW$1&amp;"P"&amp;$A38)="N/A",0,RTD("tos.rtd",,BO$2,"."&amp;$A$2&amp;$AW$1&amp;"P"&amp;$A38)))</f>
        <v>-4.0887801206059464E-3</v>
      </c>
      <c r="BQ38" s="3">
        <f t="shared" ca="1" si="35"/>
        <v>-19526971.047365904</v>
      </c>
      <c r="BR38" s="3" t="str">
        <f t="shared" ca="1" si="67"/>
        <v/>
      </c>
      <c r="BS38" s="3">
        <f t="shared" ca="1" si="36"/>
        <v>-13738030.746002685</v>
      </c>
      <c r="BT38" s="3" t="str">
        <f t="shared" ca="1" si="67"/>
        <v/>
      </c>
      <c r="BU38" s="3">
        <f t="shared" ca="1" si="37"/>
        <v>-3766391.8861573497</v>
      </c>
      <c r="BV38" s="3" t="str">
        <f t="shared" ca="1" si="38"/>
        <v/>
      </c>
      <c r="BX38" s="3">
        <f t="shared" ca="1" si="39"/>
        <v>-17460.7788799099</v>
      </c>
      <c r="BY38" s="3" t="str">
        <f t="shared" ca="1" si="68"/>
        <v/>
      </c>
      <c r="BZ38" s="3">
        <f t="shared" ca="1" si="40"/>
        <v>-1294844.1724567751</v>
      </c>
      <c r="CA38" s="3" t="str">
        <f t="shared" ca="1" si="69"/>
        <v/>
      </c>
      <c r="CB38" s="3">
        <f t="shared" ca="1" si="41"/>
        <v>-506624.65689162002</v>
      </c>
      <c r="CC38" s="3" t="str">
        <f t="shared" ca="1" si="70"/>
        <v/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1</v>
      </c>
      <c r="CG38" s="3">
        <f>-IF(RTD("tos.rtd",,CG$2,"."&amp;$A$2&amp;$AU$1&amp;"P"&amp;$A38)="N/A",0,RTD("tos.rtd",,CG$2,"."&amp;$A$2&amp;$AU$1&amp;"P"&amp;$A38))</f>
        <v>0.02</v>
      </c>
      <c r="CH38" s="3">
        <f>IF(RTD("tos.rtd",,CH$2,"."&amp;$A$2&amp;$AW$1&amp;"C"&amp;$A38)="N/A",0,RTD("tos.rtd",,CH$2,"."&amp;$A$2&amp;$AW$1&amp;"C"&amp;$A38))</f>
        <v>0.79</v>
      </c>
      <c r="CI38" s="3">
        <f>-IF(RTD("tos.rtd",,CI$2,"."&amp;$A$2&amp;$AW$1&amp;"P"&amp;$A38)="N/A",0,RTD("tos.rtd",,CI$2,"."&amp;$A$2&amp;$AW$1&amp;"P"&amp;$A38))</f>
        <v>0.21</v>
      </c>
      <c r="CK38" s="3">
        <f t="shared" si="42"/>
        <v>13506948</v>
      </c>
      <c r="CL38" s="3"/>
      <c r="CM38" s="3">
        <f t="shared" si="43"/>
        <v>63961322.880000003</v>
      </c>
      <c r="CN38" s="3"/>
      <c r="CO38" s="3">
        <f t="shared" si="44"/>
        <v>17994453.750000007</v>
      </c>
      <c r="CP38" s="3">
        <f t="shared" si="45"/>
        <v>95462724.629999995</v>
      </c>
      <c r="CQ38" s="3">
        <f t="shared" si="46"/>
        <v>-7</v>
      </c>
      <c r="CR38" s="3"/>
      <c r="CS38" s="3">
        <f t="shared" si="18"/>
        <v>-529</v>
      </c>
      <c r="CT38" s="3"/>
      <c r="CU38" s="3">
        <f t="shared" si="19"/>
        <v>-353</v>
      </c>
      <c r="CV38" s="3">
        <f t="shared" si="47"/>
        <v>-889</v>
      </c>
      <c r="CW38" s="3">
        <f t="shared" ca="1" si="48"/>
        <v>-37031393.679525942</v>
      </c>
      <c r="CX38" s="85" t="str">
        <f t="shared" ca="1" si="71"/>
        <v/>
      </c>
      <c r="CY38" s="3">
        <f t="shared" ca="1" si="49"/>
        <v>-1818929.6082283051</v>
      </c>
      <c r="CZ38" s="85" t="str">
        <f t="shared" ca="1" si="72"/>
        <v/>
      </c>
      <c r="DA38" s="3">
        <f>IF(RTD("tos.rtd",,DA$2,"."&amp;$A$2&amp;$AS$1&amp;"C"&amp;$A38)="N/A",0,RTD("tos.rtd",,DA$2,"."&amp;$A$2&amp;$AS$1&amp;"C"&amp;$A38))</f>
        <v>23.62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25.12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23.38</v>
      </c>
      <c r="DF38" s="3">
        <f>IF(RTD("tos.rtd",,DF$2,"."&amp;$A$2&amp;$AS$1&amp;"P"&amp;$A38)="N/A",0,RTD("tos.rtd",,DF$2,"."&amp;$A$2&amp;$AS$1&amp;"P"&amp;$A38))</f>
        <v>0</v>
      </c>
      <c r="DG38" s="86">
        <f t="shared" si="50"/>
        <v>-24.409999999999968</v>
      </c>
      <c r="DH38" s="3">
        <f t="shared" si="5"/>
        <v>0</v>
      </c>
      <c r="DI38" s="3">
        <f t="shared" si="6"/>
        <v>0</v>
      </c>
      <c r="DJ38" s="3">
        <f t="shared" si="7"/>
        <v>0</v>
      </c>
      <c r="DK38" s="3">
        <f t="shared" si="8"/>
        <v>0</v>
      </c>
      <c r="DL38" s="3">
        <f t="shared" si="9"/>
        <v>0</v>
      </c>
      <c r="DM38" s="3">
        <f t="shared" si="10"/>
        <v>0</v>
      </c>
      <c r="DN38" s="63" t="str">
        <f t="shared" si="51"/>
        <v>UNKNOWN</v>
      </c>
      <c r="DO38" s="63" t="str">
        <f t="shared" si="52"/>
        <v>UNKNOWN</v>
      </c>
      <c r="DP38" s="3">
        <f t="shared" si="53"/>
        <v>0</v>
      </c>
      <c r="DQ38" s="3">
        <f t="shared" si="54"/>
        <v>0</v>
      </c>
      <c r="DR38" s="3">
        <f t="shared" ca="1" si="55"/>
        <v>0</v>
      </c>
      <c r="DS38" s="3">
        <f t="shared" si="56"/>
        <v>0</v>
      </c>
      <c r="DT38" s="3">
        <f t="shared" si="57"/>
        <v>0</v>
      </c>
      <c r="DU38" s="3">
        <f t="shared" si="58"/>
        <v>0</v>
      </c>
      <c r="DV38" s="3">
        <f t="shared" si="59"/>
        <v>0</v>
      </c>
      <c r="DW38" s="3">
        <f t="shared" si="20"/>
        <v>-9</v>
      </c>
      <c r="DX38" s="3">
        <f t="shared" ca="1" si="21"/>
        <v>5.303215879694998E-44</v>
      </c>
      <c r="DY38" s="3">
        <f t="shared" ca="1" si="22"/>
        <v>-5.5281057377884312E-3</v>
      </c>
      <c r="DZ38" s="3">
        <f t="shared" ca="1" si="23"/>
        <v>0</v>
      </c>
      <c r="EA38" s="3">
        <f t="shared" ca="1" si="24"/>
        <v>-5.8286641894782004E-3</v>
      </c>
      <c r="EB38" s="3">
        <f t="shared" ca="1" si="25"/>
        <v>3.8458215304086009E-3</v>
      </c>
      <c r="EC38" s="3">
        <f t="shared" ca="1" si="26"/>
        <v>-4.0887801206059464E-3</v>
      </c>
      <c r="ED38" s="63">
        <f t="shared" si="60"/>
        <v>-9</v>
      </c>
      <c r="EE38" s="59">
        <f t="shared" si="61"/>
        <v>0.25</v>
      </c>
      <c r="EF38" s="59">
        <f t="shared" si="27"/>
        <v>1.9375</v>
      </c>
      <c r="EG38" s="59">
        <f t="shared" si="28"/>
        <v>1.1000000000000001E-3</v>
      </c>
      <c r="EH38" s="59">
        <f t="shared" si="29"/>
        <v>0.22650000000000001</v>
      </c>
      <c r="EI38" s="59">
        <f t="shared" si="30"/>
        <v>0.1933</v>
      </c>
      <c r="EJ38" s="59">
        <f t="shared" si="31"/>
        <v>0.1971</v>
      </c>
      <c r="EK38" s="63">
        <f t="shared" ca="1" si="62"/>
        <v>17460.7788799099</v>
      </c>
      <c r="EL38" s="3" t="str">
        <f>RTD("tos.rtd",,EL$2,"."&amp;$A$2&amp;$AS$1&amp;"C"&amp;$A38)</f>
        <v>--</v>
      </c>
      <c r="EM38" s="3" t="str">
        <f>RTD("tos.rtd",,EM$2,"."&amp;$A$2&amp;$AS$1&amp;"P"&amp;$A38)</f>
        <v>193.75%</v>
      </c>
      <c r="EN38" s="3" t="str">
        <f>RTD("tos.rtd",,EN$2,"."&amp;$A$2&amp;$AU$1&amp;"C"&amp;$A38)</f>
        <v>0.11%</v>
      </c>
      <c r="EO38" s="3" t="str">
        <f>RTD("tos.rtd",,EO$2,"."&amp;$A$2&amp;$AU$1&amp;"P"&amp;$A38)</f>
        <v>22.65%</v>
      </c>
      <c r="EP38" s="3" t="str">
        <f>RTD("tos.rtd",,EP$2,"."&amp;$A$2&amp;$AW$1&amp;"C"&amp;$A38)</f>
        <v>19.33%</v>
      </c>
      <c r="EQ38" s="3" t="str">
        <f>RTD("tos.rtd",,EQ$2,"."&amp;$A$2&amp;$AW$1&amp;"P"&amp;$A38)</f>
        <v>19.71%</v>
      </c>
      <c r="ES38" s="63" t="str">
        <f t="shared" si="63"/>
        <v>568,-09.00</v>
      </c>
      <c r="ET38" s="63" t="str">
        <f t="shared" ca="1" si="64"/>
        <v>568,-1818.93</v>
      </c>
      <c r="EU38" s="67">
        <v>593.36</v>
      </c>
      <c r="EV38" s="67" t="s">
        <v>324</v>
      </c>
      <c r="EW38" s="67">
        <v>519.82000000000005</v>
      </c>
      <c r="EX38" s="67" t="s">
        <v>325</v>
      </c>
      <c r="EY38" s="67">
        <v>5943.75</v>
      </c>
      <c r="EZ38" s="67" t="s">
        <v>326</v>
      </c>
      <c r="FA38" s="67">
        <v>21336.25</v>
      </c>
      <c r="FB38" s="67" t="s">
        <v>327</v>
      </c>
      <c r="FC38" s="67" t="s">
        <v>328</v>
      </c>
      <c r="FD38" s="67" t="s">
        <v>329</v>
      </c>
      <c r="FE38" s="68" t="s">
        <v>330</v>
      </c>
      <c r="FF38" s="68" t="s">
        <v>331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-433501</v>
      </c>
      <c r="BI39" s="1">
        <f ca="1">IFERROR(IF(MIN(BH4:BH38)&lt;&gt;0,INDEX(A4:A38,MATCH(MIN(BH4:BH38),BH4:BH38,0)),""),"")</f>
        <v>590</v>
      </c>
      <c r="BJ39" s="23"/>
      <c r="BK39" s="23"/>
      <c r="BL39" s="23"/>
      <c r="BM39" s="23"/>
      <c r="BN39" s="23"/>
      <c r="BO39" s="23"/>
      <c r="BP39" s="64">
        <f ca="1">INDEX(BQ39:BU39,MATCH(MAX(BQ3:BU3),BQ3:BU3,0))</f>
        <v>600</v>
      </c>
      <c r="BQ39" s="23" t="str">
        <f ca="1">IF(AND(BQ3&gt;0,ABS(MAX(BQ4:BQ38))&gt;ABS(MIN(BQ4:BQ38))),IF(MAX(BQ4:BQ38)&lt;&gt;0,INDEX($A4:$A38,MATCH(MAX(BQ4:BQ38),BQ4:BQ38,0)),""),"")</f>
        <v/>
      </c>
      <c r="BR39" s="23"/>
      <c r="BS39" s="23" t="str">
        <f ca="1">IF(AND(BS3&gt;0,ABS(MAX(BS4:BS38))&gt;ABS(MIN(BS4:BS38))),IF(MAX(BS4:BS38)&lt;&gt;0,INDEX($A4:$A38,MATCH(MAX(BS4:BS38),BS4:BS38,0)),""),"")</f>
        <v/>
      </c>
      <c r="BT39" s="23"/>
      <c r="BU39" s="23">
        <f ca="1">IF(AND(BU3&gt;0,ABS(MAX(BU4:BU38))&gt;ABS(MIN(BU4:BU38))),IF(MAX(BU4:BU38)&lt;&gt;0,INDEX($A4:$A38,MATCH(MAX(BU4:BU38),BU4:BU38,0)),""),"")</f>
        <v>600</v>
      </c>
      <c r="BV39" s="23"/>
      <c r="BW39" s="64">
        <f ca="1">INDEX(BX39:CB39,MATCH(MAX(BX3:CB3),BX3:CB3,0))</f>
        <v>593</v>
      </c>
      <c r="BX39" s="23">
        <f ca="1">IF(AND(BX3&gt;0,ABS(MAX(BX4:BX38))&gt;ABS(MIN(BX4:BX38))),IF(MAX(BX4:BX38)&lt;&gt;0,INDEX($A4:$A38,MATCH(MAX(BX4:BX38),BX4:BX38,0)),""),"")</f>
        <v>593</v>
      </c>
      <c r="BY39" s="23">
        <f ca="1">INDEX($A$4:$A$38,1+MATCH("Cruce -",BY4:BY38,))</f>
        <v>591</v>
      </c>
      <c r="BZ39" s="23" t="str">
        <f ca="1">IF(AND(BZ3&gt;0,ABS(MAX(BZ4:BZ38))&gt;ABS(MIN(BZ4:BZ38))),IF(MAX(BZ4:BZ38)&lt;&gt;0,INDEX($A4:$A38,MATCH(MAX(BZ4:BZ38),BZ4:BZ38,0)),""),"")</f>
        <v/>
      </c>
      <c r="CA39" s="23"/>
      <c r="CB39" s="23" t="str">
        <f ca="1">IF(AND(CB3&gt;0,ABS(MAX(CB4:CB38))&gt;ABS(MIN(CB4:CB38))),IF(MAX(CB4:CB38)&lt;&gt;0,INDEX($A4:$A38,MATCH(MAX(CB4:CB38),CB4:CB38,0)),""),"")</f>
        <v/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580</v>
      </c>
      <c r="CK39" s="23" t="str">
        <f>IF(AND(CK3&gt;0,ABS(MAX(CK4:CK38))&gt;ABS(MIN(CK4:CK38))),IF(MAX(CK4:CK38)&lt;&gt;0,INDEX($A4:$A38,MATCH(MAX(CK4:CK38),CK4:CK38,0)),""),"")</f>
        <v/>
      </c>
      <c r="CL39" s="23"/>
      <c r="CM39" s="23">
        <f>IF(AND(CM3&gt;0,ABS(MAX(CM4:CM38))&gt;ABS(MIN(CM4:CM38))),IF(MAX(CM4:CM38)&lt;&gt;0,INDEX($A4:$A38,MATCH(MAX(CM4:CM38),CM4:CM38,0)),""),"")</f>
        <v>585</v>
      </c>
      <c r="CN39" s="23"/>
      <c r="CO39" s="23">
        <f>IF(AND(CO3&gt;0,ABS(MAX(CO4:CO38))&gt;ABS(MIN(CO4:CO38))),IF(MAX(CO4:CO38)&lt;&gt;0,INDEX($A4:$A38,MATCH(MAX(CO4:CO38),CO4:CO38,0)),""),"")</f>
        <v>580</v>
      </c>
      <c r="CP39" s="23">
        <f>IF(ABS(MAX(CP4:CP38))&gt;ABS(MIN(CP4:CP38)),IF(MAX(CP4:CP38)&lt;&gt;0,INDEX($A4:$A38,MATCH(MAX(CP4:CP38),CP4:CP38,0)),""),"")</f>
        <v>580</v>
      </c>
      <c r="CQ39" s="23"/>
      <c r="CR39" s="23"/>
      <c r="CS39" s="23"/>
      <c r="CT39" s="23"/>
      <c r="CU39" s="23"/>
      <c r="CV39" s="23"/>
      <c r="CW39" s="23">
        <f ca="1">IF(AND(CW3&gt;0,ABS(MAX(CW4:CW38))&gt;ABS(MIN(CW4:CW38))),IF(MAX(CW4:CW38)&lt;&gt;0,INDEX($A4:$A38,MATCH(MAX(CW4:CW38),CW4:CW38,0)),""),"")</f>
        <v>600</v>
      </c>
      <c r="CY39" s="23">
        <f ca="1">IF(AND(CY3&gt;0,ABS(MAX(CY4:CY38))&gt;ABS(MIN(CY4:CY38))),IF(MAX(CY4:CY38)&lt;&gt;0,INDEX($A4:$A38,MATCH(MAX(CY4:CY38),CY4:CY38,0)),""),"")</f>
        <v>593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 t="str">
        <f t="shared" ref="DH39:DM39" si="123">IF(AND(DH3&gt;0,ABS(MAX(DH4:DH38))&gt;ABS(MIN(DH4:DH38))),IF(MAX(DH4:DH38)&lt;&gt;0,INDEX($A4:$A38,MATCH(MAX(DH4:DH38),DH4:DH38,0)),""),"")</f>
        <v/>
      </c>
      <c r="DI39" s="23" t="str">
        <f t="shared" si="123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123"/>
        <v/>
      </c>
      <c r="DM39" s="23" t="str">
        <f t="shared" si="123"/>
        <v/>
      </c>
      <c r="DN39" s="64" t="str">
        <f>DJ39&amp;","&amp;DJ40&amp;","&amp;DK39&amp;","&amp;DK40</f>
        <v>,,,</v>
      </c>
      <c r="DP39" s="23" t="str">
        <f>IF(AND(DP3&gt;0,ABS(MAX(DP4:DP38))&gt;ABS(MIN(DP4:DP38))),IF(MAX(DP4:DP38)&lt;&gt;0,INDEX($A4:$A38,MATCH(MAX(DP4:DP38),DP4:DP38,0)),""),"")</f>
        <v/>
      </c>
      <c r="DQ39" s="23" t="str">
        <f>IF(AND(DQ3&gt;0,ABS(MAX(DQ4:DQ38))&gt;ABS(MIN(DQ4:DQ38))),IF(MAX(DQ4:DQ38)&lt;&gt;0,INDEX($A4:$A38,MATCH(MAX(DQ4:DQ38),DQ4:DQ38,0)),""),"")</f>
        <v/>
      </c>
      <c r="DR39" s="23" t="str">
        <f ca="1">IF(AND(DR3&gt;0,ABS(MAX(DR4:DR38))&gt;ABS(MIN(DR4:DR38))),IF(MAX(DR4:DR38)&lt;&gt;0,INDEX($A4:$A38,MATCH(MAX(DR4:DR38),DR4:DR38,0)),""),"")</f>
        <v/>
      </c>
      <c r="DS39" s="23" t="str">
        <f>IF(AND(DS3&gt;0,ABS(MAX(DS4:DS38))&gt;ABS(MIN(DS4:DS38))),IF(MAX(DS4:DS38)&lt;&gt;0,INDEX($A4:$A38,MATCH(MAX(DS4:DS38),DS4:DS38,0)),""),"")</f>
        <v/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103">
        <f>IFERROR(IF(MAX(ED4:ED38)&lt;&gt;0,INDEX($A4:$A38,MATCH(MAX(ED4:ED38),ED4:ED38,0)),""),"")</f>
        <v>594</v>
      </c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593.32000000000005</v>
      </c>
      <c r="EV39" s="67" t="s">
        <v>332</v>
      </c>
      <c r="EW39" s="67">
        <v>519.74</v>
      </c>
      <c r="EX39" s="67" t="s">
        <v>333</v>
      </c>
      <c r="EY39" s="67">
        <v>5943.25</v>
      </c>
      <c r="EZ39" s="67" t="s">
        <v>334</v>
      </c>
      <c r="FA39" s="67">
        <v>21333.25</v>
      </c>
      <c r="FB39" s="67" t="s">
        <v>335</v>
      </c>
      <c r="FC39" s="67" t="s">
        <v>336</v>
      </c>
      <c r="FD39" s="67" t="s">
        <v>337</v>
      </c>
      <c r="FE39" s="68" t="s">
        <v>338</v>
      </c>
      <c r="FF39" s="68" t="s">
        <v>339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str">
        <f ca="1">INDEX(BQ40:BU40,MATCH(MIN(BQ3:BU3),BQ3:BU3,0))</f>
        <v/>
      </c>
      <c r="BQ40" s="1" t="str">
        <f ca="1">IF(AND(BQ3&lt;0,ABS(MIN(BQ4:BQ38))&gt;ABS(MAX(BQ4:BQ38))),IF(MIN(BQ4:BQ38)&lt;&gt;0,INDEX($A4:$A38,MATCH(MIN(BQ4:BQ38),BQ4:BQ38,0)),""),"")</f>
        <v/>
      </c>
      <c r="BS40" s="1">
        <f ca="1">IF(AND(BS3&lt;0,ABS(MIN(BS4:BS38))&gt;ABS(MAX(BS4:BS38))),IF(MIN(BS4:BS38)&lt;&gt;0,INDEX($A4:$A38,MATCH(MIN(BS4:BS38),BS4:BS38,0)),""),"")</f>
        <v>590</v>
      </c>
      <c r="BU40" s="1" t="str">
        <f ca="1">IF(AND(BU3&lt;0,ABS(MIN(BU4:BU38))&gt;ABS(MAX(BU4:BU38))),IF(MIN(BU4:BU38)&lt;&gt;0,INDEX($A4:$A38,MATCH(MIN(BU4:BU38),BU4:BU38,0)),""),"")</f>
        <v/>
      </c>
      <c r="BW40" s="64">
        <f ca="1">INDEX(BX40:CB40,MATCH(MIN(BX3:CB3),BX3:CB3,0))</f>
        <v>590</v>
      </c>
      <c r="BX40" s="1" t="str">
        <f ca="1">IF(AND(BX3&lt;0,ABS(MIN(BX4:BX38))&gt;ABS(MAX(BX4:BX38))),IF(MIN(BX4:BX38)&lt;&gt;0,INDEX($A4:$A38,MATCH(MIN(BX4:BX38),BX4:BX38,0)),""),"")</f>
        <v/>
      </c>
      <c r="BY40" s="1">
        <f ca="1">INDEX($A$4:$A$38,1+MATCH("Cruce -",BY4:BY38,)-1)</f>
        <v>592</v>
      </c>
      <c r="BZ40" s="1" t="str">
        <f ca="1">IF(AND(BZ3&lt;0,ABS(MIN(BZ4:BZ38))&gt;ABS(MAX(BZ4:BZ38))),IF(MIN(BZ4:BZ38)&lt;&gt;0,INDEX($A4:$A38,MATCH(MIN(BZ4:BZ38),BZ4:BZ38,0)),""),"")</f>
        <v/>
      </c>
      <c r="CB40" s="1">
        <f ca="1">IF(AND(CB3&lt;0,ABS(MIN(CB4:CB38))&gt;ABS(MAX(CB4:CB38))),IF(MIN(CB4:CB38)&lt;&gt;0,INDEX($A4:$A38,MATCH(MIN(CB4:CB38),CB4:CB38,0)),""),"")</f>
        <v>590</v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str">
        <f ca="1">IF(AND(CW3&lt;0,ABS(MIN(CW4:CW38))&gt;ABS(MAX(CW4:CW38))),IF(MIN(CW4:CW38)&lt;&gt;0,INDEX($A4:$A38,MATCH(MIN(CW4:CW38),CW4:CW38,0)),""),"")</f>
        <v/>
      </c>
      <c r="CY40" s="1" t="str">
        <f ca="1">IF(AND(CY3&lt;0,ABS(MIN(CY4:CY38))&gt;ABS(MAX(CY4:CY38))),IF(MIN(CY4:CY38)&lt;&gt;0,INDEX($A4:$A38,MATCH(MIN(CY4:CY38),CY4:CY38,0)),""),"")</f>
        <v/>
      </c>
      <c r="DG40" s="72" t="s">
        <v>23</v>
      </c>
      <c r="DH40" s="23" t="str">
        <f t="shared" ref="DH40:DM40" si="124">IF(AND(DH3&lt;0,ABS(MIN(DH4:DH38))&gt;ABS(MAX(DH4:DH38))),IF(MIN(DH4:DH38)&lt;&gt;0,INDEX($A4:$A38,MATCH(MIN(DH4:DH38),DH4:DH38,0)),""),"")</f>
        <v/>
      </c>
      <c r="DI40" s="23" t="str">
        <f t="shared" si="124"/>
        <v/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 t="str">
        <f t="shared" si="124"/>
        <v/>
      </c>
      <c r="DM40" s="23" t="str">
        <f t="shared" si="124"/>
        <v/>
      </c>
      <c r="DN40" s="64" t="str">
        <f ca="1">BI1&amp;","&amp;BI39&amp;","&amp;ED39&amp;","&amp;ED40</f>
        <v>594,590,594,592</v>
      </c>
      <c r="DP40" s="23" t="str">
        <f>IF(AND(DP3&lt;0,ABS(MIN(DP4:DP38))&gt;ABS(MAX(DP4:DP38))),IF(MIN(DP4:DP38)&lt;&gt;0,INDEX($A4:$A38,MATCH(MIN(DP4:DP38),DP4:DP38,0)),""),"")</f>
        <v/>
      </c>
      <c r="DQ40" s="23" t="str">
        <f>IF(AND(DQ3&lt;0,ABS(MIN(DQ4:DQ38))&gt;ABS(MAX(DQ4:DQ38))),IF(MIN(DQ4:DQ38)&lt;&gt;0,INDEX($A4:$A38,MATCH(MIN(DQ4:DQ38),DQ4:DQ38,0)),""),"")</f>
        <v/>
      </c>
      <c r="DR40" s="23" t="str">
        <f ca="1">IF(AND(DR3&lt;0,ABS(MIN(DR4:DR38))&gt;ABS(MAX(DR4:DR38))),IF(MIN(DR4:DR38)&lt;&gt;0,INDEX($A4:$A38,MATCH(MIN(DR4:DR38),DR4:DR38,0)),""),"")</f>
        <v/>
      </c>
      <c r="DS40" s="23" t="str">
        <f>IF(AND(DS3&lt;0,ABS(MIN(DS4:DS38))&gt;ABS(MAX(DS4:DS38))),IF(MIN(DS4:DS38)&lt;&gt;0,INDEX($A4:$A38,MATCH(MIN(DS4:DS38),DS4:DS38,0)),""),"")</f>
        <v/>
      </c>
      <c r="ED40" s="103">
        <f>IFERROR(IF(MIN(ED4:ED38)&lt;&gt;0,INDEX($A4:$A38,MATCH(MIN(ED4:ED38),ED4:ED38,0)),""),"")</f>
        <v>592</v>
      </c>
      <c r="EU40" s="67">
        <v>593.41999999999996</v>
      </c>
      <c r="EV40" s="67" t="s">
        <v>340</v>
      </c>
      <c r="EW40" s="67">
        <v>519.86</v>
      </c>
      <c r="EX40" s="67" t="s">
        <v>341</v>
      </c>
      <c r="EY40" s="67">
        <v>5944.25</v>
      </c>
      <c r="EZ40" s="67" t="s">
        <v>342</v>
      </c>
      <c r="FA40" s="67">
        <v>21338.75</v>
      </c>
      <c r="FB40" s="67" t="s">
        <v>343</v>
      </c>
      <c r="FC40" s="67" t="s">
        <v>344</v>
      </c>
      <c r="FD40" s="67" t="s">
        <v>345</v>
      </c>
      <c r="FE40" s="68" t="s">
        <v>346</v>
      </c>
      <c r="FF40" s="68" t="s">
        <v>347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593.54</v>
      </c>
      <c r="EV41" s="67" t="s">
        <v>348</v>
      </c>
      <c r="EW41" s="67">
        <v>520</v>
      </c>
      <c r="EX41" s="67" t="s">
        <v>349</v>
      </c>
      <c r="EY41" s="67">
        <v>5945.5</v>
      </c>
      <c r="EZ41" s="67" t="s">
        <v>350</v>
      </c>
      <c r="FA41" s="67">
        <v>21344</v>
      </c>
      <c r="FB41" s="67" t="s">
        <v>351</v>
      </c>
      <c r="FC41" s="67" t="s">
        <v>352</v>
      </c>
      <c r="FD41" s="67" t="s">
        <v>353</v>
      </c>
      <c r="FE41" s="68" t="s">
        <v>354</v>
      </c>
      <c r="FF41" s="68" t="s">
        <v>355</v>
      </c>
    </row>
    <row r="42" spans="1:162" ht="13.5" thickBot="1" x14ac:dyDescent="0.25">
      <c r="A42" s="40"/>
      <c r="B42" s="43">
        <v>45797</v>
      </c>
      <c r="C42" s="44">
        <v>45800</v>
      </c>
      <c r="D42" s="44">
        <v>45828</v>
      </c>
      <c r="E42" s="40"/>
      <c r="F42" s="40">
        <f>+[2]Sheet1!$AD$2</f>
        <v>511.26951909834139</v>
      </c>
      <c r="G42" s="41"/>
      <c r="AP42" s="1">
        <v>250520</v>
      </c>
      <c r="AQ42" s="1">
        <v>0</v>
      </c>
      <c r="AS42" s="22" t="str">
        <f>+B43</f>
        <v>250520</v>
      </c>
      <c r="AT42" s="22"/>
      <c r="AU42" s="22" t="str">
        <f>+C43</f>
        <v>250523</v>
      </c>
      <c r="AV42" s="22"/>
      <c r="AW42" s="22" t="str">
        <f>+D43</f>
        <v>250620</v>
      </c>
      <c r="AX42" s="22"/>
      <c r="BA42" s="22" t="str">
        <f t="shared" ref="BA42:BF42" si="125">+AS42</f>
        <v>250520</v>
      </c>
      <c r="BB42" s="22">
        <f t="shared" si="125"/>
        <v>0</v>
      </c>
      <c r="BC42" s="22" t="str">
        <f t="shared" si="125"/>
        <v>250523</v>
      </c>
      <c r="BD42" s="22">
        <f t="shared" si="125"/>
        <v>0</v>
      </c>
      <c r="BE42" s="22" t="str">
        <f t="shared" si="125"/>
        <v>250620</v>
      </c>
      <c r="BF42" s="22">
        <f t="shared" si="125"/>
        <v>0</v>
      </c>
      <c r="BG42" s="96"/>
      <c r="BH42" s="1">
        <f ca="1">MAX(BH45:BH79)</f>
        <v>201946</v>
      </c>
      <c r="BI42" s="1">
        <f ca="1">IFERROR(IF(MAX(BH45:BH79)&lt;&gt;0,INDEX(A45:A79,MATCH(MAX(BH45:BH79),BH45:BH79,0)),""),"")</f>
        <v>521</v>
      </c>
      <c r="BJ42" s="22" t="str">
        <f t="shared" ref="BJ42:BO42" si="126">+AS42</f>
        <v>250520</v>
      </c>
      <c r="BK42" s="22">
        <f t="shared" si="126"/>
        <v>0</v>
      </c>
      <c r="BL42" s="22" t="str">
        <f t="shared" si="126"/>
        <v>250523</v>
      </c>
      <c r="BM42" s="22">
        <f t="shared" si="126"/>
        <v>0</v>
      </c>
      <c r="BN42" s="22" t="str">
        <f t="shared" si="126"/>
        <v>250620</v>
      </c>
      <c r="BO42" s="22">
        <f t="shared" si="126"/>
        <v>0</v>
      </c>
      <c r="BQ42" s="22">
        <f ca="1">IF(BR42&gt;BR43,IF(MAX(BQ45:BQ79)&lt;&gt;0,INDEX(A45:A79,MATCH(MAX(BQ45:BQ79),BQ45:BQ79,0)),A44),IF(MIN(BQ45:BQ79)&lt;&gt;0,INDEX(A45:A79,MATCH(MIN(BQ45:BQ79),BQ45:BQ79,0))))</f>
        <v>520</v>
      </c>
      <c r="BR42" s="22">
        <f ca="1">+MAX(BQ45:BQ79)</f>
        <v>619829044.06739068</v>
      </c>
      <c r="BS42" s="22">
        <f ca="1">IF(BT42&gt;BT43,IF(MAX(BS45:BS79)&lt;&gt;0,INDEX(A45:A79,MATCH(MAX(BS45:BS79),BS45:BS79,0)),A44),IF(MIN(BS45:BS79)&lt;&gt;0,INDEX(A45:A79,MATCH(MIN(BS45:BS79),BS45:BS79,0))))</f>
        <v>510</v>
      </c>
      <c r="BT42" s="22">
        <f ca="1">+MAX(BS45:BS79)</f>
        <v>57108812.91841948</v>
      </c>
      <c r="BU42" s="22">
        <f ca="1">IF(BV42&gt;BV43,IF(MAX(BU45:BU79)&lt;&gt;0,INDEX(A45:A79,MATCH(MAX(BU45:BU79),BU45:BU79,0)),A44),IF(MIN(BU45:BU79)&lt;&gt;0,INDEX(A45:A79,MATCH(MIN(BU45:BU79),BU45:BU79,0))))</f>
        <v>525</v>
      </c>
      <c r="BV42" s="22">
        <f ca="1">+MAX(BU45:BU79)</f>
        <v>150714509.71349317</v>
      </c>
      <c r="BX42" s="22">
        <f ca="1">IF(BY42&gt;BZ42,IF(MAX(BX45:BX79)&lt;&gt;0,INDEX(G45:G79,MATCH(MAX(BX45:BX79),BX45:BX79,0)),G44),IF(MIN(BX45:BX79)&lt;&gt;0,INDEX(G45:G79,MATCH(MIN(BX45:BX79),BX45:BX79,0))))</f>
        <v>0</v>
      </c>
      <c r="BY42" s="22">
        <f ca="1">+MAX(BX45:BX79)</f>
        <v>42112246448.132324</v>
      </c>
      <c r="BZ42" s="22">
        <f ca="1">ABS(+MIN(BX45:BX79))</f>
        <v>4440302500.3522196</v>
      </c>
      <c r="CA42" s="22"/>
      <c r="CB42" s="22"/>
      <c r="CC42" s="22">
        <f ca="1">+AVERAGE(BY80:BY81,CA80:CA81,CC80:CC81)</f>
        <v>519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940885207.28999996</v>
      </c>
      <c r="CM42" s="22">
        <f>ABS(+MIN(CK45:CK79))</f>
        <v>71442889.439999998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521</v>
      </c>
      <c r="CR42" s="22">
        <f>+MAX(CQ45:CQ79)</f>
        <v>176674</v>
      </c>
      <c r="CS42" s="22">
        <f>ABS(+MIN(CQ45:CQ79))</f>
        <v>117648</v>
      </c>
      <c r="CT42" s="22"/>
      <c r="CU42" s="22"/>
      <c r="CV42" s="22"/>
      <c r="CW42" s="22">
        <f ca="1">IF(CX42&gt;CY42,IF(MAX(CW45:CW79)&lt;&gt;0,INDEX(A45:A79,MATCH(MAX(CW45:CW79),CW45:CW79,0)),M44),IF(MIN(CW45:CW79)&lt;&gt;0,INDEX(A45:A79,MATCH(MIN(CW45:CW79),CW45:CW79,0))))</f>
        <v>520</v>
      </c>
      <c r="CX42" s="61">
        <f ca="1">+MAX(CW45:CW79)</f>
        <v>742640479.14632523</v>
      </c>
      <c r="CY42" s="22">
        <f ca="1">ABS(+MIN(CW45:CW79))</f>
        <v>188731329.54629368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 t="shared" ref="EE42:EJ42" si="127">+DA42</f>
        <v>0</v>
      </c>
      <c r="EF42" s="22">
        <f t="shared" si="127"/>
        <v>0</v>
      </c>
      <c r="EG42" s="22">
        <f t="shared" si="127"/>
        <v>0</v>
      </c>
      <c r="EH42" s="22">
        <f t="shared" si="127"/>
        <v>0</v>
      </c>
      <c r="EI42" s="22">
        <f t="shared" si="127"/>
        <v>0</v>
      </c>
      <c r="EJ42" s="22">
        <f t="shared" si="127"/>
        <v>0</v>
      </c>
      <c r="EL42" s="22">
        <f t="shared" ref="EL42:EQ42" si="128">+DH42</f>
        <v>0</v>
      </c>
      <c r="EM42" s="22">
        <f t="shared" si="128"/>
        <v>0</v>
      </c>
      <c r="EN42" s="22">
        <f t="shared" si="128"/>
        <v>0</v>
      </c>
      <c r="EO42" s="22">
        <f t="shared" si="128"/>
        <v>0</v>
      </c>
      <c r="EP42" s="22">
        <f t="shared" si="128"/>
        <v>0</v>
      </c>
      <c r="EQ42" s="22">
        <f t="shared" si="128"/>
        <v>0</v>
      </c>
      <c r="EU42" s="67">
        <v>593.52</v>
      </c>
      <c r="EV42" s="67" t="s">
        <v>356</v>
      </c>
      <c r="EW42" s="67">
        <v>519.99</v>
      </c>
      <c r="EX42" s="67" t="s">
        <v>357</v>
      </c>
      <c r="EY42" s="67">
        <v>5945.25</v>
      </c>
      <c r="EZ42" s="67" t="s">
        <v>358</v>
      </c>
      <c r="FA42" s="67">
        <v>21343.25</v>
      </c>
      <c r="FB42" s="67" t="s">
        <v>359</v>
      </c>
      <c r="FC42" s="67" t="s">
        <v>360</v>
      </c>
      <c r="FD42" s="67" t="s">
        <v>361</v>
      </c>
      <c r="FE42" s="68" t="s">
        <v>362</v>
      </c>
      <c r="FF42" s="68" t="s">
        <v>363</v>
      </c>
    </row>
    <row r="43" spans="1:162" ht="13.5" thickBot="1" x14ac:dyDescent="0.25">
      <c r="A43" s="45" t="s">
        <v>2</v>
      </c>
      <c r="B43" s="45" t="str">
        <f>+B$2</f>
        <v>250520</v>
      </c>
      <c r="C43" s="45" t="str">
        <f>+C2</f>
        <v>250523</v>
      </c>
      <c r="D43" s="45" t="str">
        <f>+D2</f>
        <v>250620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129">+BJ2</f>
        <v>GAMMA</v>
      </c>
      <c r="BK43" s="22" t="str">
        <f t="shared" si="129"/>
        <v>GAMMA</v>
      </c>
      <c r="BL43" s="22" t="str">
        <f t="shared" si="129"/>
        <v>GAMMA</v>
      </c>
      <c r="BM43" s="22" t="str">
        <f t="shared" si="129"/>
        <v>GAMMA</v>
      </c>
      <c r="BN43" s="22" t="str">
        <f t="shared" si="129"/>
        <v>GAMMA</v>
      </c>
      <c r="BO43" s="25" t="str">
        <f t="shared" si="129"/>
        <v>GAMMA</v>
      </c>
      <c r="BQ43" s="22" t="s">
        <v>11</v>
      </c>
      <c r="BR43" s="22">
        <f ca="1">ABS(+MIN(BQ45:BQ79))</f>
        <v>133975765.47030038</v>
      </c>
      <c r="BS43" s="22" t="s">
        <v>11</v>
      </c>
      <c r="BT43" s="22">
        <f ca="1">ABS(+MIN(BS45:BS79))</f>
        <v>79445223.911768943</v>
      </c>
      <c r="BU43" s="22" t="s">
        <v>11</v>
      </c>
      <c r="BV43" s="25">
        <f ca="1">ABS(+MIN(BU45:BU79))</f>
        <v>46767856.409969099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130">+CD2</f>
        <v>DELTA</v>
      </c>
      <c r="CE43" s="22" t="str">
        <f t="shared" si="130"/>
        <v>DELTA</v>
      </c>
      <c r="CF43" s="22" t="str">
        <f t="shared" si="130"/>
        <v>DELTA</v>
      </c>
      <c r="CG43" s="22" t="str">
        <f t="shared" si="130"/>
        <v>DELTA</v>
      </c>
      <c r="CH43" s="22" t="str">
        <f t="shared" si="130"/>
        <v>DELTA</v>
      </c>
      <c r="CI43" s="25" t="str">
        <f t="shared" si="130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131">+EE2</f>
        <v>IMPL_VOL</v>
      </c>
      <c r="EF43" s="22" t="str">
        <f t="shared" si="131"/>
        <v>IMPL_VOL</v>
      </c>
      <c r="EG43" s="22" t="str">
        <f t="shared" si="131"/>
        <v>IMPL_VOL</v>
      </c>
      <c r="EH43" s="22" t="str">
        <f t="shared" si="131"/>
        <v>IMPL_VOL</v>
      </c>
      <c r="EI43" s="22" t="str">
        <f t="shared" si="131"/>
        <v>IMPL_VOL</v>
      </c>
      <c r="EJ43" s="22" t="str">
        <f t="shared" si="131"/>
        <v>IMPL_VOL</v>
      </c>
      <c r="EL43" s="22" t="str">
        <f t="shared" ref="EL43:EQ43" si="132">+EL2</f>
        <v>IMPL_VOL</v>
      </c>
      <c r="EM43" s="22" t="str">
        <f t="shared" si="132"/>
        <v>IMPL_VOL</v>
      </c>
      <c r="EN43" s="22" t="str">
        <f t="shared" si="132"/>
        <v>IMPL_VOL</v>
      </c>
      <c r="EO43" s="22" t="str">
        <f t="shared" si="132"/>
        <v>IMPL_VOL</v>
      </c>
      <c r="EP43" s="22" t="str">
        <f t="shared" si="132"/>
        <v>IMPL_VOL</v>
      </c>
      <c r="EQ43" s="22" t="str">
        <f t="shared" si="132"/>
        <v>IMPL_VOL</v>
      </c>
      <c r="EU43" s="67">
        <v>593.5</v>
      </c>
      <c r="EV43" s="67" t="s">
        <v>364</v>
      </c>
      <c r="EW43" s="67">
        <v>519.95000000000005</v>
      </c>
      <c r="EX43" s="67" t="s">
        <v>365</v>
      </c>
      <c r="EY43" s="67">
        <v>5945.25</v>
      </c>
      <c r="EZ43" s="67" t="s">
        <v>366</v>
      </c>
      <c r="FA43" s="67">
        <v>21342</v>
      </c>
      <c r="FB43" s="67" t="s">
        <v>367</v>
      </c>
      <c r="FC43" s="67" t="s">
        <v>368</v>
      </c>
      <c r="FD43" s="67" t="s">
        <v>369</v>
      </c>
      <c r="FE43" s="68" t="s">
        <v>370</v>
      </c>
      <c r="FF43" s="68" t="s">
        <v>371</v>
      </c>
    </row>
    <row r="44" spans="1:162" ht="13.5" thickBot="1" x14ac:dyDescent="0.25">
      <c r="A44" s="46">
        <f>RTD("tos.rtd", ,"MARK", A43)</f>
        <v>519.63</v>
      </c>
      <c r="B44" s="27">
        <f>+AS44/AT44</f>
        <v>-0.72991891663955855</v>
      </c>
      <c r="C44" s="27">
        <f>+AU44/AV44</f>
        <v>-0.69717055597158417</v>
      </c>
      <c r="D44" s="27">
        <f>+AW44/AX44</f>
        <v>-1.1308982763314972</v>
      </c>
      <c r="E44" s="28">
        <v>0</v>
      </c>
      <c r="F44" s="47">
        <f>RTD("tos.rtd", ,"MARK", F43)</f>
        <v>21420.75</v>
      </c>
      <c r="G44" s="48" t="e">
        <f>RTD("tos.rtd", ,"MARK", G43)</f>
        <v>#N/A</v>
      </c>
      <c r="AO44" s="1">
        <v>0</v>
      </c>
      <c r="AP44" s="1">
        <v>1152944</v>
      </c>
      <c r="AQ44" s="1">
        <v>-1065089</v>
      </c>
      <c r="AS44" s="13">
        <f t="shared" ref="AS44:AY44" si="133">SUM(AS45:AS79)</f>
        <v>60584</v>
      </c>
      <c r="AT44" s="29">
        <f t="shared" si="133"/>
        <v>-83001</v>
      </c>
      <c r="AU44" s="13">
        <f t="shared" si="133"/>
        <v>68893</v>
      </c>
      <c r="AV44" s="29">
        <f t="shared" si="133"/>
        <v>-98818</v>
      </c>
      <c r="AW44" s="13">
        <f t="shared" si="133"/>
        <v>161991</v>
      </c>
      <c r="AX44" s="29">
        <f t="shared" si="133"/>
        <v>-143241</v>
      </c>
      <c r="AY44" s="29">
        <f t="shared" si="133"/>
        <v>-33592</v>
      </c>
      <c r="AZ44" s="1">
        <v>0</v>
      </c>
      <c r="BA44" s="13">
        <f t="shared" ref="BA44:BH44" si="134">SUM(BA45:BA79)</f>
        <v>1152944</v>
      </c>
      <c r="BB44" s="29">
        <f t="shared" si="134"/>
        <v>-1065089</v>
      </c>
      <c r="BC44" s="13">
        <f t="shared" si="134"/>
        <v>84277</v>
      </c>
      <c r="BD44" s="29">
        <f t="shared" si="134"/>
        <v>-138546</v>
      </c>
      <c r="BE44" s="13">
        <f t="shared" si="134"/>
        <v>22809</v>
      </c>
      <c r="BF44" s="29">
        <f t="shared" si="134"/>
        <v>-30423</v>
      </c>
      <c r="BG44" s="29"/>
      <c r="BH44" s="29">
        <f t="shared" ca="1" si="134"/>
        <v>-20278</v>
      </c>
      <c r="BJ44" s="30">
        <f t="shared" ref="BJ44:BO44" ca="1" si="135">SUM(BJ45:BJ79)</f>
        <v>1.5478565796863093</v>
      </c>
      <c r="BK44" s="31">
        <f t="shared" ca="1" si="135"/>
        <v>-1.3567577705968594</v>
      </c>
      <c r="BL44" s="30">
        <f t="shared" ca="1" si="135"/>
        <v>0.85603258522506942</v>
      </c>
      <c r="BM44" s="31">
        <f t="shared" ca="1" si="135"/>
        <v>-0.834607450932911</v>
      </c>
      <c r="BN44" s="30">
        <f t="shared" ca="1" si="135"/>
        <v>0.86567014087167249</v>
      </c>
      <c r="BO44" s="31">
        <f t="shared" ca="1" si="135"/>
        <v>-0.85359839634931634</v>
      </c>
      <c r="BQ44" s="30">
        <f ca="1">SUM(BQ45:BQ79)</f>
        <v>460822825.19636655</v>
      </c>
      <c r="BR44" s="31"/>
      <c r="BS44" s="30">
        <f ca="1">SUM(BS45:BS79)</f>
        <v>-91970414.796074137</v>
      </c>
      <c r="BT44" s="31"/>
      <c r="BU44" s="30">
        <f ca="1">SUM(BU45:BU79)</f>
        <v>182501261.21758488</v>
      </c>
      <c r="BV44" s="31"/>
      <c r="BW44" s="69"/>
      <c r="BX44" s="30">
        <f ca="1">SUM(BX45:BX79)</f>
        <v>42459000501.498322</v>
      </c>
      <c r="BY44" s="31"/>
      <c r="BZ44" s="30">
        <f ca="1">SUM(BZ45:BZ79)</f>
        <v>-164648339.06794655</v>
      </c>
      <c r="CA44" s="31"/>
      <c r="CB44" s="30">
        <f ca="1">SUM(CB45:CB79)</f>
        <v>14830049.214378746</v>
      </c>
      <c r="CC44" s="31"/>
      <c r="CD44" s="30">
        <f t="shared" ref="CD44:CI44" si="136">SUM(CD45:CD79)</f>
        <v>21.759999999999998</v>
      </c>
      <c r="CE44" s="31">
        <f t="shared" si="136"/>
        <v>11.639999999999997</v>
      </c>
      <c r="CF44" s="30">
        <f t="shared" si="136"/>
        <v>21.200000000000003</v>
      </c>
      <c r="CG44" s="31">
        <f t="shared" si="136"/>
        <v>13.640000000000004</v>
      </c>
      <c r="CH44" s="30">
        <f t="shared" si="136"/>
        <v>20.37</v>
      </c>
      <c r="CI44" s="31">
        <f t="shared" si="136"/>
        <v>14.739999999999998</v>
      </c>
      <c r="CK44" s="30">
        <f>SUM(CK45:CK79)</f>
        <v>6649181842.5899992</v>
      </c>
      <c r="CL44" s="31"/>
      <c r="CM44" s="30">
        <f>SUM(CM45:CM79)</f>
        <v>544426223.96999991</v>
      </c>
      <c r="CN44" s="31"/>
      <c r="CO44" s="30">
        <f>SUM(CO45:CO79)</f>
        <v>2964366517.3199997</v>
      </c>
      <c r="CP44" s="31">
        <f t="shared" ref="CP44:CP79" si="137">+CK44+CM44+CO44</f>
        <v>10157974583.879999</v>
      </c>
      <c r="CQ44" s="30">
        <f>SUM(CQ45:CQ79)</f>
        <v>87855</v>
      </c>
      <c r="CR44" s="31"/>
      <c r="CS44" s="30">
        <f>SUM(CS45:CS79)</f>
        <v>-54269</v>
      </c>
      <c r="CT44" s="31"/>
      <c r="CU44" s="30">
        <f>SUM(CU45:CU79)</f>
        <v>-7614</v>
      </c>
      <c r="CV44" s="31"/>
      <c r="CW44" s="31">
        <f ca="1">SUM(CW45:CW79)</f>
        <v>551353671.61787772</v>
      </c>
      <c r="CY44" s="31">
        <f ca="1">SUM(CY45:CY79)</f>
        <v>42309182211.644745</v>
      </c>
      <c r="DA44" s="30">
        <f t="shared" ref="DA44:DF44" si="138">SUM(DA45:DA79)</f>
        <v>241.85</v>
      </c>
      <c r="DB44" s="31">
        <f t="shared" si="138"/>
        <v>85.37000000000009</v>
      </c>
      <c r="DC44" s="30">
        <f t="shared" si="138"/>
        <v>282.85000000000002</v>
      </c>
      <c r="DD44" s="31">
        <f t="shared" si="138"/>
        <v>112.07000000000009</v>
      </c>
      <c r="DE44" s="30">
        <f t="shared" si="138"/>
        <v>204.00000000000003</v>
      </c>
      <c r="DF44" s="30">
        <f t="shared" si="138"/>
        <v>62.8</v>
      </c>
      <c r="DG44" s="64">
        <v>750</v>
      </c>
      <c r="DH44" s="30">
        <f t="shared" ref="DH44:DM44" si="139">SUM(DH45:DH79)</f>
        <v>0</v>
      </c>
      <c r="DI44" s="31">
        <f t="shared" si="139"/>
        <v>0</v>
      </c>
      <c r="DJ44" s="30">
        <f t="shared" si="139"/>
        <v>0</v>
      </c>
      <c r="DK44" s="31">
        <f t="shared" si="139"/>
        <v>0</v>
      </c>
      <c r="DL44" s="30">
        <f t="shared" si="139"/>
        <v>0</v>
      </c>
      <c r="DM44" s="30">
        <f t="shared" si="139"/>
        <v>0</v>
      </c>
      <c r="DP44" s="30">
        <f>SUM(DP45:DP79)</f>
        <v>0</v>
      </c>
      <c r="DQ44" s="31">
        <f>SUM(DQ45:DQ79)</f>
        <v>0</v>
      </c>
      <c r="DR44" s="30">
        <f ca="1">SUM(DR45:DR79)</f>
        <v>0</v>
      </c>
      <c r="DS44" s="31">
        <f>SUM(DS45:DS79)</f>
        <v>0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140">SUM(EE45:EE79)</f>
        <v>15.652799999999999</v>
      </c>
      <c r="EF44" s="31">
        <f t="shared" si="140"/>
        <v>40.074300000000008</v>
      </c>
      <c r="EG44" s="30">
        <f t="shared" si="140"/>
        <v>7.8977999999999993</v>
      </c>
      <c r="EH44" s="31">
        <f t="shared" si="140"/>
        <v>8.1319999999999997</v>
      </c>
      <c r="EI44" s="30">
        <f t="shared" si="140"/>
        <v>7.1825999999999999</v>
      </c>
      <c r="EJ44" s="30">
        <f t="shared" si="140"/>
        <v>7.2873999999999999</v>
      </c>
      <c r="EK44" s="63">
        <f ca="1">SUM(EK45:EK79)</f>
        <v>-981894548.69671988</v>
      </c>
      <c r="EL44" s="30">
        <f t="shared" ref="EL44:EQ44" si="141">SUM(EL45:EL79)</f>
        <v>0</v>
      </c>
      <c r="EM44" s="31">
        <f t="shared" si="141"/>
        <v>0</v>
      </c>
      <c r="EN44" s="30">
        <f t="shared" si="141"/>
        <v>0</v>
      </c>
      <c r="EO44" s="31">
        <f t="shared" si="141"/>
        <v>0</v>
      </c>
      <c r="EP44" s="30">
        <f t="shared" si="141"/>
        <v>0</v>
      </c>
      <c r="EQ44" s="30">
        <f t="shared" si="141"/>
        <v>0</v>
      </c>
      <c r="EU44" s="67">
        <v>593.46</v>
      </c>
      <c r="EV44" s="67" t="s">
        <v>372</v>
      </c>
      <c r="EW44" s="67">
        <v>519.94000000000005</v>
      </c>
      <c r="EX44" s="67" t="s">
        <v>373</v>
      </c>
      <c r="EY44" s="67">
        <v>5945</v>
      </c>
      <c r="EZ44" s="67" t="s">
        <v>374</v>
      </c>
      <c r="FA44" s="67">
        <v>21340.75</v>
      </c>
      <c r="FB44" s="67" t="s">
        <v>375</v>
      </c>
      <c r="FC44" s="67" t="s">
        <v>376</v>
      </c>
      <c r="FD44" s="67" t="s">
        <v>377</v>
      </c>
      <c r="FE44" s="68" t="s">
        <v>378</v>
      </c>
      <c r="FF44" s="68" t="s">
        <v>379</v>
      </c>
    </row>
    <row r="45" spans="1:162" ht="13.5" thickBot="1" x14ac:dyDescent="0.25">
      <c r="A45" s="2">
        <f>ROUND(515/$A$39,0)*$A$39+17*$A$39</f>
        <v>532</v>
      </c>
      <c r="B45" s="3">
        <f t="shared" ref="B45:B79" si="142">+IF($A$1="ABS",AS45-AT45,AS45+AT45)</f>
        <v>1552</v>
      </c>
      <c r="C45" s="3">
        <f t="shared" ref="C45:C71" si="143">+IF($A$1="ABS",AU45-AV45,AU45+AV45)</f>
        <v>2149</v>
      </c>
      <c r="D45" s="3">
        <f t="shared" ref="D45:D79" si="144">+IF($A$1="ABS",AW45-AX45,AW45+AX45)</f>
        <v>76</v>
      </c>
      <c r="E45" s="3">
        <f t="shared" ref="E45:E79" si="145">SUM(B45:D45)</f>
        <v>3777</v>
      </c>
      <c r="F45" s="4">
        <f>+$F$44/$A$44*A45</f>
        <v>21930.679521967551</v>
      </c>
      <c r="AM45" s="1">
        <v>1417</v>
      </c>
      <c r="AN45" s="1">
        <v>1</v>
      </c>
      <c r="AO45" s="1">
        <v>532</v>
      </c>
      <c r="AP45" s="1">
        <v>2315</v>
      </c>
      <c r="AQ45" s="1">
        <v>-4</v>
      </c>
      <c r="AS45" s="30">
        <f>IF(RTD("tos.rtd",,AS$43,"."&amp;$A$43&amp;$AS$42&amp;"C"&amp;$A45)="N/A",0,RTD("tos.rtd",,AS$43,"."&amp;$A$43&amp;$AS$42&amp;"C"&amp;$A45))</f>
        <v>1537</v>
      </c>
      <c r="AT45" s="31">
        <f>-IF(RTD("tos.rtd",,AT$43,"."&amp;$A$43&amp;$AS$42&amp;"P"&amp;$A45)="N/A",0,RTD("tos.rtd",,AT$43,"."&amp;$A$43&amp;$AS$42&amp;"P"&amp;$A45))</f>
        <v>-15</v>
      </c>
      <c r="AU45" s="30">
        <f>IF(RTD("tos.rtd",,AU$2,"."&amp;$A$43&amp;$AU$1&amp;"C"&amp;$A45)="N/A",0,RTD("tos.rtd",,AU$2,"."&amp;$A$43&amp;$AU$1&amp;"C"&amp;$A45))</f>
        <v>2077</v>
      </c>
      <c r="AV45" s="31">
        <f>-IF(RTD("tos.rtd",,AV$2,"."&amp;$A$43&amp;$AU$1&amp;"P"&amp;$A45)="N/A",0,RTD("tos.rtd",,AV$2,"."&amp;$A$43&amp;$AU$1&amp;"P"&amp;$A45))</f>
        <v>-72</v>
      </c>
      <c r="AW45" s="30">
        <f>IF(RTD("tos.rtd",,AW$2,"."&amp;$A$43&amp;$AW$1&amp;"C"&amp;$A45)="N/A",0,RTD("tos.rtd",,AW$2,"."&amp;$A$43&amp;$AW$1&amp;"C"&amp;$A45))</f>
        <v>76</v>
      </c>
      <c r="AX45" s="31">
        <f>-IF(RTD("tos.rtd",,AX$2,"."&amp;$A$43&amp;$AW$1&amp;"P"&amp;$A45)="N/A",0,RTD("tos.rtd",,AX$2,"."&amp;$A$43&amp;$AW$1&amp;"P"&amp;$A45))</f>
        <v>0</v>
      </c>
      <c r="AY45" s="31">
        <f>SUM(AS45:AX45)</f>
        <v>3603</v>
      </c>
      <c r="AZ45" s="8">
        <f t="shared" ref="AZ45:AZ79" si="146">+A45</f>
        <v>532</v>
      </c>
      <c r="BA45" s="30">
        <f>IF(RTD("tos.rtd",,BA$43,"."&amp;$A$43&amp;$AS$42&amp;"C"&amp;$A45)="N/A",0,RTD("tos.rtd",,BA$43,"."&amp;$A$43&amp;$AS$42&amp;"C"&amp;$A45))</f>
        <v>2315</v>
      </c>
      <c r="BB45" s="31">
        <f>-IF(RTD("tos.rtd",,BB$43,"."&amp;$A$43&amp;$AS$42&amp;"P"&amp;$A45)="N/A",0,RTD("tos.rtd",,BB$43,"."&amp;$A$43&amp;$AS$42&amp;"P"&amp;$A45))</f>
        <v>-4</v>
      </c>
      <c r="BC45" s="30">
        <f>IF(RTD("tos.rtd",,BC$2,"."&amp;$A$43&amp;$AU$1&amp;"C"&amp;$A45)="N/A",0,RTD("tos.rtd",,BC$2,"."&amp;$A$43&amp;$AU$1&amp;"C"&amp;$A45))</f>
        <v>1628</v>
      </c>
      <c r="BD45" s="31">
        <f>-IF(RTD("tos.rtd",,BD$2,"."&amp;$A$43&amp;$AU$1&amp;"P"&amp;$A45)="N/A",0,RTD("tos.rtd",,BD$2,"."&amp;$A$43&amp;$AU$1&amp;"P"&amp;$A45))</f>
        <v>-1</v>
      </c>
      <c r="BE45" s="30">
        <f>IF(RTD("tos.rtd",,BE$2,"."&amp;$A$43&amp;$AW$1&amp;"C"&amp;$A45)="N/A",0,RTD("tos.rtd",,BE$2,"."&amp;$A$43&amp;$AW$1&amp;"C"&amp;$A45))</f>
        <v>51</v>
      </c>
      <c r="BF45" s="31">
        <f>-IF(RTD("tos.rtd",,BF$2,"."&amp;$A$43&amp;$AW$1&amp;"P"&amp;$A45)="N/A",0,RTD("tos.rtd",,BF$2,"."&amp;$A$43&amp;$AW$1&amp;"P"&amp;$A45))</f>
        <v>0</v>
      </c>
      <c r="BG45" s="32">
        <f ca="1">+Hoja2!Y46</f>
        <v>2171</v>
      </c>
      <c r="BH45" s="31">
        <f ca="1">SUM(BA45:BG45)</f>
        <v>6160</v>
      </c>
      <c r="BI45" s="8"/>
      <c r="BJ45" s="83">
        <f ca="1">IF($BP$1=1,DX45,IF(RTD("tos.rtd",,BJ$43,"."&amp;$A$43&amp;$AS$42&amp;"C"&amp;$A45)="N/A",0,RTD("tos.rtd",,BJ$43,"."&amp;$A$43&amp;$AS$42&amp;"C"&amp;$A45)))</f>
        <v>1.3356565046828604E-2</v>
      </c>
      <c r="BK45" s="83">
        <f ca="1">IF($BP$1=1,DY45,-IF(RTD("tos.rtd",,BK$43,"."&amp;$A$43&amp;$AS$42&amp;"P"&amp;$A45)="N/A",0,RTD("tos.rtd",,BK$43,"."&amp;$A$43&amp;$AS$42&amp;"P"&amp;$A45)))</f>
        <v>-2.002639462206833E-2</v>
      </c>
      <c r="BL45" s="83">
        <f ca="1">IF($BP$1=1,DZ45,IF(RTD("tos.rtd",,BL$2,"."&amp;$A$43&amp;$AU$1&amp;"C"&amp;$A45)="N/A",0,RTD("tos.rtd",,BL$2,"."&amp;$A$43&amp;$AU$1&amp;"C"&amp;$A45)))</f>
        <v>2.0111724548938916E-2</v>
      </c>
      <c r="BM45" s="83">
        <f ca="1">IF($BP$1=1,EA45,-IF(RTD("tos.rtd",,BM$2,"."&amp;$A$43&amp;$AU$1&amp;"P"&amp;$A45)="N/A",0,RTD("tos.rtd",,BM$2,"."&amp;$A$43&amp;$AU$1&amp;"P"&amp;$A45)))</f>
        <v>-2.0344106838977284E-2</v>
      </c>
      <c r="BN45" s="83">
        <f ca="1">IF($BP$1=1,EB45,IF(RTD("tos.rtd",,BN$2,"."&amp;$A$43&amp;$AW$1&amp;"C"&amp;$A45)="N/A",0,RTD("tos.rtd",,BN$2,"."&amp;$A$43&amp;$AW$1&amp;"C"&amp;$A45)))</f>
        <v>1.9774513440579657E-2</v>
      </c>
      <c r="BO45" s="83">
        <f ca="1">IF($BP$1=1,EC45,-IF(RTD("tos.rtd",,BO$2,"."&amp;$A$43&amp;$AW$1&amp;"P"&amp;$A45)="N/A",0,RTD("tos.rtd",,BO$2,"."&amp;$A$43&amp;$AW$1&amp;"P"&amp;$A45)))</f>
        <v>-1.9964527483074153E-2</v>
      </c>
      <c r="BQ45" s="83">
        <f ca="1">+$A$44*$A$44*AS45*BJ45-$A$44*$A$44*AT45*BK45</f>
        <v>5462044.2752627414</v>
      </c>
      <c r="BR45" s="83"/>
      <c r="BS45" s="83">
        <f ca="1">+$A$44*$A$44*AU45*BL45-$A$44*$A$44*AV45*BM45</f>
        <v>10883582.761514023</v>
      </c>
      <c r="BT45" s="83"/>
      <c r="BU45" s="83">
        <f ca="1">+$A$44*$A$44*AW45*BN45-$A$44*$A$44*AX45*BO45</f>
        <v>405796.0650605688</v>
      </c>
      <c r="BV45" s="83"/>
      <c r="BX45" s="83">
        <f ca="1">+$A$44*$A$44*BA45*BJ45-$A$44*$A$44*BB45*BK45</f>
        <v>8327365.4715773482</v>
      </c>
      <c r="BY45" s="83"/>
      <c r="BZ45" s="83">
        <f ca="1">+$A$44*$A$44*BC45*BL45-$A$44*$A$44*BD45*BM45</f>
        <v>8835318.5809249394</v>
      </c>
      <c r="CA45" s="83"/>
      <c r="CB45" s="83">
        <f ca="1">+$A$44*$A$44*BE45*BN45-$A$44*$A$44*BF45*BO45</f>
        <v>272310.51734327641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0.94</v>
      </c>
      <c r="CF45" s="83">
        <f>IF(RTD("tos.rtd",,CF$2,"."&amp;$A$43&amp;$AU$1&amp;"C"&amp;$A45)="N/A",0,RTD("tos.rtd",,CF$2,"."&amp;$A$43&amp;$AU$1&amp;"C"&amp;$A45))</f>
        <v>0.09</v>
      </c>
      <c r="CG45" s="83">
        <f>-IF(RTD("tos.rtd",,CG$2,"."&amp;$A$43&amp;$AU$1&amp;"P"&amp;$A45)="N/A",0,RTD("tos.rtd",,CG$2,"."&amp;$A$43&amp;$AU$1&amp;"P"&amp;$A45))</f>
        <v>0.87</v>
      </c>
      <c r="CH45" s="83">
        <f>IF(RTD("tos.rtd",,CH$2,"."&amp;$A$43&amp;$AW$1&amp;"C"&amp;$A45)="N/A",0,RTD("tos.rtd",,CH$2,"."&amp;$A$43&amp;$AW$1&amp;"C"&amp;$A45))</f>
        <v>0.36</v>
      </c>
      <c r="CI45" s="83">
        <f>-IF(RTD("tos.rtd",,CI$2,"."&amp;$A$43&amp;$AW$1&amp;"P"&amp;$A45)="N/A",0,RTD("tos.rtd",,CI$2,"."&amp;$A$43&amp;$AW$1&amp;"P"&amp;$A45))</f>
        <v>0.65</v>
      </c>
      <c r="CK45" s="83">
        <f>+AS45*CD45*1000*$A$44+AT45*CE45*100*$A$44</f>
        <v>-732678.3</v>
      </c>
      <c r="CL45" s="83"/>
      <c r="CM45" s="83">
        <f>+AU45*CF45*100*$A$44+AV45*CG45*100*$A$44</f>
        <v>6458481.2699999996</v>
      </c>
      <c r="CN45" s="83"/>
      <c r="CO45" s="83">
        <f>+AW45*CH45*100*$A$44+AX45*CI45*100*$A$44</f>
        <v>1421707.68</v>
      </c>
      <c r="CP45" s="83">
        <f t="shared" si="137"/>
        <v>7147510.6499999994</v>
      </c>
      <c r="CQ45" s="83">
        <f t="shared" ref="CQ45:CQ79" si="147">+BA45+BB45</f>
        <v>2311</v>
      </c>
      <c r="CR45" s="83"/>
      <c r="CS45" s="83">
        <f t="shared" ref="CS45:CS79" si="148">+BC45+BD45</f>
        <v>1627</v>
      </c>
      <c r="CT45" s="83"/>
      <c r="CU45" s="83">
        <f t="shared" ref="CU45:CU79" si="149">+BE45+BF45</f>
        <v>51</v>
      </c>
      <c r="CV45" s="83"/>
      <c r="CW45" s="83">
        <f t="shared" ref="CW45:CW79" ca="1" si="150">+BQ45+BS45+BU45</f>
        <v>16751423.101837333</v>
      </c>
      <c r="CY45" s="83">
        <f t="shared" ref="CY45:CY79" ca="1" si="151">+BX45+BZ45+CB45</f>
        <v>17434994.569845565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11.11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14.53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10.5</v>
      </c>
      <c r="DG45" s="86">
        <f>+$A45-$A$44</f>
        <v>12.370000000000005</v>
      </c>
      <c r="DH45" s="3">
        <f t="shared" ref="DH45:DH79" si="152">IFERROR(((DA45-DE45)/(DC45-DE45))*(BA45-AP45),0)</f>
        <v>0</v>
      </c>
      <c r="DI45" s="3">
        <f t="shared" ref="DI45:DI79" si="153">IFERROR(((DB45-DF45)/(DD45-DF45))*(BB45-AQ45),0)</f>
        <v>0</v>
      </c>
      <c r="DJ45" s="3">
        <f t="shared" ref="DJ45:DJ79" si="154">IF(DA45&gt;=(DE45+(DC45-DE45)*0.6),(BA45-AP45),IF(DA45&lt;=(DE45+(DC45-DE45)*0.4),-(BA45-AP45),0))</f>
        <v>0</v>
      </c>
      <c r="DK45" s="3">
        <f t="shared" ref="DK45:DK79" si="155">IF(DB45&lt;=(DF45+(DD45-DF45)*0.4),-(BB45-AQ45),IF(DB45&gt;=(DF45+(DD45-DF45)*0.6),(BB45-AQ45),0))</f>
        <v>0</v>
      </c>
      <c r="DL45" s="3">
        <f t="shared" ref="DL45:DL79" si="156">IFERROR(DH45+DI45,0)</f>
        <v>0</v>
      </c>
      <c r="DM45" s="3">
        <f t="shared" ref="DM45:DM79" si="157">IFERROR(DJ45+DK45,0)</f>
        <v>0</v>
      </c>
      <c r="DN45" s="64" t="str">
        <f t="shared" ref="DN45:DN79" si="158">IF(AND(DA45&gt;=(DE45+(DC45-DE45)*0.6),BA45&gt;AP45),"BUY",IF(AND(DA45&lt;=(DE45+(DC45-DE45)*0.4),BA45&gt;AP45),"SELL","UNKNOWN"))</f>
        <v>UNKNOWN</v>
      </c>
      <c r="DO45" s="64" t="str">
        <f t="shared" ref="DO45:DO79" si="159">IF(AND(DB45&gt;=(DF45+(DD45-DF45)*0.6),ABS(BB45)&gt;ABS(AQ45)),"BUY",IF(AND(DB45&lt;=(DF45+(DD45-DF45)*0.4),ABS(BB45)&gt;ABS(AQ45)),"SELL","UNKNOWN"))</f>
        <v>UNKNOWN</v>
      </c>
      <c r="DP45" s="83">
        <f t="shared" ref="DP45:DP79" si="160">+DH45*DA45+DI45*DB45</f>
        <v>0</v>
      </c>
      <c r="DQ45" s="83">
        <f t="shared" ref="DQ45:DQ79" si="161">+DA45*DJ45+DB45*DK45</f>
        <v>0</v>
      </c>
      <c r="DR45" s="83">
        <f t="shared" ref="DR45:DR79" ca="1" si="162">+BJ45*DJ45+BK45*DK45</f>
        <v>0</v>
      </c>
      <c r="DS45" s="83">
        <f t="shared" ref="DS45:DS79" si="163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164">AM45+IF(DN45="BUY",DT45,IF(DN45="SELL",-DT45,0))</f>
        <v>1417</v>
      </c>
      <c r="DW45" s="83">
        <f t="shared" ref="DW45:DW79" si="165">AN45+IF(DO45="BUY",DU45,IF(DO45="SELL",-DU45,0))</f>
        <v>1</v>
      </c>
      <c r="DX45" s="83">
        <f ca="1">(EXP(-POWER((LN($A$44/$A45)+($EC$1+POWER($EE45,2)/2)*($EM$1/$DY$1))/($EE45*SQRT($EM$1/$DY$1)),2)/2)/SQRT(2*PI())/($A$44*$EE45*SQRT($EM$1/$DY$1)))</f>
        <v>1.3356565046828604E-2</v>
      </c>
      <c r="DY45" s="83">
        <f ca="1">-(EXP(-POWER((LN($A$44/$A45)+($EC$1+POWER($EF45,2)/2)*($EM$1/$DY$1))/($EF45*SQRT($EM$1/$DY$1)),2)/2)/SQRT(2*PI())/($A$44*$EF45*SQRT($EM$1/$DY$1)))</f>
        <v>-2.002639462206833E-2</v>
      </c>
      <c r="DZ45" s="83">
        <f ca="1">(EXP(-POWER((LN($A$44/$A45)+($EC$1+POWER($EG45,2)/2)*($EO$1/$DY$1))/($EG45*SQRT($EO$1/$DY$1)),2)/2)/SQRT(2*PI())/($A$44*$EG45*SQRT($EO$1/$DY$1)))</f>
        <v>2.0111724548938916E-2</v>
      </c>
      <c r="EA45" s="83">
        <f ca="1">-(EXP(-POWER((LN($A$44/$A45)+($EC$1+POWER($EH45,2)/2)*($EO$1/$DY$1))/($EH45*SQRT($EO$1/$DY$1)),2)/2)/SQRT(2*PI())/($A$44*$EH45*SQRT($EO$1/$DY$1)))</f>
        <v>-2.0344106838977284E-2</v>
      </c>
      <c r="EB45" s="83">
        <f ca="1">(EXP(-POWER((LN($A$44/$A45)+($EC$1+POWER($EI45,2)/2)*($EO$1/$DY$1))/($EI45*SQRT($EO$1/$DY$1)),2)/2)/SQRT(2*PI())/($A$44*$EI45*SQRT($EO$1/$DY$1)))</f>
        <v>1.9774513440579657E-2</v>
      </c>
      <c r="EC45" s="83">
        <f ca="1">-(EXP(-POWER((LN($A$44/$A45)+($EC$1+POWER($EJ45,2)/2)*($EO$1/$DY$1))/($EJ45*SQRT($EO$1/$DY$1)),2)/2)/SQRT(2*PI())/($A$44*$EJ45*SQRT($EO$1/$DY$1)))</f>
        <v>-1.9964527483074153E-2</v>
      </c>
      <c r="ED45" s="63">
        <f>+DV45+DW45</f>
        <v>1418</v>
      </c>
      <c r="EE45" s="84">
        <f t="shared" ref="EE45:EE79" si="166">IFERROR(VALUE(IF(OR(EL45="--",EL45="0.00%"),$EE$1,EL45)),$EE$1)</f>
        <v>1.157</v>
      </c>
      <c r="EF45" s="84">
        <f t="shared" ref="EF45:EF79" si="167">IFERROR(VALUE(IF(OR(EM45="--",EM45="0.00%"),$EE$1,EM45)),$EE$1)</f>
        <v>1.9281999999999999</v>
      </c>
      <c r="EG45" s="84">
        <f t="shared" ref="EG45:EG79" si="168">IFERROR(VALUE(IF(OR(EN45="--",EN45="0.00%"),$EE$1,EN45)),$EE$1)</f>
        <v>0.1905</v>
      </c>
      <c r="EH45" s="84">
        <f t="shared" ref="EH45:EH79" si="169">IFERROR(VALUE(IF(OR(EO45="--",EO45="0.00%"),$EE$1,EO45)),$EE$1)</f>
        <v>0.23080000000000001</v>
      </c>
      <c r="EI45" s="84">
        <f t="shared" ref="EI45:EI79" si="170">IFERROR(VALUE(IF(OR(EP45="--",EP45="0.00%"),$EE$1,EP45)),$EE$1)</f>
        <v>0.18129999999999999</v>
      </c>
      <c r="EJ45" s="84">
        <f t="shared" ref="EJ45:EJ79" si="171">IFERROR(VALUE(IF(OR(EQ45="--",EQ45="0.00%"),$EE$1,EQ45)),$EE$1)</f>
        <v>0.186</v>
      </c>
      <c r="EK45" s="63">
        <f ca="1">+DV45*DX45*$A$44*$A$44+DW45*DY45*$A$44*$A$44</f>
        <v>5104971.0576199805</v>
      </c>
      <c r="EL45" s="83" t="str">
        <f>RTD("tos.rtd",,EL$43,"."&amp;$A$43&amp;$AS$42&amp;"C"&amp;$A45)</f>
        <v>115.70%</v>
      </c>
      <c r="EM45" s="83" t="str">
        <f>RTD("tos.rtd",,EM$43,"."&amp;$A$43&amp;$AS$42&amp;"P"&amp;$A45)</f>
        <v>192.82%</v>
      </c>
      <c r="EN45" s="83" t="str">
        <f>RTD("tos.rtd",,EN$2,"."&amp;$A$43&amp;$AU$1&amp;"C"&amp;$A45)</f>
        <v>19.05%</v>
      </c>
      <c r="EO45" s="83" t="str">
        <f>RTD("tos.rtd",,EO$2,"."&amp;$A$43&amp;$AU$1&amp;"P"&amp;$A45)</f>
        <v>23.08%</v>
      </c>
      <c r="EP45" s="83" t="str">
        <f>RTD("tos.rtd",,EP$2,"."&amp;$A$43&amp;$AW$1&amp;"C"&amp;$A45)</f>
        <v>18.13%</v>
      </c>
      <c r="EQ45" s="83" t="str">
        <f>RTD("tos.rtd",,EQ$2,"."&amp;$A$43&amp;$AW$1&amp;"P"&amp;$A45)</f>
        <v>18.60%</v>
      </c>
      <c r="ES45" s="63" t="str">
        <f t="shared" ref="ES45:ES79" si="172">IFERROR(
    A45 &amp; "," &amp; TEXT(IF(ISNUMBER(DV45+DW45), DV45+DW45, 0), "00.00"),    "Error"
)</f>
        <v>532,1418.00</v>
      </c>
      <c r="ET45" s="63" t="str">
        <f t="shared" ref="ET45:ET79" ca="1" si="173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IF(ISNUMBER(EK45), (EK45),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IF(ISNUMBER(EK45), (EK45), 0)
        )))),
    "00.00")
)</f>
        <v>532,17434.99</v>
      </c>
      <c r="EU45" s="67">
        <v>593.45000000000005</v>
      </c>
      <c r="EV45" s="67" t="s">
        <v>380</v>
      </c>
      <c r="EW45" s="67">
        <v>519.92999999999995</v>
      </c>
      <c r="EX45" s="67" t="s">
        <v>381</v>
      </c>
      <c r="EY45" s="67">
        <v>5944.75</v>
      </c>
      <c r="EZ45" s="67" t="s">
        <v>382</v>
      </c>
      <c r="FA45" s="67">
        <v>21341</v>
      </c>
      <c r="FB45" s="67" t="s">
        <v>383</v>
      </c>
      <c r="FC45" s="67" t="s">
        <v>384</v>
      </c>
      <c r="FD45" s="67" t="s">
        <v>385</v>
      </c>
      <c r="FE45" s="68" t="s">
        <v>386</v>
      </c>
      <c r="FF45" s="68" t="s">
        <v>387</v>
      </c>
    </row>
    <row r="46" spans="1:162" ht="13.5" thickBot="1" x14ac:dyDescent="0.25">
      <c r="A46" s="2">
        <f>+A45-$A$39</f>
        <v>531</v>
      </c>
      <c r="B46" s="3">
        <f t="shared" si="142"/>
        <v>1734</v>
      </c>
      <c r="C46" s="3">
        <f t="shared" si="143"/>
        <v>1888</v>
      </c>
      <c r="D46" s="3">
        <f t="shared" si="144"/>
        <v>143</v>
      </c>
      <c r="E46" s="3">
        <f>SUM(B46:D46)</f>
        <v>3765</v>
      </c>
      <c r="F46" s="4">
        <f>+$F$44/$A$44*A46</f>
        <v>21889.456440159342</v>
      </c>
      <c r="AM46" s="1">
        <v>4680</v>
      </c>
      <c r="AN46" s="1">
        <v>-4</v>
      </c>
      <c r="AO46" s="1">
        <v>531</v>
      </c>
      <c r="AP46" s="1">
        <v>8828</v>
      </c>
      <c r="AQ46" s="1">
        <v>-14</v>
      </c>
      <c r="AS46" s="6">
        <f>IF(RTD("tos.rtd",,AS$43,"."&amp;$A$43&amp;$AS$42&amp;"C"&amp;$A46)="N/A",0,RTD("tos.rtd",,AS$43,"."&amp;$A$43&amp;$AS$42&amp;"C"&amp;$A46))</f>
        <v>1723</v>
      </c>
      <c r="AT46" s="7">
        <f>-IF(RTD("tos.rtd",,AT$43,"."&amp;$A$43&amp;$AS$42&amp;"P"&amp;$A46)="N/A",0,RTD("tos.rtd",,AT$43,"."&amp;$A$43&amp;$AS$42&amp;"P"&amp;$A46))</f>
        <v>-11</v>
      </c>
      <c r="AU46" s="6">
        <f>IF(RTD("tos.rtd",,AU$2,"."&amp;$A$43&amp;$AU$1&amp;"C"&amp;$A46)="N/A",0,RTD("tos.rtd",,AU$2,"."&amp;$A$43&amp;$AU$1&amp;"C"&amp;$A46))</f>
        <v>1869</v>
      </c>
      <c r="AV46" s="7">
        <f>-IF(RTD("tos.rtd",,AV$2,"."&amp;$A$43&amp;$AU$1&amp;"P"&amp;$A46)="N/A",0,RTD("tos.rtd",,AV$2,"."&amp;$A$43&amp;$AU$1&amp;"P"&amp;$A46))</f>
        <v>-19</v>
      </c>
      <c r="AW46" s="6">
        <f>IF(RTD("tos.rtd",,AW$2,"."&amp;$A$43&amp;$AW$1&amp;"C"&amp;$A46)="N/A",0,RTD("tos.rtd",,AW$2,"."&amp;$A$43&amp;$AW$1&amp;"C"&amp;$A46))</f>
        <v>142</v>
      </c>
      <c r="AX46" s="7">
        <f>-IF(RTD("tos.rtd",,AX$2,"."&amp;$A$43&amp;$AW$1&amp;"P"&amp;$A46)="N/A",0,RTD("tos.rtd",,AX$2,"."&amp;$A$43&amp;$AW$1&amp;"P"&amp;$A46))</f>
        <v>-1</v>
      </c>
      <c r="AY46" s="7">
        <f t="shared" ref="AY46:AY79" si="174">SUM(AS46:AX46)</f>
        <v>3703</v>
      </c>
      <c r="AZ46" s="8">
        <f t="shared" si="146"/>
        <v>531</v>
      </c>
      <c r="BA46" s="6">
        <f>IF(RTD("tos.rtd",,BA$43,"."&amp;$A$43&amp;$AS$42&amp;"C"&amp;$A46)="N/A",0,RTD("tos.rtd",,BA$43,"."&amp;$A$43&amp;$AS$42&amp;"C"&amp;$A46))</f>
        <v>8828</v>
      </c>
      <c r="BB46" s="7">
        <f>-IF(RTD("tos.rtd",,BB$43,"."&amp;$A$43&amp;$AS$42&amp;"P"&amp;$A46)="N/A",0,RTD("tos.rtd",,BB$43,"."&amp;$A$43&amp;$AS$42&amp;"P"&amp;$A46))</f>
        <v>-14</v>
      </c>
      <c r="BC46" s="6">
        <f>IF(RTD("tos.rtd",,BC$2,"."&amp;$A$43&amp;$AU$1&amp;"C"&amp;$A46)="N/A",0,RTD("tos.rtd",,BC$2,"."&amp;$A$43&amp;$AU$1&amp;"C"&amp;$A46))</f>
        <v>391</v>
      </c>
      <c r="BD46" s="7">
        <f>-IF(RTD("tos.rtd",,BD$2,"."&amp;$A$43&amp;$AU$1&amp;"P"&amp;$A46)="N/A",0,RTD("tos.rtd",,BD$2,"."&amp;$A$43&amp;$AU$1&amp;"P"&amp;$A46))</f>
        <v>-20</v>
      </c>
      <c r="BE46" s="6">
        <f>IF(RTD("tos.rtd",,BE$2,"."&amp;$A$43&amp;$AW$1&amp;"C"&amp;$A46)="N/A",0,RTD("tos.rtd",,BE$2,"."&amp;$A$43&amp;$AW$1&amp;"C"&amp;$A46))</f>
        <v>152</v>
      </c>
      <c r="BF46" s="7">
        <f>-IF(RTD("tos.rtd",,BF$2,"."&amp;$A$43&amp;$AW$1&amp;"P"&amp;$A46)="N/A",0,RTD("tos.rtd",,BF$2,"."&amp;$A$43&amp;$AW$1&amp;"P"&amp;$A46))</f>
        <v>-1</v>
      </c>
      <c r="BG46" s="32">
        <f ca="1">+Hoja2!Y47</f>
        <v>3488</v>
      </c>
      <c r="BH46" s="7">
        <f t="shared" ref="BH46:BH79" ca="1" si="175">SUM(BA46:BG46)</f>
        <v>12824</v>
      </c>
      <c r="BI46" s="8" t="str">
        <f ca="1">IF(AND(BH46&lt;0,BH45&gt;0), "Cruce -", IF(AND(BH46&gt;0,BH45&lt;0),"Cruce +", ""))</f>
        <v/>
      </c>
      <c r="BJ46" s="83">
        <f ca="1">IF($BP$1=1,DX46,IF(RTD("tos.rtd",,BJ$43,"."&amp;$A$43&amp;$AS$42&amp;"C"&amp;$A46)="N/A",0,RTD("tos.rtd",,BJ$43,"."&amp;$A$43&amp;$AS$42&amp;"C"&amp;$A46)))</f>
        <v>1.4736797998357819E-2</v>
      </c>
      <c r="BK46" s="83">
        <f ca="1">IF($BP$1=1,DY46,-IF(RTD("tos.rtd",,BK$43,"."&amp;$A$43&amp;$AS$42&amp;"P"&amp;$A46)="N/A",0,RTD("tos.rtd",,BK$43,"."&amp;$A$43&amp;$AS$42&amp;"P"&amp;$A46)))</f>
        <v>-2.1716511769175696E-2</v>
      </c>
      <c r="BL46" s="83">
        <f ca="1">IF($BP$1=1,DZ46,IF(RTD("tos.rtd",,BL$2,"."&amp;$A$43&amp;$AU$1&amp;"C"&amp;$A46)="N/A",0,RTD("tos.rtd",,BL$2,"."&amp;$A$43&amp;$AU$1&amp;"C"&amp;$A46)))</f>
        <v>2.2203175506363727E-2</v>
      </c>
      <c r="BM46" s="83">
        <f ca="1">IF($BP$1=1,EA46,-IF(RTD("tos.rtd",,BM$2,"."&amp;$A$43&amp;$AU$1&amp;"P"&amp;$A46)="N/A",0,RTD("tos.rtd",,BM$2,"."&amp;$A$43&amp;$AU$1&amp;"P"&amp;$A46)))</f>
        <v>-2.1936124480833742E-2</v>
      </c>
      <c r="BN46" s="83">
        <f ca="1">IF($BP$1=1,EB46,IF(RTD("tos.rtd",,BN$2,"."&amp;$A$43&amp;$AW$1&amp;"C"&amp;$A46)="N/A",0,RTD("tos.rtd",,BN$2,"."&amp;$A$43&amp;$AW$1&amp;"C"&amp;$A46)))</f>
        <v>2.2080906577200746E-2</v>
      </c>
      <c r="BO46" s="83">
        <f ca="1">IF($BP$1=1,EC46,-IF(RTD("tos.rtd",,BO$2,"."&amp;$A$43&amp;$AW$1&amp;"P"&amp;$A46)="N/A",0,RTD("tos.rtd",,BO$2,"."&amp;$A$43&amp;$AW$1&amp;"P"&amp;$A46)))</f>
        <v>-2.2193311404242837E-2</v>
      </c>
      <c r="BQ46" s="83">
        <f t="shared" ref="BQ46:BQ79" ca="1" si="176">+$A$44*$A$44*AS46*BJ46-$A$44*$A$44*AT46*BK46</f>
        <v>6791593.5200995374</v>
      </c>
      <c r="BR46" s="3" t="str">
        <f t="shared" ref="BR46:BR79" ca="1" si="177">IF(AND(BQ46&lt;0,BQ45&gt;0), "Cruce -", IF(AND(BQ46&gt;0,BQ45&lt;0),"Cruce +", ""))</f>
        <v/>
      </c>
      <c r="BS46" s="83">
        <f t="shared" ref="BS46:BS79" ca="1" si="178">+$A$44*$A$44*AU46*BL46-$A$44*$A$44*AV46*BM46</f>
        <v>11092486.191591095</v>
      </c>
      <c r="BT46" s="3" t="str">
        <f t="shared" ref="BT46:BT79" ca="1" si="179">IF(AND(BS46&lt;0,BS45&gt;0), "Cruce -", IF(AND(BS46&gt;0,BS45&lt;0),"Cruce +", ""))</f>
        <v/>
      </c>
      <c r="BU46" s="83">
        <f t="shared" ref="BU46:BU79" ca="1" si="180">+$A$44*$A$44*AW46*BN46-$A$44*$A$44*AX46*BO46</f>
        <v>840637.51239129726</v>
      </c>
      <c r="BV46" s="83"/>
      <c r="BX46" s="83">
        <f t="shared" ref="BX46:BX79" ca="1" si="181">+$A$44*$A$44*BA46*BJ46-$A$44*$A$44*BB46*BK46</f>
        <v>35045944.435868576</v>
      </c>
      <c r="BY46" s="83" t="str">
        <f ca="1">IF(AND(BX46&lt;0,BX45&gt;0), "Cruce -", IF(AND(BX46&gt;0,BX45&lt;0),"Cruce +", ""))</f>
        <v/>
      </c>
      <c r="BZ46" s="83">
        <f t="shared" ref="BZ46:BZ79" ca="1" si="182">+$A$44*$A$44*BC46*BL46-$A$44*$A$44*BD46*BM46</f>
        <v>2225660.5837693932</v>
      </c>
      <c r="CA46" s="83" t="str">
        <f ca="1">IF(AND(BZ46&lt;0,BZ45&gt;0), "Cruce -", IF(AND(BZ46&gt;0,BZ45&lt;0),"Cruce +", ""))</f>
        <v/>
      </c>
      <c r="CB46" s="83">
        <f t="shared" ref="CB46:CB79" ca="1" si="183">+$A$44*$A$44*BE46*BN46-$A$44*$A$44*BF46*BO46</f>
        <v>900259.34667630016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0.93</v>
      </c>
      <c r="CF46" s="83">
        <f>IF(RTD("tos.rtd",,CF$2,"."&amp;$A$43&amp;$AU$1&amp;"C"&amp;$A46)="N/A",0,RTD("tos.rtd",,CF$2,"."&amp;$A$43&amp;$AU$1&amp;"C"&amp;$A46))</f>
        <v>0.11</v>
      </c>
      <c r="CG46" s="83">
        <f>-IF(RTD("tos.rtd",,CG$2,"."&amp;$A$43&amp;$AU$1&amp;"P"&amp;$A46)="N/A",0,RTD("tos.rtd",,CG$2,"."&amp;$A$43&amp;$AU$1&amp;"P"&amp;$A46))</f>
        <v>0.86</v>
      </c>
      <c r="CH46" s="83">
        <f>IF(RTD("tos.rtd",,CH$2,"."&amp;$A$43&amp;$AW$1&amp;"C"&amp;$A46)="N/A",0,RTD("tos.rtd",,CH$2,"."&amp;$A$43&amp;$AW$1&amp;"C"&amp;$A46))</f>
        <v>0.38</v>
      </c>
      <c r="CI46" s="83">
        <f>-IF(RTD("tos.rtd",,CI$2,"."&amp;$A$43&amp;$AW$1&amp;"P"&amp;$A46)="N/A",0,RTD("tos.rtd",,CI$2,"."&amp;$A$43&amp;$AW$1&amp;"P"&amp;$A46))</f>
        <v>0.63</v>
      </c>
      <c r="CK46" s="83">
        <f t="shared" ref="CK46:CK79" si="184">+AS46*CD46*1000*$A$44+AT46*CE46*100*$A$44</f>
        <v>-531581.49</v>
      </c>
      <c r="CL46" s="83"/>
      <c r="CM46" s="83">
        <f t="shared" ref="CM46:CM79" si="185">+AU46*CF46*100*$A$44+AV46*CG46*100*$A$44</f>
        <v>9833997.75</v>
      </c>
      <c r="CN46" s="83"/>
      <c r="CO46" s="83">
        <f t="shared" ref="CO46:CO79" si="186">+AW46*CH46*100*$A$44+AX46*CI46*100*$A$44</f>
        <v>2771186.79</v>
      </c>
      <c r="CP46" s="83">
        <f t="shared" si="137"/>
        <v>12073603.050000001</v>
      </c>
      <c r="CQ46" s="83">
        <f t="shared" si="147"/>
        <v>8814</v>
      </c>
      <c r="CR46" s="83"/>
      <c r="CS46" s="83">
        <f t="shared" si="148"/>
        <v>371</v>
      </c>
      <c r="CT46" s="83"/>
      <c r="CU46" s="83">
        <f t="shared" si="149"/>
        <v>151</v>
      </c>
      <c r="CV46" s="83"/>
      <c r="CW46" s="83">
        <f t="shared" ca="1" si="150"/>
        <v>18724717.224081933</v>
      </c>
      <c r="CY46" s="83">
        <f t="shared" ca="1" si="151"/>
        <v>38171864.36631427</v>
      </c>
      <c r="CZ46" s="70" t="str">
        <f ca="1">IF(AND(CY46&lt;0,CY45&gt;0), "Cruce -", IF(AND(CY46&gt;0,CY45&lt;0),"Cruce +", ""))</f>
        <v/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12.06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13.61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9.5</v>
      </c>
      <c r="DG46" s="86">
        <f t="shared" ref="DG46:DG79" si="187">+$A46-$A$44</f>
        <v>11.370000000000005</v>
      </c>
      <c r="DH46" s="3">
        <f t="shared" si="152"/>
        <v>0</v>
      </c>
      <c r="DI46" s="3">
        <f t="shared" si="153"/>
        <v>0</v>
      </c>
      <c r="DJ46" s="3">
        <f t="shared" si="154"/>
        <v>0</v>
      </c>
      <c r="DK46" s="3">
        <f t="shared" si="155"/>
        <v>0</v>
      </c>
      <c r="DL46" s="3">
        <f t="shared" si="156"/>
        <v>0</v>
      </c>
      <c r="DM46" s="3">
        <f t="shared" si="157"/>
        <v>0</v>
      </c>
      <c r="DN46" s="64" t="str">
        <f t="shared" si="158"/>
        <v>UNKNOWN</v>
      </c>
      <c r="DO46" s="64" t="str">
        <f t="shared" si="159"/>
        <v>UNKNOWN</v>
      </c>
      <c r="DP46" s="83">
        <f t="shared" si="160"/>
        <v>0</v>
      </c>
      <c r="DQ46" s="83">
        <f t="shared" si="161"/>
        <v>0</v>
      </c>
      <c r="DR46" s="83">
        <f t="shared" ca="1" si="162"/>
        <v>0</v>
      </c>
      <c r="DS46" s="83">
        <f t="shared" si="163"/>
        <v>0</v>
      </c>
      <c r="DT46" s="83">
        <f t="shared" ref="DT46:DT79" si="188">BA46-VLOOKUP(AZ46,$AO$45:$AQ$79,2,FALSE)</f>
        <v>0</v>
      </c>
      <c r="DU46" s="83">
        <f t="shared" ref="DU46:DU79" si="189">BB46-VLOOKUP(AZ46,$AO$45:$AQ$79,3,FALSE)</f>
        <v>0</v>
      </c>
      <c r="DV46" s="83">
        <f t="shared" si="164"/>
        <v>4680</v>
      </c>
      <c r="DW46" s="83">
        <f t="shared" si="165"/>
        <v>-4</v>
      </c>
      <c r="DX46" s="83">
        <f ca="1">(EXP(-POWER((LN($A$44/$A46)+($EC$1+POWER($EE46,2)/2)*($EM$1/$DY$1))/($EE46*SQRT($EM$1/$DY$1)),2)/2)/SQRT(2*PI())/($A$44*$EE46*SQRT($EM$1/$DY$1)))</f>
        <v>1.4736797998357819E-2</v>
      </c>
      <c r="DY46" s="83">
        <f ca="1">-(EXP(-POWER((LN($A$44/$A46)+($EC$1+POWER($EF46,2)/2)*($EM$1/$DY$1))/($EF46*SQRT($EM$1/$DY$1)),2)/2)/SQRT(2*PI())/($A$44*$EF46*SQRT($EM$1/$DY$1)))</f>
        <v>-2.1716511769175696E-2</v>
      </c>
      <c r="DZ46" s="83">
        <f ca="1">(EXP(-POWER((LN($A$44/$A46)+($EC$1+POWER($EG46,2)/2)*($EO$1/$DY$1))/($EG46*SQRT($EO$1/$DY$1)),2)/2)/SQRT(2*PI())/($A$44*$EG46*SQRT($EO$1/$DY$1)))</f>
        <v>2.2203175506363727E-2</v>
      </c>
      <c r="EA46" s="83">
        <f ca="1">-(EXP(-POWER((LN($A$44/$A46)+($EC$1+POWER($EH46,2)/2)*($EO$1/$DY$1))/($EH46*SQRT($EO$1/$DY$1)),2)/2)/SQRT(2*PI())/($A$44*$EH46*SQRT($EO$1/$DY$1)))</f>
        <v>-2.1936124480833742E-2</v>
      </c>
      <c r="EB46" s="83">
        <f ca="1">(EXP(-POWER((LN($A$44/$A46)+($EC$1+POWER($EI46,2)/2)*($EO$1/$DY$1))/($EI46*SQRT($EO$1/$DY$1)),2)/2)/SQRT(2*PI())/($A$44*$EI46*SQRT($EO$1/$DY$1)))</f>
        <v>2.2080906577200746E-2</v>
      </c>
      <c r="EC46" s="83">
        <f ca="1">-(EXP(-POWER((LN($A$44/$A46)+($EC$1+POWER($EJ46,2)/2)*($EO$1/$DY$1))/($EJ46*SQRT($EO$1/$DY$1)),2)/2)/SQRT(2*PI())/($A$44*$EJ46*SQRT($EO$1/$DY$1)))</f>
        <v>-2.2193311404242837E-2</v>
      </c>
      <c r="ED46" s="63">
        <f t="shared" ref="ED46:ED79" si="190">+DV46+DW46</f>
        <v>4676</v>
      </c>
      <c r="EE46" s="84">
        <f t="shared" si="166"/>
        <v>1.0737000000000001</v>
      </c>
      <c r="EF46" s="84">
        <f t="shared" si="167"/>
        <v>1.8764000000000001</v>
      </c>
      <c r="EG46" s="84">
        <f t="shared" si="168"/>
        <v>0.1903</v>
      </c>
      <c r="EH46" s="84">
        <f t="shared" si="169"/>
        <v>0.22309999999999999</v>
      </c>
      <c r="EI46" s="84">
        <f t="shared" si="170"/>
        <v>0.1822</v>
      </c>
      <c r="EJ46" s="84">
        <f t="shared" si="171"/>
        <v>0.1893</v>
      </c>
      <c r="EK46" s="63">
        <f t="shared" ref="EK46:EK79" ca="1" si="191">+DV46*DX46*$A$44*$A$44+DW46*DY46*$A$44*$A$44</f>
        <v>18645930.874302525</v>
      </c>
      <c r="EL46" s="83" t="str">
        <f>RTD("tos.rtd",,EL$43,"."&amp;$A$43&amp;$AS$42&amp;"C"&amp;$A46)</f>
        <v>107.37%</v>
      </c>
      <c r="EM46" s="83" t="str">
        <f>RTD("tos.rtd",,EM$43,"."&amp;$A$43&amp;$AS$42&amp;"P"&amp;$A46)</f>
        <v>187.64%</v>
      </c>
      <c r="EN46" s="83" t="str">
        <f>RTD("tos.rtd",,EN$2,"."&amp;$A$43&amp;$AU$1&amp;"C"&amp;$A46)</f>
        <v>19.03%</v>
      </c>
      <c r="EO46" s="83" t="str">
        <f>RTD("tos.rtd",,EO$2,"."&amp;$A$43&amp;$AU$1&amp;"P"&amp;$A46)</f>
        <v>22.31%</v>
      </c>
      <c r="EP46" s="83" t="str">
        <f>RTD("tos.rtd",,EP$2,"."&amp;$A$43&amp;$AW$1&amp;"C"&amp;$A46)</f>
        <v>18.22%</v>
      </c>
      <c r="EQ46" s="83" t="str">
        <f>RTD("tos.rtd",,EQ$2,"."&amp;$A$43&amp;$AW$1&amp;"P"&amp;$A46)</f>
        <v>18.93%</v>
      </c>
      <c r="ES46" s="63" t="str">
        <f t="shared" si="172"/>
        <v>531,4676.00</v>
      </c>
      <c r="ET46" s="63" t="str">
        <f t="shared" ca="1" si="173"/>
        <v>531,38171.86</v>
      </c>
      <c r="EU46" s="67">
        <v>593.45000000000005</v>
      </c>
      <c r="EV46" s="67" t="s">
        <v>388</v>
      </c>
      <c r="EW46" s="67">
        <v>519.91</v>
      </c>
      <c r="EX46" s="67" t="s">
        <v>389</v>
      </c>
      <c r="EY46" s="67">
        <v>5944.75</v>
      </c>
      <c r="EZ46" s="67" t="s">
        <v>390</v>
      </c>
      <c r="FA46" s="67">
        <v>21339.75</v>
      </c>
      <c r="FB46" s="67" t="s">
        <v>391</v>
      </c>
      <c r="FC46" s="67" t="s">
        <v>392</v>
      </c>
      <c r="FD46" s="67" t="s">
        <v>393</v>
      </c>
      <c r="FE46" s="68" t="s">
        <v>394</v>
      </c>
      <c r="FF46" s="68" t="s">
        <v>395</v>
      </c>
    </row>
    <row r="47" spans="1:162" ht="13.5" thickBot="1" x14ac:dyDescent="0.25">
      <c r="A47" s="2">
        <f t="shared" ref="A47:A79" si="192">+A46-$A$39</f>
        <v>530</v>
      </c>
      <c r="B47" s="3">
        <f t="shared" si="142"/>
        <v>3916</v>
      </c>
      <c r="C47" s="3">
        <f t="shared" si="143"/>
        <v>6820</v>
      </c>
      <c r="D47" s="3">
        <f t="shared" si="144"/>
        <v>12459</v>
      </c>
      <c r="E47" s="3">
        <f>SUM(B47:D47)</f>
        <v>23195</v>
      </c>
      <c r="F47" s="4">
        <f>+$F$44/$A$44*A47</f>
        <v>21848.233358351132</v>
      </c>
      <c r="AM47" s="1">
        <v>2265</v>
      </c>
      <c r="AN47" s="1">
        <v>4</v>
      </c>
      <c r="AO47" s="1">
        <v>530</v>
      </c>
      <c r="AP47" s="1">
        <v>11505</v>
      </c>
      <c r="AQ47" s="1">
        <v>-129</v>
      </c>
      <c r="AS47" s="6">
        <f>IF(RTD("tos.rtd",,AS$43,"."&amp;$A$43&amp;$AS$42&amp;"C"&amp;$A47)="N/A",0,RTD("tos.rtd",,AS$43,"."&amp;$A$43&amp;$AS$42&amp;"C"&amp;$A47))</f>
        <v>3821</v>
      </c>
      <c r="AT47" s="7">
        <f>-IF(RTD("tos.rtd",,AT$43,"."&amp;$A$43&amp;$AS$42&amp;"P"&amp;$A47)="N/A",0,RTD("tos.rtd",,AT$43,"."&amp;$A$43&amp;$AS$42&amp;"P"&amp;$A47))</f>
        <v>-95</v>
      </c>
      <c r="AU47" s="6">
        <f>IF(RTD("tos.rtd",,AU$2,"."&amp;$A$43&amp;$AU$1&amp;"C"&amp;$A47)="N/A",0,RTD("tos.rtd",,AU$2,"."&amp;$A$43&amp;$AU$1&amp;"C"&amp;$A47))</f>
        <v>6442</v>
      </c>
      <c r="AV47" s="7">
        <f>-IF(RTD("tos.rtd",,AV$2,"."&amp;$A$43&amp;$AU$1&amp;"P"&amp;$A47)="N/A",0,RTD("tos.rtd",,AV$2,"."&amp;$A$43&amp;$AU$1&amp;"P"&amp;$A47))</f>
        <v>-378</v>
      </c>
      <c r="AW47" s="6">
        <f>IF(RTD("tos.rtd",,AW$2,"."&amp;$A$43&amp;$AW$1&amp;"C"&amp;$A47)="N/A",0,RTD("tos.rtd",,AW$2,"."&amp;$A$43&amp;$AW$1&amp;"C"&amp;$A47))</f>
        <v>10852</v>
      </c>
      <c r="AX47" s="7">
        <f>-IF(RTD("tos.rtd",,AX$2,"."&amp;$A$43&amp;$AW$1&amp;"P"&amp;$A47)="N/A",0,RTD("tos.rtd",,AX$2,"."&amp;$A$43&amp;$AW$1&amp;"P"&amp;$A47))</f>
        <v>-1607</v>
      </c>
      <c r="AY47" s="7">
        <f t="shared" si="174"/>
        <v>19035</v>
      </c>
      <c r="AZ47" s="8">
        <f t="shared" si="146"/>
        <v>530</v>
      </c>
      <c r="BA47" s="6">
        <f>IF(RTD("tos.rtd",,BA$43,"."&amp;$A$43&amp;$AS$42&amp;"C"&amp;$A47)="N/A",0,RTD("tos.rtd",,BA$43,"."&amp;$A$43&amp;$AS$42&amp;"C"&amp;$A47))</f>
        <v>11505</v>
      </c>
      <c r="BB47" s="7">
        <f>-IF(RTD("tos.rtd",,BB$43,"."&amp;$A$43&amp;$AS$42&amp;"P"&amp;$A47)="N/A",0,RTD("tos.rtd",,BB$43,"."&amp;$A$43&amp;$AS$42&amp;"P"&amp;$A47))</f>
        <v>-129</v>
      </c>
      <c r="BC47" s="6">
        <f>IF(RTD("tos.rtd",,BC$2,"."&amp;$A$43&amp;$AU$1&amp;"C"&amp;$A47)="N/A",0,RTD("tos.rtd",,BC$2,"."&amp;$A$43&amp;$AU$1&amp;"C"&amp;$A47))</f>
        <v>7613</v>
      </c>
      <c r="BD47" s="7">
        <f>-IF(RTD("tos.rtd",,BD$2,"."&amp;$A$43&amp;$AU$1&amp;"P"&amp;$A47)="N/A",0,RTD("tos.rtd",,BD$2,"."&amp;$A$43&amp;$AU$1&amp;"P"&amp;$A47))</f>
        <v>-380</v>
      </c>
      <c r="BE47" s="6">
        <f>IF(RTD("tos.rtd",,BE$2,"."&amp;$A$43&amp;$AW$1&amp;"C"&amp;$A47)="N/A",0,RTD("tos.rtd",,BE$2,"."&amp;$A$43&amp;$AW$1&amp;"C"&amp;$A47))</f>
        <v>768</v>
      </c>
      <c r="BF47" s="7">
        <f>-IF(RTD("tos.rtd",,BF$2,"."&amp;$A$43&amp;$AW$1&amp;"P"&amp;$A47)="N/A",0,RTD("tos.rtd",,BF$2,"."&amp;$A$43&amp;$AW$1&amp;"P"&amp;$A47))</f>
        <v>-130</v>
      </c>
      <c r="BG47" s="32">
        <f ca="1">+Hoja2!Y48</f>
        <v>10834</v>
      </c>
      <c r="BH47" s="7">
        <f t="shared" ca="1" si="175"/>
        <v>30081</v>
      </c>
      <c r="BI47" s="8" t="str">
        <f t="shared" ref="BI47:BI79" ca="1" si="193">IF(AND(BH47&lt;0,BH46&gt;0), "Cruce -", IF(AND(BH47&gt;0,BH46&lt;0),"Cruce +", ""))</f>
        <v/>
      </c>
      <c r="BJ47" s="83">
        <f ca="1">IF($BP$1=1,DX47,IF(RTD("tos.rtd",,BJ$43,"."&amp;$A$43&amp;$AS$42&amp;"C"&amp;$A47)="N/A",0,RTD("tos.rtd",,BJ$43,"."&amp;$A$43&amp;$AS$42&amp;"C"&amp;$A47)))</f>
        <v>1.6409106322572559E-2</v>
      </c>
      <c r="BK47" s="83">
        <f ca="1">IF($BP$1=1,DY47,-IF(RTD("tos.rtd",,BK$43,"."&amp;$A$43&amp;$AS$42&amp;"P"&amp;$A47)="N/A",0,RTD("tos.rtd",,BK$43,"."&amp;$A$43&amp;$AS$42&amp;"P"&amp;$A47)))</f>
        <v>-2.3727464845770381E-2</v>
      </c>
      <c r="BL47" s="83">
        <f ca="1">IF($BP$1=1,DZ47,IF(RTD("tos.rtd",,BL$2,"."&amp;$A$43&amp;$AU$1&amp;"C"&amp;$A47)="N/A",0,RTD("tos.rtd",,BL$2,"."&amp;$A$43&amp;$AU$1&amp;"C"&amp;$A47)))</f>
        <v>2.4317731510432129E-2</v>
      </c>
      <c r="BM47" s="83">
        <f ca="1">IF($BP$1=1,EA47,-IF(RTD("tos.rtd",,BM$2,"."&amp;$A$43&amp;$AU$1&amp;"P"&amp;$A47)="N/A",0,RTD("tos.rtd",,BM$2,"."&amp;$A$43&amp;$AU$1&amp;"P"&amp;$A47)))</f>
        <v>-2.3551481649250857E-2</v>
      </c>
      <c r="BN47" s="83">
        <f ca="1">IF($BP$1=1,EB47,IF(RTD("tos.rtd",,BN$2,"."&amp;$A$43&amp;$AW$1&amp;"C"&amp;$A47)="N/A",0,RTD("tos.rtd",,BN$2,"."&amp;$A$43&amp;$AW$1&amp;"C"&amp;$A47)))</f>
        <v>2.4372850750997592E-2</v>
      </c>
      <c r="BO47" s="83">
        <f ca="1">IF($BP$1=1,EC47,-IF(RTD("tos.rtd",,BO$2,"."&amp;$A$43&amp;$AW$1&amp;"P"&amp;$A47)="N/A",0,RTD("tos.rtd",,BO$2,"."&amp;$A$43&amp;$AW$1&amp;"P"&amp;$A47)))</f>
        <v>-2.4312366633663367E-2</v>
      </c>
      <c r="BQ47" s="83">
        <f t="shared" ca="1" si="176"/>
        <v>16321100.2867554</v>
      </c>
      <c r="BR47" s="3" t="str">
        <f t="shared" ca="1" si="177"/>
        <v/>
      </c>
      <c r="BS47" s="83">
        <f t="shared" ca="1" si="178"/>
        <v>39895404.971499592</v>
      </c>
      <c r="BT47" s="3" t="str">
        <f t="shared" ca="1" si="179"/>
        <v/>
      </c>
      <c r="BU47" s="83">
        <f t="shared" ca="1" si="180"/>
        <v>60867992.16423437</v>
      </c>
      <c r="BV47" s="83"/>
      <c r="BX47" s="83">
        <f t="shared" ca="1" si="181"/>
        <v>50148848.284488454</v>
      </c>
      <c r="BY47" s="83" t="str">
        <f t="shared" ref="BY47:CC79" ca="1" si="194">IF(AND(BX47&lt;0,BX46&gt;0), "Cruce -", IF(AND(BX47&gt;0,BX46&lt;0),"Cruce +", ""))</f>
        <v/>
      </c>
      <c r="BZ47" s="83">
        <f t="shared" ca="1" si="182"/>
        <v>47571660.355188698</v>
      </c>
      <c r="CA47" s="83" t="str">
        <f t="shared" ca="1" si="194"/>
        <v/>
      </c>
      <c r="CB47" s="83">
        <f t="shared" ca="1" si="183"/>
        <v>4200828.870414176</v>
      </c>
      <c r="CC47" s="83" t="str">
        <f t="shared" ca="1" si="194"/>
        <v/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0.93</v>
      </c>
      <c r="CF47" s="83">
        <f>IF(RTD("tos.rtd",,CF$2,"."&amp;$A$43&amp;$AU$1&amp;"C"&amp;$A47)="N/A",0,RTD("tos.rtd",,CF$2,"."&amp;$A$43&amp;$AU$1&amp;"C"&amp;$A47))</f>
        <v>0.13</v>
      </c>
      <c r="CG47" s="83">
        <f>-IF(RTD("tos.rtd",,CG$2,"."&amp;$A$43&amp;$AU$1&amp;"P"&amp;$A47)="N/A",0,RTD("tos.rtd",,CG$2,"."&amp;$A$43&amp;$AU$1&amp;"P"&amp;$A47))</f>
        <v>0.84</v>
      </c>
      <c r="CH47" s="83">
        <f>IF(RTD("tos.rtd",,CH$2,"."&amp;$A$43&amp;$AW$1&amp;"C"&amp;$A47)="N/A",0,RTD("tos.rtd",,CH$2,"."&amp;$A$43&amp;$AW$1&amp;"C"&amp;$A47))</f>
        <v>0.39</v>
      </c>
      <c r="CI47" s="83">
        <f>-IF(RTD("tos.rtd",,CI$2,"."&amp;$A$43&amp;$AW$1&amp;"P"&amp;$A47)="N/A",0,RTD("tos.rtd",,CI$2,"."&amp;$A$43&amp;$AW$1&amp;"P"&amp;$A47))</f>
        <v>0.61</v>
      </c>
      <c r="CK47" s="83">
        <f t="shared" si="184"/>
        <v>-4590931.05</v>
      </c>
      <c r="CL47" s="83"/>
      <c r="CM47" s="83">
        <f t="shared" si="185"/>
        <v>27017642.219999999</v>
      </c>
      <c r="CN47" s="83"/>
      <c r="CO47" s="83">
        <f t="shared" si="186"/>
        <v>168984195.63</v>
      </c>
      <c r="CP47" s="83">
        <f t="shared" si="137"/>
        <v>191410906.79999998</v>
      </c>
      <c r="CQ47" s="83">
        <f t="shared" si="147"/>
        <v>11376</v>
      </c>
      <c r="CR47" s="83"/>
      <c r="CS47" s="83">
        <f t="shared" si="148"/>
        <v>7233</v>
      </c>
      <c r="CT47" s="83"/>
      <c r="CU47" s="83">
        <f t="shared" si="149"/>
        <v>638</v>
      </c>
      <c r="CV47" s="83"/>
      <c r="CW47" s="83">
        <f t="shared" ca="1" si="150"/>
        <v>117084497.42248936</v>
      </c>
      <c r="CY47" s="83">
        <f t="shared" ca="1" si="151"/>
        <v>101921337.51009133</v>
      </c>
      <c r="CZ47" s="70" t="str">
        <f t="shared" ref="CZ47:CZ79" ca="1" si="195">IF(AND(CY47&lt;0,CY46&gt;0), "Cruce -", IF(AND(CY47&gt;0,CY46&lt;0),"Cruce +", ""))</f>
        <v/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10.8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12.61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8.5</v>
      </c>
      <c r="DG47" s="86">
        <f t="shared" si="187"/>
        <v>10.370000000000005</v>
      </c>
      <c r="DH47" s="3">
        <f t="shared" si="152"/>
        <v>0</v>
      </c>
      <c r="DI47" s="3">
        <f t="shared" si="153"/>
        <v>0</v>
      </c>
      <c r="DJ47" s="3">
        <f t="shared" si="154"/>
        <v>0</v>
      </c>
      <c r="DK47" s="3">
        <f t="shared" si="155"/>
        <v>0</v>
      </c>
      <c r="DL47" s="3">
        <f t="shared" si="156"/>
        <v>0</v>
      </c>
      <c r="DM47" s="3">
        <f t="shared" si="157"/>
        <v>0</v>
      </c>
      <c r="DN47" s="64" t="str">
        <f t="shared" si="158"/>
        <v>UNKNOWN</v>
      </c>
      <c r="DO47" s="64" t="str">
        <f t="shared" si="159"/>
        <v>UNKNOWN</v>
      </c>
      <c r="DP47" s="83">
        <f t="shared" si="160"/>
        <v>0</v>
      </c>
      <c r="DQ47" s="83">
        <f t="shared" si="161"/>
        <v>0</v>
      </c>
      <c r="DR47" s="83">
        <f t="shared" ca="1" si="162"/>
        <v>0</v>
      </c>
      <c r="DS47" s="83">
        <f t="shared" si="163"/>
        <v>0</v>
      </c>
      <c r="DT47" s="83">
        <f t="shared" si="188"/>
        <v>0</v>
      </c>
      <c r="DU47" s="83">
        <f t="shared" si="189"/>
        <v>0</v>
      </c>
      <c r="DV47" s="83">
        <f t="shared" si="164"/>
        <v>2265</v>
      </c>
      <c r="DW47" s="83">
        <f t="shared" si="165"/>
        <v>4</v>
      </c>
      <c r="DX47" s="83">
        <f ca="1">(EXP(-POWER((LN($A$44/$A47)+($EC$1+POWER($EE47,2)/2)*($EM$1/$DY$1))/($EE47*SQRT($EM$1/$DY$1)),2)/2)/SQRT(2*PI())/($A$44*$EE47*SQRT($EM$1/$DY$1)))</f>
        <v>1.6409106322572559E-2</v>
      </c>
      <c r="DY47" s="83">
        <f ca="1">-(EXP(-POWER((LN($A$44/$A47)+($EC$1+POWER($EF47,2)/2)*($EM$1/$DY$1))/($EF47*SQRT($EM$1/$DY$1)),2)/2)/SQRT(2*PI())/($A$44*$EF47*SQRT($EM$1/$DY$1)))</f>
        <v>-2.3727464845770381E-2</v>
      </c>
      <c r="DZ47" s="83">
        <f ca="1">(EXP(-POWER((LN($A$44/$A47)+($EC$1+POWER($EG47,2)/2)*($EO$1/$DY$1))/($EG47*SQRT($EO$1/$DY$1)),2)/2)/SQRT(2*PI())/($A$44*$EG47*SQRT($EO$1/$DY$1)))</f>
        <v>2.4317731510432129E-2</v>
      </c>
      <c r="EA47" s="83">
        <f ca="1">-(EXP(-POWER((LN($A$44/$A47)+($EC$1+POWER($EH47,2)/2)*($EO$1/$DY$1))/($EH47*SQRT($EO$1/$DY$1)),2)/2)/SQRT(2*PI())/($A$44*$EH47*SQRT($EO$1/$DY$1)))</f>
        <v>-2.3551481649250857E-2</v>
      </c>
      <c r="EB47" s="83">
        <f ca="1">(EXP(-POWER((LN($A$44/$A47)+($EC$1+POWER($EI47,2)/2)*($EO$1/$DY$1))/($EI47*SQRT($EO$1/$DY$1)),2)/2)/SQRT(2*PI())/($A$44*$EI47*SQRT($EO$1/$DY$1)))</f>
        <v>2.4372850750997592E-2</v>
      </c>
      <c r="EC47" s="83">
        <f ca="1">-(EXP(-POWER((LN($A$44/$A47)+($EC$1+POWER($EJ47,2)/2)*($EO$1/$DY$1))/($EJ47*SQRT($EO$1/$DY$1)),2)/2)/SQRT(2*PI())/($A$44*$EJ47*SQRT($EO$1/$DY$1)))</f>
        <v>-2.4312366633663367E-2</v>
      </c>
      <c r="ED47" s="63">
        <f t="shared" si="190"/>
        <v>2269</v>
      </c>
      <c r="EE47" s="84">
        <f t="shared" si="166"/>
        <v>0.98970000000000002</v>
      </c>
      <c r="EF47" s="84">
        <f t="shared" si="167"/>
        <v>1.7430000000000001</v>
      </c>
      <c r="EG47" s="84">
        <f t="shared" si="168"/>
        <v>0.19009999999999999</v>
      </c>
      <c r="EH47" s="84">
        <f t="shared" si="169"/>
        <v>0.21970000000000001</v>
      </c>
      <c r="EI47" s="84">
        <f t="shared" si="170"/>
        <v>0.1845</v>
      </c>
      <c r="EJ47" s="84">
        <f t="shared" si="171"/>
        <v>0.1905</v>
      </c>
      <c r="EK47" s="63">
        <f t="shared" ca="1" si="191"/>
        <v>10009931.874736343</v>
      </c>
      <c r="EL47" s="83" t="str">
        <f>RTD("tos.rtd",,EL$43,"."&amp;$A$43&amp;$AS$42&amp;"C"&amp;$A47)</f>
        <v>98.97%</v>
      </c>
      <c r="EM47" s="83" t="str">
        <f>RTD("tos.rtd",,EM$43,"."&amp;$A$43&amp;$AS$42&amp;"P"&amp;$A47)</f>
        <v>174.30%</v>
      </c>
      <c r="EN47" s="83" t="str">
        <f>RTD("tos.rtd",,EN$2,"."&amp;$A$43&amp;$AU$1&amp;"C"&amp;$A47)</f>
        <v>19.01%</v>
      </c>
      <c r="EO47" s="83" t="str">
        <f>RTD("tos.rtd",,EO$2,"."&amp;$A$43&amp;$AU$1&amp;"P"&amp;$A47)</f>
        <v>21.97%</v>
      </c>
      <c r="EP47" s="83" t="str">
        <f>RTD("tos.rtd",,EP$2,"."&amp;$A$43&amp;$AW$1&amp;"C"&amp;$A47)</f>
        <v>18.45%</v>
      </c>
      <c r="EQ47" s="83" t="str">
        <f>RTD("tos.rtd",,EQ$2,"."&amp;$A$43&amp;$AW$1&amp;"P"&amp;$A47)</f>
        <v>19.05%</v>
      </c>
      <c r="ES47" s="63" t="str">
        <f t="shared" si="172"/>
        <v>530,2269.00</v>
      </c>
      <c r="ET47" s="63" t="str">
        <f t="shared" ca="1" si="173"/>
        <v>530,101921.34</v>
      </c>
      <c r="EU47" s="67">
        <v>593.41999999999996</v>
      </c>
      <c r="EV47" s="67" t="s">
        <v>396</v>
      </c>
      <c r="EW47" s="67">
        <v>519.87</v>
      </c>
      <c r="EX47" s="67" t="s">
        <v>397</v>
      </c>
      <c r="EY47" s="67">
        <v>5944.25</v>
      </c>
      <c r="EZ47" s="67" t="s">
        <v>398</v>
      </c>
      <c r="FA47" s="67">
        <v>21338.25</v>
      </c>
      <c r="FB47" s="67" t="s">
        <v>399</v>
      </c>
      <c r="FC47" s="67" t="s">
        <v>400</v>
      </c>
      <c r="FD47" s="67" t="s">
        <v>401</v>
      </c>
      <c r="FE47" s="68" t="s">
        <v>402</v>
      </c>
      <c r="FF47" s="68" t="s">
        <v>403</v>
      </c>
    </row>
    <row r="48" spans="1:162" ht="13.5" thickBot="1" x14ac:dyDescent="0.25">
      <c r="A48" s="2">
        <f t="shared" si="192"/>
        <v>529</v>
      </c>
      <c r="B48" s="3">
        <f t="shared" si="142"/>
        <v>1860</v>
      </c>
      <c r="C48" s="3">
        <f t="shared" si="143"/>
        <v>1023</v>
      </c>
      <c r="D48" s="3">
        <f t="shared" si="144"/>
        <v>88</v>
      </c>
      <c r="E48" s="3">
        <f t="shared" si="145"/>
        <v>2971</v>
      </c>
      <c r="F48" s="4">
        <f t="shared" ref="F48:F79" si="196">+$F$44/$A$44*A48</f>
        <v>21807.010276542922</v>
      </c>
      <c r="AM48" s="1">
        <v>-1671</v>
      </c>
      <c r="AN48" s="1">
        <v>-7</v>
      </c>
      <c r="AO48" s="1">
        <v>529</v>
      </c>
      <c r="AP48" s="1">
        <v>9513</v>
      </c>
      <c r="AQ48" s="1">
        <v>-21</v>
      </c>
      <c r="AS48" s="6">
        <f>IF(RTD("tos.rtd",,AS$43,"."&amp;$A$43&amp;$AS$42&amp;"C"&amp;$A48)="N/A",0,RTD("tos.rtd",,AS$43,"."&amp;$A$43&amp;$AS$42&amp;"C"&amp;$A48))</f>
        <v>1827</v>
      </c>
      <c r="AT48" s="7">
        <f>-IF(RTD("tos.rtd",,AT$43,"."&amp;$A$43&amp;$AS$42&amp;"P"&amp;$A48)="N/A",0,RTD("tos.rtd",,AT$43,"."&amp;$A$43&amp;$AS$42&amp;"P"&amp;$A48))</f>
        <v>-33</v>
      </c>
      <c r="AU48" s="6">
        <f>IF(RTD("tos.rtd",,AU$2,"."&amp;$A$43&amp;$AU$1&amp;"C"&amp;$A48)="N/A",0,RTD("tos.rtd",,AU$2,"."&amp;$A$43&amp;$AU$1&amp;"C"&amp;$A48))</f>
        <v>992</v>
      </c>
      <c r="AV48" s="7">
        <f>-IF(RTD("tos.rtd",,AV$2,"."&amp;$A$43&amp;$AU$1&amp;"P"&amp;$A48)="N/A",0,RTD("tos.rtd",,AV$2,"."&amp;$A$43&amp;$AU$1&amp;"P"&amp;$A48))</f>
        <v>-31</v>
      </c>
      <c r="AW48" s="6">
        <f>IF(RTD("tos.rtd",,AW$2,"."&amp;$A$43&amp;$AW$1&amp;"C"&amp;$A48)="N/A",0,RTD("tos.rtd",,AW$2,"."&amp;$A$43&amp;$AW$1&amp;"C"&amp;$A48))</f>
        <v>82</v>
      </c>
      <c r="AX48" s="7">
        <f>-IF(RTD("tos.rtd",,AX$2,"."&amp;$A$43&amp;$AW$1&amp;"P"&amp;$A48)="N/A",0,RTD("tos.rtd",,AX$2,"."&amp;$A$43&amp;$AW$1&amp;"P"&amp;$A48))</f>
        <v>-6</v>
      </c>
      <c r="AY48" s="7">
        <f t="shared" si="174"/>
        <v>2831</v>
      </c>
      <c r="AZ48" s="8">
        <f t="shared" si="146"/>
        <v>529</v>
      </c>
      <c r="BA48" s="6">
        <f>IF(RTD("tos.rtd",,BA$43,"."&amp;$A$43&amp;$AS$42&amp;"C"&amp;$A48)="N/A",0,RTD("tos.rtd",,BA$43,"."&amp;$A$43&amp;$AS$42&amp;"C"&amp;$A48))</f>
        <v>9513</v>
      </c>
      <c r="BB48" s="7">
        <f>-IF(RTD("tos.rtd",,BB$43,"."&amp;$A$43&amp;$AS$42&amp;"P"&amp;$A48)="N/A",0,RTD("tos.rtd",,BB$43,"."&amp;$A$43&amp;$AS$42&amp;"P"&amp;$A48))</f>
        <v>-21</v>
      </c>
      <c r="BC48" s="6">
        <f>IF(RTD("tos.rtd",,BC$2,"."&amp;$A$43&amp;$AU$1&amp;"C"&amp;$A48)="N/A",0,RTD("tos.rtd",,BC$2,"."&amp;$A$43&amp;$AU$1&amp;"C"&amp;$A48))</f>
        <v>1442</v>
      </c>
      <c r="BD48" s="7">
        <f>-IF(RTD("tos.rtd",,BD$2,"."&amp;$A$43&amp;$AU$1&amp;"P"&amp;$A48)="N/A",0,RTD("tos.rtd",,BD$2,"."&amp;$A$43&amp;$AU$1&amp;"P"&amp;$A48))</f>
        <v>-55</v>
      </c>
      <c r="BE48" s="6">
        <f>IF(RTD("tos.rtd",,BE$2,"."&amp;$A$43&amp;$AW$1&amp;"C"&amp;$A48)="N/A",0,RTD("tos.rtd",,BE$2,"."&amp;$A$43&amp;$AW$1&amp;"C"&amp;$A48))</f>
        <v>35</v>
      </c>
      <c r="BF48" s="7">
        <f>-IF(RTD("tos.rtd",,BF$2,"."&amp;$A$43&amp;$AW$1&amp;"P"&amp;$A48)="N/A",0,RTD("tos.rtd",,BF$2,"."&amp;$A$43&amp;$AW$1&amp;"P"&amp;$A48))</f>
        <v>-8</v>
      </c>
      <c r="BG48" s="32">
        <f ca="1">+Hoja2!Y49</f>
        <v>3253</v>
      </c>
      <c r="BH48" s="7">
        <f t="shared" ca="1" si="175"/>
        <v>14159</v>
      </c>
      <c r="BI48" s="8" t="str">
        <f t="shared" ca="1" si="193"/>
        <v/>
      </c>
      <c r="BJ48" s="83">
        <f ca="1">IF($BP$1=1,DX48,IF(RTD("tos.rtd",,BJ$43,"."&amp;$A$43&amp;$AS$42&amp;"C"&amp;$A48)="N/A",0,RTD("tos.rtd",,BJ$43,"."&amp;$A$43&amp;$AS$42&amp;"C"&amp;$A48)))</f>
        <v>1.8465016279672144E-2</v>
      </c>
      <c r="BK48" s="83">
        <f ca="1">IF($BP$1=1,DY48,-IF(RTD("tos.rtd",,BK$43,"."&amp;$A$43&amp;$AS$42&amp;"P"&amp;$A48)="N/A",0,RTD("tos.rtd",,BK$43,"."&amp;$A$43&amp;$AS$42&amp;"P"&amp;$A48)))</f>
        <v>-2.6143729925702155E-2</v>
      </c>
      <c r="BL48" s="83">
        <f ca="1">IF($BP$1=1,DZ48,IF(RTD("tos.rtd",,BL$2,"."&amp;$A$43&amp;$AU$1&amp;"C"&amp;$A48)="N/A",0,RTD("tos.rtd",,BL$2,"."&amp;$A$43&amp;$AU$1&amp;"C"&amp;$A48)))</f>
        <v>2.6397268025650338E-2</v>
      </c>
      <c r="BM48" s="83">
        <f ca="1">IF($BP$1=1,EA48,-IF(RTD("tos.rtd",,BM$2,"."&amp;$A$43&amp;$AU$1&amp;"P"&amp;$A48)="N/A",0,RTD("tos.rtd",,BM$2,"."&amp;$A$43&amp;$AU$1&amp;"P"&amp;$A48)))</f>
        <v>-2.511552373091408E-2</v>
      </c>
      <c r="BN48" s="83">
        <f ca="1">IF($BP$1=1,EB48,IF(RTD("tos.rtd",,BN$2,"."&amp;$A$43&amp;$AW$1&amp;"C"&amp;$A48)="N/A",0,RTD("tos.rtd",,BN$2,"."&amp;$A$43&amp;$AW$1&amp;"C"&amp;$A48)))</f>
        <v>2.6602387168665097E-2</v>
      </c>
      <c r="BO48" s="83">
        <f ca="1">IF($BP$1=1,EC48,-IF(RTD("tos.rtd",,BO$2,"."&amp;$A$43&amp;$AW$1&amp;"P"&amp;$A48)="N/A",0,RTD("tos.rtd",,BO$2,"."&amp;$A$43&amp;$AW$1&amp;"P"&amp;$A48)))</f>
        <v>-2.644212344658739E-2</v>
      </c>
      <c r="BQ48" s="83">
        <f t="shared" ca="1" si="176"/>
        <v>8876171.4144466501</v>
      </c>
      <c r="BR48" s="3" t="str">
        <f t="shared" ca="1" si="177"/>
        <v/>
      </c>
      <c r="BS48" s="83">
        <f t="shared" ca="1" si="178"/>
        <v>6860417.0067817848</v>
      </c>
      <c r="BT48" s="3" t="str">
        <f t="shared" ca="1" si="179"/>
        <v/>
      </c>
      <c r="BU48" s="83">
        <f t="shared" ca="1" si="180"/>
        <v>546171.63453799998</v>
      </c>
      <c r="BV48" s="83"/>
      <c r="BX48" s="83">
        <f t="shared" ca="1" si="181"/>
        <v>47282029.640159875</v>
      </c>
      <c r="BY48" s="83" t="str">
        <f t="shared" ca="1" si="194"/>
        <v/>
      </c>
      <c r="BZ48" s="83">
        <f t="shared" ca="1" si="182"/>
        <v>9905109.4169763476</v>
      </c>
      <c r="CA48" s="83" t="str">
        <f t="shared" ca="1" si="194"/>
        <v/>
      </c>
      <c r="CB48" s="83">
        <f t="shared" ca="1" si="183"/>
        <v>194288.60771294357</v>
      </c>
      <c r="CC48" s="83" t="str">
        <f t="shared" ca="1" si="194"/>
        <v/>
      </c>
      <c r="CD48" s="83">
        <f>IF(RTD("tos.rtd",,CD$43,"."&amp;$A$43&amp;$AS$42&amp;"C"&amp;$A48)="N/A",0,RTD("tos.rtd",,CD$43,"."&amp;$A$43&amp;$AS$42&amp;"C"&amp;$A48))</f>
        <v>0</v>
      </c>
      <c r="CE48" s="83">
        <f>-IF(RTD("tos.rtd",,CE$43,"."&amp;$A$43&amp;$AS$42&amp;"P"&amp;$A48)="N/A",0,RTD("tos.rtd",,CE$43,"."&amp;$A$43&amp;$AS$42&amp;"P"&amp;$A48))</f>
        <v>0.92</v>
      </c>
      <c r="CF48" s="83">
        <f>IF(RTD("tos.rtd",,CF$2,"."&amp;$A$43&amp;$AU$1&amp;"C"&amp;$A48)="N/A",0,RTD("tos.rtd",,CF$2,"."&amp;$A$43&amp;$AU$1&amp;"C"&amp;$A48))</f>
        <v>0.16</v>
      </c>
      <c r="CG48" s="83">
        <f>-IF(RTD("tos.rtd",,CG$2,"."&amp;$A$43&amp;$AU$1&amp;"P"&amp;$A48)="N/A",0,RTD("tos.rtd",,CG$2,"."&amp;$A$43&amp;$AU$1&amp;"P"&amp;$A48))</f>
        <v>0.81</v>
      </c>
      <c r="CH48" s="83">
        <f>IF(RTD("tos.rtd",,CH$2,"."&amp;$A$43&amp;$AW$1&amp;"C"&amp;$A48)="N/A",0,RTD("tos.rtd",,CH$2,"."&amp;$A$43&amp;$AW$1&amp;"C"&amp;$A48))</f>
        <v>0.4</v>
      </c>
      <c r="CI48" s="83">
        <f>-IF(RTD("tos.rtd",,CI$2,"."&amp;$A$43&amp;$AW$1&amp;"P"&amp;$A48)="N/A",0,RTD("tos.rtd",,CI$2,"."&amp;$A$43&amp;$AW$1&amp;"P"&amp;$A48))</f>
        <v>0.6</v>
      </c>
      <c r="CK48" s="83">
        <f t="shared" si="184"/>
        <v>-1577596.6800000002</v>
      </c>
      <c r="CL48" s="83"/>
      <c r="CM48" s="83">
        <f t="shared" si="185"/>
        <v>6942776.4299999997</v>
      </c>
      <c r="CN48" s="83"/>
      <c r="CO48" s="83">
        <f t="shared" si="186"/>
        <v>1517319.6</v>
      </c>
      <c r="CP48" s="83">
        <f t="shared" si="137"/>
        <v>6882499.3499999996</v>
      </c>
      <c r="CQ48" s="83">
        <f t="shared" si="147"/>
        <v>9492</v>
      </c>
      <c r="CR48" s="83"/>
      <c r="CS48" s="83">
        <f t="shared" si="148"/>
        <v>1387</v>
      </c>
      <c r="CT48" s="83"/>
      <c r="CU48" s="83">
        <f t="shared" si="149"/>
        <v>27</v>
      </c>
      <c r="CV48" s="83"/>
      <c r="CW48" s="83">
        <f t="shared" ca="1" si="150"/>
        <v>16282760.055766435</v>
      </c>
      <c r="CY48" s="83">
        <f t="shared" ca="1" si="151"/>
        <v>57381427.66484917</v>
      </c>
      <c r="CZ48" s="70" t="str">
        <f t="shared" ca="1" si="195"/>
        <v/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9.77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11.61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7.5</v>
      </c>
      <c r="DG48" s="86">
        <f t="shared" si="187"/>
        <v>9.3700000000000045</v>
      </c>
      <c r="DH48" s="3">
        <f t="shared" si="152"/>
        <v>0</v>
      </c>
      <c r="DI48" s="3">
        <f t="shared" si="153"/>
        <v>0</v>
      </c>
      <c r="DJ48" s="3">
        <f t="shared" si="154"/>
        <v>0</v>
      </c>
      <c r="DK48" s="3">
        <f t="shared" si="155"/>
        <v>0</v>
      </c>
      <c r="DL48" s="3">
        <f t="shared" si="156"/>
        <v>0</v>
      </c>
      <c r="DM48" s="3">
        <f t="shared" si="157"/>
        <v>0</v>
      </c>
      <c r="DN48" s="64" t="str">
        <f t="shared" si="158"/>
        <v>UNKNOWN</v>
      </c>
      <c r="DO48" s="64" t="str">
        <f t="shared" si="159"/>
        <v>UNKNOWN</v>
      </c>
      <c r="DP48" s="83">
        <f t="shared" si="160"/>
        <v>0</v>
      </c>
      <c r="DQ48" s="83">
        <f t="shared" si="161"/>
        <v>0</v>
      </c>
      <c r="DR48" s="83">
        <f t="shared" ca="1" si="162"/>
        <v>0</v>
      </c>
      <c r="DS48" s="83">
        <f t="shared" si="163"/>
        <v>0</v>
      </c>
      <c r="DT48" s="83">
        <f t="shared" si="188"/>
        <v>0</v>
      </c>
      <c r="DU48" s="83">
        <f t="shared" si="189"/>
        <v>0</v>
      </c>
      <c r="DV48" s="83">
        <f t="shared" si="164"/>
        <v>-1671</v>
      </c>
      <c r="DW48" s="83">
        <f t="shared" si="165"/>
        <v>-7</v>
      </c>
      <c r="DX48" s="83">
        <f ca="1">(EXP(-POWER((LN($A$44/$A48)+($EC$1+POWER($EE48,2)/2)*($EM$1/$DY$1))/($EE48*SQRT($EM$1/$DY$1)),2)/2)/SQRT(2*PI())/($A$44*$EE48*SQRT($EM$1/$DY$1)))</f>
        <v>1.8465016279672144E-2</v>
      </c>
      <c r="DY48" s="83">
        <f ca="1">-(EXP(-POWER((LN($A$44/$A48)+($EC$1+POWER($EF48,2)/2)*($EM$1/$DY$1))/($EF48*SQRT($EM$1/$DY$1)),2)/2)/SQRT(2*PI())/($A$44*$EF48*SQRT($EM$1/$DY$1)))</f>
        <v>-2.6143729925702155E-2</v>
      </c>
      <c r="DZ48" s="83">
        <f ca="1">(EXP(-POWER((LN($A$44/$A48)+($EC$1+POWER($EG48,2)/2)*($EO$1/$DY$1))/($EG48*SQRT($EO$1/$DY$1)),2)/2)/SQRT(2*PI())/($A$44*$EG48*SQRT($EO$1/$DY$1)))</f>
        <v>2.6397268025650338E-2</v>
      </c>
      <c r="EA48" s="83">
        <f ca="1">-(EXP(-POWER((LN($A$44/$A48)+($EC$1+POWER($EH48,2)/2)*($EO$1/$DY$1))/($EH48*SQRT($EO$1/$DY$1)),2)/2)/SQRT(2*PI())/($A$44*$EH48*SQRT($EO$1/$DY$1)))</f>
        <v>-2.511552373091408E-2</v>
      </c>
      <c r="EB48" s="83">
        <f ca="1">(EXP(-POWER((LN($A$44/$A48)+($EC$1+POWER($EI48,2)/2)*($EO$1/$DY$1))/($EI48*SQRT($EO$1/$DY$1)),2)/2)/SQRT(2*PI())/($A$44*$EI48*SQRT($EO$1/$DY$1)))</f>
        <v>2.6602387168665097E-2</v>
      </c>
      <c r="EC48" s="83">
        <f ca="1">-(EXP(-POWER((LN($A$44/$A48)+($EC$1+POWER($EJ48,2)/2)*($EO$1/$DY$1))/($EJ48*SQRT($EO$1/$DY$1)),2)/2)/SQRT(2*PI())/($A$44*$EJ48*SQRT($EO$1/$DY$1)))</f>
        <v>-2.644212344658739E-2</v>
      </c>
      <c r="ED48" s="63">
        <f t="shared" si="190"/>
        <v>-1678</v>
      </c>
      <c r="EE48" s="84">
        <f t="shared" si="166"/>
        <v>0.90469999999999995</v>
      </c>
      <c r="EF48" s="84">
        <f t="shared" si="167"/>
        <v>1.6084000000000001</v>
      </c>
      <c r="EG48" s="84">
        <f t="shared" si="168"/>
        <v>0.1905</v>
      </c>
      <c r="EH48" s="84">
        <f t="shared" si="169"/>
        <v>0.21840000000000001</v>
      </c>
      <c r="EI48" s="84">
        <f t="shared" si="170"/>
        <v>0.1847</v>
      </c>
      <c r="EJ48" s="84">
        <f t="shared" si="171"/>
        <v>0.1893</v>
      </c>
      <c r="EK48" s="63">
        <f t="shared" ca="1" si="191"/>
        <v>-8281920.1592904711</v>
      </c>
      <c r="EL48" s="83" t="str">
        <f>RTD("tos.rtd",,EL$43,"."&amp;$A$43&amp;$AS$42&amp;"C"&amp;$A48)</f>
        <v>90.47%</v>
      </c>
      <c r="EM48" s="83" t="str">
        <f>RTD("tos.rtd",,EM$43,"."&amp;$A$43&amp;$AS$42&amp;"P"&amp;$A48)</f>
        <v>160.84%</v>
      </c>
      <c r="EN48" s="83" t="str">
        <f>RTD("tos.rtd",,EN$2,"."&amp;$A$43&amp;$AU$1&amp;"C"&amp;$A48)</f>
        <v>19.05%</v>
      </c>
      <c r="EO48" s="83" t="str">
        <f>RTD("tos.rtd",,EO$2,"."&amp;$A$43&amp;$AU$1&amp;"P"&amp;$A48)</f>
        <v>21.84%</v>
      </c>
      <c r="EP48" s="83" t="str">
        <f>RTD("tos.rtd",,EP$2,"."&amp;$A$43&amp;$AW$1&amp;"C"&amp;$A48)</f>
        <v>18.47%</v>
      </c>
      <c r="EQ48" s="83" t="str">
        <f>RTD("tos.rtd",,EQ$2,"."&amp;$A$43&amp;$AW$1&amp;"P"&amp;$A48)</f>
        <v>18.93%</v>
      </c>
      <c r="ES48" s="63" t="str">
        <f t="shared" si="172"/>
        <v>529,-1678.00</v>
      </c>
      <c r="ET48" s="63" t="str">
        <f t="shared" ca="1" si="173"/>
        <v>529,57381.43</v>
      </c>
      <c r="EU48" s="67">
        <v>593.45000000000005</v>
      </c>
      <c r="EV48" s="67" t="s">
        <v>404</v>
      </c>
      <c r="EW48" s="67">
        <v>519.91</v>
      </c>
      <c r="EX48" s="67" t="s">
        <v>405</v>
      </c>
      <c r="EY48" s="67">
        <v>5944.5</v>
      </c>
      <c r="EZ48" s="67" t="s">
        <v>406</v>
      </c>
      <c r="FA48" s="67">
        <v>21339.75</v>
      </c>
      <c r="FB48" s="67" t="s">
        <v>407</v>
      </c>
      <c r="FC48" s="67" t="s">
        <v>408</v>
      </c>
      <c r="FD48" s="67" t="s">
        <v>409</v>
      </c>
      <c r="FE48" s="68" t="s">
        <v>410</v>
      </c>
      <c r="FF48" s="68" t="s">
        <v>411</v>
      </c>
    </row>
    <row r="49" spans="1:162" ht="13.5" thickBot="1" x14ac:dyDescent="0.25">
      <c r="A49" s="2">
        <f t="shared" si="192"/>
        <v>528</v>
      </c>
      <c r="B49" s="3">
        <f t="shared" ref="B49:B56" si="197">+IF($A$1="ABS",AS49-AT49,AS49+AT49)</f>
        <v>2073</v>
      </c>
      <c r="C49" s="3">
        <f t="shared" ref="C49:C56" si="198">+IF($A$1="ABS",AU49-AV49,AU49+AV49)</f>
        <v>2450</v>
      </c>
      <c r="D49" s="3">
        <f t="shared" ref="D49:D56" si="199">+IF($A$1="ABS",AW49-AX49,AW49+AX49)</f>
        <v>362</v>
      </c>
      <c r="E49" s="3">
        <f t="shared" ref="E49:E56" si="200">SUM(B49:D49)</f>
        <v>4885</v>
      </c>
      <c r="F49" s="4">
        <f t="shared" ref="F49:F56" si="201">+$F$44/$A$44*A49</f>
        <v>21765.787194734712</v>
      </c>
      <c r="AM49" s="1">
        <v>-1786</v>
      </c>
      <c r="AN49" s="1">
        <v>-3</v>
      </c>
      <c r="AO49" s="1">
        <v>528</v>
      </c>
      <c r="AP49" s="1">
        <v>6146</v>
      </c>
      <c r="AQ49" s="1">
        <v>-52</v>
      </c>
      <c r="AS49" s="6">
        <f>IF(RTD("tos.rtd",,AS$43,"."&amp;$A$43&amp;$AS$42&amp;"C"&amp;$A49)="N/A",0,RTD("tos.rtd",,AS$43,"."&amp;$A$43&amp;$AS$42&amp;"C"&amp;$A49))</f>
        <v>2008</v>
      </c>
      <c r="AT49" s="7">
        <f>-IF(RTD("tos.rtd",,AT$43,"."&amp;$A$43&amp;$AS$42&amp;"P"&amp;$A49)="N/A",0,RTD("tos.rtd",,AT$43,"."&amp;$A$43&amp;$AS$42&amp;"P"&amp;$A49))</f>
        <v>-65</v>
      </c>
      <c r="AU49" s="6">
        <f>IF(RTD("tos.rtd",,AU$2,"."&amp;$A$43&amp;$AU$1&amp;"C"&amp;$A49)="N/A",0,RTD("tos.rtd",,AU$2,"."&amp;$A$43&amp;$AU$1&amp;"C"&amp;$A49))</f>
        <v>2392</v>
      </c>
      <c r="AV49" s="7">
        <f>-IF(RTD("tos.rtd",,AV$2,"."&amp;$A$43&amp;$AU$1&amp;"P"&amp;$A49)="N/A",0,RTD("tos.rtd",,AV$2,"."&amp;$A$43&amp;$AU$1&amp;"P"&amp;$A49))</f>
        <v>-58</v>
      </c>
      <c r="AW49" s="6">
        <f>IF(RTD("tos.rtd",,AW$2,"."&amp;$A$43&amp;$AW$1&amp;"C"&amp;$A49)="N/A",0,RTD("tos.rtd",,AW$2,"."&amp;$A$43&amp;$AW$1&amp;"C"&amp;$A49))</f>
        <v>273</v>
      </c>
      <c r="AX49" s="7">
        <f>-IF(RTD("tos.rtd",,AX$2,"."&amp;$A$43&amp;$AW$1&amp;"P"&amp;$A49)="N/A",0,RTD("tos.rtd",,AX$2,"."&amp;$A$43&amp;$AW$1&amp;"P"&amp;$A49))</f>
        <v>-89</v>
      </c>
      <c r="AY49" s="7">
        <f t="shared" ref="AY49:AY56" si="202">SUM(AS49:AX49)</f>
        <v>4461</v>
      </c>
      <c r="AZ49" s="8">
        <f t="shared" si="146"/>
        <v>528</v>
      </c>
      <c r="BA49" s="6">
        <f>IF(RTD("tos.rtd",,BA$43,"."&amp;$A$43&amp;$AS$42&amp;"C"&amp;$A49)="N/A",0,RTD("tos.rtd",,BA$43,"."&amp;$A$43&amp;$AS$42&amp;"C"&amp;$A49))</f>
        <v>6146</v>
      </c>
      <c r="BB49" s="7">
        <f>-IF(RTD("tos.rtd",,BB$43,"."&amp;$A$43&amp;$AS$42&amp;"P"&amp;$A49)="N/A",0,RTD("tos.rtd",,BB$43,"."&amp;$A$43&amp;$AS$42&amp;"P"&amp;$A49))</f>
        <v>-52</v>
      </c>
      <c r="BC49" s="6">
        <f>IF(RTD("tos.rtd",,BC$2,"."&amp;$A$43&amp;$AU$1&amp;"C"&amp;$A49)="N/A",0,RTD("tos.rtd",,BC$2,"."&amp;$A$43&amp;$AU$1&amp;"C"&amp;$A49))</f>
        <v>1599</v>
      </c>
      <c r="BD49" s="7">
        <f>-IF(RTD("tos.rtd",,BD$2,"."&amp;$A$43&amp;$AU$1&amp;"P"&amp;$A49)="N/A",0,RTD("tos.rtd",,BD$2,"."&amp;$A$43&amp;$AU$1&amp;"P"&amp;$A49))</f>
        <v>-146</v>
      </c>
      <c r="BE49" s="6">
        <f>IF(RTD("tos.rtd",,BE$2,"."&amp;$A$43&amp;$AW$1&amp;"C"&amp;$A49)="N/A",0,RTD("tos.rtd",,BE$2,"."&amp;$A$43&amp;$AW$1&amp;"C"&amp;$A49))</f>
        <v>65</v>
      </c>
      <c r="BF49" s="7">
        <f>-IF(RTD("tos.rtd",,BF$2,"."&amp;$A$43&amp;$AW$1&amp;"P"&amp;$A49)="N/A",0,RTD("tos.rtd",,BF$2,"."&amp;$A$43&amp;$AW$1&amp;"P"&amp;$A49))</f>
        <v>-1</v>
      </c>
      <c r="BG49" s="32">
        <f ca="1">+Hoja2!Y50</f>
        <v>7118</v>
      </c>
      <c r="BH49" s="7">
        <f t="shared" ca="1" si="175"/>
        <v>14729</v>
      </c>
      <c r="BI49" s="8" t="str">
        <f t="shared" ca="1" si="193"/>
        <v/>
      </c>
      <c r="BJ49" s="83">
        <f ca="1">IF($BP$1=1,DX49,IF(RTD("tos.rtd",,BJ$43,"."&amp;$A$43&amp;$AS$42&amp;"C"&amp;$A49)="N/A",0,RTD("tos.rtd",,BJ$43,"."&amp;$A$43&amp;$AS$42&amp;"C"&amp;$A49)))</f>
        <v>2.1056627905526641E-2</v>
      </c>
      <c r="BK49" s="83">
        <f ca="1">IF($BP$1=1,DY49,-IF(RTD("tos.rtd",,BK$43,"."&amp;$A$43&amp;$AS$42&amp;"P"&amp;$A49)="N/A",0,RTD("tos.rtd",,BK$43,"."&amp;$A$43&amp;$AS$42&amp;"P"&amp;$A49)))</f>
        <v>-2.9214906540069759E-2</v>
      </c>
      <c r="BL49" s="83">
        <f ca="1">IF($BP$1=1,DZ49,IF(RTD("tos.rtd",,BL$2,"."&amp;$A$43&amp;$AU$1&amp;"C"&amp;$A49)="N/A",0,RTD("tos.rtd",,BL$2,"."&amp;$A$43&amp;$AU$1&amp;"C"&amp;$A49)))</f>
        <v>2.8369447168945735E-2</v>
      </c>
      <c r="BM49" s="83">
        <f ca="1">IF($BP$1=1,EA49,-IF(RTD("tos.rtd",,BM$2,"."&amp;$A$43&amp;$AU$1&amp;"P"&amp;$A49)="N/A",0,RTD("tos.rtd",,BM$2,"."&amp;$A$43&amp;$AU$1&amp;"P"&amp;$A49)))</f>
        <v>-2.6758550223369624E-2</v>
      </c>
      <c r="BN49" s="83">
        <f ca="1">IF($BP$1=1,EB49,IF(RTD("tos.rtd",,BN$2,"."&amp;$A$43&amp;$AW$1&amp;"C"&amp;$A49)="N/A",0,RTD("tos.rtd",,BN$2,"."&amp;$A$43&amp;$AW$1&amp;"C"&amp;$A49)))</f>
        <v>2.8735596210506382E-2</v>
      </c>
      <c r="BO49" s="83">
        <f ca="1">IF($BP$1=1,EC49,-IF(RTD("tos.rtd",,BO$2,"."&amp;$A$43&amp;$AW$1&amp;"P"&amp;$A49)="N/A",0,RTD("tos.rtd",,BO$2,"."&amp;$A$43&amp;$AW$1&amp;"P"&amp;$A49)))</f>
        <v>-2.8432658651682506E-2</v>
      </c>
      <c r="BQ49" s="83">
        <f t="shared" ref="BQ49:BQ56" ca="1" si="203">+$A$44*$A$44*AS49*BJ49-$A$44*$A$44*AT49*BK49</f>
        <v>10903959.121525813</v>
      </c>
      <c r="BR49" s="3" t="str">
        <f t="shared" ca="1" si="177"/>
        <v/>
      </c>
      <c r="BS49" s="83">
        <f t="shared" ref="BS49:BS56" ca="1" si="204">+$A$44*$A$44*AU49*BL49-$A$44*$A$44*AV49*BM49</f>
        <v>17904101.817991119</v>
      </c>
      <c r="BT49" s="3" t="str">
        <f t="shared" ca="1" si="179"/>
        <v/>
      </c>
      <c r="BU49" s="83">
        <f t="shared" ref="BU49:BU56" ca="1" si="205">+$A$44*$A$44*AW49*BN49-$A$44*$A$44*AX49*BO49</f>
        <v>1434945.5143351019</v>
      </c>
      <c r="BV49" s="83"/>
      <c r="BX49" s="83">
        <f t="shared" ref="BX49:BX56" ca="1" si="206">+$A$44*$A$44*BA49*BJ49-$A$44*$A$44*BB49*BK49</f>
        <v>34533573.701844275</v>
      </c>
      <c r="BY49" s="83" t="str">
        <f t="shared" ca="1" si="194"/>
        <v/>
      </c>
      <c r="BZ49" s="83">
        <f t="shared" ref="BZ49:BZ56" ca="1" si="207">+$A$44*$A$44*BC49*BL49-$A$44*$A$44*BD49*BM49</f>
        <v>11193755.18293469</v>
      </c>
      <c r="CA49" s="83" t="str">
        <f t="shared" ca="1" si="194"/>
        <v/>
      </c>
      <c r="CB49" s="83">
        <f t="shared" ref="CB49:CB56" ca="1" si="208">+$A$44*$A$44*BE49*BN49-$A$44*$A$44*BF49*BO49</f>
        <v>496661.10606234911</v>
      </c>
      <c r="CC49" s="83" t="str">
        <f t="shared" ca="1" si="194"/>
        <v/>
      </c>
      <c r="CD49" s="83">
        <f>IF(RTD("tos.rtd",,CD$43,"."&amp;$A$43&amp;$AS$42&amp;"C"&amp;$A49)="N/A",0,RTD("tos.rtd",,CD$43,"."&amp;$A$43&amp;$AS$42&amp;"C"&amp;$A49))</f>
        <v>0</v>
      </c>
      <c r="CE49" s="83">
        <f>-IF(RTD("tos.rtd",,CE$43,"."&amp;$A$43&amp;$AS$42&amp;"P"&amp;$A49)="N/A",0,RTD("tos.rtd",,CE$43,"."&amp;$A$43&amp;$AS$42&amp;"P"&amp;$A49))</f>
        <v>0.92</v>
      </c>
      <c r="CF49" s="83">
        <f>IF(RTD("tos.rtd",,CF$2,"."&amp;$A$43&amp;$AU$1&amp;"C"&amp;$A49)="N/A",0,RTD("tos.rtd",,CF$2,"."&amp;$A$43&amp;$AU$1&amp;"C"&amp;$A49))</f>
        <v>0.19</v>
      </c>
      <c r="CG49" s="83">
        <f>-IF(RTD("tos.rtd",,CG$2,"."&amp;$A$43&amp;$AU$1&amp;"P"&amp;$A49)="N/A",0,RTD("tos.rtd",,CG$2,"."&amp;$A$43&amp;$AU$1&amp;"P"&amp;$A49))</f>
        <v>0.79</v>
      </c>
      <c r="CH49" s="83">
        <f>IF(RTD("tos.rtd",,CH$2,"."&amp;$A$43&amp;$AW$1&amp;"C"&amp;$A49)="N/A",0,RTD("tos.rtd",,CH$2,"."&amp;$A$43&amp;$AW$1&amp;"C"&amp;$A49))</f>
        <v>0.42</v>
      </c>
      <c r="CI49" s="83">
        <f>-IF(RTD("tos.rtd",,CI$2,"."&amp;$A$43&amp;$AW$1&amp;"P"&amp;$A49)="N/A",0,RTD("tos.rtd",,CI$2,"."&amp;$A$43&amp;$AW$1&amp;"P"&amp;$A49))</f>
        <v>0.59</v>
      </c>
      <c r="CK49" s="83">
        <f t="shared" si="184"/>
        <v>-3107387.4</v>
      </c>
      <c r="CL49" s="83"/>
      <c r="CM49" s="83">
        <f t="shared" si="185"/>
        <v>21235199.579999998</v>
      </c>
      <c r="CN49" s="83"/>
      <c r="CO49" s="83">
        <f t="shared" si="186"/>
        <v>3229500.45</v>
      </c>
      <c r="CP49" s="83">
        <f t="shared" ref="CP49:CP56" si="209">+CK49+CM49+CO49</f>
        <v>21357312.629999999</v>
      </c>
      <c r="CQ49" s="83">
        <f t="shared" ref="CQ49:CQ56" si="210">+BA49+BB49</f>
        <v>6094</v>
      </c>
      <c r="CR49" s="83"/>
      <c r="CS49" s="83">
        <f t="shared" ref="CS49:CS56" si="211">+BC49+BD49</f>
        <v>1453</v>
      </c>
      <c r="CT49" s="83"/>
      <c r="CU49" s="83">
        <f t="shared" ref="CU49:CU56" si="212">+BE49+BF49</f>
        <v>64</v>
      </c>
      <c r="CV49" s="83"/>
      <c r="CW49" s="83">
        <f t="shared" ref="CW49:CW56" ca="1" si="213">+BQ49+BS49+BU49</f>
        <v>30243006.453852035</v>
      </c>
      <c r="CY49" s="83">
        <f t="shared" ref="CY49:CY56" ca="1" si="214">+BX49+BZ49+CB49</f>
        <v>46223989.990841314</v>
      </c>
      <c r="CZ49" s="70" t="str">
        <f t="shared" ca="1" si="195"/>
        <v/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8.85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10.57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6.5</v>
      </c>
      <c r="DG49" s="86">
        <f t="shared" si="187"/>
        <v>8.3700000000000045</v>
      </c>
      <c r="DH49" s="3">
        <f t="shared" si="152"/>
        <v>0</v>
      </c>
      <c r="DI49" s="3">
        <f t="shared" si="153"/>
        <v>0</v>
      </c>
      <c r="DJ49" s="3">
        <f t="shared" si="154"/>
        <v>0</v>
      </c>
      <c r="DK49" s="3">
        <f t="shared" si="155"/>
        <v>0</v>
      </c>
      <c r="DL49" s="3">
        <f t="shared" si="156"/>
        <v>0</v>
      </c>
      <c r="DM49" s="3">
        <f t="shared" si="157"/>
        <v>0</v>
      </c>
      <c r="DN49" s="64" t="str">
        <f t="shared" si="158"/>
        <v>UNKNOWN</v>
      </c>
      <c r="DO49" s="64" t="str">
        <f t="shared" si="159"/>
        <v>UNKNOWN</v>
      </c>
      <c r="DP49" s="83">
        <f t="shared" si="160"/>
        <v>0</v>
      </c>
      <c r="DQ49" s="83">
        <f t="shared" si="161"/>
        <v>0</v>
      </c>
      <c r="DR49" s="83">
        <f t="shared" ca="1" si="162"/>
        <v>0</v>
      </c>
      <c r="DS49" s="83">
        <f t="shared" si="163"/>
        <v>0</v>
      </c>
      <c r="DT49" s="83">
        <f t="shared" si="188"/>
        <v>0</v>
      </c>
      <c r="DU49" s="83">
        <f t="shared" si="189"/>
        <v>0</v>
      </c>
      <c r="DV49" s="83">
        <f t="shared" si="164"/>
        <v>-1786</v>
      </c>
      <c r="DW49" s="83">
        <f t="shared" si="165"/>
        <v>-3</v>
      </c>
      <c r="DX49" s="83">
        <f t="shared" ref="DX49:DX56" ca="1" si="215">(EXP(-POWER((LN($A$44/$A49)+($EC$1+POWER($EE49,2)/2)*($EM$1/$DY$1))/($EE49*SQRT($EM$1/$DY$1)),2)/2)/SQRT(2*PI())/($A$44*$EE49*SQRT($EM$1/$DY$1)))</f>
        <v>2.1056627905526641E-2</v>
      </c>
      <c r="DY49" s="83">
        <f t="shared" ref="DY49:DY56" ca="1" si="216">-(EXP(-POWER((LN($A$44/$A49)+($EC$1+POWER($EF49,2)/2)*($EM$1/$DY$1))/($EF49*SQRT($EM$1/$DY$1)),2)/2)/SQRT(2*PI())/($A$44*$EF49*SQRT($EM$1/$DY$1)))</f>
        <v>-2.9214906540069759E-2</v>
      </c>
      <c r="DZ49" s="83">
        <f t="shared" ref="DZ49:DZ56" ca="1" si="217">(EXP(-POWER((LN($A$44/$A49)+($EC$1+POWER($EG49,2)/2)*($EO$1/$DY$1))/($EG49*SQRT($EO$1/$DY$1)),2)/2)/SQRT(2*PI())/($A$44*$EG49*SQRT($EO$1/$DY$1)))</f>
        <v>2.8369447168945735E-2</v>
      </c>
      <c r="EA49" s="83">
        <f t="shared" ref="EA49:EA56" ca="1" si="218">-(EXP(-POWER((LN($A$44/$A49)+($EC$1+POWER($EH49,2)/2)*($EO$1/$DY$1))/($EH49*SQRT($EO$1/$DY$1)),2)/2)/SQRT(2*PI())/($A$44*$EH49*SQRT($EO$1/$DY$1)))</f>
        <v>-2.6758550223369624E-2</v>
      </c>
      <c r="EB49" s="83">
        <f t="shared" ref="EB49:EB56" ca="1" si="219">(EXP(-POWER((LN($A$44/$A49)+($EC$1+POWER($EI49,2)/2)*($EO$1/$DY$1))/($EI49*SQRT($EO$1/$DY$1)),2)/2)/SQRT(2*PI())/($A$44*$EI49*SQRT($EO$1/$DY$1)))</f>
        <v>2.8735596210506382E-2</v>
      </c>
      <c r="EC49" s="83">
        <f t="shared" ref="EC49:EC56" ca="1" si="220">-(EXP(-POWER((LN($A$44/$A49)+($EC$1+POWER($EJ49,2)/2)*($EO$1/$DY$1))/($EJ49*SQRT($EO$1/$DY$1)),2)/2)/SQRT(2*PI())/($A$44*$EJ49*SQRT($EO$1/$DY$1)))</f>
        <v>-2.8432658651682506E-2</v>
      </c>
      <c r="ED49" s="63">
        <f t="shared" si="190"/>
        <v>-1789</v>
      </c>
      <c r="EE49" s="84">
        <f t="shared" ref="EE49:EE56" si="221">IFERROR(VALUE(IF(OR(EL49="--",EL49="0.00%"),$EE$1,EL49)),$EE$1)</f>
        <v>0.81879999999999997</v>
      </c>
      <c r="EF49" s="84">
        <f t="shared" ref="EF49:EF56" si="222">IFERROR(VALUE(IF(OR(EM49="--",EM49="0.00%"),$EE$1,EM49)),$EE$1)</f>
        <v>1.4375</v>
      </c>
      <c r="EG49" s="84">
        <f t="shared" ref="EG49:EG56" si="223">IFERROR(VALUE(IF(OR(EN49="--",EN49="0.00%"),$EE$1,EN49)),$EE$1)</f>
        <v>0.1913</v>
      </c>
      <c r="EH49" s="84">
        <f t="shared" ref="EH49:EH56" si="224">IFERROR(VALUE(IF(OR(EO49="--",EO49="0.00%"),$EE$1,EO49)),$EE$1)</f>
        <v>0.2155</v>
      </c>
      <c r="EI49" s="84">
        <f t="shared" ref="EI49:EI56" si="225">IFERROR(VALUE(IF(OR(EP49="--",EP49="0.00%"),$EE$1,EP49)),$EE$1)</f>
        <v>0.18540000000000001</v>
      </c>
      <c r="EJ49" s="84">
        <f t="shared" ref="EJ49:EJ56" si="226">IFERROR(VALUE(IF(OR(EQ49="--",EQ49="0.00%"),$EE$1,EQ49)),$EE$1)</f>
        <v>0.1903</v>
      </c>
      <c r="EK49" s="63">
        <f t="shared" ca="1" si="191"/>
        <v>-10130838.467013491</v>
      </c>
      <c r="EL49" s="83" t="str">
        <f>RTD("tos.rtd",,EL$43,"."&amp;$A$43&amp;$AS$42&amp;"C"&amp;$A49)</f>
        <v>81.88%</v>
      </c>
      <c r="EM49" s="83" t="str">
        <f>RTD("tos.rtd",,EM$43,"."&amp;$A$43&amp;$AS$42&amp;"P"&amp;$A49)</f>
        <v>143.75%</v>
      </c>
      <c r="EN49" s="83" t="str">
        <f>RTD("tos.rtd",,EN$2,"."&amp;$A$43&amp;$AU$1&amp;"C"&amp;$A49)</f>
        <v>19.13%</v>
      </c>
      <c r="EO49" s="83" t="str">
        <f>RTD("tos.rtd",,EO$2,"."&amp;$A$43&amp;$AU$1&amp;"P"&amp;$A49)</f>
        <v>21.55%</v>
      </c>
      <c r="EP49" s="83" t="str">
        <f>RTD("tos.rtd",,EP$2,"."&amp;$A$43&amp;$AW$1&amp;"C"&amp;$A49)</f>
        <v>18.54%</v>
      </c>
      <c r="EQ49" s="83" t="str">
        <f>RTD("tos.rtd",,EQ$2,"."&amp;$A$43&amp;$AW$1&amp;"P"&amp;$A49)</f>
        <v>19.03%</v>
      </c>
      <c r="ES49" s="63" t="str">
        <f t="shared" si="172"/>
        <v>528,-1789.00</v>
      </c>
      <c r="ET49" s="63" t="str">
        <f t="shared" ca="1" si="173"/>
        <v>528,46223.99</v>
      </c>
      <c r="EU49" s="67">
        <v>593.44000000000005</v>
      </c>
      <c r="EV49" s="67" t="s">
        <v>412</v>
      </c>
      <c r="EW49" s="67">
        <v>519.92999999999995</v>
      </c>
      <c r="EX49" s="67" t="s">
        <v>413</v>
      </c>
      <c r="EY49" s="67">
        <v>5944.75</v>
      </c>
      <c r="EZ49" s="67" t="s">
        <v>414</v>
      </c>
      <c r="FA49" s="67">
        <v>21340.75</v>
      </c>
      <c r="FB49" s="67" t="s">
        <v>415</v>
      </c>
      <c r="FC49" s="67" t="s">
        <v>416</v>
      </c>
      <c r="FD49" s="67" t="s">
        <v>417</v>
      </c>
      <c r="FE49" s="68" t="s">
        <v>418</v>
      </c>
      <c r="FF49" s="68" t="s">
        <v>419</v>
      </c>
    </row>
    <row r="50" spans="1:162" ht="13.5" thickBot="1" x14ac:dyDescent="0.25">
      <c r="A50" s="2">
        <f t="shared" si="192"/>
        <v>527</v>
      </c>
      <c r="B50" s="3">
        <f t="shared" si="197"/>
        <v>4769</v>
      </c>
      <c r="C50" s="3">
        <f t="shared" si="198"/>
        <v>1098</v>
      </c>
      <c r="D50" s="3">
        <f t="shared" si="199"/>
        <v>201</v>
      </c>
      <c r="E50" s="3">
        <f t="shared" si="200"/>
        <v>6068</v>
      </c>
      <c r="F50" s="4">
        <f t="shared" si="201"/>
        <v>21724.564112926502</v>
      </c>
      <c r="AM50" s="1">
        <v>-921</v>
      </c>
      <c r="AN50" s="1">
        <v>-46</v>
      </c>
      <c r="AO50" s="1">
        <v>527</v>
      </c>
      <c r="AP50" s="1">
        <v>5775</v>
      </c>
      <c r="AQ50" s="1">
        <v>-120</v>
      </c>
      <c r="AS50" s="6">
        <f>IF(RTD("tos.rtd",,AS$43,"."&amp;$A$43&amp;$AS$42&amp;"C"&amp;$A50)="N/A",0,RTD("tos.rtd",,AS$43,"."&amp;$A$43&amp;$AS$42&amp;"C"&amp;$A50))</f>
        <v>4693</v>
      </c>
      <c r="AT50" s="7">
        <f>-IF(RTD("tos.rtd",,AT$43,"."&amp;$A$43&amp;$AS$42&amp;"P"&amp;$A50)="N/A",0,RTD("tos.rtd",,AT$43,"."&amp;$A$43&amp;$AS$42&amp;"P"&amp;$A50))</f>
        <v>-76</v>
      </c>
      <c r="AU50" s="6">
        <f>IF(RTD("tos.rtd",,AU$2,"."&amp;$A$43&amp;$AU$1&amp;"C"&amp;$A50)="N/A",0,RTD("tos.rtd",,AU$2,"."&amp;$A$43&amp;$AU$1&amp;"C"&amp;$A50))</f>
        <v>1017</v>
      </c>
      <c r="AV50" s="7">
        <f>-IF(RTD("tos.rtd",,AV$2,"."&amp;$A$43&amp;$AU$1&amp;"P"&amp;$A50)="N/A",0,RTD("tos.rtd",,AV$2,"."&amp;$A$43&amp;$AU$1&amp;"P"&amp;$A50))</f>
        <v>-81</v>
      </c>
      <c r="AW50" s="6">
        <f>IF(RTD("tos.rtd",,AW$2,"."&amp;$A$43&amp;$AW$1&amp;"C"&amp;$A50)="N/A",0,RTD("tos.rtd",,AW$2,"."&amp;$A$43&amp;$AW$1&amp;"C"&amp;$A50))</f>
        <v>201</v>
      </c>
      <c r="AX50" s="7">
        <f>-IF(RTD("tos.rtd",,AX$2,"."&amp;$A$43&amp;$AW$1&amp;"P"&amp;$A50)="N/A",0,RTD("tos.rtd",,AX$2,"."&amp;$A$43&amp;$AW$1&amp;"P"&amp;$A50))</f>
        <v>0</v>
      </c>
      <c r="AY50" s="7">
        <f t="shared" si="202"/>
        <v>5754</v>
      </c>
      <c r="AZ50" s="8">
        <f t="shared" si="146"/>
        <v>527</v>
      </c>
      <c r="BA50" s="6">
        <f>IF(RTD("tos.rtd",,BA$43,"."&amp;$A$43&amp;$AS$42&amp;"C"&amp;$A50)="N/A",0,RTD("tos.rtd",,BA$43,"."&amp;$A$43&amp;$AS$42&amp;"C"&amp;$A50))</f>
        <v>5775</v>
      </c>
      <c r="BB50" s="7">
        <f>-IF(RTD("tos.rtd",,BB$43,"."&amp;$A$43&amp;$AS$42&amp;"P"&amp;$A50)="N/A",0,RTD("tos.rtd",,BB$43,"."&amp;$A$43&amp;$AS$42&amp;"P"&amp;$A50))</f>
        <v>-120</v>
      </c>
      <c r="BC50" s="6">
        <f>IF(RTD("tos.rtd",,BC$2,"."&amp;$A$43&amp;$AU$1&amp;"C"&amp;$A50)="N/A",0,RTD("tos.rtd",,BC$2,"."&amp;$A$43&amp;$AU$1&amp;"C"&amp;$A50))</f>
        <v>1484</v>
      </c>
      <c r="BD50" s="7">
        <f>-IF(RTD("tos.rtd",,BD$2,"."&amp;$A$43&amp;$AU$1&amp;"P"&amp;$A50)="N/A",0,RTD("tos.rtd",,BD$2,"."&amp;$A$43&amp;$AU$1&amp;"P"&amp;$A50))</f>
        <v>-75</v>
      </c>
      <c r="BE50" s="6">
        <f>IF(RTD("tos.rtd",,BE$2,"."&amp;$A$43&amp;$AW$1&amp;"C"&amp;$A50)="N/A",0,RTD("tos.rtd",,BE$2,"."&amp;$A$43&amp;$AW$1&amp;"C"&amp;$A50))</f>
        <v>39</v>
      </c>
      <c r="BF50" s="7">
        <f>-IF(RTD("tos.rtd",,BF$2,"."&amp;$A$43&amp;$AW$1&amp;"P"&amp;$A50)="N/A",0,RTD("tos.rtd",,BF$2,"."&amp;$A$43&amp;$AW$1&amp;"P"&amp;$A50))</f>
        <v>-75</v>
      </c>
      <c r="BG50" s="32">
        <f ca="1">+Hoja2!Y51</f>
        <v>6327</v>
      </c>
      <c r="BH50" s="7">
        <f t="shared" ca="1" si="175"/>
        <v>13355</v>
      </c>
      <c r="BI50" s="8" t="str">
        <f t="shared" ca="1" si="193"/>
        <v/>
      </c>
      <c r="BJ50" s="83">
        <f ca="1">IF($BP$1=1,DX50,IF(RTD("tos.rtd",,BJ$43,"."&amp;$A$43&amp;$AS$42&amp;"C"&amp;$A50)="N/A",0,RTD("tos.rtd",,BJ$43,"."&amp;$A$43&amp;$AS$42&amp;"C"&amp;$A50)))</f>
        <v>2.4415461347722343E-2</v>
      </c>
      <c r="BK50" s="83">
        <f ca="1">IF($BP$1=1,DY50,-IF(RTD("tos.rtd",,BK$43,"."&amp;$A$43&amp;$AS$42&amp;"P"&amp;$A50)="N/A",0,RTD("tos.rtd",,BK$43,"."&amp;$A$43&amp;$AS$42&amp;"P"&amp;$A50)))</f>
        <v>-3.2886408367747581E-2</v>
      </c>
      <c r="BL50" s="83">
        <f ca="1">IF($BP$1=1,DZ50,IF(RTD("tos.rtd",,BL$2,"."&amp;$A$43&amp;$AU$1&amp;"C"&amp;$A50)="N/A",0,RTD("tos.rtd",,BL$2,"."&amp;$A$43&amp;$AU$1&amp;"C"&amp;$A50)))</f>
        <v>3.0277254933301061E-2</v>
      </c>
      <c r="BM50" s="83">
        <f ca="1">IF($BP$1=1,EA50,-IF(RTD("tos.rtd",,BM$2,"."&amp;$A$43&amp;$AU$1&amp;"P"&amp;$A50)="N/A",0,RTD("tos.rtd",,BM$2,"."&amp;$A$43&amp;$AU$1&amp;"P"&amp;$A50)))</f>
        <v>-3.2284848319443067E-2</v>
      </c>
      <c r="BN50" s="83">
        <f ca="1">IF($BP$1=1,EB50,IF(RTD("tos.rtd",,BN$2,"."&amp;$A$43&amp;$AW$1&amp;"C"&amp;$A50)="N/A",0,RTD("tos.rtd",,BN$2,"."&amp;$A$43&amp;$AW$1&amp;"C"&amp;$A50)))</f>
        <v>3.0595553992722263E-2</v>
      </c>
      <c r="BO50" s="83">
        <f ca="1">IF($BP$1=1,EC50,-IF(RTD("tos.rtd",,BO$2,"."&amp;$A$43&amp;$AW$1&amp;"P"&amp;$A50)="N/A",0,RTD("tos.rtd",,BO$2,"."&amp;$A$43&amp;$AW$1&amp;"P"&amp;$A50)))</f>
        <v>-3.0303795467368232E-2</v>
      </c>
      <c r="BQ50" s="83">
        <f t="shared" ca="1" si="203"/>
        <v>30263965.125060536</v>
      </c>
      <c r="BR50" s="3" t="str">
        <f t="shared" ca="1" si="177"/>
        <v/>
      </c>
      <c r="BS50" s="83">
        <f t="shared" ca="1" si="204"/>
        <v>7608193.9456183305</v>
      </c>
      <c r="BT50" s="3" t="str">
        <f t="shared" ca="1" si="179"/>
        <v/>
      </c>
      <c r="BU50" s="83">
        <f t="shared" ca="1" si="205"/>
        <v>1660515.0326163955</v>
      </c>
      <c r="BV50" s="83"/>
      <c r="BX50" s="83">
        <f t="shared" ca="1" si="206"/>
        <v>37006390.442254066</v>
      </c>
      <c r="BY50" s="83" t="str">
        <f t="shared" ca="1" si="194"/>
        <v/>
      </c>
      <c r="BZ50" s="83">
        <f t="shared" ca="1" si="207"/>
        <v>11478374.301093662</v>
      </c>
      <c r="CA50" s="83" t="str">
        <f t="shared" ca="1" si="194"/>
        <v/>
      </c>
      <c r="CB50" s="83">
        <f t="shared" ca="1" si="208"/>
        <v>-291497.23174476478</v>
      </c>
      <c r="CC50" s="83" t="str">
        <f t="shared" ca="1" si="194"/>
        <v>Cruce -</v>
      </c>
      <c r="CD50" s="83">
        <f>IF(RTD("tos.rtd",,CD$43,"."&amp;$A$43&amp;$AS$42&amp;"C"&amp;$A50)="N/A",0,RTD("tos.rtd",,CD$43,"."&amp;$A$43&amp;$AS$42&amp;"C"&amp;$A50))</f>
        <v>0.01</v>
      </c>
      <c r="CE50" s="83">
        <f>-IF(RTD("tos.rtd",,CE$43,"."&amp;$A$43&amp;$AS$42&amp;"P"&amp;$A50)="N/A",0,RTD("tos.rtd",,CE$43,"."&amp;$A$43&amp;$AS$42&amp;"P"&amp;$A50))</f>
        <v>0.92</v>
      </c>
      <c r="CF50" s="83">
        <f>IF(RTD("tos.rtd",,CF$2,"."&amp;$A$43&amp;$AU$1&amp;"C"&amp;$A50)="N/A",0,RTD("tos.rtd",,CF$2,"."&amp;$A$43&amp;$AU$1&amp;"C"&amp;$A50))</f>
        <v>0.22</v>
      </c>
      <c r="CG50" s="83">
        <f>-IF(RTD("tos.rtd",,CG$2,"."&amp;$A$43&amp;$AU$1&amp;"P"&amp;$A50)="N/A",0,RTD("tos.rtd",,CG$2,"."&amp;$A$43&amp;$AU$1&amp;"P"&amp;$A50))</f>
        <v>0.82</v>
      </c>
      <c r="CH50" s="83">
        <f>IF(RTD("tos.rtd",,CH$2,"."&amp;$A$43&amp;$AW$1&amp;"C"&amp;$A50)="N/A",0,RTD("tos.rtd",,CH$2,"."&amp;$A$43&amp;$AW$1&amp;"C"&amp;$A50))</f>
        <v>0.43</v>
      </c>
      <c r="CI50" s="83">
        <f>-IF(RTD("tos.rtd",,CI$2,"."&amp;$A$43&amp;$AW$1&amp;"P"&amp;$A50)="N/A",0,RTD("tos.rtd",,CI$2,"."&amp;$A$43&amp;$AW$1&amp;"P"&amp;$A50))</f>
        <v>0.56999999999999995</v>
      </c>
      <c r="CK50" s="83">
        <f t="shared" si="184"/>
        <v>20752982.939999998</v>
      </c>
      <c r="CL50" s="83"/>
      <c r="CM50" s="83">
        <f t="shared" si="185"/>
        <v>8174819.1599999992</v>
      </c>
      <c r="CN50" s="83"/>
      <c r="CO50" s="83">
        <f t="shared" si="186"/>
        <v>4491162.09</v>
      </c>
      <c r="CP50" s="83">
        <f t="shared" si="209"/>
        <v>33418964.189999998</v>
      </c>
      <c r="CQ50" s="83">
        <f t="shared" si="210"/>
        <v>5655</v>
      </c>
      <c r="CR50" s="83"/>
      <c r="CS50" s="83">
        <f t="shared" si="211"/>
        <v>1409</v>
      </c>
      <c r="CT50" s="83"/>
      <c r="CU50" s="83">
        <f t="shared" si="212"/>
        <v>-36</v>
      </c>
      <c r="CV50" s="83"/>
      <c r="CW50" s="83">
        <f t="shared" ca="1" si="213"/>
        <v>39532674.103295267</v>
      </c>
      <c r="CY50" s="83">
        <f t="shared" ca="1" si="214"/>
        <v>48193267.511602961</v>
      </c>
      <c r="CZ50" s="70" t="str">
        <f t="shared" ca="1" si="195"/>
        <v/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6.73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9.59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5.5</v>
      </c>
      <c r="DG50" s="86">
        <f t="shared" si="187"/>
        <v>7.3700000000000045</v>
      </c>
      <c r="DH50" s="3">
        <f t="shared" si="152"/>
        <v>0</v>
      </c>
      <c r="DI50" s="3">
        <f t="shared" si="153"/>
        <v>0</v>
      </c>
      <c r="DJ50" s="3">
        <f t="shared" si="154"/>
        <v>0</v>
      </c>
      <c r="DK50" s="3">
        <f t="shared" si="155"/>
        <v>0</v>
      </c>
      <c r="DL50" s="3">
        <f t="shared" si="156"/>
        <v>0</v>
      </c>
      <c r="DM50" s="3">
        <f t="shared" si="157"/>
        <v>0</v>
      </c>
      <c r="DN50" s="64" t="str">
        <f t="shared" si="158"/>
        <v>UNKNOWN</v>
      </c>
      <c r="DO50" s="64" t="str">
        <f t="shared" si="159"/>
        <v>UNKNOWN</v>
      </c>
      <c r="DP50" s="83">
        <f t="shared" si="160"/>
        <v>0</v>
      </c>
      <c r="DQ50" s="83">
        <f t="shared" si="161"/>
        <v>0</v>
      </c>
      <c r="DR50" s="83">
        <f t="shared" ca="1" si="162"/>
        <v>0</v>
      </c>
      <c r="DS50" s="83">
        <f t="shared" si="163"/>
        <v>0</v>
      </c>
      <c r="DT50" s="83">
        <f t="shared" si="188"/>
        <v>0</v>
      </c>
      <c r="DU50" s="83">
        <f t="shared" si="189"/>
        <v>0</v>
      </c>
      <c r="DV50" s="83">
        <f t="shared" si="164"/>
        <v>-921</v>
      </c>
      <c r="DW50" s="83">
        <f t="shared" si="165"/>
        <v>-46</v>
      </c>
      <c r="DX50" s="83">
        <f t="shared" ca="1" si="215"/>
        <v>2.4415461347722343E-2</v>
      </c>
      <c r="DY50" s="83">
        <f t="shared" ca="1" si="216"/>
        <v>-3.2886408367747581E-2</v>
      </c>
      <c r="DZ50" s="83">
        <f t="shared" ca="1" si="217"/>
        <v>3.0277254933301061E-2</v>
      </c>
      <c r="EA50" s="83">
        <f t="shared" ca="1" si="218"/>
        <v>-3.2284848319443067E-2</v>
      </c>
      <c r="EB50" s="83">
        <f t="shared" ca="1" si="219"/>
        <v>3.0595553992722263E-2</v>
      </c>
      <c r="EC50" s="83">
        <f t="shared" ca="1" si="220"/>
        <v>-3.0303795467368232E-2</v>
      </c>
      <c r="ED50" s="63">
        <f t="shared" si="190"/>
        <v>-967</v>
      </c>
      <c r="EE50" s="84">
        <f t="shared" si="221"/>
        <v>0.7319</v>
      </c>
      <c r="EF50" s="84">
        <f t="shared" si="222"/>
        <v>1.3179000000000001</v>
      </c>
      <c r="EG50" s="84">
        <f t="shared" si="223"/>
        <v>0.19120000000000001</v>
      </c>
      <c r="EH50" s="84">
        <f t="shared" si="224"/>
        <v>0.16800000000000001</v>
      </c>
      <c r="EI50" s="84">
        <f t="shared" si="225"/>
        <v>0.18759999999999999</v>
      </c>
      <c r="EJ50" s="84">
        <f t="shared" si="226"/>
        <v>0.19089999999999999</v>
      </c>
      <c r="EK50" s="63">
        <f t="shared" ca="1" si="191"/>
        <v>-5663265.2554825926</v>
      </c>
      <c r="EL50" s="83" t="str">
        <f>RTD("tos.rtd",,EL$43,"."&amp;$A$43&amp;$AS$42&amp;"C"&amp;$A50)</f>
        <v>73.19%</v>
      </c>
      <c r="EM50" s="83" t="str">
        <f>RTD("tos.rtd",,EM$43,"."&amp;$A$43&amp;$AS$42&amp;"P"&amp;$A50)</f>
        <v>131.79%</v>
      </c>
      <c r="EN50" s="83" t="str">
        <f>RTD("tos.rtd",,EN$2,"."&amp;$A$43&amp;$AU$1&amp;"C"&amp;$A50)</f>
        <v>19.12%</v>
      </c>
      <c r="EO50" s="83" t="str">
        <f>RTD("tos.rtd",,EO$2,"."&amp;$A$43&amp;$AU$1&amp;"P"&amp;$A50)</f>
        <v>16.80%</v>
      </c>
      <c r="EP50" s="83" t="str">
        <f>RTD("tos.rtd",,EP$2,"."&amp;$A$43&amp;$AW$1&amp;"C"&amp;$A50)</f>
        <v>18.76%</v>
      </c>
      <c r="EQ50" s="83" t="str">
        <f>RTD("tos.rtd",,EQ$2,"."&amp;$A$43&amp;$AW$1&amp;"P"&amp;$A50)</f>
        <v>19.09%</v>
      </c>
      <c r="ES50" s="63" t="str">
        <f t="shared" si="172"/>
        <v>527,-967.00</v>
      </c>
      <c r="ET50" s="63" t="str">
        <f t="shared" ca="1" si="173"/>
        <v>527,48193.27</v>
      </c>
      <c r="EU50" s="67">
        <v>593.44000000000005</v>
      </c>
      <c r="EV50" s="67" t="s">
        <v>420</v>
      </c>
      <c r="EW50" s="67">
        <v>519.91999999999996</v>
      </c>
      <c r="EX50" s="67" t="s">
        <v>421</v>
      </c>
      <c r="EY50" s="67">
        <v>5944.75</v>
      </c>
      <c r="EZ50" s="67" t="s">
        <v>422</v>
      </c>
      <c r="FA50" s="67">
        <v>21340.75</v>
      </c>
      <c r="FB50" s="67" t="s">
        <v>423</v>
      </c>
      <c r="FC50" s="67" t="s">
        <v>424</v>
      </c>
      <c r="FD50" s="67" t="s">
        <v>425</v>
      </c>
      <c r="FE50" s="68" t="s">
        <v>426</v>
      </c>
      <c r="FF50" s="68" t="s">
        <v>427</v>
      </c>
    </row>
    <row r="51" spans="1:162" ht="13.5" thickBot="1" x14ac:dyDescent="0.25">
      <c r="A51" s="2">
        <f t="shared" si="192"/>
        <v>526</v>
      </c>
      <c r="B51" s="3">
        <f t="shared" si="197"/>
        <v>6491</v>
      </c>
      <c r="C51" s="3">
        <f t="shared" si="198"/>
        <v>1342</v>
      </c>
      <c r="D51" s="3">
        <f t="shared" si="199"/>
        <v>462</v>
      </c>
      <c r="E51" s="3">
        <f t="shared" si="200"/>
        <v>8295</v>
      </c>
      <c r="F51" s="4">
        <f t="shared" si="201"/>
        <v>21683.341031118292</v>
      </c>
      <c r="AM51" s="1">
        <v>4237</v>
      </c>
      <c r="AN51" s="1">
        <v>-29</v>
      </c>
      <c r="AO51" s="1">
        <v>526</v>
      </c>
      <c r="AP51" s="1">
        <v>15179</v>
      </c>
      <c r="AQ51" s="1">
        <v>-385</v>
      </c>
      <c r="AS51" s="6">
        <f>IF(RTD("tos.rtd",,AS$43,"."&amp;$A$43&amp;$AS$42&amp;"C"&amp;$A51)="N/A",0,RTD("tos.rtd",,AS$43,"."&amp;$A$43&amp;$AS$42&amp;"C"&amp;$A51))</f>
        <v>6340</v>
      </c>
      <c r="AT51" s="7">
        <f>-IF(RTD("tos.rtd",,AT$43,"."&amp;$A$43&amp;$AS$42&amp;"P"&amp;$A51)="N/A",0,RTD("tos.rtd",,AT$43,"."&amp;$A$43&amp;$AS$42&amp;"P"&amp;$A51))</f>
        <v>-151</v>
      </c>
      <c r="AU51" s="6">
        <f>IF(RTD("tos.rtd",,AU$2,"."&amp;$A$43&amp;$AU$1&amp;"C"&amp;$A51)="N/A",0,RTD("tos.rtd",,AU$2,"."&amp;$A$43&amp;$AU$1&amp;"C"&amp;$A51))</f>
        <v>1074</v>
      </c>
      <c r="AV51" s="7">
        <f>-IF(RTD("tos.rtd",,AV$2,"."&amp;$A$43&amp;$AU$1&amp;"P"&amp;$A51)="N/A",0,RTD("tos.rtd",,AV$2,"."&amp;$A$43&amp;$AU$1&amp;"P"&amp;$A51))</f>
        <v>-268</v>
      </c>
      <c r="AW51" s="6">
        <f>IF(RTD("tos.rtd",,AW$2,"."&amp;$A$43&amp;$AW$1&amp;"C"&amp;$A51)="N/A",0,RTD("tos.rtd",,AW$2,"."&amp;$A$43&amp;$AW$1&amp;"C"&amp;$A51))</f>
        <v>457</v>
      </c>
      <c r="AX51" s="7">
        <f>-IF(RTD("tos.rtd",,AX$2,"."&amp;$A$43&amp;$AW$1&amp;"P"&amp;$A51)="N/A",0,RTD("tos.rtd",,AX$2,"."&amp;$A$43&amp;$AW$1&amp;"P"&amp;$A51))</f>
        <v>-5</v>
      </c>
      <c r="AY51" s="7">
        <f t="shared" si="202"/>
        <v>7447</v>
      </c>
      <c r="AZ51" s="8">
        <f t="shared" si="146"/>
        <v>526</v>
      </c>
      <c r="BA51" s="6">
        <f>IF(RTD("tos.rtd",,BA$43,"."&amp;$A$43&amp;$AS$42&amp;"C"&amp;$A51)="N/A",0,RTD("tos.rtd",,BA$43,"."&amp;$A$43&amp;$AS$42&amp;"C"&amp;$A51))</f>
        <v>15179</v>
      </c>
      <c r="BB51" s="7">
        <f>-IF(RTD("tos.rtd",,BB$43,"."&amp;$A$43&amp;$AS$42&amp;"P"&amp;$A51)="N/A",0,RTD("tos.rtd",,BB$43,"."&amp;$A$43&amp;$AS$42&amp;"P"&amp;$A51))</f>
        <v>-385</v>
      </c>
      <c r="BC51" s="6">
        <f>IF(RTD("tos.rtd",,BC$2,"."&amp;$A$43&amp;$AU$1&amp;"C"&amp;$A51)="N/A",0,RTD("tos.rtd",,BC$2,"."&amp;$A$43&amp;$AU$1&amp;"C"&amp;$A51))</f>
        <v>2026</v>
      </c>
      <c r="BD51" s="7">
        <f>-IF(RTD("tos.rtd",,BD$2,"."&amp;$A$43&amp;$AU$1&amp;"P"&amp;$A51)="N/A",0,RTD("tos.rtd",,BD$2,"."&amp;$A$43&amp;$AU$1&amp;"P"&amp;$A51))</f>
        <v>-206</v>
      </c>
      <c r="BE51" s="6">
        <f>IF(RTD("tos.rtd",,BE$2,"."&amp;$A$43&amp;$AW$1&amp;"C"&amp;$A51)="N/A",0,RTD("tos.rtd",,BE$2,"."&amp;$A$43&amp;$AW$1&amp;"C"&amp;$A51))</f>
        <v>104</v>
      </c>
      <c r="BF51" s="7">
        <f>-IF(RTD("tos.rtd",,BF$2,"."&amp;$A$43&amp;$AW$1&amp;"P"&amp;$A51)="N/A",0,RTD("tos.rtd",,BF$2,"."&amp;$A$43&amp;$AW$1&amp;"P"&amp;$A51))</f>
        <v>-5</v>
      </c>
      <c r="BG51" s="32">
        <f ca="1">+Hoja2!Y52</f>
        <v>5480</v>
      </c>
      <c r="BH51" s="7">
        <f t="shared" ca="1" si="175"/>
        <v>22193</v>
      </c>
      <c r="BI51" s="8" t="str">
        <f t="shared" ca="1" si="193"/>
        <v/>
      </c>
      <c r="BJ51" s="83">
        <f ca="1">IF($BP$1=1,DX51,IF(RTD("tos.rtd",,BJ$43,"."&amp;$A$43&amp;$AS$42&amp;"C"&amp;$A51)="N/A",0,RTD("tos.rtd",,BJ$43,"."&amp;$A$43&amp;$AS$42&amp;"C"&amp;$A51)))</f>
        <v>2.8907293681657432E-2</v>
      </c>
      <c r="BK51" s="83">
        <f ca="1">IF($BP$1=1,DY51,-IF(RTD("tos.rtd",,BK$43,"."&amp;$A$43&amp;$AS$42&amp;"P"&amp;$A51)="N/A",0,RTD("tos.rtd",,BK$43,"."&amp;$A$43&amp;$AS$42&amp;"P"&amp;$A51)))</f>
        <v>-3.7684562553885213E-2</v>
      </c>
      <c r="BL51" s="83">
        <f ca="1">IF($BP$1=1,DZ51,IF(RTD("tos.rtd",,BL$2,"."&amp;$A$43&amp;$AU$1&amp;"C"&amp;$A51)="N/A",0,RTD("tos.rtd",,BL$2,"."&amp;$A$43&amp;$AU$1&amp;"C"&amp;$A51)))</f>
        <v>3.1932120584793292E-2</v>
      </c>
      <c r="BM51" s="83">
        <f ca="1">IF($BP$1=1,EA51,-IF(RTD("tos.rtd",,BM$2,"."&amp;$A$43&amp;$AU$1&amp;"P"&amp;$A51)="N/A",0,RTD("tos.rtd",,BM$2,"."&amp;$A$43&amp;$AU$1&amp;"P"&amp;$A51)))</f>
        <v>-2.9929450912738183E-2</v>
      </c>
      <c r="BN51" s="83">
        <f ca="1">IF($BP$1=1,EB51,IF(RTD("tos.rtd",,BN$2,"."&amp;$A$43&amp;$AW$1&amp;"C"&amp;$A51)="N/A",0,RTD("tos.rtd",,BN$2,"."&amp;$A$43&amp;$AW$1&amp;"C"&amp;$A51)))</f>
        <v>3.244223929220387E-2</v>
      </c>
      <c r="BO51" s="83">
        <f ca="1">IF($BP$1=1,EC51,-IF(RTD("tos.rtd",,BO$2,"."&amp;$A$43&amp;$AW$1&amp;"P"&amp;$A51)="N/A",0,RTD("tos.rtd",,BO$2,"."&amp;$A$43&amp;$AW$1&amp;"P"&amp;$A51)))</f>
        <v>-3.1763941439014939E-2</v>
      </c>
      <c r="BQ51" s="83">
        <f t="shared" ca="1" si="203"/>
        <v>47949829.264367245</v>
      </c>
      <c r="BR51" s="3" t="str">
        <f t="shared" ca="1" si="177"/>
        <v/>
      </c>
      <c r="BS51" s="83">
        <f t="shared" ca="1" si="204"/>
        <v>7094384.2209147485</v>
      </c>
      <c r="BT51" s="3" t="str">
        <f t="shared" ca="1" si="179"/>
        <v/>
      </c>
      <c r="BU51" s="83">
        <f t="shared" ca="1" si="205"/>
        <v>3960391.5359849669</v>
      </c>
      <c r="BV51" s="83"/>
      <c r="BX51" s="83">
        <f t="shared" ca="1" si="206"/>
        <v>114560825.70401704</v>
      </c>
      <c r="BY51" s="83" t="str">
        <f t="shared" ca="1" si="194"/>
        <v/>
      </c>
      <c r="BZ51" s="83">
        <f t="shared" ca="1" si="207"/>
        <v>15803730.196091652</v>
      </c>
      <c r="CA51" s="83" t="str">
        <f t="shared" ca="1" si="194"/>
        <v/>
      </c>
      <c r="CB51" s="83">
        <f t="shared" ca="1" si="208"/>
        <v>868146.0691719465</v>
      </c>
      <c r="CC51" s="83" t="str">
        <f t="shared" ca="1" si="194"/>
        <v>Cruce +</v>
      </c>
      <c r="CD51" s="83">
        <f>IF(RTD("tos.rtd",,CD$43,"."&amp;$A$43&amp;$AS$42&amp;"C"&amp;$A51)="N/A",0,RTD("tos.rtd",,CD$43,"."&amp;$A$43&amp;$AS$42&amp;"C"&amp;$A51))</f>
        <v>0.01</v>
      </c>
      <c r="CE51" s="83">
        <f>-IF(RTD("tos.rtd",,CE$43,"."&amp;$A$43&amp;$AS$42&amp;"P"&amp;$A51)="N/A",0,RTD("tos.rtd",,CE$43,"."&amp;$A$43&amp;$AS$42&amp;"P"&amp;$A51))</f>
        <v>0.91</v>
      </c>
      <c r="CF51" s="83">
        <f>IF(RTD("tos.rtd",,CF$2,"."&amp;$A$43&amp;$AU$1&amp;"C"&amp;$A51)="N/A",0,RTD("tos.rtd",,CF$2,"."&amp;$A$43&amp;$AU$1&amp;"C"&amp;$A51))</f>
        <v>0.25</v>
      </c>
      <c r="CG51" s="83">
        <f>-IF(RTD("tos.rtd",,CG$2,"."&amp;$A$43&amp;$AU$1&amp;"P"&amp;$A51)="N/A",0,RTD("tos.rtd",,CG$2,"."&amp;$A$43&amp;$AU$1&amp;"P"&amp;$A51))</f>
        <v>0.73</v>
      </c>
      <c r="CH51" s="83">
        <f>IF(RTD("tos.rtd",,CH$2,"."&amp;$A$43&amp;$AW$1&amp;"C"&amp;$A51)="N/A",0,RTD("tos.rtd",,CH$2,"."&amp;$A$43&amp;$AW$1&amp;"C"&amp;$A51))</f>
        <v>0.45</v>
      </c>
      <c r="CI51" s="83">
        <f>-IF(RTD("tos.rtd",,CI$2,"."&amp;$A$43&amp;$AW$1&amp;"P"&amp;$A51)="N/A",0,RTD("tos.rtd",,CI$2,"."&amp;$A$43&amp;$AW$1&amp;"P"&amp;$A51))</f>
        <v>0.56000000000000005</v>
      </c>
      <c r="CK51" s="83">
        <f t="shared" si="184"/>
        <v>25804306.170000002</v>
      </c>
      <c r="CL51" s="83"/>
      <c r="CM51" s="83">
        <f t="shared" si="185"/>
        <v>3786024.1799999997</v>
      </c>
      <c r="CN51" s="83"/>
      <c r="CO51" s="83">
        <f t="shared" si="186"/>
        <v>10540694.549999999</v>
      </c>
      <c r="CP51" s="83">
        <f t="shared" si="209"/>
        <v>40131024.899999999</v>
      </c>
      <c r="CQ51" s="83">
        <f t="shared" si="210"/>
        <v>14794</v>
      </c>
      <c r="CR51" s="83"/>
      <c r="CS51" s="83">
        <f t="shared" si="211"/>
        <v>1820</v>
      </c>
      <c r="CT51" s="83"/>
      <c r="CU51" s="83">
        <f t="shared" si="212"/>
        <v>99</v>
      </c>
      <c r="CV51" s="83"/>
      <c r="CW51" s="83">
        <f t="shared" ca="1" si="213"/>
        <v>59004605.021266967</v>
      </c>
      <c r="CY51" s="83">
        <f t="shared" ca="1" si="214"/>
        <v>131232701.96928065</v>
      </c>
      <c r="CZ51" s="70" t="str">
        <f t="shared" ca="1" si="195"/>
        <v/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6.59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8.59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4.5</v>
      </c>
      <c r="DG51" s="86">
        <f t="shared" si="187"/>
        <v>6.3700000000000045</v>
      </c>
      <c r="DH51" s="3">
        <f t="shared" si="152"/>
        <v>0</v>
      </c>
      <c r="DI51" s="3">
        <f t="shared" si="153"/>
        <v>0</v>
      </c>
      <c r="DJ51" s="3">
        <f t="shared" si="154"/>
        <v>0</v>
      </c>
      <c r="DK51" s="3">
        <f t="shared" si="155"/>
        <v>0</v>
      </c>
      <c r="DL51" s="3">
        <f t="shared" si="156"/>
        <v>0</v>
      </c>
      <c r="DM51" s="3">
        <f t="shared" si="157"/>
        <v>0</v>
      </c>
      <c r="DN51" s="64" t="str">
        <f t="shared" si="158"/>
        <v>UNKNOWN</v>
      </c>
      <c r="DO51" s="64" t="str">
        <f t="shared" si="159"/>
        <v>UNKNOWN</v>
      </c>
      <c r="DP51" s="83">
        <f t="shared" si="160"/>
        <v>0</v>
      </c>
      <c r="DQ51" s="83">
        <f t="shared" si="161"/>
        <v>0</v>
      </c>
      <c r="DR51" s="83">
        <f t="shared" ca="1" si="162"/>
        <v>0</v>
      </c>
      <c r="DS51" s="83">
        <f t="shared" si="163"/>
        <v>0</v>
      </c>
      <c r="DT51" s="83">
        <f t="shared" si="188"/>
        <v>0</v>
      </c>
      <c r="DU51" s="83">
        <f t="shared" si="189"/>
        <v>0</v>
      </c>
      <c r="DV51" s="83">
        <f t="shared" si="164"/>
        <v>4237</v>
      </c>
      <c r="DW51" s="83">
        <f t="shared" si="165"/>
        <v>-29</v>
      </c>
      <c r="DX51" s="83">
        <f t="shared" ca="1" si="215"/>
        <v>2.8907293681657432E-2</v>
      </c>
      <c r="DY51" s="83">
        <f t="shared" ca="1" si="216"/>
        <v>-3.7684562553885213E-2</v>
      </c>
      <c r="DZ51" s="83">
        <f t="shared" ca="1" si="217"/>
        <v>3.1932120584793292E-2</v>
      </c>
      <c r="EA51" s="83">
        <f t="shared" ca="1" si="218"/>
        <v>-2.9929450912738183E-2</v>
      </c>
      <c r="EB51" s="83">
        <f t="shared" ca="1" si="219"/>
        <v>3.244223929220387E-2</v>
      </c>
      <c r="EC51" s="83">
        <f t="shared" ca="1" si="220"/>
        <v>-3.1763941439014939E-2</v>
      </c>
      <c r="ED51" s="63">
        <f t="shared" si="190"/>
        <v>4208</v>
      </c>
      <c r="EE51" s="84">
        <f t="shared" si="221"/>
        <v>0.64359999999999995</v>
      </c>
      <c r="EF51" s="84">
        <f t="shared" si="222"/>
        <v>1.1785000000000001</v>
      </c>
      <c r="EG51" s="84">
        <f t="shared" si="223"/>
        <v>0.19209999999999999</v>
      </c>
      <c r="EH51" s="84">
        <f t="shared" si="224"/>
        <v>0.21060000000000001</v>
      </c>
      <c r="EI51" s="84">
        <f t="shared" si="225"/>
        <v>0.18759999999999999</v>
      </c>
      <c r="EJ51" s="84">
        <f t="shared" si="226"/>
        <v>0.19359999999999999</v>
      </c>
      <c r="EK51" s="63">
        <f t="shared" ca="1" si="191"/>
        <v>33366620.251273304</v>
      </c>
      <c r="EL51" s="83" t="str">
        <f>RTD("tos.rtd",,EL$43,"."&amp;$A$43&amp;$AS$42&amp;"C"&amp;$A51)</f>
        <v>64.36%</v>
      </c>
      <c r="EM51" s="83" t="str">
        <f>RTD("tos.rtd",,EM$43,"."&amp;$A$43&amp;$AS$42&amp;"P"&amp;$A51)</f>
        <v>117.85%</v>
      </c>
      <c r="EN51" s="83" t="str">
        <f>RTD("tos.rtd",,EN$2,"."&amp;$A$43&amp;$AU$1&amp;"C"&amp;$A51)</f>
        <v>19.21%</v>
      </c>
      <c r="EO51" s="83" t="str">
        <f>RTD("tos.rtd",,EO$2,"."&amp;$A$43&amp;$AU$1&amp;"P"&amp;$A51)</f>
        <v>21.06%</v>
      </c>
      <c r="EP51" s="83" t="str">
        <f>RTD("tos.rtd",,EP$2,"."&amp;$A$43&amp;$AW$1&amp;"C"&amp;$A51)</f>
        <v>18.76%</v>
      </c>
      <c r="EQ51" s="83" t="str">
        <f>RTD("tos.rtd",,EQ$2,"."&amp;$A$43&amp;$AW$1&amp;"P"&amp;$A51)</f>
        <v>19.36%</v>
      </c>
      <c r="ES51" s="63" t="str">
        <f t="shared" si="172"/>
        <v>526,4208.00</v>
      </c>
      <c r="ET51" s="63" t="str">
        <f t="shared" ca="1" si="173"/>
        <v>526,131232.70</v>
      </c>
      <c r="EU51" s="67">
        <v>593.46</v>
      </c>
      <c r="EV51" s="67" t="s">
        <v>428</v>
      </c>
      <c r="EW51" s="67">
        <v>519.94000000000005</v>
      </c>
      <c r="EX51" s="67" t="s">
        <v>429</v>
      </c>
      <c r="EY51" s="67">
        <v>5944.75</v>
      </c>
      <c r="EZ51" s="67" t="s">
        <v>430</v>
      </c>
      <c r="FA51" s="67">
        <v>21341.5</v>
      </c>
      <c r="FB51" s="67" t="s">
        <v>431</v>
      </c>
      <c r="FC51" s="67" t="s">
        <v>432</v>
      </c>
      <c r="FD51" s="67" t="s">
        <v>433</v>
      </c>
      <c r="FE51" s="68" t="s">
        <v>434</v>
      </c>
      <c r="FF51" s="68" t="s">
        <v>435</v>
      </c>
    </row>
    <row r="52" spans="1:162" ht="13.5" thickBot="1" x14ac:dyDescent="0.25">
      <c r="A52" s="2">
        <f t="shared" si="192"/>
        <v>525</v>
      </c>
      <c r="B52" s="3">
        <f t="shared" si="197"/>
        <v>6005</v>
      </c>
      <c r="C52" s="3">
        <f t="shared" si="198"/>
        <v>6818</v>
      </c>
      <c r="D52" s="3">
        <f t="shared" si="199"/>
        <v>19588</v>
      </c>
      <c r="E52" s="3">
        <f t="shared" si="200"/>
        <v>32411</v>
      </c>
      <c r="F52" s="4">
        <f t="shared" si="201"/>
        <v>21642.117949310083</v>
      </c>
      <c r="AM52" s="1">
        <v>-1955</v>
      </c>
      <c r="AN52" s="1">
        <v>-785</v>
      </c>
      <c r="AO52" s="1">
        <v>525</v>
      </c>
      <c r="AP52" s="1">
        <v>27691</v>
      </c>
      <c r="AQ52" s="1">
        <v>-1842</v>
      </c>
      <c r="AS52" s="6">
        <f>IF(RTD("tos.rtd",,AS$43,"."&amp;$A$43&amp;$AS$42&amp;"C"&amp;$A52)="N/A",0,RTD("tos.rtd",,AS$43,"."&amp;$A$43&amp;$AS$42&amp;"C"&amp;$A52))</f>
        <v>5689</v>
      </c>
      <c r="AT52" s="7">
        <f>-IF(RTD("tos.rtd",,AT$43,"."&amp;$A$43&amp;$AS$42&amp;"P"&amp;$A52)="N/A",0,RTD("tos.rtd",,AT$43,"."&amp;$A$43&amp;$AS$42&amp;"P"&amp;$A52))</f>
        <v>-316</v>
      </c>
      <c r="AU52" s="6">
        <f>IF(RTD("tos.rtd",,AU$2,"."&amp;$A$43&amp;$AU$1&amp;"C"&amp;$A52)="N/A",0,RTD("tos.rtd",,AU$2,"."&amp;$A$43&amp;$AU$1&amp;"C"&amp;$A52))</f>
        <v>5668</v>
      </c>
      <c r="AV52" s="7">
        <f>-IF(RTD("tos.rtd",,AV$2,"."&amp;$A$43&amp;$AU$1&amp;"P"&amp;$A52)="N/A",0,RTD("tos.rtd",,AV$2,"."&amp;$A$43&amp;$AU$1&amp;"P"&amp;$A52))</f>
        <v>-1150</v>
      </c>
      <c r="AW52" s="6">
        <f>IF(RTD("tos.rtd",,AW$2,"."&amp;$A$43&amp;$AW$1&amp;"C"&amp;$A52)="N/A",0,RTD("tos.rtd",,AW$2,"."&amp;$A$43&amp;$AW$1&amp;"C"&amp;$A52))</f>
        <v>18004</v>
      </c>
      <c r="AX52" s="7">
        <f>-IF(RTD("tos.rtd",,AX$2,"."&amp;$A$43&amp;$AW$1&amp;"P"&amp;$A52)="N/A",0,RTD("tos.rtd",,AX$2,"."&amp;$A$43&amp;$AW$1&amp;"P"&amp;$A52))</f>
        <v>-1584</v>
      </c>
      <c r="AY52" s="7">
        <f t="shared" si="202"/>
        <v>26311</v>
      </c>
      <c r="AZ52" s="8">
        <f t="shared" si="146"/>
        <v>525</v>
      </c>
      <c r="BA52" s="6">
        <f>IF(RTD("tos.rtd",,BA$43,"."&amp;$A$43&amp;$AS$42&amp;"C"&amp;$A52)="N/A",0,RTD("tos.rtd",,BA$43,"."&amp;$A$43&amp;$AS$42&amp;"C"&amp;$A52))</f>
        <v>27691</v>
      </c>
      <c r="BB52" s="7">
        <f>-IF(RTD("tos.rtd",,BB$43,"."&amp;$A$43&amp;$AS$42&amp;"P"&amp;$A52)="N/A",0,RTD("tos.rtd",,BB$43,"."&amp;$A$43&amp;$AS$42&amp;"P"&amp;$A52))</f>
        <v>-1842</v>
      </c>
      <c r="BC52" s="6">
        <f>IF(RTD("tos.rtd",,BC$2,"."&amp;$A$43&amp;$AU$1&amp;"C"&amp;$A52)="N/A",0,RTD("tos.rtd",,BC$2,"."&amp;$A$43&amp;$AU$1&amp;"C"&amp;$A52))</f>
        <v>8106</v>
      </c>
      <c r="BD52" s="7">
        <f>-IF(RTD("tos.rtd",,BD$2,"."&amp;$A$43&amp;$AU$1&amp;"P"&amp;$A52)="N/A",0,RTD("tos.rtd",,BD$2,"."&amp;$A$43&amp;$AU$1&amp;"P"&amp;$A52))</f>
        <v>-1390</v>
      </c>
      <c r="BE52" s="6">
        <f>IF(RTD("tos.rtd",,BE$2,"."&amp;$A$43&amp;$AW$1&amp;"C"&amp;$A52)="N/A",0,RTD("tos.rtd",,BE$2,"."&amp;$A$43&amp;$AW$1&amp;"C"&amp;$A52))</f>
        <v>1785</v>
      </c>
      <c r="BF52" s="7">
        <f>-IF(RTD("tos.rtd",,BF$2,"."&amp;$A$43&amp;$AW$1&amp;"P"&amp;$A52)="N/A",0,RTD("tos.rtd",,BF$2,"."&amp;$A$43&amp;$AW$1&amp;"P"&amp;$A52))</f>
        <v>-493</v>
      </c>
      <c r="BG52" s="32">
        <f ca="1">+Hoja2!Y53</f>
        <v>29523</v>
      </c>
      <c r="BH52" s="7">
        <f t="shared" ca="1" si="175"/>
        <v>63380</v>
      </c>
      <c r="BI52" s="8" t="str">
        <f t="shared" ca="1" si="193"/>
        <v/>
      </c>
      <c r="BJ52" s="83">
        <f ca="1">IF($BP$1=1,DX52,IF(RTD("tos.rtd",,BJ$43,"."&amp;$A$43&amp;$AS$42&amp;"C"&amp;$A52)="N/A",0,RTD("tos.rtd",,BJ$43,"."&amp;$A$43&amp;$AS$42&amp;"C"&amp;$A52)))</f>
        <v>3.5213115820148647E-2</v>
      </c>
      <c r="BK52" s="83">
        <f ca="1">IF($BP$1=1,DY52,-IF(RTD("tos.rtd",,BK$43,"."&amp;$A$43&amp;$AS$42&amp;"P"&amp;$A52)="N/A",0,RTD("tos.rtd",,BK$43,"."&amp;$A$43&amp;$AS$42&amp;"P"&amp;$A52)))</f>
        <v>-4.2949078117884273E-2</v>
      </c>
      <c r="BL52" s="83">
        <f ca="1">IF($BP$1=1,DZ52,IF(RTD("tos.rtd",,BL$2,"."&amp;$A$43&amp;$AU$1&amp;"C"&amp;$A52)="N/A",0,RTD("tos.rtd",,BL$2,"."&amp;$A$43&amp;$AU$1&amp;"C"&amp;$A52)))</f>
        <v>3.3509264296712797E-2</v>
      </c>
      <c r="BM52" s="83">
        <f ca="1">IF($BP$1=1,EA52,-IF(RTD("tos.rtd",,BM$2,"."&amp;$A$43&amp;$AU$1&amp;"P"&amp;$A52)="N/A",0,RTD("tos.rtd",,BM$2,"."&amp;$A$43&amp;$AU$1&amp;"P"&amp;$A52)))</f>
        <v>-3.5159662479790084E-2</v>
      </c>
      <c r="BN52" s="83">
        <f ca="1">IF($BP$1=1,EB52,IF(RTD("tos.rtd",,BN$2,"."&amp;$A$43&amp;$AW$1&amp;"C"&amp;$A52)="N/A",0,RTD("tos.rtd",,BN$2,"."&amp;$A$43&amp;$AW$1&amp;"C"&amp;$A52)))</f>
        <v>3.3917774824699098E-2</v>
      </c>
      <c r="BO52" s="83">
        <f ca="1">IF($BP$1=1,EC52,-IF(RTD("tos.rtd",,BO$2,"."&amp;$A$43&amp;$AW$1&amp;"P"&amp;$A52)="N/A",0,RTD("tos.rtd",,BO$2,"."&amp;$A$43&amp;$AW$1&amp;"P"&amp;$A52)))</f>
        <v>-3.3134744976659906E-2</v>
      </c>
      <c r="BQ52" s="83">
        <f t="shared" ca="1" si="203"/>
        <v>50426851.198743656</v>
      </c>
      <c r="BR52" s="3" t="str">
        <f t="shared" ca="1" si="177"/>
        <v/>
      </c>
      <c r="BS52" s="83">
        <f t="shared" ca="1" si="204"/>
        <v>40366455.328120306</v>
      </c>
      <c r="BT52" s="3" t="str">
        <f t="shared" ca="1" si="179"/>
        <v/>
      </c>
      <c r="BU52" s="83">
        <f t="shared" ca="1" si="205"/>
        <v>150714509.71349317</v>
      </c>
      <c r="BV52" s="83"/>
      <c r="BX52" s="83">
        <f t="shared" ca="1" si="206"/>
        <v>241926772.30282846</v>
      </c>
      <c r="BY52" s="83" t="str">
        <f t="shared" ca="1" si="194"/>
        <v/>
      </c>
      <c r="BZ52" s="83">
        <f t="shared" ca="1" si="207"/>
        <v>60147041.054767847</v>
      </c>
      <c r="CA52" s="83" t="str">
        <f t="shared" ca="1" si="194"/>
        <v/>
      </c>
      <c r="CB52" s="83">
        <f t="shared" ca="1" si="208"/>
        <v>11936783.683509771</v>
      </c>
      <c r="CC52" s="83" t="str">
        <f t="shared" ca="1" si="194"/>
        <v/>
      </c>
      <c r="CD52" s="83">
        <f>IF(RTD("tos.rtd",,CD$43,"."&amp;$A$43&amp;$AS$42&amp;"C"&amp;$A52)="N/A",0,RTD("tos.rtd",,CD$43,"."&amp;$A$43&amp;$AS$42&amp;"C"&amp;$A52))</f>
        <v>0.01</v>
      </c>
      <c r="CE52" s="83">
        <f>-IF(RTD("tos.rtd",,CE$43,"."&amp;$A$43&amp;$AS$42&amp;"P"&amp;$A52)="N/A",0,RTD("tos.rtd",,CE$43,"."&amp;$A$43&amp;$AS$42&amp;"P"&amp;$A52))</f>
        <v>0.89</v>
      </c>
      <c r="CF52" s="83">
        <f>IF(RTD("tos.rtd",,CF$2,"."&amp;$A$43&amp;$AU$1&amp;"C"&amp;$A52)="N/A",0,RTD("tos.rtd",,CF$2,"."&amp;$A$43&amp;$AU$1&amp;"C"&amp;$A52))</f>
        <v>0.28999999999999998</v>
      </c>
      <c r="CG52" s="83">
        <f>-IF(RTD("tos.rtd",,CG$2,"."&amp;$A$43&amp;$AU$1&amp;"P"&amp;$A52)="N/A",0,RTD("tos.rtd",,CG$2,"."&amp;$A$43&amp;$AU$1&amp;"P"&amp;$A52))</f>
        <v>0.73</v>
      </c>
      <c r="CH52" s="83">
        <f>IF(RTD("tos.rtd",,CH$2,"."&amp;$A$43&amp;$AW$1&amp;"C"&amp;$A52)="N/A",0,RTD("tos.rtd",,CH$2,"."&amp;$A$43&amp;$AW$1&amp;"C"&amp;$A52))</f>
        <v>0.46</v>
      </c>
      <c r="CI52" s="83">
        <f>-IF(RTD("tos.rtd",,CI$2,"."&amp;$A$43&amp;$AW$1&amp;"P"&amp;$A52)="N/A",0,RTD("tos.rtd",,CI$2,"."&amp;$A$43&amp;$AW$1&amp;"P"&amp;$A52))</f>
        <v>0.54</v>
      </c>
      <c r="CK52" s="83">
        <f t="shared" si="184"/>
        <v>14947676.58</v>
      </c>
      <c r="CL52" s="83"/>
      <c r="CM52" s="83">
        <f t="shared" si="185"/>
        <v>41789683.859999985</v>
      </c>
      <c r="CN52" s="83"/>
      <c r="CO52" s="83">
        <f t="shared" si="186"/>
        <v>385902180.24000001</v>
      </c>
      <c r="CP52" s="83">
        <f t="shared" si="209"/>
        <v>442639540.68000001</v>
      </c>
      <c r="CQ52" s="83">
        <f t="shared" si="210"/>
        <v>25849</v>
      </c>
      <c r="CR52" s="83"/>
      <c r="CS52" s="83">
        <f t="shared" si="211"/>
        <v>6716</v>
      </c>
      <c r="CT52" s="83"/>
      <c r="CU52" s="83">
        <f t="shared" si="212"/>
        <v>1292</v>
      </c>
      <c r="CV52" s="83"/>
      <c r="CW52" s="83">
        <f t="shared" ca="1" si="213"/>
        <v>241507816.24035713</v>
      </c>
      <c r="CY52" s="83">
        <f t="shared" ca="1" si="214"/>
        <v>314010597.04110605</v>
      </c>
      <c r="CZ52" s="70" t="str">
        <f t="shared" ca="1" si="195"/>
        <v/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5.55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7.7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3.5</v>
      </c>
      <c r="DG52" s="86">
        <f t="shared" si="187"/>
        <v>5.3700000000000045</v>
      </c>
      <c r="DH52" s="3">
        <f t="shared" si="152"/>
        <v>0</v>
      </c>
      <c r="DI52" s="3">
        <f t="shared" si="153"/>
        <v>0</v>
      </c>
      <c r="DJ52" s="3">
        <f t="shared" si="154"/>
        <v>0</v>
      </c>
      <c r="DK52" s="3">
        <f t="shared" si="155"/>
        <v>0</v>
      </c>
      <c r="DL52" s="3">
        <f t="shared" si="156"/>
        <v>0</v>
      </c>
      <c r="DM52" s="3">
        <f t="shared" si="157"/>
        <v>0</v>
      </c>
      <c r="DN52" s="64" t="str">
        <f t="shared" si="158"/>
        <v>UNKNOWN</v>
      </c>
      <c r="DO52" s="64" t="str">
        <f t="shared" si="159"/>
        <v>UNKNOWN</v>
      </c>
      <c r="DP52" s="83">
        <f t="shared" si="160"/>
        <v>0</v>
      </c>
      <c r="DQ52" s="83">
        <f t="shared" si="161"/>
        <v>0</v>
      </c>
      <c r="DR52" s="83">
        <f t="shared" ca="1" si="162"/>
        <v>0</v>
      </c>
      <c r="DS52" s="83">
        <f t="shared" si="163"/>
        <v>0</v>
      </c>
      <c r="DT52" s="83">
        <f t="shared" si="188"/>
        <v>0</v>
      </c>
      <c r="DU52" s="83">
        <f t="shared" si="189"/>
        <v>0</v>
      </c>
      <c r="DV52" s="83">
        <f t="shared" si="164"/>
        <v>-1955</v>
      </c>
      <c r="DW52" s="83">
        <f t="shared" si="165"/>
        <v>-785</v>
      </c>
      <c r="DX52" s="83">
        <f t="shared" ca="1" si="215"/>
        <v>3.5213115820148647E-2</v>
      </c>
      <c r="DY52" s="83">
        <f t="shared" ca="1" si="216"/>
        <v>-4.2949078117884273E-2</v>
      </c>
      <c r="DZ52" s="83">
        <f t="shared" ca="1" si="217"/>
        <v>3.3509264296712797E-2</v>
      </c>
      <c r="EA52" s="83">
        <f t="shared" ca="1" si="218"/>
        <v>-3.5159662479790084E-2</v>
      </c>
      <c r="EB52" s="83">
        <f t="shared" ca="1" si="219"/>
        <v>3.3917774824699098E-2</v>
      </c>
      <c r="EC52" s="83">
        <f t="shared" ca="1" si="220"/>
        <v>-3.3134744976659906E-2</v>
      </c>
      <c r="ED52" s="63">
        <f t="shared" si="190"/>
        <v>-2740</v>
      </c>
      <c r="EE52" s="84">
        <f t="shared" si="221"/>
        <v>0.55389999999999995</v>
      </c>
      <c r="EF52" s="84">
        <f t="shared" si="222"/>
        <v>1.1133</v>
      </c>
      <c r="EG52" s="84">
        <f t="shared" si="223"/>
        <v>0.19189999999999999</v>
      </c>
      <c r="EH52" s="84">
        <f t="shared" si="224"/>
        <v>0.18010000000000001</v>
      </c>
      <c r="EI52" s="84">
        <f t="shared" si="225"/>
        <v>0.18890000000000001</v>
      </c>
      <c r="EJ52" s="84">
        <f t="shared" si="226"/>
        <v>0.19470000000000001</v>
      </c>
      <c r="EK52" s="63">
        <f t="shared" ca="1" si="191"/>
        <v>-9484724.8119631112</v>
      </c>
      <c r="EL52" s="83" t="str">
        <f>RTD("tos.rtd",,EL$43,"."&amp;$A$43&amp;$AS$42&amp;"C"&amp;$A52)</f>
        <v>55.39%</v>
      </c>
      <c r="EM52" s="83" t="str">
        <f>RTD("tos.rtd",,EM$43,"."&amp;$A$43&amp;$AS$42&amp;"P"&amp;$A52)</f>
        <v>111.33%</v>
      </c>
      <c r="EN52" s="83" t="str">
        <f>RTD("tos.rtd",,EN$2,"."&amp;$A$43&amp;$AU$1&amp;"C"&amp;$A52)</f>
        <v>19.19%</v>
      </c>
      <c r="EO52" s="83" t="str">
        <f>RTD("tos.rtd",,EO$2,"."&amp;$A$43&amp;$AU$1&amp;"P"&amp;$A52)</f>
        <v>18.01%</v>
      </c>
      <c r="EP52" s="83" t="str">
        <f>RTD("tos.rtd",,EP$2,"."&amp;$A$43&amp;$AW$1&amp;"C"&amp;$A52)</f>
        <v>18.89%</v>
      </c>
      <c r="EQ52" s="83" t="str">
        <f>RTD("tos.rtd",,EQ$2,"."&amp;$A$43&amp;$AW$1&amp;"P"&amp;$A52)</f>
        <v>19.47%</v>
      </c>
      <c r="ES52" s="63" t="str">
        <f t="shared" si="172"/>
        <v>525,-2740.00</v>
      </c>
      <c r="ET52" s="63" t="str">
        <f t="shared" ca="1" si="173"/>
        <v>525,314010.60</v>
      </c>
      <c r="EU52" s="67">
        <v>593.46</v>
      </c>
      <c r="EV52" s="67" t="s">
        <v>436</v>
      </c>
      <c r="EW52" s="67">
        <v>519.94000000000005</v>
      </c>
      <c r="EX52" s="67" t="s">
        <v>437</v>
      </c>
      <c r="EY52" s="67">
        <v>5944.75</v>
      </c>
      <c r="EZ52" s="67" t="s">
        <v>438</v>
      </c>
      <c r="FA52" s="67">
        <v>21341.5</v>
      </c>
      <c r="FB52" s="67" t="s">
        <v>439</v>
      </c>
      <c r="FC52" s="67" t="s">
        <v>440</v>
      </c>
      <c r="FD52" s="67" t="s">
        <v>441</v>
      </c>
      <c r="FE52" s="68" t="s">
        <v>442</v>
      </c>
      <c r="FF52" s="68" t="s">
        <v>443</v>
      </c>
    </row>
    <row r="53" spans="1:162" ht="13.5" thickBot="1" x14ac:dyDescent="0.25">
      <c r="A53" s="2">
        <f t="shared" si="192"/>
        <v>524</v>
      </c>
      <c r="B53" s="3">
        <f t="shared" si="197"/>
        <v>3029</v>
      </c>
      <c r="C53" s="3">
        <f t="shared" si="198"/>
        <v>1587</v>
      </c>
      <c r="D53" s="3">
        <f t="shared" si="199"/>
        <v>106</v>
      </c>
      <c r="E53" s="3">
        <f t="shared" si="200"/>
        <v>4722</v>
      </c>
      <c r="F53" s="4">
        <f t="shared" si="201"/>
        <v>21600.894867501876</v>
      </c>
      <c r="AM53" s="1">
        <v>5648</v>
      </c>
      <c r="AN53" s="1">
        <v>-467</v>
      </c>
      <c r="AO53" s="1">
        <v>524</v>
      </c>
      <c r="AP53" s="1">
        <v>34134</v>
      </c>
      <c r="AQ53" s="1">
        <v>-2353</v>
      </c>
      <c r="AS53" s="6">
        <f>IF(RTD("tos.rtd",,AS$43,"."&amp;$A$43&amp;$AS$42&amp;"C"&amp;$A53)="N/A",0,RTD("tos.rtd",,AS$43,"."&amp;$A$43&amp;$AS$42&amp;"C"&amp;$A53))</f>
        <v>2723</v>
      </c>
      <c r="AT53" s="7">
        <f>-IF(RTD("tos.rtd",,AT$43,"."&amp;$A$43&amp;$AS$42&amp;"P"&amp;$A53)="N/A",0,RTD("tos.rtd",,AT$43,"."&amp;$A$43&amp;$AS$42&amp;"P"&amp;$A53))</f>
        <v>-306</v>
      </c>
      <c r="AU53" s="6">
        <f>IF(RTD("tos.rtd",,AU$2,"."&amp;$A$43&amp;$AU$1&amp;"C"&amp;$A53)="N/A",0,RTD("tos.rtd",,AU$2,"."&amp;$A$43&amp;$AU$1&amp;"C"&amp;$A53))</f>
        <v>1501</v>
      </c>
      <c r="AV53" s="7">
        <f>-IF(RTD("tos.rtd",,AV$2,"."&amp;$A$43&amp;$AU$1&amp;"P"&amp;$A53)="N/A",0,RTD("tos.rtd",,AV$2,"."&amp;$A$43&amp;$AU$1&amp;"P"&amp;$A53))</f>
        <v>-86</v>
      </c>
      <c r="AW53" s="6">
        <f>IF(RTD("tos.rtd",,AW$2,"."&amp;$A$43&amp;$AW$1&amp;"C"&amp;$A53)="N/A",0,RTD("tos.rtd",,AW$2,"."&amp;$A$43&amp;$AW$1&amp;"C"&amp;$A53))</f>
        <v>67</v>
      </c>
      <c r="AX53" s="7">
        <f>-IF(RTD("tos.rtd",,AX$2,"."&amp;$A$43&amp;$AW$1&amp;"P"&amp;$A53)="N/A",0,RTD("tos.rtd",,AX$2,"."&amp;$A$43&amp;$AW$1&amp;"P"&amp;$A53))</f>
        <v>-39</v>
      </c>
      <c r="AY53" s="7">
        <f t="shared" si="202"/>
        <v>3860</v>
      </c>
      <c r="AZ53" s="8">
        <f t="shared" si="146"/>
        <v>524</v>
      </c>
      <c r="BA53" s="6">
        <f>IF(RTD("tos.rtd",,BA$43,"."&amp;$A$43&amp;$AS$42&amp;"C"&amp;$A53)="N/A",0,RTD("tos.rtd",,BA$43,"."&amp;$A$43&amp;$AS$42&amp;"C"&amp;$A53))</f>
        <v>34134</v>
      </c>
      <c r="BB53" s="7">
        <f>-IF(RTD("tos.rtd",,BB$43,"."&amp;$A$43&amp;$AS$42&amp;"P"&amp;$A53)="N/A",0,RTD("tos.rtd",,BB$43,"."&amp;$A$43&amp;$AS$42&amp;"P"&amp;$A53))</f>
        <v>-2353</v>
      </c>
      <c r="BC53" s="6">
        <f>IF(RTD("tos.rtd",,BC$2,"."&amp;$A$43&amp;$AU$1&amp;"C"&amp;$A53)="N/A",0,RTD("tos.rtd",,BC$2,"."&amp;$A$43&amp;$AU$1&amp;"C"&amp;$A53))</f>
        <v>1839</v>
      </c>
      <c r="BD53" s="7">
        <f>-IF(RTD("tos.rtd",,BD$2,"."&amp;$A$43&amp;$AU$1&amp;"P"&amp;$A53)="N/A",0,RTD("tos.rtd",,BD$2,"."&amp;$A$43&amp;$AU$1&amp;"P"&amp;$A53))</f>
        <v>-645</v>
      </c>
      <c r="BE53" s="6">
        <f>IF(RTD("tos.rtd",,BE$2,"."&amp;$A$43&amp;$AW$1&amp;"C"&amp;$A53)="N/A",0,RTD("tos.rtd",,BE$2,"."&amp;$A$43&amp;$AW$1&amp;"C"&amp;$A53))</f>
        <v>61</v>
      </c>
      <c r="BF53" s="7">
        <f>-IF(RTD("tos.rtd",,BF$2,"."&amp;$A$43&amp;$AW$1&amp;"P"&amp;$A53)="N/A",0,RTD("tos.rtd",,BF$2,"."&amp;$A$43&amp;$AW$1&amp;"P"&amp;$A53))</f>
        <v>-41</v>
      </c>
      <c r="BG53" s="32">
        <f ca="1">+Hoja2!Y54</f>
        <v>13735</v>
      </c>
      <c r="BH53" s="7">
        <f t="shared" ca="1" si="175"/>
        <v>46730</v>
      </c>
      <c r="BI53" s="8" t="str">
        <f t="shared" ca="1" si="193"/>
        <v/>
      </c>
      <c r="BJ53" s="83">
        <f ca="1">IF($BP$1=1,DX53,IF(RTD("tos.rtd",,BJ$43,"."&amp;$A$43&amp;$AS$42&amp;"C"&amp;$A53)="N/A",0,RTD("tos.rtd",,BJ$43,"."&amp;$A$43&amp;$AS$42&amp;"C"&amp;$A53)))</f>
        <v>4.4631473545076433E-2</v>
      </c>
      <c r="BK53" s="83">
        <f ca="1">IF($BP$1=1,DY53,-IF(RTD("tos.rtd",,BK$43,"."&amp;$A$43&amp;$AS$42&amp;"P"&amp;$A53)="N/A",0,RTD("tos.rtd",,BK$43,"."&amp;$A$43&amp;$AS$42&amp;"P"&amp;$A53)))</f>
        <v>-4.9812368087866016E-2</v>
      </c>
      <c r="BL53" s="83">
        <f ca="1">IF($BP$1=1,DZ53,IF(RTD("tos.rtd",,BL$2,"."&amp;$A$43&amp;$AU$1&amp;"C"&amp;$A53)="N/A",0,RTD("tos.rtd",,BL$2,"."&amp;$A$43&amp;$AU$1&amp;"C"&amp;$A53)))</f>
        <v>3.4733696676772306E-2</v>
      </c>
      <c r="BM53" s="83">
        <f ca="1">IF($BP$1=1,EA53,-IF(RTD("tos.rtd",,BM$2,"."&amp;$A$43&amp;$AU$1&amp;"P"&amp;$A53)="N/A",0,RTD("tos.rtd",,BM$2,"."&amp;$A$43&amp;$AU$1&amp;"P"&amp;$A53)))</f>
        <v>-3.247214457825498E-2</v>
      </c>
      <c r="BN53" s="83">
        <f ca="1">IF($BP$1=1,EB53,IF(RTD("tos.rtd",,BN$2,"."&amp;$A$43&amp;$AW$1&amp;"C"&amp;$A53)="N/A",0,RTD("tos.rtd",,BN$2,"."&amp;$A$43&amp;$AW$1&amp;"C"&amp;$A53)))</f>
        <v>3.4981556849792469E-2</v>
      </c>
      <c r="BO53" s="83">
        <f ca="1">IF($BP$1=1,EC53,-IF(RTD("tos.rtd",,BO$2,"."&amp;$A$43&amp;$AW$1&amp;"P"&amp;$A53)="N/A",0,RTD("tos.rtd",,BO$2,"."&amp;$A$43&amp;$AW$1&amp;"P"&amp;$A53)))</f>
        <v>-3.4413062359598137E-2</v>
      </c>
      <c r="BQ53" s="83">
        <f t="shared" ca="1" si="203"/>
        <v>28699637.956159998</v>
      </c>
      <c r="BR53" s="3" t="str">
        <f t="shared" ca="1" si="177"/>
        <v/>
      </c>
      <c r="BS53" s="83">
        <f t="shared" ca="1" si="204"/>
        <v>13323278.818749569</v>
      </c>
      <c r="BT53" s="3" t="str">
        <f t="shared" ca="1" si="179"/>
        <v/>
      </c>
      <c r="BU53" s="83">
        <f t="shared" ca="1" si="205"/>
        <v>270462.17904685903</v>
      </c>
      <c r="BV53" s="83"/>
      <c r="BX53" s="83">
        <f t="shared" ca="1" si="206"/>
        <v>379706965.68300104</v>
      </c>
      <c r="BY53" s="83" t="str">
        <f t="shared" ca="1" si="194"/>
        <v/>
      </c>
      <c r="BZ53" s="83">
        <f t="shared" ca="1" si="207"/>
        <v>11591956.857003283</v>
      </c>
      <c r="CA53" s="83" t="str">
        <f t="shared" ca="1" si="194"/>
        <v/>
      </c>
      <c r="CB53" s="83">
        <f t="shared" ca="1" si="208"/>
        <v>195204.7286447846</v>
      </c>
      <c r="CC53" s="83" t="str">
        <f t="shared" ca="1" si="194"/>
        <v/>
      </c>
      <c r="CD53" s="83">
        <f>IF(RTD("tos.rtd",,CD$43,"."&amp;$A$43&amp;$AS$42&amp;"C"&amp;$A53)="N/A",0,RTD("tos.rtd",,CD$43,"."&amp;$A$43&amp;$AS$42&amp;"C"&amp;$A53))</f>
        <v>0.01</v>
      </c>
      <c r="CE53" s="83">
        <f>-IF(RTD("tos.rtd",,CE$43,"."&amp;$A$43&amp;$AS$42&amp;"P"&amp;$A53)="N/A",0,RTD("tos.rtd",,CE$43,"."&amp;$A$43&amp;$AS$42&amp;"P"&amp;$A53))</f>
        <v>0.86</v>
      </c>
      <c r="CF53" s="83">
        <f>IF(RTD("tos.rtd",,CF$2,"."&amp;$A$43&amp;$AU$1&amp;"C"&amp;$A53)="N/A",0,RTD("tos.rtd",,CF$2,"."&amp;$A$43&amp;$AU$1&amp;"C"&amp;$A53))</f>
        <v>0.33</v>
      </c>
      <c r="CG53" s="83">
        <f>-IF(RTD("tos.rtd",,CG$2,"."&amp;$A$43&amp;$AU$1&amp;"P"&amp;$A53)="N/A",0,RTD("tos.rtd",,CG$2,"."&amp;$A$43&amp;$AU$1&amp;"P"&amp;$A53))</f>
        <v>0.66</v>
      </c>
      <c r="CH53" s="83">
        <f>IF(RTD("tos.rtd",,CH$2,"."&amp;$A$43&amp;$AW$1&amp;"C"&amp;$A53)="N/A",0,RTD("tos.rtd",,CH$2,"."&amp;$A$43&amp;$AW$1&amp;"C"&amp;$A53))</f>
        <v>0.47</v>
      </c>
      <c r="CI53" s="83">
        <f>-IF(RTD("tos.rtd",,CI$2,"."&amp;$A$43&amp;$AW$1&amp;"P"&amp;$A53)="N/A",0,RTD("tos.rtd",,CI$2,"."&amp;$A$43&amp;$AW$1&amp;"P"&amp;$A53))</f>
        <v>0.53</v>
      </c>
      <c r="CK53" s="83">
        <f t="shared" si="184"/>
        <v>474941.82000000216</v>
      </c>
      <c r="CL53" s="83"/>
      <c r="CM53" s="83">
        <f t="shared" si="185"/>
        <v>22789412.910000004</v>
      </c>
      <c r="CN53" s="83"/>
      <c r="CO53" s="83">
        <f t="shared" si="186"/>
        <v>562239.65999999992</v>
      </c>
      <c r="CP53" s="83">
        <f t="shared" si="209"/>
        <v>23826594.390000004</v>
      </c>
      <c r="CQ53" s="83">
        <f t="shared" si="210"/>
        <v>31781</v>
      </c>
      <c r="CR53" s="83"/>
      <c r="CS53" s="83">
        <f t="shared" si="211"/>
        <v>1194</v>
      </c>
      <c r="CT53" s="83"/>
      <c r="CU53" s="83">
        <f t="shared" si="212"/>
        <v>20</v>
      </c>
      <c r="CV53" s="83"/>
      <c r="CW53" s="83">
        <f t="shared" ca="1" si="213"/>
        <v>42293378.953956433</v>
      </c>
      <c r="CY53" s="83">
        <f t="shared" ca="1" si="214"/>
        <v>391494127.2686491</v>
      </c>
      <c r="CZ53" s="70" t="str">
        <f t="shared" ca="1" si="195"/>
        <v/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4.6100000000000003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6.8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2.5</v>
      </c>
      <c r="DG53" s="86">
        <f t="shared" si="187"/>
        <v>4.3700000000000045</v>
      </c>
      <c r="DH53" s="3">
        <f t="shared" si="152"/>
        <v>0</v>
      </c>
      <c r="DI53" s="3">
        <f t="shared" si="153"/>
        <v>0</v>
      </c>
      <c r="DJ53" s="3">
        <f t="shared" si="154"/>
        <v>0</v>
      </c>
      <c r="DK53" s="3">
        <f t="shared" si="155"/>
        <v>0</v>
      </c>
      <c r="DL53" s="3">
        <f t="shared" si="156"/>
        <v>0</v>
      </c>
      <c r="DM53" s="3">
        <f t="shared" si="157"/>
        <v>0</v>
      </c>
      <c r="DN53" s="64" t="str">
        <f t="shared" si="158"/>
        <v>UNKNOWN</v>
      </c>
      <c r="DO53" s="64" t="str">
        <f t="shared" si="159"/>
        <v>UNKNOWN</v>
      </c>
      <c r="DP53" s="83">
        <f t="shared" si="160"/>
        <v>0</v>
      </c>
      <c r="DQ53" s="83">
        <f t="shared" si="161"/>
        <v>0</v>
      </c>
      <c r="DR53" s="83">
        <f t="shared" ca="1" si="162"/>
        <v>0</v>
      </c>
      <c r="DS53" s="83">
        <f t="shared" si="163"/>
        <v>0</v>
      </c>
      <c r="DT53" s="83">
        <f t="shared" si="188"/>
        <v>0</v>
      </c>
      <c r="DU53" s="83">
        <f t="shared" si="189"/>
        <v>0</v>
      </c>
      <c r="DV53" s="83">
        <f t="shared" si="164"/>
        <v>5648</v>
      </c>
      <c r="DW53" s="83">
        <f t="shared" si="165"/>
        <v>-467</v>
      </c>
      <c r="DX53" s="83">
        <f t="shared" ca="1" si="215"/>
        <v>4.4631473545076433E-2</v>
      </c>
      <c r="DY53" s="83">
        <f t="shared" ca="1" si="216"/>
        <v>-4.9812368087866016E-2</v>
      </c>
      <c r="DZ53" s="83">
        <f t="shared" ca="1" si="217"/>
        <v>3.4733696676772306E-2</v>
      </c>
      <c r="EA53" s="83">
        <f t="shared" ca="1" si="218"/>
        <v>-3.247214457825498E-2</v>
      </c>
      <c r="EB53" s="83">
        <f t="shared" ca="1" si="219"/>
        <v>3.4981556849792469E-2</v>
      </c>
      <c r="EC53" s="83">
        <f t="shared" ca="1" si="220"/>
        <v>-3.4413062359598137E-2</v>
      </c>
      <c r="ED53" s="63">
        <f t="shared" si="190"/>
        <v>5181</v>
      </c>
      <c r="EE53" s="84">
        <f t="shared" si="221"/>
        <v>0.46239999999999998</v>
      </c>
      <c r="EF53" s="84">
        <f t="shared" si="222"/>
        <v>1.0204</v>
      </c>
      <c r="EG53" s="84">
        <f t="shared" si="223"/>
        <v>0.19259999999999999</v>
      </c>
      <c r="EH53" s="84">
        <f t="shared" si="224"/>
        <v>0.2082</v>
      </c>
      <c r="EI53" s="84">
        <f t="shared" si="225"/>
        <v>0.191</v>
      </c>
      <c r="EJ53" s="84">
        <f t="shared" si="226"/>
        <v>0.19470000000000001</v>
      </c>
      <c r="EK53" s="63">
        <f t="shared" ca="1" si="191"/>
        <v>74346276.265938148</v>
      </c>
      <c r="EL53" s="83" t="str">
        <f>RTD("tos.rtd",,EL$43,"."&amp;$A$43&amp;$AS$42&amp;"C"&amp;$A53)</f>
        <v>46.24%</v>
      </c>
      <c r="EM53" s="83" t="str">
        <f>RTD("tos.rtd",,EM$43,"."&amp;$A$43&amp;$AS$42&amp;"P"&amp;$A53)</f>
        <v>102.04%</v>
      </c>
      <c r="EN53" s="83" t="str">
        <f>RTD("tos.rtd",,EN$2,"."&amp;$A$43&amp;$AU$1&amp;"C"&amp;$A53)</f>
        <v>19.26%</v>
      </c>
      <c r="EO53" s="83" t="str">
        <f>RTD("tos.rtd",,EO$2,"."&amp;$A$43&amp;$AU$1&amp;"P"&amp;$A53)</f>
        <v>20.82%</v>
      </c>
      <c r="EP53" s="83" t="str">
        <f>RTD("tos.rtd",,EP$2,"."&amp;$A$43&amp;$AW$1&amp;"C"&amp;$A53)</f>
        <v>19.10%</v>
      </c>
      <c r="EQ53" s="83" t="str">
        <f>RTD("tos.rtd",,EQ$2,"."&amp;$A$43&amp;$AW$1&amp;"P"&amp;$A53)</f>
        <v>19.47%</v>
      </c>
      <c r="ES53" s="63" t="str">
        <f t="shared" si="172"/>
        <v>524,5181.00</v>
      </c>
      <c r="ET53" s="63" t="str">
        <f t="shared" ca="1" si="173"/>
        <v>524,391494.13</v>
      </c>
      <c r="EU53" s="67">
        <v>593.47</v>
      </c>
      <c r="EV53" s="67" t="s">
        <v>444</v>
      </c>
      <c r="EW53" s="67">
        <v>519.95000000000005</v>
      </c>
      <c r="EX53" s="67" t="s">
        <v>445</v>
      </c>
      <c r="EY53" s="67">
        <v>5945</v>
      </c>
      <c r="EZ53" s="67" t="s">
        <v>446</v>
      </c>
      <c r="FA53" s="67">
        <v>21342</v>
      </c>
      <c r="FB53" s="67" t="s">
        <v>447</v>
      </c>
      <c r="FC53" s="67" t="s">
        <v>448</v>
      </c>
      <c r="FD53" s="67" t="s">
        <v>449</v>
      </c>
      <c r="FE53" s="68" t="s">
        <v>450</v>
      </c>
      <c r="FF53" s="68" t="s">
        <v>451</v>
      </c>
    </row>
    <row r="54" spans="1:162" ht="13.5" thickBot="1" x14ac:dyDescent="0.25">
      <c r="A54" s="2">
        <f t="shared" si="192"/>
        <v>523</v>
      </c>
      <c r="B54" s="3">
        <f t="shared" si="197"/>
        <v>3784</v>
      </c>
      <c r="C54" s="3">
        <f t="shared" si="198"/>
        <v>1981</v>
      </c>
      <c r="D54" s="3">
        <f t="shared" si="199"/>
        <v>99</v>
      </c>
      <c r="E54" s="3">
        <f t="shared" si="200"/>
        <v>5864</v>
      </c>
      <c r="F54" s="4">
        <f t="shared" si="201"/>
        <v>21559.671785693667</v>
      </c>
      <c r="AM54" s="1">
        <v>-1209</v>
      </c>
      <c r="AN54" s="1">
        <v>848</v>
      </c>
      <c r="AO54" s="1">
        <v>523</v>
      </c>
      <c r="AP54" s="1">
        <v>54218</v>
      </c>
      <c r="AQ54" s="1">
        <v>-4232</v>
      </c>
      <c r="AS54" s="6">
        <f>IF(RTD("tos.rtd",,AS$43,"."&amp;$A$43&amp;$AS$42&amp;"C"&amp;$A54)="N/A",0,RTD("tos.rtd",,AS$43,"."&amp;$A$43&amp;$AS$42&amp;"C"&amp;$A54))</f>
        <v>3078</v>
      </c>
      <c r="AT54" s="7">
        <f>-IF(RTD("tos.rtd",,AT$43,"."&amp;$A$43&amp;$AS$42&amp;"P"&amp;$A54)="N/A",0,RTD("tos.rtd",,AT$43,"."&amp;$A$43&amp;$AS$42&amp;"P"&amp;$A54))</f>
        <v>-706</v>
      </c>
      <c r="AU54" s="6">
        <f>IF(RTD("tos.rtd",,AU$2,"."&amp;$A$43&amp;$AU$1&amp;"C"&amp;$A54)="N/A",0,RTD("tos.rtd",,AU$2,"."&amp;$A$43&amp;$AU$1&amp;"C"&amp;$A54))</f>
        <v>1653</v>
      </c>
      <c r="AV54" s="7">
        <f>-IF(RTD("tos.rtd",,AV$2,"."&amp;$A$43&amp;$AU$1&amp;"P"&amp;$A54)="N/A",0,RTD("tos.rtd",,AV$2,"."&amp;$A$43&amp;$AU$1&amp;"P"&amp;$A54))</f>
        <v>-328</v>
      </c>
      <c r="AW54" s="6">
        <f>IF(RTD("tos.rtd",,AW$2,"."&amp;$A$43&amp;$AW$1&amp;"C"&amp;$A54)="N/A",0,RTD("tos.rtd",,AW$2,"."&amp;$A$43&amp;$AW$1&amp;"C"&amp;$A54))</f>
        <v>64</v>
      </c>
      <c r="AX54" s="7">
        <f>-IF(RTD("tos.rtd",,AX$2,"."&amp;$A$43&amp;$AW$1&amp;"P"&amp;$A54)="N/A",0,RTD("tos.rtd",,AX$2,"."&amp;$A$43&amp;$AW$1&amp;"P"&amp;$A54))</f>
        <v>-35</v>
      </c>
      <c r="AY54" s="7">
        <f t="shared" si="202"/>
        <v>3726</v>
      </c>
      <c r="AZ54" s="8">
        <f t="shared" si="146"/>
        <v>523</v>
      </c>
      <c r="BA54" s="6">
        <f>IF(RTD("tos.rtd",,BA$43,"."&amp;$A$43&amp;$AS$42&amp;"C"&amp;$A54)="N/A",0,RTD("tos.rtd",,BA$43,"."&amp;$A$43&amp;$AS$42&amp;"C"&amp;$A54))</f>
        <v>54218</v>
      </c>
      <c r="BB54" s="7">
        <f>-IF(RTD("tos.rtd",,BB$43,"."&amp;$A$43&amp;$AS$42&amp;"P"&amp;$A54)="N/A",0,RTD("tos.rtd",,BB$43,"."&amp;$A$43&amp;$AS$42&amp;"P"&amp;$A54))</f>
        <v>-4232</v>
      </c>
      <c r="BC54" s="6">
        <f>IF(RTD("tos.rtd",,BC$2,"."&amp;$A$43&amp;$AU$1&amp;"C"&amp;$A54)="N/A",0,RTD("tos.rtd",,BC$2,"."&amp;$A$43&amp;$AU$1&amp;"C"&amp;$A54))</f>
        <v>3405</v>
      </c>
      <c r="BD54" s="7">
        <f>-IF(RTD("tos.rtd",,BD$2,"."&amp;$A$43&amp;$AU$1&amp;"P"&amp;$A54)="N/A",0,RTD("tos.rtd",,BD$2,"."&amp;$A$43&amp;$AU$1&amp;"P"&amp;$A54))</f>
        <v>-729</v>
      </c>
      <c r="BE54" s="6">
        <f>IF(RTD("tos.rtd",,BE$2,"."&amp;$A$43&amp;$AW$1&amp;"C"&amp;$A54)="N/A",0,RTD("tos.rtd",,BE$2,"."&amp;$A$43&amp;$AW$1&amp;"C"&amp;$A54))</f>
        <v>206</v>
      </c>
      <c r="BF54" s="7">
        <f>-IF(RTD("tos.rtd",,BF$2,"."&amp;$A$43&amp;$AW$1&amp;"P"&amp;$A54)="N/A",0,RTD("tos.rtd",,BF$2,"."&amp;$A$43&amp;$AW$1&amp;"P"&amp;$A54))</f>
        <v>-112</v>
      </c>
      <c r="BG54" s="32">
        <f ca="1">+Hoja2!Y55</f>
        <v>16063</v>
      </c>
      <c r="BH54" s="7">
        <f t="shared" ca="1" si="175"/>
        <v>68819</v>
      </c>
      <c r="BI54" s="8" t="str">
        <f t="shared" ca="1" si="193"/>
        <v/>
      </c>
      <c r="BJ54" s="83">
        <f ca="1">IF($BP$1=1,DX54,IF(RTD("tos.rtd",,BJ$43,"."&amp;$A$43&amp;$AS$42&amp;"C"&amp;$A54)="N/A",0,RTD("tos.rtd",,BJ$43,"."&amp;$A$43&amp;$AS$42&amp;"C"&amp;$A54)))</f>
        <v>6.007888155892939E-2</v>
      </c>
      <c r="BK54" s="83">
        <f ca="1">IF($BP$1=1,DY54,-IF(RTD("tos.rtd",,BK$43,"."&amp;$A$43&amp;$AS$42&amp;"P"&amp;$A54)="N/A",0,RTD("tos.rtd",,BK$43,"."&amp;$A$43&amp;$AS$42&amp;"P"&amp;$A54)))</f>
        <v>-7.2252694280918531E-2</v>
      </c>
      <c r="BL54" s="83">
        <f ca="1">IF($BP$1=1,DZ54,IF(RTD("tos.rtd",,BL$2,"."&amp;$A$43&amp;$AU$1&amp;"C"&amp;$A54)="N/A",0,RTD("tos.rtd",,BL$2,"."&amp;$A$43&amp;$AU$1&amp;"C"&amp;$A54)))</f>
        <v>3.5461446650901444E-2</v>
      </c>
      <c r="BM54" s="83">
        <f ca="1">IF($BP$1=1,EA54,-IF(RTD("tos.rtd",,BM$2,"."&amp;$A$43&amp;$AU$1&amp;"P"&amp;$A54)="N/A",0,RTD("tos.rtd",,BM$2,"."&amp;$A$43&amp;$AU$1&amp;"P"&amp;$A54)))</f>
        <v>-2.9771165685252152E-2</v>
      </c>
      <c r="BN54" s="83">
        <f ca="1">IF($BP$1=1,EB54,IF(RTD("tos.rtd",,BN$2,"."&amp;$A$43&amp;$AW$1&amp;"C"&amp;$A54)="N/A",0,RTD("tos.rtd",,BN$2,"."&amp;$A$43&amp;$AW$1&amp;"C"&amp;$A54)))</f>
        <v>3.5867126993166493E-2</v>
      </c>
      <c r="BO54" s="83">
        <f ca="1">IF($BP$1=1,EC54,-IF(RTD("tos.rtd",,BO$2,"."&amp;$A$43&amp;$AW$1&amp;"P"&amp;$A54)="N/A",0,RTD("tos.rtd",,BO$2,"."&amp;$A$43&amp;$AW$1&amp;"P"&amp;$A54)))</f>
        <v>-3.5245311062875928E-2</v>
      </c>
      <c r="BQ54" s="83">
        <f t="shared" ca="1" si="203"/>
        <v>36158400.525550276</v>
      </c>
      <c r="BR54" s="3" t="str">
        <f t="shared" ca="1" si="177"/>
        <v/>
      </c>
      <c r="BS54" s="83">
        <f t="shared" ca="1" si="204"/>
        <v>13191013.07263051</v>
      </c>
      <c r="BT54" s="3" t="str">
        <f t="shared" ca="1" si="179"/>
        <v/>
      </c>
      <c r="BU54" s="83">
        <f t="shared" ca="1" si="205"/>
        <v>286732.05130890483</v>
      </c>
      <c r="BV54" s="83"/>
      <c r="BX54" s="83">
        <f t="shared" ca="1" si="206"/>
        <v>796972785.6440196</v>
      </c>
      <c r="BY54" s="83" t="str">
        <f t="shared" ca="1" si="194"/>
        <v/>
      </c>
      <c r="BZ54" s="83">
        <f t="shared" ca="1" si="207"/>
        <v>26743141.449971206</v>
      </c>
      <c r="CA54" s="83" t="str">
        <f t="shared" ca="1" si="194"/>
        <v/>
      </c>
      <c r="CB54" s="83">
        <f t="shared" ca="1" si="208"/>
        <v>929164.17344292952</v>
      </c>
      <c r="CC54" s="83" t="str">
        <f t="shared" ca="1" si="194"/>
        <v/>
      </c>
      <c r="CD54" s="83">
        <f>IF(RTD("tos.rtd",,CD$43,"."&amp;$A$43&amp;$AS$42&amp;"C"&amp;$A54)="N/A",0,RTD("tos.rtd",,CD$43,"."&amp;$A$43&amp;$AS$42&amp;"C"&amp;$A54))</f>
        <v>0.01</v>
      </c>
      <c r="CE54" s="83">
        <f>-IF(RTD("tos.rtd",,CE$43,"."&amp;$A$43&amp;$AS$42&amp;"P"&amp;$A54)="N/A",0,RTD("tos.rtd",,CE$43,"."&amp;$A$43&amp;$AS$42&amp;"P"&amp;$A54))</f>
        <v>0.94</v>
      </c>
      <c r="CF54" s="83">
        <f>IF(RTD("tos.rtd",,CF$2,"."&amp;$A$43&amp;$AU$1&amp;"C"&amp;$A54)="N/A",0,RTD("tos.rtd",,CF$2,"."&amp;$A$43&amp;$AU$1&amp;"C"&amp;$A54))</f>
        <v>0.37</v>
      </c>
      <c r="CG54" s="83">
        <f>-IF(RTD("tos.rtd",,CG$2,"."&amp;$A$43&amp;$AU$1&amp;"P"&amp;$A54)="N/A",0,RTD("tos.rtd",,CG$2,"."&amp;$A$43&amp;$AU$1&amp;"P"&amp;$A54))</f>
        <v>0.61</v>
      </c>
      <c r="CH54" s="83">
        <f>IF(RTD("tos.rtd",,CH$2,"."&amp;$A$43&amp;$AW$1&amp;"C"&amp;$A54)="N/A",0,RTD("tos.rtd",,CH$2,"."&amp;$A$43&amp;$AW$1&amp;"C"&amp;$A54))</f>
        <v>0.49</v>
      </c>
      <c r="CI54" s="83">
        <f>-IF(RTD("tos.rtd",,CI$2,"."&amp;$A$43&amp;$AW$1&amp;"P"&amp;$A54)="N/A",0,RTD("tos.rtd",,CI$2,"."&amp;$A$43&amp;$AW$1&amp;"P"&amp;$A54))</f>
        <v>0.52</v>
      </c>
      <c r="CK54" s="83">
        <f t="shared" si="184"/>
        <v>-18490513.920000002</v>
      </c>
      <c r="CL54" s="83"/>
      <c r="CM54" s="83">
        <f t="shared" si="185"/>
        <v>21384333.390000001</v>
      </c>
      <c r="CN54" s="83"/>
      <c r="CO54" s="83">
        <f t="shared" si="186"/>
        <v>683833.08</v>
      </c>
      <c r="CP54" s="83">
        <f t="shared" si="209"/>
        <v>3577652.5499999989</v>
      </c>
      <c r="CQ54" s="83">
        <f t="shared" si="210"/>
        <v>49986</v>
      </c>
      <c r="CR54" s="83"/>
      <c r="CS54" s="83">
        <f t="shared" si="211"/>
        <v>2676</v>
      </c>
      <c r="CT54" s="83"/>
      <c r="CU54" s="83">
        <f t="shared" si="212"/>
        <v>94</v>
      </c>
      <c r="CV54" s="83"/>
      <c r="CW54" s="83">
        <f t="shared" ca="1" si="213"/>
        <v>49636145.649489693</v>
      </c>
      <c r="CY54" s="83">
        <f t="shared" ca="1" si="214"/>
        <v>824645091.26743376</v>
      </c>
      <c r="CZ54" s="70" t="str">
        <f t="shared" ca="1" si="195"/>
        <v/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3.3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5.17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1.64</v>
      </c>
      <c r="DG54" s="86">
        <f t="shared" si="187"/>
        <v>3.3700000000000045</v>
      </c>
      <c r="DH54" s="3">
        <f t="shared" si="152"/>
        <v>0</v>
      </c>
      <c r="DI54" s="3">
        <f t="shared" si="153"/>
        <v>0</v>
      </c>
      <c r="DJ54" s="3">
        <f t="shared" si="154"/>
        <v>0</v>
      </c>
      <c r="DK54" s="3">
        <f t="shared" si="155"/>
        <v>0</v>
      </c>
      <c r="DL54" s="3">
        <f t="shared" si="156"/>
        <v>0</v>
      </c>
      <c r="DM54" s="3">
        <f t="shared" si="157"/>
        <v>0</v>
      </c>
      <c r="DN54" s="64" t="str">
        <f t="shared" si="158"/>
        <v>UNKNOWN</v>
      </c>
      <c r="DO54" s="64" t="str">
        <f t="shared" si="159"/>
        <v>UNKNOWN</v>
      </c>
      <c r="DP54" s="83">
        <f t="shared" si="160"/>
        <v>0</v>
      </c>
      <c r="DQ54" s="83">
        <f t="shared" si="161"/>
        <v>0</v>
      </c>
      <c r="DR54" s="83">
        <f t="shared" ca="1" si="162"/>
        <v>0</v>
      </c>
      <c r="DS54" s="83">
        <f t="shared" si="163"/>
        <v>0</v>
      </c>
      <c r="DT54" s="83">
        <f t="shared" si="188"/>
        <v>0</v>
      </c>
      <c r="DU54" s="83">
        <f t="shared" si="189"/>
        <v>0</v>
      </c>
      <c r="DV54" s="83">
        <f t="shared" si="164"/>
        <v>-1209</v>
      </c>
      <c r="DW54" s="83">
        <f t="shared" si="165"/>
        <v>848</v>
      </c>
      <c r="DX54" s="83">
        <f t="shared" ca="1" si="215"/>
        <v>6.007888155892939E-2</v>
      </c>
      <c r="DY54" s="83">
        <f t="shared" ca="1" si="216"/>
        <v>-7.2252694280918531E-2</v>
      </c>
      <c r="DZ54" s="83">
        <f t="shared" ca="1" si="217"/>
        <v>3.5461446650901444E-2</v>
      </c>
      <c r="EA54" s="83">
        <f t="shared" ca="1" si="218"/>
        <v>-2.9771165685252152E-2</v>
      </c>
      <c r="EB54" s="83">
        <f t="shared" ca="1" si="219"/>
        <v>3.5867126993166493E-2</v>
      </c>
      <c r="EC54" s="83">
        <f t="shared" ca="1" si="220"/>
        <v>-3.5245311062875928E-2</v>
      </c>
      <c r="ED54" s="63">
        <f t="shared" si="190"/>
        <v>-361</v>
      </c>
      <c r="EE54" s="84">
        <f t="shared" si="221"/>
        <v>0.36870000000000003</v>
      </c>
      <c r="EF54" s="84">
        <f t="shared" si="222"/>
        <v>0.51990000000000003</v>
      </c>
      <c r="EG54" s="84">
        <f t="shared" si="223"/>
        <v>0.1946</v>
      </c>
      <c r="EH54" s="84">
        <f t="shared" si="224"/>
        <v>0.23480000000000001</v>
      </c>
      <c r="EI54" s="84">
        <f t="shared" si="225"/>
        <v>0.19220000000000001</v>
      </c>
      <c r="EJ54" s="84">
        <f t="shared" si="226"/>
        <v>0.19589999999999999</v>
      </c>
      <c r="EK54" s="63">
        <f t="shared" ca="1" si="191"/>
        <v>-36156579.887443095</v>
      </c>
      <c r="EL54" s="83" t="str">
        <f>RTD("tos.rtd",,EL$43,"."&amp;$A$43&amp;$AS$42&amp;"C"&amp;$A54)</f>
        <v>36.87%</v>
      </c>
      <c r="EM54" s="83" t="str">
        <f>RTD("tos.rtd",,EM$43,"."&amp;$A$43&amp;$AS$42&amp;"P"&amp;$A54)</f>
        <v>51.99%</v>
      </c>
      <c r="EN54" s="83" t="str">
        <f>RTD("tos.rtd",,EN$2,"."&amp;$A$43&amp;$AU$1&amp;"C"&amp;$A54)</f>
        <v>19.46%</v>
      </c>
      <c r="EO54" s="83" t="str">
        <f>RTD("tos.rtd",,EO$2,"."&amp;$A$43&amp;$AU$1&amp;"P"&amp;$A54)</f>
        <v>23.48%</v>
      </c>
      <c r="EP54" s="83" t="str">
        <f>RTD("tos.rtd",,EP$2,"."&amp;$A$43&amp;$AW$1&amp;"C"&amp;$A54)</f>
        <v>19.22%</v>
      </c>
      <c r="EQ54" s="83" t="str">
        <f>RTD("tos.rtd",,EQ$2,"."&amp;$A$43&amp;$AW$1&amp;"P"&amp;$A54)</f>
        <v>19.59%</v>
      </c>
      <c r="ES54" s="63" t="str">
        <f t="shared" si="172"/>
        <v>523,-361.00</v>
      </c>
      <c r="ET54" s="63" t="str">
        <f t="shared" ca="1" si="173"/>
        <v>523,824645.09</v>
      </c>
      <c r="EU54" s="67">
        <v>593.5</v>
      </c>
      <c r="EV54" s="67" t="s">
        <v>452</v>
      </c>
      <c r="EW54" s="67">
        <v>519.97</v>
      </c>
      <c r="EX54" s="67" t="s">
        <v>453</v>
      </c>
      <c r="EY54" s="67">
        <v>5945</v>
      </c>
      <c r="EZ54" s="67" t="s">
        <v>454</v>
      </c>
      <c r="FA54" s="67">
        <v>21342.25</v>
      </c>
      <c r="FB54" s="67" t="s">
        <v>455</v>
      </c>
      <c r="FC54" s="67" t="s">
        <v>456</v>
      </c>
      <c r="FD54" s="67" t="s">
        <v>457</v>
      </c>
      <c r="FE54" s="68" t="s">
        <v>458</v>
      </c>
      <c r="FF54" s="68" t="s">
        <v>459</v>
      </c>
    </row>
    <row r="55" spans="1:162" ht="13.5" thickBot="1" x14ac:dyDescent="0.25">
      <c r="A55" s="2">
        <f t="shared" si="192"/>
        <v>522</v>
      </c>
      <c r="B55" s="3">
        <f>+IF($A$1="ABS",AS55-AT55,AS55+AT55)</f>
        <v>6466</v>
      </c>
      <c r="C55" s="3">
        <f>+IF($A$1="ABS",AU55-AV55,AU55+AV55)</f>
        <v>4138</v>
      </c>
      <c r="D55" s="3">
        <f>+IF($A$1="ABS",AW55-AX55,AW55+AX55)</f>
        <v>286</v>
      </c>
      <c r="E55" s="3">
        <f>SUM(B55:D55)</f>
        <v>10890</v>
      </c>
      <c r="F55" s="4">
        <f>+$F$44/$A$44*A55</f>
        <v>21518.448703885457</v>
      </c>
      <c r="AM55" s="1">
        <v>-5179</v>
      </c>
      <c r="AN55" s="1">
        <v>-586</v>
      </c>
      <c r="AO55" s="1">
        <v>522</v>
      </c>
      <c r="AP55" s="1">
        <v>127596</v>
      </c>
      <c r="AQ55" s="1">
        <v>-11302</v>
      </c>
      <c r="AS55" s="6">
        <f>IF(RTD("tos.rtd",,AS$43,"."&amp;$A$43&amp;$AS$42&amp;"C"&amp;$A55)="N/A",0,RTD("tos.rtd",,AS$43,"."&amp;$A$43&amp;$AS$42&amp;"C"&amp;$A55))</f>
        <v>4382</v>
      </c>
      <c r="AT55" s="7">
        <f>-IF(RTD("tos.rtd",,AT$43,"."&amp;$A$43&amp;$AS$42&amp;"P"&amp;$A55)="N/A",0,RTD("tos.rtd",,AT$43,"."&amp;$A$43&amp;$AS$42&amp;"P"&amp;$A55))</f>
        <v>-2084</v>
      </c>
      <c r="AU55" s="6">
        <f>IF(RTD("tos.rtd",,AU$2,"."&amp;$A$43&amp;$AU$1&amp;"C"&amp;$A55)="N/A",0,RTD("tos.rtd",,AU$2,"."&amp;$A$43&amp;$AU$1&amp;"C"&amp;$A55))</f>
        <v>2998</v>
      </c>
      <c r="AV55" s="7">
        <f>-IF(RTD("tos.rtd",,AV$2,"."&amp;$A$43&amp;$AU$1&amp;"P"&amp;$A55)="N/A",0,RTD("tos.rtd",,AV$2,"."&amp;$A$43&amp;$AU$1&amp;"P"&amp;$A55))</f>
        <v>-1140</v>
      </c>
      <c r="AW55" s="6">
        <f>IF(RTD("tos.rtd",,AW$2,"."&amp;$A$43&amp;$AW$1&amp;"C"&amp;$A55)="N/A",0,RTD("tos.rtd",,AW$2,"."&amp;$A$43&amp;$AW$1&amp;"C"&amp;$A55))</f>
        <v>208</v>
      </c>
      <c r="AX55" s="7">
        <f>-IF(RTD("tos.rtd",,AX$2,"."&amp;$A$43&amp;$AW$1&amp;"P"&amp;$A55)="N/A",0,RTD("tos.rtd",,AX$2,"."&amp;$A$43&amp;$AW$1&amp;"P"&amp;$A55))</f>
        <v>-78</v>
      </c>
      <c r="AY55" s="7">
        <f>SUM(AS55:AX55)</f>
        <v>4286</v>
      </c>
      <c r="AZ55" s="8">
        <f t="shared" si="146"/>
        <v>522</v>
      </c>
      <c r="BA55" s="6">
        <f>IF(RTD("tos.rtd",,BA$43,"."&amp;$A$43&amp;$AS$42&amp;"C"&amp;$A55)="N/A",0,RTD("tos.rtd",,BA$43,"."&amp;$A$43&amp;$AS$42&amp;"C"&amp;$A55))</f>
        <v>127596</v>
      </c>
      <c r="BB55" s="7">
        <f>-IF(RTD("tos.rtd",,BB$43,"."&amp;$A$43&amp;$AS$42&amp;"P"&amp;$A55)="N/A",0,RTD("tos.rtd",,BB$43,"."&amp;$A$43&amp;$AS$42&amp;"P"&amp;$A55))</f>
        <v>-11302</v>
      </c>
      <c r="BC55" s="6">
        <f>IF(RTD("tos.rtd",,BC$2,"."&amp;$A$43&amp;$AU$1&amp;"C"&amp;$A55)="N/A",0,RTD("tos.rtd",,BC$2,"."&amp;$A$43&amp;$AU$1&amp;"C"&amp;$A55))</f>
        <v>7519</v>
      </c>
      <c r="BD55" s="7">
        <f>-IF(RTD("tos.rtd",,BD$2,"."&amp;$A$43&amp;$AU$1&amp;"P"&amp;$A55)="N/A",0,RTD("tos.rtd",,BD$2,"."&amp;$A$43&amp;$AU$1&amp;"P"&amp;$A55))</f>
        <v>-2060</v>
      </c>
      <c r="BE55" s="6">
        <f>IF(RTD("tos.rtd",,BE$2,"."&amp;$A$43&amp;$AW$1&amp;"C"&amp;$A55)="N/A",0,RTD("tos.rtd",,BE$2,"."&amp;$A$43&amp;$AW$1&amp;"C"&amp;$A55))</f>
        <v>513</v>
      </c>
      <c r="BF55" s="7">
        <f>-IF(RTD("tos.rtd",,BF$2,"."&amp;$A$43&amp;$AW$1&amp;"P"&amp;$A55)="N/A",0,RTD("tos.rtd",,BF$2,"."&amp;$A$43&amp;$AW$1&amp;"P"&amp;$A55))</f>
        <v>-110</v>
      </c>
      <c r="BG55" s="32">
        <f ca="1">+Hoja2!Y56</f>
        <v>25449</v>
      </c>
      <c r="BH55" s="7">
        <f t="shared" ca="1" si="175"/>
        <v>147605</v>
      </c>
      <c r="BI55" s="8" t="str">
        <f t="shared" ca="1" si="193"/>
        <v/>
      </c>
      <c r="BJ55" s="83">
        <f ca="1">IF($BP$1=1,DX55,IF(RTD("tos.rtd",,BJ$43,"."&amp;$A$43&amp;$AS$42&amp;"C"&amp;$A55)="N/A",0,RTD("tos.rtd",,BJ$43,"."&amp;$A$43&amp;$AS$42&amp;"C"&amp;$A55)))</f>
        <v>8.9515260497734714E-2</v>
      </c>
      <c r="BK55" s="83">
        <f ca="1">IF($BP$1=1,DY55,-IF(RTD("tos.rtd",,BK$43,"."&amp;$A$43&amp;$AS$42&amp;"P"&amp;$A55)="N/A",0,RTD("tos.rtd",,BK$43,"."&amp;$A$43&amp;$AS$42&amp;"P"&amp;$A55)))</f>
        <v>-9.3215549396778286E-2</v>
      </c>
      <c r="BL55" s="83">
        <f ca="1">IF($BP$1=1,DZ55,IF(RTD("tos.rtd",,BL$2,"."&amp;$A$43&amp;$AU$1&amp;"C"&amp;$A55)="N/A",0,RTD("tos.rtd",,BL$2,"."&amp;$A$43&amp;$AU$1&amp;"C"&amp;$A55)))</f>
        <v>3.6042987474904697E-2</v>
      </c>
      <c r="BM55" s="83">
        <f ca="1">IF($BP$1=1,EA55,-IF(RTD("tos.rtd",,BM$2,"."&amp;$A$43&amp;$AU$1&amp;"P"&amp;$A55)="N/A",0,RTD("tos.rtd",,BM$2,"."&amp;$A$43&amp;$AU$1&amp;"P"&amp;$A55)))</f>
        <v>-3.7886358074357085E-2</v>
      </c>
      <c r="BN55" s="83">
        <f ca="1">IF($BP$1=1,EB55,IF(RTD("tos.rtd",,BN$2,"."&amp;$A$43&amp;$AW$1&amp;"C"&amp;$A55)="N/A",0,RTD("tos.rtd",,BN$2,"."&amp;$A$43&amp;$AW$1&amp;"C"&amp;$A55)))</f>
        <v>3.6473562938791323E-2</v>
      </c>
      <c r="BO55" s="83">
        <f ca="1">IF($BP$1=1,EC55,-IF(RTD("tos.rtd",,BO$2,"."&amp;$A$43&amp;$AW$1&amp;"P"&amp;$A55)="N/A",0,RTD("tos.rtd",,BO$2,"."&amp;$A$43&amp;$AW$1&amp;"P"&amp;$A55)))</f>
        <v>-3.4078972119229355E-2</v>
      </c>
      <c r="BQ55" s="83">
        <f ca="1">+$A$44*$A$44*AS55*BJ55-$A$44*$A$44*AT55*BK55</f>
        <v>53461596.595112175</v>
      </c>
      <c r="BR55" s="3" t="str">
        <f t="shared" ca="1" si="177"/>
        <v/>
      </c>
      <c r="BS55" s="83">
        <f ca="1">+$A$44*$A$44*AU55*BL55-$A$44*$A$44*AV55*BM55</f>
        <v>17514930.476072595</v>
      </c>
      <c r="BT55" s="3" t="str">
        <f t="shared" ca="1" si="179"/>
        <v/>
      </c>
      <c r="BU55" s="83">
        <f ca="1">+$A$44*$A$44*AW55*BN55-$A$44*$A$44*AX55*BO55</f>
        <v>1330727.7272887123</v>
      </c>
      <c r="BV55" s="83"/>
      <c r="BX55" s="83">
        <f ca="1">+$A$44*$A$44*BA55*BJ55-$A$44*$A$44*BB55*BK55</f>
        <v>2799591117.6551275</v>
      </c>
      <c r="BY55" s="83" t="str">
        <f t="shared" ca="1" si="194"/>
        <v/>
      </c>
      <c r="BZ55" s="83">
        <f ca="1">+$A$44*$A$44*BC55*BL55-$A$44*$A$44*BD55*BM55</f>
        <v>52102517.230019175</v>
      </c>
      <c r="CA55" s="83" t="str">
        <f t="shared" ca="1" si="194"/>
        <v/>
      </c>
      <c r="CB55" s="83">
        <f ca="1">+$A$44*$A$44*BE55*BN55-$A$44*$A$44*BF55*BO55</f>
        <v>4040037.2052560048</v>
      </c>
      <c r="CC55" s="83" t="str">
        <f t="shared" ca="1" si="194"/>
        <v/>
      </c>
      <c r="CD55" s="83">
        <f>IF(RTD("tos.rtd",,CD$43,"."&amp;$A$43&amp;$AS$42&amp;"C"&amp;$A55)="N/A",0,RTD("tos.rtd",,CD$43,"."&amp;$A$43&amp;$AS$42&amp;"C"&amp;$A55))</f>
        <v>0.01</v>
      </c>
      <c r="CE55" s="83">
        <f>-IF(RTD("tos.rtd",,CE$43,"."&amp;$A$43&amp;$AS$42&amp;"P"&amp;$A55)="N/A",0,RTD("tos.rtd",,CE$43,"."&amp;$A$43&amp;$AS$42&amp;"P"&amp;$A55))</f>
        <v>0.87</v>
      </c>
      <c r="CF55" s="83">
        <f>IF(RTD("tos.rtd",,CF$2,"."&amp;$A$43&amp;$AU$1&amp;"C"&amp;$A55)="N/A",0,RTD("tos.rtd",,CF$2,"."&amp;$A$43&amp;$AU$1&amp;"C"&amp;$A55))</f>
        <v>0.41</v>
      </c>
      <c r="CG55" s="83">
        <f>-IF(RTD("tos.rtd",,CG$2,"."&amp;$A$43&amp;$AU$1&amp;"P"&amp;$A55)="N/A",0,RTD("tos.rtd",,CG$2,"."&amp;$A$43&amp;$AU$1&amp;"P"&amp;$A55))</f>
        <v>0.6</v>
      </c>
      <c r="CH55" s="83">
        <f>IF(RTD("tos.rtd",,CH$2,"."&amp;$A$43&amp;$AW$1&amp;"C"&amp;$A55)="N/A",0,RTD("tos.rtd",,CH$2,"."&amp;$A$43&amp;$AW$1&amp;"C"&amp;$A55))</f>
        <v>0.5</v>
      </c>
      <c r="CI55" s="83">
        <f>-IF(RTD("tos.rtd",,CI$2,"."&amp;$A$43&amp;$AW$1&amp;"P"&amp;$A55)="N/A",0,RTD("tos.rtd",,CI$2,"."&amp;$A$43&amp;$AW$1&amp;"P"&amp;$A55))</f>
        <v>0.5</v>
      </c>
      <c r="CK55" s="83">
        <f t="shared" si="184"/>
        <v>-71442889.439999998</v>
      </c>
      <c r="CL55" s="83"/>
      <c r="CM55" s="83">
        <f t="shared" si="185"/>
        <v>28329188.339999989</v>
      </c>
      <c r="CN55" s="83"/>
      <c r="CO55" s="83">
        <f t="shared" si="186"/>
        <v>3377595</v>
      </c>
      <c r="CP55" s="83">
        <f>+CK55+CM55+CO55</f>
        <v>-39736106.100000009</v>
      </c>
      <c r="CQ55" s="83">
        <f>+BA55+BB55</f>
        <v>116294</v>
      </c>
      <c r="CR55" s="83"/>
      <c r="CS55" s="83">
        <f>+BC55+BD55</f>
        <v>5459</v>
      </c>
      <c r="CT55" s="83"/>
      <c r="CU55" s="83">
        <f>+BE55+BF55</f>
        <v>403</v>
      </c>
      <c r="CV55" s="83"/>
      <c r="CW55" s="83">
        <f ca="1">+BQ55+BS55+BU55</f>
        <v>72307254.798473477</v>
      </c>
      <c r="CY55" s="83">
        <f ca="1">+BX55+BZ55+CB55</f>
        <v>2855733672.0904026</v>
      </c>
      <c r="CZ55" s="70" t="str">
        <f t="shared" ca="1" si="195"/>
        <v/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2.89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4.51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0.5</v>
      </c>
      <c r="DG55" s="86">
        <f t="shared" si="187"/>
        <v>2.3700000000000045</v>
      </c>
      <c r="DH55" s="3">
        <f t="shared" si="152"/>
        <v>0</v>
      </c>
      <c r="DI55" s="3">
        <f t="shared" si="153"/>
        <v>0</v>
      </c>
      <c r="DJ55" s="3">
        <f t="shared" si="154"/>
        <v>0</v>
      </c>
      <c r="DK55" s="3">
        <f t="shared" si="155"/>
        <v>0</v>
      </c>
      <c r="DL55" s="3">
        <f t="shared" si="156"/>
        <v>0</v>
      </c>
      <c r="DM55" s="3">
        <f t="shared" si="157"/>
        <v>0</v>
      </c>
      <c r="DN55" s="64" t="str">
        <f t="shared" si="158"/>
        <v>UNKNOWN</v>
      </c>
      <c r="DO55" s="64" t="str">
        <f t="shared" si="159"/>
        <v>UNKNOWN</v>
      </c>
      <c r="DP55" s="83">
        <f t="shared" si="160"/>
        <v>0</v>
      </c>
      <c r="DQ55" s="83">
        <f t="shared" si="161"/>
        <v>0</v>
      </c>
      <c r="DR55" s="83">
        <f t="shared" ca="1" si="162"/>
        <v>0</v>
      </c>
      <c r="DS55" s="83">
        <f t="shared" si="163"/>
        <v>0</v>
      </c>
      <c r="DT55" s="83">
        <f t="shared" si="188"/>
        <v>0</v>
      </c>
      <c r="DU55" s="83">
        <f t="shared" si="189"/>
        <v>0</v>
      </c>
      <c r="DV55" s="83">
        <f t="shared" si="164"/>
        <v>-5179</v>
      </c>
      <c r="DW55" s="83">
        <f t="shared" si="165"/>
        <v>-586</v>
      </c>
      <c r="DX55" s="83">
        <f t="shared" ca="1" si="215"/>
        <v>8.9515260497734714E-2</v>
      </c>
      <c r="DY55" s="83">
        <f t="shared" ca="1" si="216"/>
        <v>-9.3215549396778286E-2</v>
      </c>
      <c r="DZ55" s="83">
        <f t="shared" ca="1" si="217"/>
        <v>3.6042987474904697E-2</v>
      </c>
      <c r="EA55" s="83">
        <f t="shared" ca="1" si="218"/>
        <v>-3.7886358074357085E-2</v>
      </c>
      <c r="EB55" s="83">
        <f t="shared" ca="1" si="219"/>
        <v>3.6473562938791323E-2</v>
      </c>
      <c r="EC55" s="83">
        <f t="shared" ca="1" si="220"/>
        <v>-3.4078972119229355E-2</v>
      </c>
      <c r="ED55" s="63">
        <f t="shared" si="190"/>
        <v>-5765</v>
      </c>
      <c r="EE55" s="84">
        <f t="shared" ref="EE55:EJ55" si="227">IFERROR(VALUE(IF(OR(EL55="--",EL55="0.00%"),$EE$1,EL55)),$EE$1)</f>
        <v>0.27189999999999998</v>
      </c>
      <c r="EF55" s="84">
        <f t="shared" si="227"/>
        <v>0.53520000000000001</v>
      </c>
      <c r="EG55" s="84">
        <f t="shared" si="227"/>
        <v>0.1956</v>
      </c>
      <c r="EH55" s="84">
        <f t="shared" si="227"/>
        <v>0.1857</v>
      </c>
      <c r="EI55" s="84">
        <f t="shared" si="227"/>
        <v>0.19320000000000001</v>
      </c>
      <c r="EJ55" s="84">
        <f t="shared" si="227"/>
        <v>0.20730000000000001</v>
      </c>
      <c r="EK55" s="63">
        <f t="shared" ca="1" si="191"/>
        <v>-110429582.39832406</v>
      </c>
      <c r="EL55" s="83" t="str">
        <f>RTD("tos.rtd",,EL$43,"."&amp;$A$43&amp;$AS$42&amp;"C"&amp;$A55)</f>
        <v>27.19%</v>
      </c>
      <c r="EM55" s="83" t="str">
        <f>RTD("tos.rtd",,EM$43,"."&amp;$A$43&amp;$AS$42&amp;"P"&amp;$A55)</f>
        <v>53.52%</v>
      </c>
      <c r="EN55" s="83" t="str">
        <f>RTD("tos.rtd",,EN$2,"."&amp;$A$43&amp;$AU$1&amp;"C"&amp;$A55)</f>
        <v>19.56%</v>
      </c>
      <c r="EO55" s="83" t="str">
        <f>RTD("tos.rtd",,EO$2,"."&amp;$A$43&amp;$AU$1&amp;"P"&amp;$A55)</f>
        <v>18.57%</v>
      </c>
      <c r="EP55" s="83" t="str">
        <f>RTD("tos.rtd",,EP$2,"."&amp;$A$43&amp;$AW$1&amp;"C"&amp;$A55)</f>
        <v>19.32%</v>
      </c>
      <c r="EQ55" s="83" t="str">
        <f>RTD("tos.rtd",,EQ$2,"."&amp;$A$43&amp;$AW$1&amp;"P"&amp;$A55)</f>
        <v>20.73%</v>
      </c>
      <c r="ES55" s="63" t="str">
        <f t="shared" si="172"/>
        <v>522,-5765.00</v>
      </c>
      <c r="ET55" s="63" t="str">
        <f t="shared" ca="1" si="173"/>
        <v>522,2855733.67</v>
      </c>
      <c r="EU55" s="67">
        <v>593.55999999999995</v>
      </c>
      <c r="EV55" s="67" t="s">
        <v>460</v>
      </c>
      <c r="EW55" s="67">
        <v>520</v>
      </c>
      <c r="EX55" s="67" t="s">
        <v>461</v>
      </c>
      <c r="EY55" s="67">
        <v>5945.75</v>
      </c>
      <c r="EZ55" s="67" t="s">
        <v>462</v>
      </c>
      <c r="FA55" s="67">
        <v>21345</v>
      </c>
      <c r="FB55" s="67" t="s">
        <v>463</v>
      </c>
      <c r="FC55" s="67" t="s">
        <v>464</v>
      </c>
      <c r="FD55" s="67" t="s">
        <v>465</v>
      </c>
      <c r="FE55" s="68" t="s">
        <v>466</v>
      </c>
      <c r="FF55" s="68" t="s">
        <v>467</v>
      </c>
    </row>
    <row r="56" spans="1:162" ht="13.5" thickBot="1" x14ac:dyDescent="0.25">
      <c r="A56" s="2">
        <f t="shared" si="192"/>
        <v>521</v>
      </c>
      <c r="B56" s="3">
        <f t="shared" si="197"/>
        <v>7922</v>
      </c>
      <c r="C56" s="3">
        <f t="shared" si="198"/>
        <v>3886</v>
      </c>
      <c r="D56" s="3">
        <f t="shared" si="199"/>
        <v>318</v>
      </c>
      <c r="E56" s="3">
        <f t="shared" si="200"/>
        <v>12126</v>
      </c>
      <c r="F56" s="4">
        <f t="shared" si="201"/>
        <v>21477.225622077247</v>
      </c>
      <c r="AM56" s="1">
        <v>-2002</v>
      </c>
      <c r="AN56" s="1">
        <v>-1072</v>
      </c>
      <c r="AO56" s="1">
        <v>521</v>
      </c>
      <c r="AP56" s="1">
        <v>214584</v>
      </c>
      <c r="AQ56" s="1">
        <v>-37910</v>
      </c>
      <c r="AS56" s="6">
        <f>IF(RTD("tos.rtd",,AS$43,"."&amp;$A$43&amp;$AS$42&amp;"C"&amp;$A56)="N/A",0,RTD("tos.rtd",,AS$43,"."&amp;$A$43&amp;$AS$42&amp;"C"&amp;$A56))</f>
        <v>4504</v>
      </c>
      <c r="AT56" s="7">
        <f>-IF(RTD("tos.rtd",,AT$43,"."&amp;$A$43&amp;$AS$42&amp;"P"&amp;$A56)="N/A",0,RTD("tos.rtd",,AT$43,"."&amp;$A$43&amp;$AS$42&amp;"P"&amp;$A56))</f>
        <v>-3418</v>
      </c>
      <c r="AU56" s="6">
        <f>IF(RTD("tos.rtd",,AU$2,"."&amp;$A$43&amp;$AU$1&amp;"C"&amp;$A56)="N/A",0,RTD("tos.rtd",,AU$2,"."&amp;$A$43&amp;$AU$1&amp;"C"&amp;$A56))</f>
        <v>2375</v>
      </c>
      <c r="AV56" s="7">
        <f>-IF(RTD("tos.rtd",,AV$2,"."&amp;$A$43&amp;$AU$1&amp;"P"&amp;$A56)="N/A",0,RTD("tos.rtd",,AV$2,"."&amp;$A$43&amp;$AU$1&amp;"P"&amp;$A56))</f>
        <v>-1511</v>
      </c>
      <c r="AW56" s="6">
        <f>IF(RTD("tos.rtd",,AW$2,"."&amp;$A$43&amp;$AW$1&amp;"C"&amp;$A56)="N/A",0,RTD("tos.rtd",,AW$2,"."&amp;$A$43&amp;$AW$1&amp;"C"&amp;$A56))</f>
        <v>143</v>
      </c>
      <c r="AX56" s="7">
        <f>-IF(RTD("tos.rtd",,AX$2,"."&amp;$A$43&amp;$AW$1&amp;"P"&amp;$A56)="N/A",0,RTD("tos.rtd",,AX$2,"."&amp;$A$43&amp;$AW$1&amp;"P"&amp;$A56))</f>
        <v>-175</v>
      </c>
      <c r="AY56" s="7">
        <f t="shared" si="202"/>
        <v>1918</v>
      </c>
      <c r="AZ56" s="8">
        <f t="shared" si="146"/>
        <v>521</v>
      </c>
      <c r="BA56" s="6">
        <f>IF(RTD("tos.rtd",,BA$43,"."&amp;$A$43&amp;$AS$42&amp;"C"&amp;$A56)="N/A",0,RTD("tos.rtd",,BA$43,"."&amp;$A$43&amp;$AS$42&amp;"C"&amp;$A56))</f>
        <v>214584</v>
      </c>
      <c r="BB56" s="7">
        <f>-IF(RTD("tos.rtd",,BB$43,"."&amp;$A$43&amp;$AS$42&amp;"P"&amp;$A56)="N/A",0,RTD("tos.rtd",,BB$43,"."&amp;$A$43&amp;$AS$42&amp;"P"&amp;$A56))</f>
        <v>-37910</v>
      </c>
      <c r="BC56" s="6">
        <f>IF(RTD("tos.rtd",,BC$2,"."&amp;$A$43&amp;$AU$1&amp;"C"&amp;$A56)="N/A",0,RTD("tos.rtd",,BC$2,"."&amp;$A$43&amp;$AU$1&amp;"C"&amp;$A56))</f>
        <v>4830</v>
      </c>
      <c r="BD56" s="7">
        <f>-IF(RTD("tos.rtd",,BD$2,"."&amp;$A$43&amp;$AU$1&amp;"P"&amp;$A56)="N/A",0,RTD("tos.rtd",,BD$2,"."&amp;$A$43&amp;$AU$1&amp;"P"&amp;$A56))</f>
        <v>-2507</v>
      </c>
      <c r="BE56" s="6">
        <f>IF(RTD("tos.rtd",,BE$2,"."&amp;$A$43&amp;$AW$1&amp;"C"&amp;$A56)="N/A",0,RTD("tos.rtd",,BE$2,"."&amp;$A$43&amp;$AW$1&amp;"C"&amp;$A56))</f>
        <v>312</v>
      </c>
      <c r="BF56" s="7">
        <f>-IF(RTD("tos.rtd",,BF$2,"."&amp;$A$43&amp;$AW$1&amp;"P"&amp;$A56)="N/A",0,RTD("tos.rtd",,BF$2,"."&amp;$A$43&amp;$AW$1&amp;"P"&amp;$A56))</f>
        <v>-954</v>
      </c>
      <c r="BG56" s="32">
        <f ca="1">+Hoja2!Y57</f>
        <v>23591</v>
      </c>
      <c r="BH56" s="7">
        <f t="shared" ca="1" si="175"/>
        <v>201946</v>
      </c>
      <c r="BI56" s="8" t="str">
        <f t="shared" ca="1" si="193"/>
        <v/>
      </c>
      <c r="BJ56" s="83">
        <f ca="1">IF($BP$1=1,DX56,IF(RTD("tos.rtd",,BJ$43,"."&amp;$A$43&amp;$AS$42&amp;"C"&amp;$A56)="N/A",0,RTD("tos.rtd",,BJ$43,"."&amp;$A$43&amp;$AS$42&amp;"C"&amp;$A56)))</f>
        <v>0.16473539060777842</v>
      </c>
      <c r="BK56" s="83">
        <f ca="1">IF($BP$1=1,DY56,-IF(RTD("tos.rtd",,BK$43,"."&amp;$A$43&amp;$AS$42&amp;"P"&amp;$A56)="N/A",0,RTD("tos.rtd",,BK$43,"."&amp;$A$43&amp;$AS$42&amp;"P"&amp;$A56)))</f>
        <v>-6.6842471570207451E-2</v>
      </c>
      <c r="BL56" s="83">
        <f ca="1">IF($BP$1=1,DZ56,IF(RTD("tos.rtd",,BL$2,"."&amp;$A$43&amp;$AU$1&amp;"C"&amp;$A56)="N/A",0,RTD("tos.rtd",,BL$2,"."&amp;$A$43&amp;$AU$1&amp;"C"&amp;$A56)))</f>
        <v>3.5565609560949119E-2</v>
      </c>
      <c r="BM56" s="83">
        <f ca="1">IF($BP$1=1,EA56,-IF(RTD("tos.rtd",,BM$2,"."&amp;$A$43&amp;$AU$1&amp;"P"&amp;$A56)="N/A",0,RTD("tos.rtd",,BM$2,"."&amp;$A$43&amp;$AU$1&amp;"P"&amp;$A56)))</f>
        <v>-3.3438031152537816E-2</v>
      </c>
      <c r="BN56" s="83">
        <f ca="1">IF($BP$1=1,EB56,IF(RTD("tos.rtd",,BN$2,"."&amp;$A$43&amp;$AW$1&amp;"C"&amp;$A56)="N/A",0,RTD("tos.rtd",,BN$2,"."&amp;$A$43&amp;$AW$1&amp;"C"&amp;$A56)))</f>
        <v>3.6593941957279247E-2</v>
      </c>
      <c r="BO56" s="83">
        <f ca="1">IF($BP$1=1,EC56,-IF(RTD("tos.rtd",,BO$2,"."&amp;$A$43&amp;$AW$1&amp;"P"&amp;$A56)="N/A",0,RTD("tos.rtd",,BO$2,"."&amp;$A$43&amp;$AW$1&amp;"P"&amp;$A56)))</f>
        <v>-3.4793502732711826E-2</v>
      </c>
      <c r="BQ56" s="83">
        <f t="shared" ca="1" si="203"/>
        <v>138653046.00486034</v>
      </c>
      <c r="BR56" s="3" t="str">
        <f t="shared" ca="1" si="177"/>
        <v/>
      </c>
      <c r="BS56" s="83">
        <f t="shared" ca="1" si="204"/>
        <v>9165254.1490731798</v>
      </c>
      <c r="BT56" s="3" t="str">
        <f t="shared" ca="1" si="179"/>
        <v/>
      </c>
      <c r="BU56" s="83">
        <f t="shared" ca="1" si="205"/>
        <v>-231114.0324518308</v>
      </c>
      <c r="BV56" s="83"/>
      <c r="BX56" s="83">
        <f t="shared" ca="1" si="206"/>
        <v>8860710148.7409401</v>
      </c>
      <c r="BY56" s="83" t="str">
        <f t="shared" ca="1" si="194"/>
        <v/>
      </c>
      <c r="BZ56" s="83">
        <f t="shared" ca="1" si="207"/>
        <v>23748591.444125131</v>
      </c>
      <c r="CA56" s="83" t="str">
        <f t="shared" ca="1" si="194"/>
        <v/>
      </c>
      <c r="CB56" s="83">
        <f t="shared" ca="1" si="208"/>
        <v>-5879770.7350169914</v>
      </c>
      <c r="CC56" s="83" t="str">
        <f t="shared" ca="1" si="194"/>
        <v>Cruce -</v>
      </c>
      <c r="CD56" s="83">
        <f>IF(RTD("tos.rtd",,CD$43,"."&amp;$A$43&amp;$AS$42&amp;"C"&amp;$A56)="N/A",0,RTD("tos.rtd",,CD$43,"."&amp;$A$43&amp;$AS$42&amp;"C"&amp;$A56))</f>
        <v>0.02</v>
      </c>
      <c r="CE56" s="83">
        <f>-IF(RTD("tos.rtd",,CE$43,"."&amp;$A$43&amp;$AS$42&amp;"P"&amp;$A56)="N/A",0,RTD("tos.rtd",,CE$43,"."&amp;$A$43&amp;$AS$42&amp;"P"&amp;$A56))</f>
        <v>0.64</v>
      </c>
      <c r="CF56" s="83">
        <f>IF(RTD("tos.rtd",,CF$2,"."&amp;$A$43&amp;$AU$1&amp;"C"&amp;$A56)="N/A",0,RTD("tos.rtd",,CF$2,"."&amp;$A$43&amp;$AU$1&amp;"C"&amp;$A56))</f>
        <v>0.45</v>
      </c>
      <c r="CG56" s="83">
        <f>-IF(RTD("tos.rtd",,CG$2,"."&amp;$A$43&amp;$AU$1&amp;"P"&amp;$A56)="N/A",0,RTD("tos.rtd",,CG$2,"."&amp;$A$43&amp;$AU$1&amp;"P"&amp;$A56))</f>
        <v>0.54</v>
      </c>
      <c r="CH56" s="83">
        <f>IF(RTD("tos.rtd",,CH$2,"."&amp;$A$43&amp;$AW$1&amp;"C"&amp;$A56)="N/A",0,RTD("tos.rtd",,CH$2,"."&amp;$A$43&amp;$AW$1&amp;"C"&amp;$A56))</f>
        <v>0.52</v>
      </c>
      <c r="CI56" s="83">
        <f>-IF(RTD("tos.rtd",,CI$2,"."&amp;$A$43&amp;$AW$1&amp;"P"&amp;$A56)="N/A",0,RTD("tos.rtd",,CI$2,"."&amp;$A$43&amp;$AW$1&amp;"P"&amp;$A56))</f>
        <v>0.49</v>
      </c>
      <c r="CK56" s="83">
        <f t="shared" si="184"/>
        <v>-66861831.360000007</v>
      </c>
      <c r="CL56" s="83"/>
      <c r="CM56" s="83">
        <f t="shared" si="185"/>
        <v>13136766.030000001</v>
      </c>
      <c r="CN56" s="83"/>
      <c r="CO56" s="83">
        <f t="shared" si="186"/>
        <v>-591858.56999999983</v>
      </c>
      <c r="CP56" s="83">
        <f t="shared" si="209"/>
        <v>-54316923.900000006</v>
      </c>
      <c r="CQ56" s="83">
        <f t="shared" si="210"/>
        <v>176674</v>
      </c>
      <c r="CR56" s="83"/>
      <c r="CS56" s="83">
        <f t="shared" si="211"/>
        <v>2323</v>
      </c>
      <c r="CT56" s="83"/>
      <c r="CU56" s="83">
        <f t="shared" si="212"/>
        <v>-642</v>
      </c>
      <c r="CV56" s="83"/>
      <c r="CW56" s="83">
        <f t="shared" ca="1" si="213"/>
        <v>147587186.12148169</v>
      </c>
      <c r="CY56" s="83">
        <f t="shared" ca="1" si="214"/>
        <v>8878578969.4500465</v>
      </c>
      <c r="CZ56" s="70" t="str">
        <f t="shared" ca="1" si="195"/>
        <v/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1.8</v>
      </c>
      <c r="DC56" s="83">
        <f>IF(RTD("tos.rtd",,DC$43,"."&amp;$A$43&amp;$AS$42&amp;"C"&amp;$A56)="N/A",0,RTD("tos.rtd",,DC$43,"."&amp;$A$43&amp;$AS$42&amp;"C"&amp;$A56))</f>
        <v>0.01</v>
      </c>
      <c r="DD56" s="83">
        <f>IF(RTD("tos.rtd",,DD$43,"."&amp;$A$43&amp;$AS$42&amp;"P"&amp;$A56)="N/A",0,RTD("tos.rtd",,DD$43,"."&amp;$A$43&amp;$AS$42&amp;"P"&amp;$A56))</f>
        <v>3.31</v>
      </c>
      <c r="DE56" s="83">
        <f>IF(RTD("tos.rtd",,DE$43,"."&amp;$A$43&amp;$AS$42&amp;"C"&amp;$A56)="N/A",0,RTD("tos.rtd",,DE$43,"."&amp;$A$43&amp;$AS$42&amp;"C"&amp;$A56))</f>
        <v>0</v>
      </c>
      <c r="DF56" s="83">
        <f>IF(RTD("tos.rtd",,DF$43,"."&amp;$A$43&amp;$AS$42&amp;"P"&amp;$A56)="N/A",0,RTD("tos.rtd",,DF$43,"."&amp;$A$43&amp;$AS$42&amp;"P"&amp;$A56))</f>
        <v>1.18</v>
      </c>
      <c r="DG56" s="86">
        <f t="shared" si="187"/>
        <v>1.3700000000000045</v>
      </c>
      <c r="DH56" s="3">
        <f t="shared" si="152"/>
        <v>0</v>
      </c>
      <c r="DI56" s="3">
        <f t="shared" si="153"/>
        <v>0</v>
      </c>
      <c r="DJ56" s="3">
        <f t="shared" si="154"/>
        <v>0</v>
      </c>
      <c r="DK56" s="3">
        <f t="shared" si="155"/>
        <v>0</v>
      </c>
      <c r="DL56" s="3">
        <f t="shared" si="156"/>
        <v>0</v>
      </c>
      <c r="DM56" s="3">
        <f t="shared" si="157"/>
        <v>0</v>
      </c>
      <c r="DN56" s="64" t="str">
        <f t="shared" si="158"/>
        <v>UNKNOWN</v>
      </c>
      <c r="DO56" s="64" t="str">
        <f t="shared" si="159"/>
        <v>UNKNOWN</v>
      </c>
      <c r="DP56" s="83">
        <f t="shared" si="160"/>
        <v>0</v>
      </c>
      <c r="DQ56" s="83">
        <f t="shared" si="161"/>
        <v>0</v>
      </c>
      <c r="DR56" s="83">
        <f t="shared" ca="1" si="162"/>
        <v>0</v>
      </c>
      <c r="DS56" s="83">
        <f t="shared" si="163"/>
        <v>0</v>
      </c>
      <c r="DT56" s="83">
        <f t="shared" si="188"/>
        <v>0</v>
      </c>
      <c r="DU56" s="83">
        <f t="shared" si="189"/>
        <v>0</v>
      </c>
      <c r="DV56" s="83">
        <f t="shared" si="164"/>
        <v>-2002</v>
      </c>
      <c r="DW56" s="83">
        <f t="shared" si="165"/>
        <v>-1072</v>
      </c>
      <c r="DX56" s="83">
        <f t="shared" ca="1" si="215"/>
        <v>0.16473539060777842</v>
      </c>
      <c r="DY56" s="83">
        <f t="shared" ca="1" si="216"/>
        <v>-6.6842471570207451E-2</v>
      </c>
      <c r="DZ56" s="83">
        <f t="shared" ca="1" si="217"/>
        <v>3.5565609560949119E-2</v>
      </c>
      <c r="EA56" s="83">
        <f t="shared" ca="1" si="218"/>
        <v>-3.3438031152537816E-2</v>
      </c>
      <c r="EB56" s="83">
        <f t="shared" ca="1" si="219"/>
        <v>3.6593941957279247E-2</v>
      </c>
      <c r="EC56" s="83">
        <f t="shared" ca="1" si="220"/>
        <v>-3.4793502732711826E-2</v>
      </c>
      <c r="ED56" s="63">
        <f t="shared" si="190"/>
        <v>-3074</v>
      </c>
      <c r="EE56" s="84">
        <f t="shared" si="221"/>
        <v>0.17019999999999999</v>
      </c>
      <c r="EF56" s="84">
        <f t="shared" si="222"/>
        <v>0.93110000000000004</v>
      </c>
      <c r="EG56" s="84">
        <f t="shared" si="223"/>
        <v>0.20080000000000001</v>
      </c>
      <c r="EH56" s="84">
        <f t="shared" si="224"/>
        <v>0.2137</v>
      </c>
      <c r="EI56" s="84">
        <f t="shared" si="225"/>
        <v>0.1951</v>
      </c>
      <c r="EJ56" s="84">
        <f t="shared" si="226"/>
        <v>0.20530000000000001</v>
      </c>
      <c r="EK56" s="63">
        <f t="shared" ca="1" si="191"/>
        <v>-69703142.213776559</v>
      </c>
      <c r="EL56" s="83" t="str">
        <f>RTD("tos.rtd",,EL$43,"."&amp;$A$43&amp;$AS$42&amp;"C"&amp;$A56)</f>
        <v>17.02%</v>
      </c>
      <c r="EM56" s="83" t="str">
        <f>RTD("tos.rtd",,EM$43,"."&amp;$A$43&amp;$AS$42&amp;"P"&amp;$A56)</f>
        <v>93.11%</v>
      </c>
      <c r="EN56" s="83" t="str">
        <f>RTD("tos.rtd",,EN$2,"."&amp;$A$43&amp;$AU$1&amp;"C"&amp;$A56)</f>
        <v>20.08%</v>
      </c>
      <c r="EO56" s="83" t="str">
        <f>RTD("tos.rtd",,EO$2,"."&amp;$A$43&amp;$AU$1&amp;"P"&amp;$A56)</f>
        <v>21.37%</v>
      </c>
      <c r="EP56" s="83" t="str">
        <f>RTD("tos.rtd",,EP$2,"."&amp;$A$43&amp;$AW$1&amp;"C"&amp;$A56)</f>
        <v>19.51%</v>
      </c>
      <c r="EQ56" s="83" t="str">
        <f>RTD("tos.rtd",,EQ$2,"."&amp;$A$43&amp;$AW$1&amp;"P"&amp;$A56)</f>
        <v>20.53%</v>
      </c>
      <c r="ES56" s="63" t="str">
        <f t="shared" si="172"/>
        <v>521,-3074.00</v>
      </c>
      <c r="ET56" s="63" t="str">
        <f t="shared" ca="1" si="173"/>
        <v>521,8878578.97</v>
      </c>
      <c r="EU56" s="67">
        <v>593.54</v>
      </c>
      <c r="EV56" s="67" t="s">
        <v>468</v>
      </c>
      <c r="EW56" s="67">
        <v>520</v>
      </c>
      <c r="EX56" s="67" t="s">
        <v>469</v>
      </c>
      <c r="EY56" s="67">
        <v>5945.5</v>
      </c>
      <c r="EZ56" s="67" t="s">
        <v>470</v>
      </c>
      <c r="FA56" s="67">
        <v>21344.5</v>
      </c>
      <c r="FB56" s="67" t="s">
        <v>471</v>
      </c>
      <c r="FC56" s="67" t="s">
        <v>472</v>
      </c>
      <c r="FD56" s="67" t="s">
        <v>473</v>
      </c>
      <c r="FE56" s="68" t="s">
        <v>474</v>
      </c>
      <c r="FF56" s="68" t="s">
        <v>475</v>
      </c>
    </row>
    <row r="57" spans="1:162" ht="13.5" thickBot="1" x14ac:dyDescent="0.25">
      <c r="A57" s="2">
        <f t="shared" si="192"/>
        <v>520</v>
      </c>
      <c r="B57" s="3">
        <f t="shared" si="142"/>
        <v>10252</v>
      </c>
      <c r="C57" s="3">
        <f t="shared" si="143"/>
        <v>15820</v>
      </c>
      <c r="D57" s="3">
        <f t="shared" si="144"/>
        <v>26071</v>
      </c>
      <c r="E57" s="3">
        <f t="shared" si="145"/>
        <v>52143</v>
      </c>
      <c r="F57" s="4">
        <f t="shared" si="196"/>
        <v>21436.002540269037</v>
      </c>
      <c r="AM57" s="1">
        <v>-11912</v>
      </c>
      <c r="AN57" s="1">
        <v>-8954</v>
      </c>
      <c r="AO57" s="1">
        <v>520</v>
      </c>
      <c r="AP57" s="1">
        <v>302115</v>
      </c>
      <c r="AQ57" s="1">
        <v>-138761</v>
      </c>
      <c r="AS57" s="6">
        <f>IF(RTD("tos.rtd",,AS$43,"."&amp;$A$43&amp;$AS$42&amp;"C"&amp;$A57)="N/A",0,RTD("tos.rtd",,AS$43,"."&amp;$A$43&amp;$AS$42&amp;"C"&amp;$A57))</f>
        <v>4818</v>
      </c>
      <c r="AT57" s="7">
        <f>-IF(RTD("tos.rtd",,AT$43,"."&amp;$A$43&amp;$AS$42&amp;"P"&amp;$A57)="N/A",0,RTD("tos.rtd",,AT$43,"."&amp;$A$43&amp;$AS$42&amp;"P"&amp;$A57))</f>
        <v>-5434</v>
      </c>
      <c r="AU57" s="6">
        <f>IF(RTD("tos.rtd",,AU$2,"."&amp;$A$43&amp;$AU$1&amp;"C"&amp;$A57)="N/A",0,RTD("tos.rtd",,AU$2,"."&amp;$A$43&amp;$AU$1&amp;"C"&amp;$A57))</f>
        <v>10611</v>
      </c>
      <c r="AV57" s="7">
        <f>-IF(RTD("tos.rtd",,AV$2,"."&amp;$A$43&amp;$AU$1&amp;"P"&amp;$A57)="N/A",0,RTD("tos.rtd",,AV$2,"."&amp;$A$43&amp;$AU$1&amp;"P"&amp;$A57))</f>
        <v>-5209</v>
      </c>
      <c r="AW57" s="6">
        <f>IF(RTD("tos.rtd",,AW$2,"."&amp;$A$43&amp;$AW$1&amp;"C"&amp;$A57)="N/A",0,RTD("tos.rtd",,AW$2,"."&amp;$A$43&amp;$AW$1&amp;"C"&amp;$A57))</f>
        <v>16322</v>
      </c>
      <c r="AX57" s="7">
        <f>-IF(RTD("tos.rtd",,AX$2,"."&amp;$A$43&amp;$AW$1&amp;"P"&amp;$A57)="N/A",0,RTD("tos.rtd",,AX$2,"."&amp;$A$43&amp;$AW$1&amp;"P"&amp;$A57))</f>
        <v>-9749</v>
      </c>
      <c r="AY57" s="7">
        <f t="shared" si="174"/>
        <v>11359</v>
      </c>
      <c r="AZ57" s="8">
        <f t="shared" si="146"/>
        <v>520</v>
      </c>
      <c r="BA57" s="6">
        <f>IF(RTD("tos.rtd",,BA$43,"."&amp;$A$43&amp;$AS$42&amp;"C"&amp;$A57)="N/A",0,RTD("tos.rtd",,BA$43,"."&amp;$A$43&amp;$AS$42&amp;"C"&amp;$A57))</f>
        <v>302115</v>
      </c>
      <c r="BB57" s="7">
        <f>-IF(RTD("tos.rtd",,BB$43,"."&amp;$A$43&amp;$AS$42&amp;"P"&amp;$A57)="N/A",0,RTD("tos.rtd",,BB$43,"."&amp;$A$43&amp;$AS$42&amp;"P"&amp;$A57))</f>
        <v>-138761</v>
      </c>
      <c r="BC57" s="6">
        <f>IF(RTD("tos.rtd",,BC$2,"."&amp;$A$43&amp;$AU$1&amp;"C"&amp;$A57)="N/A",0,RTD("tos.rtd",,BC$2,"."&amp;$A$43&amp;$AU$1&amp;"C"&amp;$A57))</f>
        <v>15324</v>
      </c>
      <c r="BD57" s="7">
        <f>-IF(RTD("tos.rtd",,BD$2,"."&amp;$A$43&amp;$AU$1&amp;"P"&amp;$A57)="N/A",0,RTD("tos.rtd",,BD$2,"."&amp;$A$43&amp;$AU$1&amp;"P"&amp;$A57))</f>
        <v>-17117</v>
      </c>
      <c r="BE57" s="6">
        <f>IF(RTD("tos.rtd",,BE$2,"."&amp;$A$43&amp;$AW$1&amp;"C"&amp;$A57)="N/A",0,RTD("tos.rtd",,BE$2,"."&amp;$A$43&amp;$AW$1&amp;"C"&amp;$A57))</f>
        <v>11278</v>
      </c>
      <c r="BF57" s="7">
        <f>-IF(RTD("tos.rtd",,BF$2,"."&amp;$A$43&amp;$AW$1&amp;"P"&amp;$A57)="N/A",0,RTD("tos.rtd",,BF$2,"."&amp;$A$43&amp;$AW$1&amp;"P"&amp;$A57))</f>
        <v>-3679</v>
      </c>
      <c r="BG57" s="32">
        <f ca="1">+Hoja2!Y58</f>
        <v>32443</v>
      </c>
      <c r="BH57" s="7">
        <f t="shared" ca="1" si="175"/>
        <v>201603</v>
      </c>
      <c r="BI57" s="8" t="str">
        <f t="shared" ca="1" si="193"/>
        <v/>
      </c>
      <c r="BJ57" s="83">
        <f ca="1">IF($BP$1=1,DX57,IF(RTD("tos.rtd",,BJ$43,"."&amp;$A$43&amp;$AS$42&amp;"C"&amp;$A57)="N/A",0,RTD("tos.rtd",,BJ$43,"."&amp;$A$43&amp;$AS$42&amp;"C"&amp;$A57)))</f>
        <v>0.54356832853091031</v>
      </c>
      <c r="BK57" s="83">
        <f ca="1">IF($BP$1=1,DY57,-IF(RTD("tos.rtd",,BK$43,"."&amp;$A$43&amp;$AS$42&amp;"P"&amp;$A57)="N/A",0,RTD("tos.rtd",,BK$43,"."&amp;$A$43&amp;$AS$42&amp;"P"&amp;$A57)))</f>
        <v>-5.9510392822483126E-2</v>
      </c>
      <c r="BL57" s="83">
        <f ca="1">IF($BP$1=1,DZ57,IF(RTD("tos.rtd",,BL$2,"."&amp;$A$43&amp;$AU$1&amp;"C"&amp;$A57)="N/A",0,RTD("tos.rtd",,BL$2,"."&amp;$A$43&amp;$AU$1&amp;"C"&amp;$A57)))</f>
        <v>3.6048849496792185E-2</v>
      </c>
      <c r="BM57" s="83">
        <f ca="1">IF($BP$1=1,EA57,-IF(RTD("tos.rtd",,BM$2,"."&amp;$A$43&amp;$AU$1&amp;"P"&amp;$A57)="N/A",0,RTD("tos.rtd",,BM$2,"."&amp;$A$43&amp;$AU$1&amp;"P"&amp;$A57)))</f>
        <v>-3.2830146691327548E-2</v>
      </c>
      <c r="BN57" s="83">
        <f ca="1">IF($BP$1=1,EB57,IF(RTD("tos.rtd",,BN$2,"."&amp;$A$43&amp;$AW$1&amp;"C"&amp;$A57)="N/A",0,RTD("tos.rtd",,BN$2,"."&amp;$A$43&amp;$AW$1&amp;"C"&amp;$A57)))</f>
        <v>3.6396526762609759E-2</v>
      </c>
      <c r="BO57" s="83">
        <f ca="1">IF($BP$1=1,EC57,-IF(RTD("tos.rtd",,BO$2,"."&amp;$A$43&amp;$AW$1&amp;"P"&amp;$A57)="N/A",0,RTD("tos.rtd",,BO$2,"."&amp;$A$43&amp;$AW$1&amp;"P"&amp;$A57)))</f>
        <v>-3.5976498788731444E-2</v>
      </c>
      <c r="BQ57" s="83">
        <f t="shared" ca="1" si="176"/>
        <v>619829044.06739068</v>
      </c>
      <c r="BR57" s="3" t="str">
        <f t="shared" ca="1" si="177"/>
        <v/>
      </c>
      <c r="BS57" s="83">
        <f t="shared" ca="1" si="178"/>
        <v>57108812.91841948</v>
      </c>
      <c r="BT57" s="3" t="str">
        <f t="shared" ca="1" si="179"/>
        <v/>
      </c>
      <c r="BU57" s="83">
        <f t="shared" ca="1" si="180"/>
        <v>65702622.16051507</v>
      </c>
      <c r="BV57" s="83"/>
      <c r="BX57" s="83">
        <f t="shared" ca="1" si="181"/>
        <v>42112246448.132324</v>
      </c>
      <c r="BY57" s="83" t="str">
        <f t="shared" ca="1" si="194"/>
        <v/>
      </c>
      <c r="BZ57" s="83">
        <f t="shared" ca="1" si="182"/>
        <v>-2576230.1613332927</v>
      </c>
      <c r="CA57" s="83" t="str">
        <f t="shared" ca="1" si="194"/>
        <v>Cruce -</v>
      </c>
      <c r="CB57" s="83">
        <f t="shared" ca="1" si="183"/>
        <v>75097337.778755441</v>
      </c>
      <c r="CC57" s="83" t="str">
        <f t="shared" ca="1" si="194"/>
        <v>Cruce +</v>
      </c>
      <c r="CD57" s="83">
        <f>IF(RTD("tos.rtd",,CD$43,"."&amp;$A$43&amp;$AS$42&amp;"C"&amp;$A57)="N/A",0,RTD("tos.rtd",,CD$43,"."&amp;$A$43&amp;$AS$42&amp;"C"&amp;$A57))</f>
        <v>0.17</v>
      </c>
      <c r="CE57" s="83">
        <f>-IF(RTD("tos.rtd",,CE$43,"."&amp;$A$43&amp;$AS$42&amp;"P"&amp;$A57)="N/A",0,RTD("tos.rtd",,CE$43,"."&amp;$A$43&amp;$AS$42&amp;"P"&amp;$A57))</f>
        <v>0.53</v>
      </c>
      <c r="CF57" s="83">
        <f>IF(RTD("tos.rtd",,CF$2,"."&amp;$A$43&amp;$AU$1&amp;"C"&amp;$A57)="N/A",0,RTD("tos.rtd",,CF$2,"."&amp;$A$43&amp;$AU$1&amp;"C"&amp;$A57))</f>
        <v>0.49</v>
      </c>
      <c r="CG57" s="83">
        <f>-IF(RTD("tos.rtd",,CG$2,"."&amp;$A$43&amp;$AU$1&amp;"P"&amp;$A57)="N/A",0,RTD("tos.rtd",,CG$2,"."&amp;$A$43&amp;$AU$1&amp;"P"&amp;$A57))</f>
        <v>0.5</v>
      </c>
      <c r="CH57" s="83">
        <f>IF(RTD("tos.rtd",,CH$2,"."&amp;$A$43&amp;$AW$1&amp;"C"&amp;$A57)="N/A",0,RTD("tos.rtd",,CH$2,"."&amp;$A$43&amp;$AW$1&amp;"C"&amp;$A57))</f>
        <v>0.53</v>
      </c>
      <c r="CI57" s="83">
        <f>-IF(RTD("tos.rtd",,CI$2,"."&amp;$A$43&amp;$AW$1&amp;"P"&amp;$A57)="N/A",0,RTD("tos.rtd",,CI$2,"."&amp;$A$43&amp;$AW$1&amp;"P"&amp;$A57))</f>
        <v>0.47</v>
      </c>
      <c r="CK57" s="83">
        <f t="shared" si="184"/>
        <v>275953668.54000008</v>
      </c>
      <c r="CL57" s="83"/>
      <c r="CM57" s="83">
        <f t="shared" si="185"/>
        <v>134838269.07000005</v>
      </c>
      <c r="CN57" s="83"/>
      <c r="CO57" s="83">
        <f t="shared" si="186"/>
        <v>211418220.69</v>
      </c>
      <c r="CP57" s="83">
        <f t="shared" si="137"/>
        <v>622210158.30000019</v>
      </c>
      <c r="CQ57" s="83">
        <f t="shared" si="147"/>
        <v>163354</v>
      </c>
      <c r="CR57" s="83"/>
      <c r="CS57" s="83">
        <f t="shared" si="148"/>
        <v>-1793</v>
      </c>
      <c r="CT57" s="83"/>
      <c r="CU57" s="83">
        <f t="shared" si="149"/>
        <v>7599</v>
      </c>
      <c r="CV57" s="83"/>
      <c r="CW57" s="83">
        <f t="shared" ca="1" si="150"/>
        <v>742640479.14632523</v>
      </c>
      <c r="CY57" s="83">
        <f t="shared" ca="1" si="151"/>
        <v>42184767555.749748</v>
      </c>
      <c r="CZ57" s="70" t="str">
        <f t="shared" ca="1" si="195"/>
        <v/>
      </c>
      <c r="DA57" s="83">
        <f>IF(RTD("tos.rtd",,DA$43,"."&amp;$A$43&amp;$AS$42&amp;"C"&amp;$A57)="N/A",0,RTD("tos.rtd",,DA$43,"."&amp;$A$43&amp;$AS$42&amp;"C"&amp;$A57))</f>
        <v>0.03</v>
      </c>
      <c r="DB57" s="83">
        <f>IF(RTD("tos.rtd",,DB$43,"."&amp;$A$43&amp;$AS$42&amp;"P"&amp;$A57)="N/A",0,RTD("tos.rtd",,DB$43,"."&amp;$A$43&amp;$AS$42&amp;"P"&amp;$A57))</f>
        <v>0.9</v>
      </c>
      <c r="DC57" s="83">
        <f>IF(RTD("tos.rtd",,DC$43,"."&amp;$A$43&amp;$AS$42&amp;"C"&amp;$A57)="N/A",0,RTD("tos.rtd",,DC$43,"."&amp;$A$43&amp;$AS$42&amp;"C"&amp;$A57))</f>
        <v>0.04</v>
      </c>
      <c r="DD57" s="83">
        <f>IF(RTD("tos.rtd",,DD$43,"."&amp;$A$43&amp;$AS$42&amp;"P"&amp;$A57)="N/A",0,RTD("tos.rtd",,DD$43,"."&amp;$A$43&amp;$AS$42&amp;"P"&amp;$A57))</f>
        <v>2.99</v>
      </c>
      <c r="DE57" s="83">
        <f>IF(RTD("tos.rtd",,DE$43,"."&amp;$A$43&amp;$AS$42&amp;"C"&amp;$A57)="N/A",0,RTD("tos.rtd",,DE$43,"."&amp;$A$43&amp;$AS$42&amp;"C"&amp;$A57))</f>
        <v>0.03</v>
      </c>
      <c r="DF57" s="83">
        <f>IF(RTD("tos.rtd",,DF$43,"."&amp;$A$43&amp;$AS$42&amp;"P"&amp;$A57)="N/A",0,RTD("tos.rtd",,DF$43,"."&amp;$A$43&amp;$AS$42&amp;"P"&amp;$A57))</f>
        <v>0.75</v>
      </c>
      <c r="DG57" s="86">
        <f t="shared" si="187"/>
        <v>0.37000000000000455</v>
      </c>
      <c r="DH57" s="3">
        <f t="shared" si="152"/>
        <v>0</v>
      </c>
      <c r="DI57" s="3">
        <f t="shared" si="153"/>
        <v>0</v>
      </c>
      <c r="DJ57" s="3">
        <f t="shared" si="154"/>
        <v>0</v>
      </c>
      <c r="DK57" s="3">
        <f t="shared" si="155"/>
        <v>0</v>
      </c>
      <c r="DL57" s="3">
        <f t="shared" si="156"/>
        <v>0</v>
      </c>
      <c r="DM57" s="3">
        <f t="shared" si="157"/>
        <v>0</v>
      </c>
      <c r="DN57" s="64" t="str">
        <f t="shared" si="158"/>
        <v>UNKNOWN</v>
      </c>
      <c r="DO57" s="64" t="str">
        <f t="shared" si="159"/>
        <v>UNKNOWN</v>
      </c>
      <c r="DP57" s="83">
        <f t="shared" si="160"/>
        <v>0</v>
      </c>
      <c r="DQ57" s="83">
        <f t="shared" si="161"/>
        <v>0</v>
      </c>
      <c r="DR57" s="83">
        <f t="shared" ca="1" si="162"/>
        <v>0</v>
      </c>
      <c r="DS57" s="83">
        <f t="shared" si="163"/>
        <v>0</v>
      </c>
      <c r="DT57" s="83">
        <f t="shared" si="188"/>
        <v>0</v>
      </c>
      <c r="DU57" s="83">
        <f t="shared" si="189"/>
        <v>0</v>
      </c>
      <c r="DV57" s="83">
        <f t="shared" si="164"/>
        <v>-11912</v>
      </c>
      <c r="DW57" s="83">
        <f t="shared" si="165"/>
        <v>-8954</v>
      </c>
      <c r="DX57" s="83">
        <f t="shared" ref="DX57:DX64" ca="1" si="228">(EXP(-POWER((LN($A$44/$A57)+($EC$1+POWER($EE57,2)/2)*($EM$1/$DY$1))/($EE57*SQRT($EM$1/$DY$1)),2)/2)/SQRT(2*PI())/($A$44*$EE57*SQRT($EM$1/$DY$1)))</f>
        <v>0.54356832853091031</v>
      </c>
      <c r="DY57" s="83">
        <f t="shared" ref="DY57:DY64" ca="1" si="229">-(EXP(-POWER((LN($A$44/$A57)+($EC$1+POWER($EF57,2)/2)*($EM$1/$DY$1))/($EF57*SQRT($EM$1/$DY$1)),2)/2)/SQRT(2*PI())/($A$44*$EF57*SQRT($EM$1/$DY$1)))</f>
        <v>-5.9510392822483126E-2</v>
      </c>
      <c r="DZ57" s="83">
        <f t="shared" ref="DZ57:DZ64" ca="1" si="230">(EXP(-POWER((LN($A$44/$A57)+($EC$1+POWER($EG57,2)/2)*($EO$1/$DY$1))/($EG57*SQRT($EO$1/$DY$1)),2)/2)/SQRT(2*PI())/($A$44*$EG57*SQRT($EO$1/$DY$1)))</f>
        <v>3.6048849496792185E-2</v>
      </c>
      <c r="EA57" s="83">
        <f t="shared" ref="EA57:EA64" ca="1" si="231">-(EXP(-POWER((LN($A$44/$A57)+($EC$1+POWER($EH57,2)/2)*($EO$1/$DY$1))/($EH57*SQRT($EO$1/$DY$1)),2)/2)/SQRT(2*PI())/($A$44*$EH57*SQRT($EO$1/$DY$1)))</f>
        <v>-3.2830146691327548E-2</v>
      </c>
      <c r="EB57" s="83">
        <f t="shared" ref="EB57:EB64" ca="1" si="232">(EXP(-POWER((LN($A$44/$A57)+($EC$1+POWER($EI57,2)/2)*($EO$1/$DY$1))/($EI57*SQRT($EO$1/$DY$1)),2)/2)/SQRT(2*PI())/($A$44*$EI57*SQRT($EO$1/$DY$1)))</f>
        <v>3.6396526762609759E-2</v>
      </c>
      <c r="EC57" s="83">
        <f t="shared" ref="EC57:EC64" ca="1" si="233">-(EXP(-POWER((LN($A$44/$A57)+($EC$1+POWER($EJ57,2)/2)*($EO$1/$DY$1))/($EJ57*SQRT($EO$1/$DY$1)),2)/2)/SQRT(2*PI())/($A$44*$EJ57*SQRT($EO$1/$DY$1)))</f>
        <v>-3.5976498788731444E-2</v>
      </c>
      <c r="ED57" s="63">
        <f t="shared" si="190"/>
        <v>-20866</v>
      </c>
      <c r="EE57" s="84">
        <f t="shared" si="166"/>
        <v>9.8400000000000001E-2</v>
      </c>
      <c r="EF57" s="84">
        <f t="shared" si="167"/>
        <v>1.0724</v>
      </c>
      <c r="EG57" s="84">
        <f t="shared" si="168"/>
        <v>0.19889999999999999</v>
      </c>
      <c r="EH57" s="84">
        <f t="shared" si="169"/>
        <v>0.21840000000000001</v>
      </c>
      <c r="EI57" s="84">
        <f t="shared" si="170"/>
        <v>0.19700000000000001</v>
      </c>
      <c r="EJ57" s="84">
        <f t="shared" si="171"/>
        <v>0.1993</v>
      </c>
      <c r="EK57" s="63">
        <f t="shared" ca="1" si="191"/>
        <v>-1604466199.326112</v>
      </c>
      <c r="EL57" s="83" t="str">
        <f>RTD("tos.rtd",,EL$43,"."&amp;$A$43&amp;$AS$42&amp;"C"&amp;$A57)</f>
        <v>9.84%</v>
      </c>
      <c r="EM57" s="83" t="str">
        <f>RTD("tos.rtd",,EM$43,"."&amp;$A$43&amp;$AS$42&amp;"P"&amp;$A57)</f>
        <v>107.24%</v>
      </c>
      <c r="EN57" s="83" t="str">
        <f>RTD("tos.rtd",,EN$2,"."&amp;$A$43&amp;$AU$1&amp;"C"&amp;$A57)</f>
        <v>19.89%</v>
      </c>
      <c r="EO57" s="83" t="str">
        <f>RTD("tos.rtd",,EO$2,"."&amp;$A$43&amp;$AU$1&amp;"P"&amp;$A57)</f>
        <v>21.84%</v>
      </c>
      <c r="EP57" s="83" t="str">
        <f>RTD("tos.rtd",,EP$2,"."&amp;$A$43&amp;$AW$1&amp;"C"&amp;$A57)</f>
        <v>19.70%</v>
      </c>
      <c r="EQ57" s="83" t="str">
        <f>RTD("tos.rtd",,EQ$2,"."&amp;$A$43&amp;$AW$1&amp;"P"&amp;$A57)</f>
        <v>19.93%</v>
      </c>
      <c r="ES57" s="63" t="str">
        <f t="shared" si="172"/>
        <v>520,-20866.00</v>
      </c>
      <c r="ET57" s="63" t="str">
        <f t="shared" ca="1" si="173"/>
        <v>520,42184767.56</v>
      </c>
      <c r="EU57" s="67">
        <v>593.49</v>
      </c>
      <c r="EV57" s="67" t="s">
        <v>476</v>
      </c>
      <c r="EW57" s="67">
        <v>519.94000000000005</v>
      </c>
      <c r="EX57" s="67" t="s">
        <v>477</v>
      </c>
      <c r="EY57" s="67">
        <v>5945.25</v>
      </c>
      <c r="EZ57" s="67" t="s">
        <v>478</v>
      </c>
      <c r="FA57" s="67">
        <v>21341.5</v>
      </c>
      <c r="FB57" s="67" t="s">
        <v>479</v>
      </c>
      <c r="FC57" s="67" t="s">
        <v>480</v>
      </c>
      <c r="FD57" s="67" t="s">
        <v>481</v>
      </c>
      <c r="FE57" s="68" t="s">
        <v>482</v>
      </c>
      <c r="FF57" s="68" t="s">
        <v>483</v>
      </c>
    </row>
    <row r="58" spans="1:162" ht="13.5" thickBot="1" x14ac:dyDescent="0.25">
      <c r="A58" s="2">
        <f t="shared" si="192"/>
        <v>519</v>
      </c>
      <c r="B58" s="3">
        <f t="shared" si="142"/>
        <v>5719</v>
      </c>
      <c r="C58" s="3">
        <f t="shared" si="143"/>
        <v>3724</v>
      </c>
      <c r="D58" s="3">
        <f t="shared" si="144"/>
        <v>302</v>
      </c>
      <c r="E58" s="3">
        <f t="shared" si="145"/>
        <v>9745</v>
      </c>
      <c r="F58" s="4">
        <f t="shared" si="196"/>
        <v>21394.779458460827</v>
      </c>
      <c r="AM58" s="1">
        <v>-7913</v>
      </c>
      <c r="AN58" s="1">
        <v>-9054</v>
      </c>
      <c r="AO58" s="1">
        <v>519</v>
      </c>
      <c r="AP58" s="1">
        <v>196512</v>
      </c>
      <c r="AQ58" s="1">
        <v>-201520</v>
      </c>
      <c r="AS58" s="6">
        <f>IF(RTD("tos.rtd",,AS$43,"."&amp;$A$43&amp;$AS$42&amp;"C"&amp;$A58)="N/A",0,RTD("tos.rtd",,AS$43,"."&amp;$A$43&amp;$AS$42&amp;"C"&amp;$A58))</f>
        <v>2134</v>
      </c>
      <c r="AT58" s="7">
        <f>-IF(RTD("tos.rtd",,AT$43,"."&amp;$A$43&amp;$AS$42&amp;"P"&amp;$A58)="N/A",0,RTD("tos.rtd",,AT$43,"."&amp;$A$43&amp;$AS$42&amp;"P"&amp;$A58))</f>
        <v>-3585</v>
      </c>
      <c r="AU58" s="6">
        <v>1</v>
      </c>
      <c r="AV58" s="7">
        <f>-IF(RTD("tos.rtd",,AV$2,"."&amp;$A$43&amp;$AU$1&amp;"P"&amp;$A58)="N/A",0,RTD("tos.rtd",,AV$2,"."&amp;$A$43&amp;$AU$1&amp;"P"&amp;$A58))</f>
        <v>-3723</v>
      </c>
      <c r="AW58" s="6">
        <f>IF(RTD("tos.rtd",,AW$2,"."&amp;$A$43&amp;$AW$1&amp;"C"&amp;$A58)="N/A",0,RTD("tos.rtd",,AW$2,"."&amp;$A$43&amp;$AW$1&amp;"C"&amp;$A58))</f>
        <v>135</v>
      </c>
      <c r="AX58" s="7">
        <f>-IF(RTD("tos.rtd",,AX$2,"."&amp;$A$43&amp;$AW$1&amp;"P"&amp;$A58)="N/A",0,RTD("tos.rtd",,AX$2,"."&amp;$A$43&amp;$AW$1&amp;"P"&amp;$A58))</f>
        <v>-167</v>
      </c>
      <c r="AY58" s="7">
        <f t="shared" si="174"/>
        <v>-5205</v>
      </c>
      <c r="AZ58" s="8">
        <f t="shared" si="146"/>
        <v>519</v>
      </c>
      <c r="BA58" s="6">
        <f>IF(RTD("tos.rtd",,BA$43,"."&amp;$A$43&amp;$AS$42&amp;"C"&amp;$A58)="N/A",0,RTD("tos.rtd",,BA$43,"."&amp;$A$43&amp;$AS$42&amp;"C"&amp;$A58))</f>
        <v>196512</v>
      </c>
      <c r="BB58" s="7">
        <f>-IF(RTD("tos.rtd",,BB$43,"."&amp;$A$43&amp;$AS$42&amp;"P"&amp;$A58)="N/A",0,RTD("tos.rtd",,BB$43,"."&amp;$A$43&amp;$AS$42&amp;"P"&amp;$A58))</f>
        <v>-201520</v>
      </c>
      <c r="BC58" s="6">
        <f>IF(RTD("tos.rtd",,BC$2,"."&amp;$A$43&amp;$AU$1&amp;"C"&amp;$A58)="N/A",0,RTD("tos.rtd",,BC$2,"."&amp;$A$43&amp;$AU$1&amp;"C"&amp;$A58))</f>
        <v>13937</v>
      </c>
      <c r="BD58" s="7">
        <f>-IF(RTD("tos.rtd",,BD$2,"."&amp;$A$43&amp;$AU$1&amp;"P"&amp;$A58)="N/A",0,RTD("tos.rtd",,BD$2,"."&amp;$A$43&amp;$AU$1&amp;"P"&amp;$A58))</f>
        <v>-5840</v>
      </c>
      <c r="BE58" s="6">
        <f>IF(RTD("tos.rtd",,BE$2,"."&amp;$A$43&amp;$AW$1&amp;"C"&amp;$A58)="N/A",0,RTD("tos.rtd",,BE$2,"."&amp;$A$43&amp;$AW$1&amp;"C"&amp;$A58))</f>
        <v>2697</v>
      </c>
      <c r="BF58" s="7">
        <f>-IF(RTD("tos.rtd",,BF$2,"."&amp;$A$43&amp;$AW$1&amp;"P"&amp;$A58)="N/A",0,RTD("tos.rtd",,BF$2,"."&amp;$A$43&amp;$AW$1&amp;"P"&amp;$A58))</f>
        <v>-1034</v>
      </c>
      <c r="BG58" s="32">
        <f ca="1">+Hoja2!Y59</f>
        <v>2243</v>
      </c>
      <c r="BH58" s="7">
        <f t="shared" ca="1" si="175"/>
        <v>6995</v>
      </c>
      <c r="BI58" s="8" t="str">
        <f t="shared" ca="1" si="193"/>
        <v/>
      </c>
      <c r="BJ58" s="83">
        <f ca="1">IF($BP$1=1,DX58,IF(RTD("tos.rtd",,BJ$43,"."&amp;$A$43&amp;$AS$42&amp;"C"&amp;$A58)="N/A",0,RTD("tos.rtd",,BJ$43,"."&amp;$A$43&amp;$AS$42&amp;"C"&amp;$A58)))</f>
        <v>0.1686968013618044</v>
      </c>
      <c r="BK58" s="83">
        <f ca="1">IF($BP$1=1,DY58,-IF(RTD("tos.rtd",,BK$43,"."&amp;$A$43&amp;$AS$42&amp;"P"&amp;$A58)="N/A",0,RTD("tos.rtd",,BK$43,"."&amp;$A$43&amp;$AS$42&amp;"P"&amp;$A58)))</f>
        <v>-0.20537331732359285</v>
      </c>
      <c r="BL58" s="83">
        <f ca="1">IF($BP$1=1,DZ58,IF(RTD("tos.rtd",,BL$2,"."&amp;$A$43&amp;$AU$1&amp;"C"&amp;$A58)="N/A",0,RTD("tos.rtd",,BL$2,"."&amp;$A$43&amp;$AU$1&amp;"C"&amp;$A58)))</f>
        <v>3.547699927949885E-2</v>
      </c>
      <c r="BM58" s="83">
        <f ca="1">IF($BP$1=1,EA58,-IF(RTD("tos.rtd",,BM$2,"."&amp;$A$43&amp;$AU$1&amp;"P"&amp;$A58)="N/A",0,RTD("tos.rtd",,BM$2,"."&amp;$A$43&amp;$AU$1&amp;"P"&amp;$A58)))</f>
        <v>-3.2580565790976089E-2</v>
      </c>
      <c r="BN58" s="83">
        <f ca="1">IF($BP$1=1,EB58,IF(RTD("tos.rtd",,BN$2,"."&amp;$A$43&amp;$AW$1&amp;"C"&amp;$A58)="N/A",0,RTD("tos.rtd",,BN$2,"."&amp;$A$43&amp;$AW$1&amp;"C"&amp;$A58)))</f>
        <v>3.6137149496830695E-2</v>
      </c>
      <c r="BO58" s="83">
        <f ca="1">IF($BP$1=1,EC58,-IF(RTD("tos.rtd",,BO$2,"."&amp;$A$43&amp;$AW$1&amp;"P"&amp;$A58)="N/A",0,RTD("tos.rtd",,BO$2,"."&amp;$A$43&amp;$AW$1&amp;"P"&amp;$A58)))</f>
        <v>-3.5600042456995121E-2</v>
      </c>
      <c r="BQ58" s="83">
        <f t="shared" ca="1" si="176"/>
        <v>-101597150.22372046</v>
      </c>
      <c r="BR58" s="3" t="str">
        <f t="shared" ca="1" si="177"/>
        <v>Cruce -</v>
      </c>
      <c r="BS58" s="83">
        <f t="shared" ca="1" si="178"/>
        <v>-32742591.53164072</v>
      </c>
      <c r="BT58" s="3" t="str">
        <f t="shared" ca="1" si="179"/>
        <v>Cruce -</v>
      </c>
      <c r="BU58" s="83">
        <f t="shared" ca="1" si="180"/>
        <v>-288023.17497355863</v>
      </c>
      <c r="BV58" s="83"/>
      <c r="BX58" s="83">
        <f t="shared" ca="1" si="181"/>
        <v>-2223815283.9625206</v>
      </c>
      <c r="BY58" s="83" t="str">
        <f t="shared" ca="1" si="194"/>
        <v>Cruce -</v>
      </c>
      <c r="BZ58" s="83">
        <f t="shared" ca="1" si="182"/>
        <v>82131222.441764623</v>
      </c>
      <c r="CA58" s="83" t="str">
        <f t="shared" ca="1" si="194"/>
        <v>Cruce +</v>
      </c>
      <c r="CB58" s="83">
        <f t="shared" ca="1" si="183"/>
        <v>16376821.244150562</v>
      </c>
      <c r="CC58" s="83" t="str">
        <f t="shared" ca="1" si="194"/>
        <v/>
      </c>
      <c r="CD58" s="83">
        <f>IF(RTD("tos.rtd",,CD$43,"."&amp;$A$43&amp;$AS$42&amp;"C"&amp;$A58)="N/A",0,RTD("tos.rtd",,CD$43,"."&amp;$A$43&amp;$AS$42&amp;"C"&amp;$A58))</f>
        <v>0.67</v>
      </c>
      <c r="CE58" s="83">
        <f>-IF(RTD("tos.rtd",,CE$43,"."&amp;$A$43&amp;$AS$42&amp;"P"&amp;$A58)="N/A",0,RTD("tos.rtd",,CE$43,"."&amp;$A$43&amp;$AS$42&amp;"P"&amp;$A58))</f>
        <v>0.28999999999999998</v>
      </c>
      <c r="CF58" s="83">
        <f>IF(RTD("tos.rtd",,CF$2,"."&amp;$A$43&amp;$AU$1&amp;"C"&amp;$A58)="N/A",0,RTD("tos.rtd",,CF$2,"."&amp;$A$43&amp;$AU$1&amp;"C"&amp;$A58))</f>
        <v>0.54</v>
      </c>
      <c r="CG58" s="83">
        <f>-IF(RTD("tos.rtd",,CG$2,"."&amp;$A$43&amp;$AU$1&amp;"P"&amp;$A58)="N/A",0,RTD("tos.rtd",,CG$2,"."&amp;$A$43&amp;$AU$1&amp;"P"&amp;$A58))</f>
        <v>0.47</v>
      </c>
      <c r="CH58" s="83">
        <f>IF(RTD("tos.rtd",,CH$2,"."&amp;$A$43&amp;$AW$1&amp;"C"&amp;$A58)="N/A",0,RTD("tos.rtd",,CH$2,"."&amp;$A$43&amp;$AW$1&amp;"C"&amp;$A58))</f>
        <v>0.54</v>
      </c>
      <c r="CI58" s="83">
        <f>-IF(RTD("tos.rtd",,CI$2,"."&amp;$A$43&amp;$AW$1&amp;"P"&amp;$A58)="N/A",0,RTD("tos.rtd",,CI$2,"."&amp;$A$43&amp;$AW$1&amp;"P"&amp;$A58))</f>
        <v>0.46</v>
      </c>
      <c r="CK58" s="83">
        <f t="shared" si="184"/>
        <v>688933248.44999993</v>
      </c>
      <c r="CL58" s="83"/>
      <c r="CM58" s="83">
        <f t="shared" si="185"/>
        <v>-90897317.010000005</v>
      </c>
      <c r="CN58" s="83"/>
      <c r="CO58" s="83">
        <f t="shared" si="186"/>
        <v>-203694.95999999996</v>
      </c>
      <c r="CP58" s="83">
        <f t="shared" si="137"/>
        <v>597832236.4799999</v>
      </c>
      <c r="CQ58" s="83">
        <f t="shared" si="147"/>
        <v>-5008</v>
      </c>
      <c r="CR58" s="83"/>
      <c r="CS58" s="83">
        <f t="shared" si="148"/>
        <v>8097</v>
      </c>
      <c r="CT58" s="83"/>
      <c r="CU58" s="83">
        <f t="shared" si="149"/>
        <v>1663</v>
      </c>
      <c r="CV58" s="83"/>
      <c r="CW58" s="83">
        <f t="shared" ca="1" si="150"/>
        <v>-134627764.93033472</v>
      </c>
      <c r="CY58" s="83">
        <f t="shared" ca="1" si="151"/>
        <v>-2125307240.2766054</v>
      </c>
      <c r="CZ58" s="70" t="str">
        <f t="shared" ca="1" si="195"/>
        <v>Cruce -</v>
      </c>
      <c r="DA58" s="83">
        <f>IF(RTD("tos.rtd",,DA$43,"."&amp;$A$43&amp;$AS$42&amp;"C"&amp;$A58)="N/A",0,RTD("tos.rtd",,DA$43,"."&amp;$A$43&amp;$AS$42&amp;"C"&amp;$A58))</f>
        <v>0.31</v>
      </c>
      <c r="DB58" s="83">
        <f>IF(RTD("tos.rtd",,DB$43,"."&amp;$A$43&amp;$AS$42&amp;"P"&amp;$A58)="N/A",0,RTD("tos.rtd",,DB$43,"."&amp;$A$43&amp;$AS$42&amp;"P"&amp;$A58))</f>
        <v>0.19</v>
      </c>
      <c r="DC58" s="83">
        <f>IF(RTD("tos.rtd",,DC$43,"."&amp;$A$43&amp;$AS$42&amp;"C"&amp;$A58)="N/A",0,RTD("tos.rtd",,DC$43,"."&amp;$A$43&amp;$AS$42&amp;"C"&amp;$A58))</f>
        <v>1.67</v>
      </c>
      <c r="DD58" s="83">
        <f>IF(RTD("tos.rtd",,DD$43,"."&amp;$A$43&amp;$AS$42&amp;"P"&amp;$A58)="N/A",0,RTD("tos.rtd",,DD$43,"."&amp;$A$43&amp;$AS$42&amp;"P"&amp;$A58))</f>
        <v>0.23</v>
      </c>
      <c r="DE58" s="83">
        <f>IF(RTD("tos.rtd",,DE$43,"."&amp;$A$43&amp;$AS$42&amp;"C"&amp;$A58)="N/A",0,RTD("tos.rtd",,DE$43,"."&amp;$A$43&amp;$AS$42&amp;"C"&amp;$A58))</f>
        <v>0.21</v>
      </c>
      <c r="DF58" s="83">
        <f>IF(RTD("tos.rtd",,DF$43,"."&amp;$A$43&amp;$AS$42&amp;"P"&amp;$A58)="N/A",0,RTD("tos.rtd",,DF$43,"."&amp;$A$43&amp;$AS$42&amp;"P"&amp;$A58))</f>
        <v>0.19</v>
      </c>
      <c r="DG58" s="86">
        <f t="shared" si="187"/>
        <v>-0.62999999999999545</v>
      </c>
      <c r="DH58" s="3">
        <f t="shared" si="152"/>
        <v>0</v>
      </c>
      <c r="DI58" s="3">
        <f t="shared" si="153"/>
        <v>0</v>
      </c>
      <c r="DJ58" s="3">
        <f t="shared" si="154"/>
        <v>0</v>
      </c>
      <c r="DK58" s="3">
        <f t="shared" si="155"/>
        <v>0</v>
      </c>
      <c r="DL58" s="3">
        <f t="shared" si="156"/>
        <v>0</v>
      </c>
      <c r="DM58" s="3">
        <f t="shared" si="157"/>
        <v>0</v>
      </c>
      <c r="DN58" s="64" t="str">
        <f t="shared" si="158"/>
        <v>UNKNOWN</v>
      </c>
      <c r="DO58" s="64" t="str">
        <f t="shared" si="159"/>
        <v>UNKNOWN</v>
      </c>
      <c r="DP58" s="83">
        <f t="shared" si="160"/>
        <v>0</v>
      </c>
      <c r="DQ58" s="83">
        <f t="shared" si="161"/>
        <v>0</v>
      </c>
      <c r="DR58" s="83">
        <f t="shared" ca="1" si="162"/>
        <v>0</v>
      </c>
      <c r="DS58" s="83">
        <f t="shared" si="163"/>
        <v>0</v>
      </c>
      <c r="DT58" s="83">
        <f t="shared" si="188"/>
        <v>0</v>
      </c>
      <c r="DU58" s="83">
        <f t="shared" si="189"/>
        <v>0</v>
      </c>
      <c r="DV58" s="83">
        <f t="shared" si="164"/>
        <v>-7913</v>
      </c>
      <c r="DW58" s="83">
        <f t="shared" si="165"/>
        <v>-9054</v>
      </c>
      <c r="DX58" s="83">
        <f t="shared" ca="1" si="228"/>
        <v>0.1686968013618044</v>
      </c>
      <c r="DY58" s="83">
        <f t="shared" ca="1" si="229"/>
        <v>-0.20537331732359285</v>
      </c>
      <c r="DZ58" s="83">
        <f t="shared" ca="1" si="230"/>
        <v>3.547699927949885E-2</v>
      </c>
      <c r="EA58" s="83">
        <f t="shared" ca="1" si="231"/>
        <v>-3.2580565790976089E-2</v>
      </c>
      <c r="EB58" s="83">
        <f t="shared" ca="1" si="232"/>
        <v>3.6137149496830695E-2</v>
      </c>
      <c r="EC58" s="83">
        <f t="shared" ca="1" si="233"/>
        <v>-3.5600042456995121E-2</v>
      </c>
      <c r="ED58" s="63">
        <f t="shared" si="190"/>
        <v>-16967</v>
      </c>
      <c r="EE58" s="84">
        <f t="shared" si="166"/>
        <v>0.36409999999999998</v>
      </c>
      <c r="EF58" s="84">
        <f t="shared" si="167"/>
        <v>0.2928</v>
      </c>
      <c r="EG58" s="84">
        <f t="shared" si="168"/>
        <v>0.20130000000000001</v>
      </c>
      <c r="EH58" s="84">
        <f t="shared" si="169"/>
        <v>0.21929999999999999</v>
      </c>
      <c r="EI58" s="84">
        <f t="shared" si="170"/>
        <v>0.1976</v>
      </c>
      <c r="EJ58" s="84">
        <f t="shared" si="171"/>
        <v>0.2006</v>
      </c>
      <c r="EK58" s="63">
        <f t="shared" ca="1" si="191"/>
        <v>141637145.99043286</v>
      </c>
      <c r="EL58" s="83" t="str">
        <f>RTD("tos.rtd",,EL$43,"."&amp;$A$43&amp;$AS$42&amp;"C"&amp;$A58)</f>
        <v>36.41%</v>
      </c>
      <c r="EM58" s="83" t="str">
        <f>RTD("tos.rtd",,EM$43,"."&amp;$A$43&amp;$AS$42&amp;"P"&amp;$A58)</f>
        <v>29.28%</v>
      </c>
      <c r="EN58" s="83" t="str">
        <f>RTD("tos.rtd",,EN$2,"."&amp;$A$43&amp;$AU$1&amp;"C"&amp;$A58)</f>
        <v>20.13%</v>
      </c>
      <c r="EO58" s="83" t="str">
        <f>RTD("tos.rtd",,EO$2,"."&amp;$A$43&amp;$AU$1&amp;"P"&amp;$A58)</f>
        <v>21.93%</v>
      </c>
      <c r="EP58" s="83" t="str">
        <f>RTD("tos.rtd",,EP$2,"."&amp;$A$43&amp;$AW$1&amp;"C"&amp;$A58)</f>
        <v>19.76%</v>
      </c>
      <c r="EQ58" s="83" t="str">
        <f>RTD("tos.rtd",,EQ$2,"."&amp;$A$43&amp;$AW$1&amp;"P"&amp;$A58)</f>
        <v>20.06%</v>
      </c>
      <c r="ES58" s="63" t="str">
        <f t="shared" si="172"/>
        <v>519,-16967.00</v>
      </c>
      <c r="ET58" s="63" t="str">
        <f t="shared" ca="1" si="173"/>
        <v>519,-2125307.24</v>
      </c>
      <c r="EU58" s="67">
        <v>593.52</v>
      </c>
      <c r="EV58" s="67" t="s">
        <v>484</v>
      </c>
      <c r="EW58" s="67">
        <v>520</v>
      </c>
      <c r="EX58" s="67" t="s">
        <v>485</v>
      </c>
      <c r="EY58" s="67">
        <v>5945.5</v>
      </c>
      <c r="EZ58" s="67" t="s">
        <v>486</v>
      </c>
      <c r="FA58" s="67">
        <v>21344.75</v>
      </c>
      <c r="FB58" s="67" t="s">
        <v>487</v>
      </c>
      <c r="FC58" s="67" t="s">
        <v>488</v>
      </c>
      <c r="FD58" s="67" t="s">
        <v>489</v>
      </c>
      <c r="FE58" s="68" t="s">
        <v>490</v>
      </c>
      <c r="FF58" s="68" t="s">
        <v>491</v>
      </c>
    </row>
    <row r="59" spans="1:162" ht="13.5" thickBot="1" x14ac:dyDescent="0.25">
      <c r="A59" s="2">
        <f t="shared" si="192"/>
        <v>518</v>
      </c>
      <c r="B59" s="3">
        <f t="shared" si="142"/>
        <v>5689</v>
      </c>
      <c r="C59" s="3">
        <f t="shared" si="143"/>
        <v>8425</v>
      </c>
      <c r="D59" s="3">
        <f t="shared" si="144"/>
        <v>191</v>
      </c>
      <c r="E59" s="3">
        <f>SUM(B59:D59)</f>
        <v>14305</v>
      </c>
      <c r="F59" s="4">
        <f>+$F$44/$A$44*A59</f>
        <v>21353.556376652617</v>
      </c>
      <c r="AM59" s="1">
        <v>943</v>
      </c>
      <c r="AN59" s="1">
        <v>2233</v>
      </c>
      <c r="AO59" s="1">
        <v>518</v>
      </c>
      <c r="AP59" s="1">
        <v>88210</v>
      </c>
      <c r="AQ59" s="1">
        <v>-199360</v>
      </c>
      <c r="AS59" s="6">
        <f>IF(RTD("tos.rtd",,AS$43,"."&amp;$A$43&amp;$AS$42&amp;"C"&amp;$A59)="N/A",0,RTD("tos.rtd",,AS$43,"."&amp;$A$43&amp;$AS$42&amp;"C"&amp;$A59))</f>
        <v>1166</v>
      </c>
      <c r="AT59" s="7">
        <f>-IF(RTD("tos.rtd",,AT$43,"."&amp;$A$43&amp;$AS$42&amp;"P"&amp;$A59)="N/A",0,RTD("tos.rtd",,AT$43,"."&amp;$A$43&amp;$AS$42&amp;"P"&amp;$A59))</f>
        <v>-4523</v>
      </c>
      <c r="AU59" s="6">
        <f>IF(RTD("tos.rtd",,AU$2,"."&amp;$A$43&amp;$AU$1&amp;"C"&amp;$A59)="N/A",0,RTD("tos.rtd",,AU$2,"."&amp;$A$43&amp;$AU$1&amp;"C"&amp;$A59))</f>
        <v>1042</v>
      </c>
      <c r="AV59" s="7">
        <f>-IF(RTD("tos.rtd",,AV$2,"."&amp;$A$43&amp;$AU$1&amp;"P"&amp;$A59)="N/A",0,RTD("tos.rtd",,AV$2,"."&amp;$A$43&amp;$AU$1&amp;"P"&amp;$A59))</f>
        <v>-7383</v>
      </c>
      <c r="AW59" s="6">
        <f>IF(RTD("tos.rtd",,AW$2,"."&amp;$A$43&amp;$AW$1&amp;"C"&amp;$A59)="N/A",0,RTD("tos.rtd",,AW$2,"."&amp;$A$43&amp;$AW$1&amp;"C"&amp;$A59))</f>
        <v>56</v>
      </c>
      <c r="AX59" s="7">
        <f>-IF(RTD("tos.rtd",,AX$2,"."&amp;$A$43&amp;$AW$1&amp;"P"&amp;$A59)="N/A",0,RTD("tos.rtd",,AX$2,"."&amp;$A$43&amp;$AW$1&amp;"P"&amp;$A59))</f>
        <v>-135</v>
      </c>
      <c r="AY59" s="7">
        <f>SUM(AS59:AX59)</f>
        <v>-9777</v>
      </c>
      <c r="AZ59" s="8">
        <f t="shared" si="146"/>
        <v>518</v>
      </c>
      <c r="BA59" s="6">
        <f>IF(RTD("tos.rtd",,BA$43,"."&amp;$A$43&amp;$AS$42&amp;"C"&amp;$A59)="N/A",0,RTD("tos.rtd",,BA$43,"."&amp;$A$43&amp;$AS$42&amp;"C"&amp;$A59))</f>
        <v>88210</v>
      </c>
      <c r="BB59" s="7">
        <f>-IF(RTD("tos.rtd",,BB$43,"."&amp;$A$43&amp;$AS$42&amp;"P"&amp;$A59)="N/A",0,RTD("tos.rtd",,BB$43,"."&amp;$A$43&amp;$AS$42&amp;"P"&amp;$A59))</f>
        <v>-199360</v>
      </c>
      <c r="BC59" s="6">
        <f>IF(RTD("tos.rtd",,BC$2,"."&amp;$A$43&amp;$AU$1&amp;"C"&amp;$A59)="N/A",0,RTD("tos.rtd",,BC$2,"."&amp;$A$43&amp;$AU$1&amp;"C"&amp;$A59))</f>
        <v>5346</v>
      </c>
      <c r="BD59" s="7">
        <f>-IF(RTD("tos.rtd",,BD$2,"."&amp;$A$43&amp;$AU$1&amp;"P"&amp;$A59)="N/A",0,RTD("tos.rtd",,BD$2,"."&amp;$A$43&amp;$AU$1&amp;"P"&amp;$A59))</f>
        <v>-9968</v>
      </c>
      <c r="BE59" s="6">
        <f>IF(RTD("tos.rtd",,BE$2,"."&amp;$A$43&amp;$AW$1&amp;"C"&amp;$A59)="N/A",0,RTD("tos.rtd",,BE$2,"."&amp;$A$43&amp;$AW$1&amp;"C"&amp;$A59))</f>
        <v>439</v>
      </c>
      <c r="BF59" s="7">
        <f>-IF(RTD("tos.rtd",,BF$2,"."&amp;$A$43&amp;$AW$1&amp;"P"&amp;$A59)="N/A",0,RTD("tos.rtd",,BF$2,"."&amp;$A$43&amp;$AW$1&amp;"P"&amp;$A59))</f>
        <v>-2258</v>
      </c>
      <c r="BG59" s="32">
        <f ca="1">+Hoja2!Y60</f>
        <v>-28322</v>
      </c>
      <c r="BH59" s="7">
        <f t="shared" ca="1" si="175"/>
        <v>-145913</v>
      </c>
      <c r="BI59" s="8" t="str">
        <f t="shared" ca="1" si="193"/>
        <v>Cruce -</v>
      </c>
      <c r="BJ59" s="83">
        <f ca="1">IF($BP$1=1,DX59,IF(RTD("tos.rtd",,BJ$43,"."&amp;$A$43&amp;$AS$42&amp;"C"&amp;$A59)="N/A",0,RTD("tos.rtd",,BJ$43,"."&amp;$A$43&amp;$AS$42&amp;"C"&amp;$A59)))</f>
        <v>0.14736393041211754</v>
      </c>
      <c r="BK59" s="83">
        <f ca="1">IF($BP$1=1,DY59,-IF(RTD("tos.rtd",,BK$43,"."&amp;$A$43&amp;$AS$42&amp;"P"&amp;$A59)="N/A",0,RTD("tos.rtd",,BK$43,"."&amp;$A$43&amp;$AS$42&amp;"P"&amp;$A59)))</f>
        <v>-0.14769062503979066</v>
      </c>
      <c r="BL59" s="83">
        <f ca="1">IF($BP$1=1,DZ59,IF(RTD("tos.rtd",,BL$2,"."&amp;$A$43&amp;$AU$1&amp;"C"&amp;$A59)="N/A",0,RTD("tos.rtd",,BL$2,"."&amp;$A$43&amp;$AU$1&amp;"C"&amp;$A59)))</f>
        <v>3.4818363631435936E-2</v>
      </c>
      <c r="BM59" s="83">
        <f ca="1">IF($BP$1=1,EA59,-IF(RTD("tos.rtd",,BM$2,"."&amp;$A$43&amp;$AU$1&amp;"P"&amp;$A59)="N/A",0,RTD("tos.rtd",,BM$2,"."&amp;$A$43&amp;$AU$1&amp;"P"&amp;$A59)))</f>
        <v>-3.2019733810641333E-2</v>
      </c>
      <c r="BN59" s="83">
        <f ca="1">IF($BP$1=1,EB59,IF(RTD("tos.rtd",,BN$2,"."&amp;$A$43&amp;$AW$1&amp;"C"&amp;$A59)="N/A",0,RTD("tos.rtd",,BN$2,"."&amp;$A$43&amp;$AW$1&amp;"C"&amp;$A59)))</f>
        <v>3.5533978926308128E-2</v>
      </c>
      <c r="BO59" s="83">
        <f ca="1">IF($BP$1=1,EC59,-IF(RTD("tos.rtd",,BO$2,"."&amp;$A$43&amp;$AW$1&amp;"P"&amp;$A59)="N/A",0,RTD("tos.rtd",,BO$2,"."&amp;$A$43&amp;$AW$1&amp;"P"&amp;$A59)))</f>
        <v>-3.4487477752097352E-2</v>
      </c>
      <c r="BQ59" s="83">
        <f t="shared" ca="1" si="176"/>
        <v>-133975765.47030038</v>
      </c>
      <c r="BR59" s="3" t="str">
        <f t="shared" ca="1" si="177"/>
        <v/>
      </c>
      <c r="BS59" s="83">
        <f t="shared" ca="1" si="178"/>
        <v>-54035728.386551015</v>
      </c>
      <c r="BT59" s="3" t="str">
        <f t="shared" ca="1" si="179"/>
        <v/>
      </c>
      <c r="BU59" s="83">
        <f t="shared" ca="1" si="180"/>
        <v>-719835.6894422787</v>
      </c>
      <c r="BV59" s="83"/>
      <c r="BX59" s="83">
        <f t="shared" ca="1" si="181"/>
        <v>-4440302500.3522196</v>
      </c>
      <c r="BY59" s="83" t="str">
        <f t="shared" ca="1" si="194"/>
        <v/>
      </c>
      <c r="BZ59" s="83">
        <f t="shared" ca="1" si="182"/>
        <v>-35921148.68080537</v>
      </c>
      <c r="CA59" s="83" t="str">
        <f t="shared" ca="1" si="194"/>
        <v>Cruce -</v>
      </c>
      <c r="CB59" s="83">
        <f t="shared" ca="1" si="183"/>
        <v>-16814748.24370607</v>
      </c>
      <c r="CC59" s="83" t="str">
        <f t="shared" ca="1" si="194"/>
        <v>Cruce -</v>
      </c>
      <c r="CD59" s="83">
        <f>IF(RTD("tos.rtd",,CD$43,"."&amp;$A$43&amp;$AS$42&amp;"C"&amp;$A59)="N/A",0,RTD("tos.rtd",,CD$43,"."&amp;$A$43&amp;$AS$42&amp;"C"&amp;$A59))</f>
        <v>1</v>
      </c>
      <c r="CE59" s="83">
        <f>-IF(RTD("tos.rtd",,CE$43,"."&amp;$A$43&amp;$AS$42&amp;"P"&amp;$A59)="N/A",0,RTD("tos.rtd",,CE$43,"."&amp;$A$43&amp;$AS$42&amp;"P"&amp;$A59))</f>
        <v>0.06</v>
      </c>
      <c r="CF59" s="83">
        <f>IF(RTD("tos.rtd",,CF$2,"."&amp;$A$43&amp;$AU$1&amp;"C"&amp;$A59)="N/A",0,RTD("tos.rtd",,CF$2,"."&amp;$A$43&amp;$AU$1&amp;"C"&amp;$A59))</f>
        <v>0.57999999999999996</v>
      </c>
      <c r="CG59" s="83">
        <f>-IF(RTD("tos.rtd",,CG$2,"."&amp;$A$43&amp;$AU$1&amp;"P"&amp;$A59)="N/A",0,RTD("tos.rtd",,CG$2,"."&amp;$A$43&amp;$AU$1&amp;"P"&amp;$A59))</f>
        <v>0.43</v>
      </c>
      <c r="CH59" s="83">
        <f>IF(RTD("tos.rtd",,CH$2,"."&amp;$A$43&amp;$AW$1&amp;"C"&amp;$A59)="N/A",0,RTD("tos.rtd",,CH$2,"."&amp;$A$43&amp;$AW$1&amp;"C"&amp;$A59))</f>
        <v>0.56000000000000005</v>
      </c>
      <c r="CI59" s="83">
        <f>-IF(RTD("tos.rtd",,CI$2,"."&amp;$A$43&amp;$AW$1&amp;"P"&amp;$A59)="N/A",0,RTD("tos.rtd",,CI$2,"."&amp;$A$43&amp;$AW$1&amp;"P"&amp;$A59))</f>
        <v>0.45</v>
      </c>
      <c r="CK59" s="83">
        <f t="shared" si="184"/>
        <v>591786861.05999994</v>
      </c>
      <c r="CL59" s="83"/>
      <c r="CM59" s="83">
        <f t="shared" si="185"/>
        <v>-133562057.78999999</v>
      </c>
      <c r="CN59" s="83"/>
      <c r="CO59" s="83">
        <f t="shared" si="186"/>
        <v>-1527192.5699999998</v>
      </c>
      <c r="CP59" s="83">
        <f t="shared" si="137"/>
        <v>456697610.69999999</v>
      </c>
      <c r="CQ59" s="83">
        <f t="shared" si="147"/>
        <v>-111150</v>
      </c>
      <c r="CR59" s="83"/>
      <c r="CS59" s="83">
        <f t="shared" si="148"/>
        <v>-4622</v>
      </c>
      <c r="CT59" s="83"/>
      <c r="CU59" s="83">
        <f t="shared" si="149"/>
        <v>-1819</v>
      </c>
      <c r="CV59" s="83"/>
      <c r="CW59" s="83">
        <f ca="1">+BQ59+BS59+BU59</f>
        <v>-188731329.54629368</v>
      </c>
      <c r="CY59" s="83">
        <f t="shared" ca="1" si="151"/>
        <v>-4493038397.2767305</v>
      </c>
      <c r="CZ59" s="70" t="str">
        <f t="shared" ca="1" si="195"/>
        <v/>
      </c>
      <c r="DA59" s="83">
        <f>IF(RTD("tos.rtd",,DA$43,"."&amp;$A$43&amp;$AS$42&amp;"C"&amp;$A59)="N/A",0,RTD("tos.rtd",,DA$43,"."&amp;$A$43&amp;$AS$42&amp;"C"&amp;$A59))</f>
        <v>1.18</v>
      </c>
      <c r="DB59" s="83">
        <f>IF(RTD("tos.rtd",,DB$43,"."&amp;$A$43&amp;$AS$42&amp;"P"&amp;$A59)="N/A",0,RTD("tos.rtd",,DB$43,"."&amp;$A$43&amp;$AS$42&amp;"P"&amp;$A59))</f>
        <v>0.02</v>
      </c>
      <c r="DC59" s="83">
        <f>IF(RTD("tos.rtd",,DC$43,"."&amp;$A$43&amp;$AS$42&amp;"C"&amp;$A59)="N/A",0,RTD("tos.rtd",,DC$43,"."&amp;$A$43&amp;$AS$42&amp;"C"&amp;$A59))</f>
        <v>1.2</v>
      </c>
      <c r="DD59" s="83">
        <f>IF(RTD("tos.rtd",,DD$43,"."&amp;$A$43&amp;$AS$42&amp;"P"&amp;$A59)="N/A",0,RTD("tos.rtd",,DD$43,"."&amp;$A$43&amp;$AS$42&amp;"P"&amp;$A59))</f>
        <v>0.03</v>
      </c>
      <c r="DE59" s="83">
        <f>IF(RTD("tos.rtd",,DE$43,"."&amp;$A$43&amp;$AS$42&amp;"C"&amp;$A59)="N/A",0,RTD("tos.rtd",,DE$43,"."&amp;$A$43&amp;$AS$42&amp;"C"&amp;$A59))</f>
        <v>0.8</v>
      </c>
      <c r="DF59" s="83">
        <f>IF(RTD("tos.rtd",,DF$43,"."&amp;$A$43&amp;$AS$42&amp;"P"&amp;$A59)="N/A",0,RTD("tos.rtd",,DF$43,"."&amp;$A$43&amp;$AS$42&amp;"P"&amp;$A59))</f>
        <v>0.02</v>
      </c>
      <c r="DG59" s="86">
        <f t="shared" si="187"/>
        <v>-1.6299999999999955</v>
      </c>
      <c r="DH59" s="3">
        <f t="shared" si="152"/>
        <v>0</v>
      </c>
      <c r="DI59" s="3">
        <f t="shared" si="153"/>
        <v>0</v>
      </c>
      <c r="DJ59" s="3">
        <f t="shared" si="154"/>
        <v>0</v>
      </c>
      <c r="DK59" s="3">
        <f t="shared" si="155"/>
        <v>0</v>
      </c>
      <c r="DL59" s="3">
        <f t="shared" si="156"/>
        <v>0</v>
      </c>
      <c r="DM59" s="3">
        <f t="shared" si="157"/>
        <v>0</v>
      </c>
      <c r="DN59" s="64" t="str">
        <f t="shared" si="158"/>
        <v>UNKNOWN</v>
      </c>
      <c r="DO59" s="64" t="str">
        <f t="shared" si="159"/>
        <v>UNKNOWN</v>
      </c>
      <c r="DP59" s="83">
        <f t="shared" si="160"/>
        <v>0</v>
      </c>
      <c r="DQ59" s="83">
        <f t="shared" si="161"/>
        <v>0</v>
      </c>
      <c r="DR59" s="83">
        <f t="shared" ca="1" si="162"/>
        <v>0</v>
      </c>
      <c r="DS59" s="83">
        <f t="shared" si="163"/>
        <v>0</v>
      </c>
      <c r="DT59" s="83">
        <f t="shared" si="188"/>
        <v>0</v>
      </c>
      <c r="DU59" s="83">
        <f t="shared" si="189"/>
        <v>0</v>
      </c>
      <c r="DV59" s="83">
        <f t="shared" si="164"/>
        <v>943</v>
      </c>
      <c r="DW59" s="83">
        <f t="shared" si="165"/>
        <v>2233</v>
      </c>
      <c r="DX59" s="83">
        <f t="shared" ca="1" si="228"/>
        <v>0.14736393041211754</v>
      </c>
      <c r="DY59" s="83">
        <f t="shared" ca="1" si="229"/>
        <v>-0.14769062503979066</v>
      </c>
      <c r="DZ59" s="83">
        <f t="shared" ca="1" si="230"/>
        <v>3.4818363631435936E-2</v>
      </c>
      <c r="EA59" s="83">
        <f t="shared" ca="1" si="231"/>
        <v>-3.2019733810641333E-2</v>
      </c>
      <c r="EB59" s="83">
        <f t="shared" ca="1" si="232"/>
        <v>3.5533978926308128E-2</v>
      </c>
      <c r="EC59" s="83">
        <f t="shared" ca="1" si="233"/>
        <v>-3.4487477752097352E-2</v>
      </c>
      <c r="ED59" s="63">
        <f t="shared" si="190"/>
        <v>3176</v>
      </c>
      <c r="EE59" s="84">
        <f t="shared" si="166"/>
        <v>0.25</v>
      </c>
      <c r="EF59" s="84">
        <f t="shared" si="167"/>
        <v>0.26369999999999999</v>
      </c>
      <c r="EG59" s="84">
        <f t="shared" si="168"/>
        <v>0.20269999999999999</v>
      </c>
      <c r="EH59" s="84">
        <f t="shared" si="169"/>
        <v>0.22090000000000001</v>
      </c>
      <c r="EI59" s="84">
        <f t="shared" si="170"/>
        <v>0.19850000000000001</v>
      </c>
      <c r="EJ59" s="84">
        <f t="shared" si="171"/>
        <v>0.20469999999999999</v>
      </c>
      <c r="EK59" s="63">
        <f t="shared" ca="1" si="191"/>
        <v>-51526751.145484105</v>
      </c>
      <c r="EL59" s="83" t="str">
        <f>RTD("tos.rtd",,EL$43,"."&amp;$A$43&amp;$AS$42&amp;"C"&amp;$A59)</f>
        <v>--</v>
      </c>
      <c r="EM59" s="83" t="str">
        <f>RTD("tos.rtd",,EM$43,"."&amp;$A$43&amp;$AS$42&amp;"P"&amp;$A59)</f>
        <v>26.37%</v>
      </c>
      <c r="EN59" s="83" t="str">
        <f>RTD("tos.rtd",,EN$2,"."&amp;$A$43&amp;$AU$1&amp;"C"&amp;$A59)</f>
        <v>20.27%</v>
      </c>
      <c r="EO59" s="83" t="str">
        <f>RTD("tos.rtd",,EO$2,"."&amp;$A$43&amp;$AU$1&amp;"P"&amp;$A59)</f>
        <v>22.09%</v>
      </c>
      <c r="EP59" s="83" t="str">
        <f>RTD("tos.rtd",,EP$2,"."&amp;$A$43&amp;$AW$1&amp;"C"&amp;$A59)</f>
        <v>19.85%</v>
      </c>
      <c r="EQ59" s="83" t="str">
        <f>RTD("tos.rtd",,EQ$2,"."&amp;$A$43&amp;$AW$1&amp;"P"&amp;$A59)</f>
        <v>20.47%</v>
      </c>
      <c r="ES59" s="63" t="str">
        <f t="shared" si="172"/>
        <v>518,3176.00</v>
      </c>
      <c r="ET59" s="63" t="str">
        <f t="shared" ca="1" si="173"/>
        <v>518,-4493038.40</v>
      </c>
      <c r="EU59" s="67">
        <v>593.49</v>
      </c>
      <c r="EV59" s="67" t="s">
        <v>492</v>
      </c>
      <c r="EW59" s="67">
        <v>519.97</v>
      </c>
      <c r="EX59" s="67" t="s">
        <v>493</v>
      </c>
      <c r="EY59" s="67">
        <v>5945.25</v>
      </c>
      <c r="EZ59" s="67" t="s">
        <v>494</v>
      </c>
      <c r="FA59" s="67">
        <v>21342.25</v>
      </c>
      <c r="FB59" s="67" t="s">
        <v>495</v>
      </c>
      <c r="FC59" s="67" t="s">
        <v>496</v>
      </c>
      <c r="FD59" s="67" t="s">
        <v>497</v>
      </c>
      <c r="FE59" s="68" t="s">
        <v>498</v>
      </c>
      <c r="FF59" s="68" t="s">
        <v>499</v>
      </c>
    </row>
    <row r="60" spans="1:162" ht="13.5" thickBot="1" x14ac:dyDescent="0.25">
      <c r="A60" s="2">
        <f t="shared" si="192"/>
        <v>517</v>
      </c>
      <c r="B60" s="3">
        <f t="shared" si="142"/>
        <v>6263</v>
      </c>
      <c r="C60" s="3">
        <f t="shared" si="143"/>
        <v>3501</v>
      </c>
      <c r="D60" s="3">
        <f t="shared" si="144"/>
        <v>175</v>
      </c>
      <c r="E60" s="3">
        <f t="shared" si="145"/>
        <v>9939</v>
      </c>
      <c r="F60" s="4">
        <f t="shared" si="196"/>
        <v>21312.333294844408</v>
      </c>
      <c r="AM60" s="1">
        <v>-1862</v>
      </c>
      <c r="AN60" s="1">
        <v>-10623</v>
      </c>
      <c r="AO60" s="1">
        <v>517</v>
      </c>
      <c r="AP60" s="1">
        <v>29155</v>
      </c>
      <c r="AQ60" s="1">
        <v>-140729</v>
      </c>
      <c r="AS60" s="6">
        <f>IF(RTD("tos.rtd",,AS$43,"."&amp;$A$43&amp;$AS$42&amp;"C"&amp;$A60)="N/A",0,RTD("tos.rtd",,AS$43,"."&amp;$A$43&amp;$AS$42&amp;"C"&amp;$A60))</f>
        <v>1824</v>
      </c>
      <c r="AT60" s="7">
        <f>-IF(RTD("tos.rtd",,AT$43,"."&amp;$A$43&amp;$AS$42&amp;"P"&amp;$A60)="N/A",0,RTD("tos.rtd",,AT$43,"."&amp;$A$43&amp;$AS$42&amp;"P"&amp;$A60))</f>
        <v>-4439</v>
      </c>
      <c r="AU60" s="6">
        <f>IF(RTD("tos.rtd",,AU$2,"."&amp;$A$43&amp;$AU$1&amp;"C"&amp;$A60)="N/A",0,RTD("tos.rtd",,AU$2,"."&amp;$A$43&amp;$AU$1&amp;"C"&amp;$A60))</f>
        <v>1917</v>
      </c>
      <c r="AV60" s="7">
        <f>-IF(RTD("tos.rtd",,AV$2,"."&amp;$A$43&amp;$AU$1&amp;"P"&amp;$A60)="N/A",0,RTD("tos.rtd",,AV$2,"."&amp;$A$43&amp;$AU$1&amp;"P"&amp;$A60))</f>
        <v>-1584</v>
      </c>
      <c r="AW60" s="6">
        <f>IF(RTD("tos.rtd",,AW$2,"."&amp;$A$43&amp;$AW$1&amp;"C"&amp;$A60)="N/A",0,RTD("tos.rtd",,AW$2,"."&amp;$A$43&amp;$AW$1&amp;"C"&amp;$A60))</f>
        <v>96</v>
      </c>
      <c r="AX60" s="7">
        <f>-IF(RTD("tos.rtd",,AX$2,"."&amp;$A$43&amp;$AW$1&amp;"P"&amp;$A60)="N/A",0,RTD("tos.rtd",,AX$2,"."&amp;$A$43&amp;$AW$1&amp;"P"&amp;$A60))</f>
        <v>-79</v>
      </c>
      <c r="AY60" s="7">
        <f t="shared" si="174"/>
        <v>-2265</v>
      </c>
      <c r="AZ60" s="8">
        <f t="shared" si="146"/>
        <v>517</v>
      </c>
      <c r="BA60" s="6">
        <f>IF(RTD("tos.rtd",,BA$43,"."&amp;$A$43&amp;$AS$42&amp;"C"&amp;$A60)="N/A",0,RTD("tos.rtd",,BA$43,"."&amp;$A$43&amp;$AS$42&amp;"C"&amp;$A60))</f>
        <v>29155</v>
      </c>
      <c r="BB60" s="7">
        <f>-IF(RTD("tos.rtd",,BB$43,"."&amp;$A$43&amp;$AS$42&amp;"P"&amp;$A60)="N/A",0,RTD("tos.rtd",,BB$43,"."&amp;$A$43&amp;$AS$42&amp;"P"&amp;$A60))</f>
        <v>-140729</v>
      </c>
      <c r="BC60" s="6">
        <f>IF(RTD("tos.rtd",,BC$2,"."&amp;$A$43&amp;$AU$1&amp;"C"&amp;$A60)="N/A",0,RTD("tos.rtd",,BC$2,"."&amp;$A$43&amp;$AU$1&amp;"C"&amp;$A60))</f>
        <v>2528</v>
      </c>
      <c r="BD60" s="7">
        <f>-IF(RTD("tos.rtd",,BD$2,"."&amp;$A$43&amp;$AU$1&amp;"P"&amp;$A60)="N/A",0,RTD("tos.rtd",,BD$2,"."&amp;$A$43&amp;$AU$1&amp;"P"&amp;$A60))</f>
        <v>-4395</v>
      </c>
      <c r="BE60" s="6">
        <f>IF(RTD("tos.rtd",,BE$2,"."&amp;$A$43&amp;$AW$1&amp;"C"&amp;$A60)="N/A",0,RTD("tos.rtd",,BE$2,"."&amp;$A$43&amp;$AW$1&amp;"C"&amp;$A60))</f>
        <v>45</v>
      </c>
      <c r="BF60" s="7">
        <f>-IF(RTD("tos.rtd",,BF$2,"."&amp;$A$43&amp;$AW$1&amp;"P"&amp;$A60)="N/A",0,RTD("tos.rtd",,BF$2,"."&amp;$A$43&amp;$AW$1&amp;"P"&amp;$A60))</f>
        <v>-94</v>
      </c>
      <c r="BG60" s="32">
        <f ca="1">+Hoja2!Y61</f>
        <v>-23058</v>
      </c>
      <c r="BH60" s="7">
        <f t="shared" ca="1" si="175"/>
        <v>-136548</v>
      </c>
      <c r="BI60" s="8" t="str">
        <f t="shared" ca="1" si="193"/>
        <v/>
      </c>
      <c r="BJ60" s="83">
        <f ca="1">IF($BP$1=1,DX60,IF(RTD("tos.rtd",,BJ$43,"."&amp;$A$43&amp;$AS$42&amp;"C"&amp;$A60)="N/A",0,RTD("tos.rtd",,BJ$43,"."&amp;$A$43&amp;$AS$42&amp;"C"&amp;$A60)))</f>
        <v>6.1006134010385758E-2</v>
      </c>
      <c r="BK60" s="83">
        <f ca="1">IF($BP$1=1,DY60,-IF(RTD("tos.rtd",,BK$43,"."&amp;$A$43&amp;$AS$42&amp;"P"&amp;$A60)="N/A",0,RTD("tos.rtd",,BK$43,"."&amp;$A$43&amp;$AS$42&amp;"P"&amp;$A60)))</f>
        <v>-8.7889217030755723E-2</v>
      </c>
      <c r="BL60" s="83">
        <f ca="1">IF($BP$1=1,DZ60,IF(RTD("tos.rtd",,BL$2,"."&amp;$A$43&amp;$AU$1&amp;"C"&amp;$A60)="N/A",0,RTD("tos.rtd",,BL$2,"."&amp;$A$43&amp;$AU$1&amp;"C"&amp;$A60)))</f>
        <v>3.3854926604780199E-2</v>
      </c>
      <c r="BM60" s="83">
        <f ca="1">IF($BP$1=1,EA60,-IF(RTD("tos.rtd",,BM$2,"."&amp;$A$43&amp;$AU$1&amp;"P"&amp;$A60)="N/A",0,RTD("tos.rtd",,BM$2,"."&amp;$A$43&amp;$AU$1&amp;"P"&amp;$A60)))</f>
        <v>-3.1139257251859554E-2</v>
      </c>
      <c r="BN60" s="83">
        <f ca="1">IF($BP$1=1,EB60,IF(RTD("tos.rtd",,BN$2,"."&amp;$A$43&amp;$AW$1&amp;"C"&amp;$A60)="N/A",0,RTD("tos.rtd",,BN$2,"."&amp;$A$43&amp;$AW$1&amp;"C"&amp;$A60)))</f>
        <v>3.3532587202625898E-2</v>
      </c>
      <c r="BO60" s="83">
        <f ca="1">IF($BP$1=1,EC60,-IF(RTD("tos.rtd",,BO$2,"."&amp;$A$43&amp;$AW$1&amp;"P"&amp;$A60)="N/A",0,RTD("tos.rtd",,BO$2,"."&amp;$A$43&amp;$AW$1&amp;"P"&amp;$A60)))</f>
        <v>-3.4010522983817577E-2</v>
      </c>
      <c r="BQ60" s="83">
        <f t="shared" ca="1" si="176"/>
        <v>-75297839.335760325</v>
      </c>
      <c r="BR60" s="3" t="str">
        <f t="shared" ca="1" si="177"/>
        <v/>
      </c>
      <c r="BS60" s="83">
        <f t="shared" ca="1" si="178"/>
        <v>4205572.7968773171</v>
      </c>
      <c r="BT60" s="3" t="str">
        <f t="shared" ca="1" si="179"/>
        <v>Cruce +</v>
      </c>
      <c r="BU60" s="83">
        <f t="shared" ca="1" si="180"/>
        <v>143728.36883394839</v>
      </c>
      <c r="BV60" s="83"/>
      <c r="BX60" s="83">
        <f t="shared" ca="1" si="181"/>
        <v>-2859442919.0045428</v>
      </c>
      <c r="BY60" s="83" t="str">
        <f t="shared" ca="1" si="194"/>
        <v/>
      </c>
      <c r="BZ60" s="83">
        <f t="shared" ca="1" si="182"/>
        <v>-13844167.264740914</v>
      </c>
      <c r="CA60" s="83" t="str">
        <f t="shared" ca="1" si="194"/>
        <v/>
      </c>
      <c r="CB60" s="83">
        <f t="shared" ca="1" si="183"/>
        <v>-455792.02785329084</v>
      </c>
      <c r="CC60" s="83" t="str">
        <f t="shared" ca="1" si="194"/>
        <v/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0.03</v>
      </c>
      <c r="CF60" s="83">
        <f>IF(RTD("tos.rtd",,CF$2,"."&amp;$A$43&amp;$AU$1&amp;"C"&amp;$A60)="N/A",0,RTD("tos.rtd",,CF$2,"."&amp;$A$43&amp;$AU$1&amp;"C"&amp;$A60))</f>
        <v>0.62</v>
      </c>
      <c r="CG60" s="83">
        <f>-IF(RTD("tos.rtd",,CG$2,"."&amp;$A$43&amp;$AU$1&amp;"P"&amp;$A60)="N/A",0,RTD("tos.rtd",,CG$2,"."&amp;$A$43&amp;$AU$1&amp;"P"&amp;$A60))</f>
        <v>0.39</v>
      </c>
      <c r="CH60" s="83">
        <f>IF(RTD("tos.rtd",,CH$2,"."&amp;$A$43&amp;$AW$1&amp;"C"&amp;$A60)="N/A",0,RTD("tos.rtd",,CH$2,"."&amp;$A$43&amp;$AW$1&amp;"C"&amp;$A60))</f>
        <v>0.56999999999999995</v>
      </c>
      <c r="CI60" s="83">
        <f>-IF(RTD("tos.rtd",,CI$2,"."&amp;$A$43&amp;$AW$1&amp;"P"&amp;$A60)="N/A",0,RTD("tos.rtd",,CI$2,"."&amp;$A$43&amp;$AW$1&amp;"P"&amp;$A60))</f>
        <v>0.43</v>
      </c>
      <c r="CK60" s="83">
        <f t="shared" si="184"/>
        <v>940885207.28999996</v>
      </c>
      <c r="CL60" s="83"/>
      <c r="CM60" s="83">
        <f t="shared" si="185"/>
        <v>29659441.139999997</v>
      </c>
      <c r="CN60" s="83"/>
      <c r="CO60" s="83">
        <f t="shared" si="186"/>
        <v>1078232.25</v>
      </c>
      <c r="CP60" s="83">
        <f t="shared" si="137"/>
        <v>971622880.67999995</v>
      </c>
      <c r="CQ60" s="83">
        <f t="shared" si="147"/>
        <v>-111574</v>
      </c>
      <c r="CR60" s="83"/>
      <c r="CS60" s="83">
        <f t="shared" si="148"/>
        <v>-1867</v>
      </c>
      <c r="CT60" s="83"/>
      <c r="CU60" s="83">
        <f t="shared" si="149"/>
        <v>-49</v>
      </c>
      <c r="CV60" s="83"/>
      <c r="CW60" s="83">
        <f t="shared" ca="1" si="150"/>
        <v>-70948538.170049056</v>
      </c>
      <c r="CY60" s="83">
        <f t="shared" ca="1" si="151"/>
        <v>-2873742878.2971373</v>
      </c>
      <c r="CZ60" s="70" t="str">
        <f t="shared" ca="1" si="195"/>
        <v/>
      </c>
      <c r="DA60" s="83">
        <f>IF(RTD("tos.rtd",,DA$43,"."&amp;$A$43&amp;$AS$42&amp;"C"&amp;$A60)="N/A",0,RTD("tos.rtd",,DA$43,"."&amp;$A$43&amp;$AS$42&amp;"C"&amp;$A60))</f>
        <v>2.4500000000000002</v>
      </c>
      <c r="DB60" s="83">
        <f>IF(RTD("tos.rtd",,DB$43,"."&amp;$A$43&amp;$AS$42&amp;"P"&amp;$A60)="N/A",0,RTD("tos.rtd",,DB$43,"."&amp;$A$43&amp;$AS$42&amp;"P"&amp;$A60))</f>
        <v>0.01</v>
      </c>
      <c r="DC60" s="83">
        <f>IF(RTD("tos.rtd",,DC$43,"."&amp;$A$43&amp;$AS$42&amp;"C"&amp;$A60)="N/A",0,RTD("tos.rtd",,DC$43,"."&amp;$A$43&amp;$AS$42&amp;"C"&amp;$A60))</f>
        <v>4.4800000000000004</v>
      </c>
      <c r="DD60" s="83">
        <f>IF(RTD("tos.rtd",,DD$43,"."&amp;$A$43&amp;$AS$42&amp;"P"&amp;$A60)="N/A",0,RTD("tos.rtd",,DD$43,"."&amp;$A$43&amp;$AS$42&amp;"P"&amp;$A60))</f>
        <v>0.02</v>
      </c>
      <c r="DE60" s="83">
        <f>IF(RTD("tos.rtd",,DE$43,"."&amp;$A$43&amp;$AS$42&amp;"C"&amp;$A60)="N/A",0,RTD("tos.rtd",,DE$43,"."&amp;$A$43&amp;$AS$42&amp;"C"&amp;$A60))</f>
        <v>0.24</v>
      </c>
      <c r="DF60" s="83">
        <f>IF(RTD("tos.rtd",,DF$43,"."&amp;$A$43&amp;$AS$42&amp;"P"&amp;$A60)="N/A",0,RTD("tos.rtd",,DF$43,"."&amp;$A$43&amp;$AS$42&amp;"P"&amp;$A60))</f>
        <v>0.01</v>
      </c>
      <c r="DG60" s="86">
        <f t="shared" si="187"/>
        <v>-2.6299999999999955</v>
      </c>
      <c r="DH60" s="3">
        <f t="shared" si="152"/>
        <v>0</v>
      </c>
      <c r="DI60" s="3">
        <f t="shared" si="153"/>
        <v>0</v>
      </c>
      <c r="DJ60" s="3">
        <f t="shared" si="154"/>
        <v>0</v>
      </c>
      <c r="DK60" s="3">
        <f t="shared" si="155"/>
        <v>0</v>
      </c>
      <c r="DL60" s="3">
        <f t="shared" si="156"/>
        <v>0</v>
      </c>
      <c r="DM60" s="3">
        <f t="shared" si="157"/>
        <v>0</v>
      </c>
      <c r="DN60" s="64" t="str">
        <f t="shared" si="158"/>
        <v>UNKNOWN</v>
      </c>
      <c r="DO60" s="64" t="str">
        <f t="shared" si="159"/>
        <v>UNKNOWN</v>
      </c>
      <c r="DP60" s="83">
        <f t="shared" si="160"/>
        <v>0</v>
      </c>
      <c r="DQ60" s="83">
        <f t="shared" si="161"/>
        <v>0</v>
      </c>
      <c r="DR60" s="83">
        <f t="shared" ca="1" si="162"/>
        <v>0</v>
      </c>
      <c r="DS60" s="83">
        <f t="shared" si="163"/>
        <v>0</v>
      </c>
      <c r="DT60" s="83">
        <f t="shared" si="188"/>
        <v>0</v>
      </c>
      <c r="DU60" s="83">
        <f t="shared" si="189"/>
        <v>0</v>
      </c>
      <c r="DV60" s="83">
        <f t="shared" si="164"/>
        <v>-1862</v>
      </c>
      <c r="DW60" s="83">
        <f t="shared" si="165"/>
        <v>-10623</v>
      </c>
      <c r="DX60" s="83">
        <f t="shared" ca="1" si="228"/>
        <v>6.1006134010385758E-2</v>
      </c>
      <c r="DY60" s="83">
        <f t="shared" ca="1" si="229"/>
        <v>-8.7889217030755723E-2</v>
      </c>
      <c r="DZ60" s="83">
        <f t="shared" ca="1" si="230"/>
        <v>3.3854926604780199E-2</v>
      </c>
      <c r="EA60" s="83">
        <f t="shared" ca="1" si="231"/>
        <v>-3.1139257251859554E-2</v>
      </c>
      <c r="EB60" s="83">
        <f t="shared" ca="1" si="232"/>
        <v>3.3532587202625898E-2</v>
      </c>
      <c r="EC60" s="83">
        <f t="shared" ca="1" si="233"/>
        <v>-3.4010522983817577E-2</v>
      </c>
      <c r="ED60" s="63">
        <f t="shared" si="190"/>
        <v>-12485</v>
      </c>
      <c r="EE60" s="84">
        <f t="shared" si="166"/>
        <v>0.25</v>
      </c>
      <c r="EF60" s="84">
        <f t="shared" si="167"/>
        <v>0.35089999999999999</v>
      </c>
      <c r="EG60" s="84">
        <f t="shared" si="168"/>
        <v>0.20449999999999999</v>
      </c>
      <c r="EH60" s="84">
        <f t="shared" si="169"/>
        <v>0.2235</v>
      </c>
      <c r="EI60" s="84">
        <f t="shared" si="170"/>
        <v>0.20660000000000001</v>
      </c>
      <c r="EJ60" s="84">
        <f t="shared" si="171"/>
        <v>0.20349999999999999</v>
      </c>
      <c r="EK60" s="63">
        <f t="shared" ca="1" si="191"/>
        <v>221427084.44946939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35.09%</v>
      </c>
      <c r="EN60" s="83" t="str">
        <f>RTD("tos.rtd",,EN$2,"."&amp;$A$43&amp;$AU$1&amp;"C"&amp;$A60)</f>
        <v>20.45%</v>
      </c>
      <c r="EO60" s="83" t="str">
        <f>RTD("tos.rtd",,EO$2,"."&amp;$A$43&amp;$AU$1&amp;"P"&amp;$A60)</f>
        <v>22.35%</v>
      </c>
      <c r="EP60" s="83" t="str">
        <f>RTD("tos.rtd",,EP$2,"."&amp;$A$43&amp;$AW$1&amp;"C"&amp;$A60)</f>
        <v>20.66%</v>
      </c>
      <c r="EQ60" s="83" t="str">
        <f>RTD("tos.rtd",,EQ$2,"."&amp;$A$43&amp;$AW$1&amp;"P"&amp;$A60)</f>
        <v>20.35%</v>
      </c>
      <c r="ES60" s="63" t="str">
        <f t="shared" si="172"/>
        <v>517,-12485.00</v>
      </c>
      <c r="ET60" s="63" t="str">
        <f t="shared" ca="1" si="173"/>
        <v>517,-2873742.88</v>
      </c>
      <c r="EU60" s="67">
        <v>593.45000000000005</v>
      </c>
      <c r="EV60" s="67" t="s">
        <v>500</v>
      </c>
      <c r="EW60" s="67">
        <v>519.91999999999996</v>
      </c>
      <c r="EX60" s="67" t="s">
        <v>501</v>
      </c>
      <c r="EY60" s="67">
        <v>5944.75</v>
      </c>
      <c r="EZ60" s="67" t="s">
        <v>502</v>
      </c>
      <c r="FA60" s="67">
        <v>21340.75</v>
      </c>
      <c r="FB60" s="67" t="s">
        <v>503</v>
      </c>
      <c r="FC60" s="67" t="s">
        <v>504</v>
      </c>
      <c r="FD60" s="67" t="s">
        <v>505</v>
      </c>
      <c r="FE60" s="68" t="s">
        <v>506</v>
      </c>
      <c r="FF60" s="68" t="s">
        <v>507</v>
      </c>
    </row>
    <row r="61" spans="1:162" ht="13.5" thickBot="1" x14ac:dyDescent="0.25">
      <c r="A61" s="2">
        <f t="shared" si="192"/>
        <v>516</v>
      </c>
      <c r="B61" s="3">
        <f t="shared" si="142"/>
        <v>3483</v>
      </c>
      <c r="C61" s="3">
        <f t="shared" si="143"/>
        <v>4029</v>
      </c>
      <c r="D61" s="3">
        <f t="shared" si="144"/>
        <v>338</v>
      </c>
      <c r="E61" s="3">
        <f t="shared" si="145"/>
        <v>7850</v>
      </c>
      <c r="F61" s="4">
        <f t="shared" si="196"/>
        <v>21271.110213036198</v>
      </c>
      <c r="AM61" s="1">
        <v>-1475</v>
      </c>
      <c r="AN61" s="1">
        <v>-16497</v>
      </c>
      <c r="AO61" s="1">
        <v>516</v>
      </c>
      <c r="AP61" s="1">
        <v>9180</v>
      </c>
      <c r="AQ61" s="1">
        <v>-126828</v>
      </c>
      <c r="AS61" s="6">
        <f>IF(RTD("tos.rtd",,AS$43,"."&amp;$A$43&amp;$AS$42&amp;"C"&amp;$A61)="N/A",0,RTD("tos.rtd",,AS$43,"."&amp;$A$43&amp;$AS$42&amp;"C"&amp;$A61))</f>
        <v>873</v>
      </c>
      <c r="AT61" s="7">
        <f>-IF(RTD("tos.rtd",,AT$43,"."&amp;$A$43&amp;$AS$42&amp;"P"&amp;$A61)="N/A",0,RTD("tos.rtd",,AT$43,"."&amp;$A$43&amp;$AS$42&amp;"P"&amp;$A61))</f>
        <v>-2610</v>
      </c>
      <c r="AU61" s="6">
        <f>IF(RTD("tos.rtd",,AU$2,"."&amp;$A$43&amp;$AU$1&amp;"C"&amp;$A61)="N/A",0,RTD("tos.rtd",,AU$2,"."&amp;$A$43&amp;$AU$1&amp;"C"&amp;$A61))</f>
        <v>1914</v>
      </c>
      <c r="AV61" s="7">
        <f>-IF(RTD("tos.rtd",,AV$2,"."&amp;$A$43&amp;$AU$1&amp;"P"&amp;$A61)="N/A",0,RTD("tos.rtd",,AV$2,"."&amp;$A$43&amp;$AU$1&amp;"P"&amp;$A61))</f>
        <v>-2115</v>
      </c>
      <c r="AW61" s="6">
        <f>IF(RTD("tos.rtd",,AW$2,"."&amp;$A$43&amp;$AW$1&amp;"C"&amp;$A61)="N/A",0,RTD("tos.rtd",,AW$2,"."&amp;$A$43&amp;$AW$1&amp;"C"&amp;$A61))</f>
        <v>30</v>
      </c>
      <c r="AX61" s="7">
        <f>-IF(RTD("tos.rtd",,AX$2,"."&amp;$A$43&amp;$AW$1&amp;"P"&amp;$A61)="N/A",0,RTD("tos.rtd",,AX$2,"."&amp;$A$43&amp;$AW$1&amp;"P"&amp;$A61))</f>
        <v>-308</v>
      </c>
      <c r="AY61" s="7">
        <f t="shared" si="174"/>
        <v>-2216</v>
      </c>
      <c r="AZ61" s="8">
        <f t="shared" si="146"/>
        <v>516</v>
      </c>
      <c r="BA61" s="6">
        <f>IF(RTD("tos.rtd",,BA$43,"."&amp;$A$43&amp;$AS$42&amp;"C"&amp;$A61)="N/A",0,RTD("tos.rtd",,BA$43,"."&amp;$A$43&amp;$AS$42&amp;"C"&amp;$A61))</f>
        <v>9180</v>
      </c>
      <c r="BB61" s="7">
        <f>-IF(RTD("tos.rtd",,BB$43,"."&amp;$A$43&amp;$AS$42&amp;"P"&amp;$A61)="N/A",0,RTD("tos.rtd",,BB$43,"."&amp;$A$43&amp;$AS$42&amp;"P"&amp;$A61))</f>
        <v>-126828</v>
      </c>
      <c r="BC61" s="6">
        <f>IF(RTD("tos.rtd",,BC$2,"."&amp;$A$43&amp;$AU$1&amp;"C"&amp;$A61)="N/A",0,RTD("tos.rtd",,BC$2,"."&amp;$A$43&amp;$AU$1&amp;"C"&amp;$A61))</f>
        <v>1238</v>
      </c>
      <c r="BD61" s="7">
        <f>-IF(RTD("tos.rtd",,BD$2,"."&amp;$A$43&amp;$AU$1&amp;"P"&amp;$A61)="N/A",0,RTD("tos.rtd",,BD$2,"."&amp;$A$43&amp;$AU$1&amp;"P"&amp;$A61))</f>
        <v>-3569</v>
      </c>
      <c r="BE61" s="6">
        <f>IF(RTD("tos.rtd",,BE$2,"."&amp;$A$43&amp;$AW$1&amp;"C"&amp;$A61)="N/A",0,RTD("tos.rtd",,BE$2,"."&amp;$A$43&amp;$AW$1&amp;"C"&amp;$A61))</f>
        <v>279</v>
      </c>
      <c r="BF61" s="7">
        <f>-IF(RTD("tos.rtd",,BF$2,"."&amp;$A$43&amp;$AW$1&amp;"P"&amp;$A61)="N/A",0,RTD("tos.rtd",,BF$2,"."&amp;$A$43&amp;$AW$1&amp;"P"&amp;$A61))</f>
        <v>-421</v>
      </c>
      <c r="BG61" s="32">
        <f ca="1">+Hoja2!Y62</f>
        <v>-19851</v>
      </c>
      <c r="BH61" s="7">
        <f t="shared" ca="1" si="175"/>
        <v>-139972</v>
      </c>
      <c r="BI61" s="8" t="str">
        <f t="shared" ca="1" si="193"/>
        <v/>
      </c>
      <c r="BJ61" s="83">
        <f ca="1">IF($BP$1=1,DX61,IF(RTD("tos.rtd",,BJ$43,"."&amp;$A$43&amp;$AS$42&amp;"C"&amp;$A61)="N/A",0,RTD("tos.rtd",,BJ$43,"."&amp;$A$43&amp;$AS$42&amp;"C"&amp;$A61)))</f>
        <v>1.6648870235057248E-2</v>
      </c>
      <c r="BK61" s="83">
        <f ca="1">IF($BP$1=1,DY61,-IF(RTD("tos.rtd",,BK$43,"."&amp;$A$43&amp;$AS$42&amp;"P"&amp;$A61)="N/A",0,RTD("tos.rtd",,BK$43,"."&amp;$A$43&amp;$AS$42&amp;"P"&amp;$A61)))</f>
        <v>-6.2083197220992176E-2</v>
      </c>
      <c r="BL61" s="83">
        <f ca="1">IF($BP$1=1,DZ61,IF(RTD("tos.rtd",,BL$2,"."&amp;$A$43&amp;$AU$1&amp;"C"&amp;$A61)="N/A",0,RTD("tos.rtd",,BL$2,"."&amp;$A$43&amp;$AU$1&amp;"C"&amp;$A61)))</f>
        <v>3.0967407238188655E-2</v>
      </c>
      <c r="BM61" s="83">
        <f ca="1">IF($BP$1=1,EA61,-IF(RTD("tos.rtd",,BM$2,"."&amp;$A$43&amp;$AU$1&amp;"P"&amp;$A61)="N/A",0,RTD("tos.rtd",,BM$2,"."&amp;$A$43&amp;$AU$1&amp;"P"&amp;$A61)))</f>
        <v>-3.0283817029223462E-2</v>
      </c>
      <c r="BN61" s="83">
        <f ca="1">IF($BP$1=1,EB61,IF(RTD("tos.rtd",,BN$2,"."&amp;$A$43&amp;$AW$1&amp;"C"&amp;$A61)="N/A",0,RTD("tos.rtd",,BN$2,"."&amp;$A$43&amp;$AW$1&amp;"C"&amp;$A61)))</f>
        <v>3.3476967927139424E-2</v>
      </c>
      <c r="BO61" s="83">
        <f ca="1">IF($BP$1=1,EC61,-IF(RTD("tos.rtd",,BO$2,"."&amp;$A$43&amp;$AW$1&amp;"P"&amp;$A61)="N/A",0,RTD("tos.rtd",,BO$2,"."&amp;$A$43&amp;$AW$1&amp;"P"&amp;$A61)))</f>
        <v>-3.2815262336814567E-2</v>
      </c>
      <c r="BQ61" s="83">
        <f t="shared" ca="1" si="176"/>
        <v>-39827986.112396553</v>
      </c>
      <c r="BR61" s="3" t="str">
        <f t="shared" ca="1" si="177"/>
        <v/>
      </c>
      <c r="BS61" s="83">
        <f t="shared" ca="1" si="178"/>
        <v>-1290310.2917494271</v>
      </c>
      <c r="BT61" s="3" t="str">
        <f t="shared" ca="1" si="179"/>
        <v>Cruce -</v>
      </c>
      <c r="BU61" s="83">
        <f t="shared" ca="1" si="180"/>
        <v>-2457893.3843266433</v>
      </c>
      <c r="BV61" s="83"/>
      <c r="BX61" s="83">
        <f t="shared" ca="1" si="181"/>
        <v>-2084802216.25301</v>
      </c>
      <c r="BY61" s="83" t="str">
        <f t="shared" ca="1" si="194"/>
        <v/>
      </c>
      <c r="BZ61" s="83">
        <f t="shared" ca="1" si="182"/>
        <v>-18832298.737015057</v>
      </c>
      <c r="CA61" s="83" t="str">
        <f t="shared" ca="1" si="194"/>
        <v/>
      </c>
      <c r="CB61" s="83">
        <f t="shared" ca="1" si="183"/>
        <v>-1208359.5108236847</v>
      </c>
      <c r="CC61" s="83" t="str">
        <f t="shared" ca="1" si="194"/>
        <v/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0.02</v>
      </c>
      <c r="CF61" s="83">
        <f>IF(RTD("tos.rtd",,CF$2,"."&amp;$A$43&amp;$AU$1&amp;"C"&amp;$A61)="N/A",0,RTD("tos.rtd",,CF$2,"."&amp;$A$43&amp;$AU$1&amp;"C"&amp;$A61))</f>
        <v>0.65</v>
      </c>
      <c r="CG61" s="83">
        <f>-IF(RTD("tos.rtd",,CG$2,"."&amp;$A$43&amp;$AU$1&amp;"P"&amp;$A61)="N/A",0,RTD("tos.rtd",,CG$2,"."&amp;$A$43&amp;$AU$1&amp;"P"&amp;$A61))</f>
        <v>0.36</v>
      </c>
      <c r="CH61" s="83">
        <f>IF(RTD("tos.rtd",,CH$2,"."&amp;$A$43&amp;$AW$1&amp;"C"&amp;$A61)="N/A",0,RTD("tos.rtd",,CH$2,"."&amp;$A$43&amp;$AW$1&amp;"C"&amp;$A61))</f>
        <v>0.57999999999999996</v>
      </c>
      <c r="CI61" s="83">
        <f>-IF(RTD("tos.rtd",,CI$2,"."&amp;$A$43&amp;$AW$1&amp;"P"&amp;$A61)="N/A",0,RTD("tos.rtd",,CI$2,"."&amp;$A$43&amp;$AW$1&amp;"P"&amp;$A61))</f>
        <v>0.42</v>
      </c>
      <c r="CK61" s="83">
        <f t="shared" si="184"/>
        <v>450924521.39999998</v>
      </c>
      <c r="CL61" s="83"/>
      <c r="CM61" s="83">
        <f t="shared" si="185"/>
        <v>25082540.100000001</v>
      </c>
      <c r="CN61" s="83"/>
      <c r="CO61" s="83">
        <f t="shared" si="186"/>
        <v>-5817777.4799999986</v>
      </c>
      <c r="CP61" s="83">
        <f t="shared" si="137"/>
        <v>470189284.01999998</v>
      </c>
      <c r="CQ61" s="83">
        <f t="shared" si="147"/>
        <v>-117648</v>
      </c>
      <c r="CR61" s="83"/>
      <c r="CS61" s="83">
        <f t="shared" si="148"/>
        <v>-2331</v>
      </c>
      <c r="CT61" s="83"/>
      <c r="CU61" s="83">
        <f t="shared" si="149"/>
        <v>-142</v>
      </c>
      <c r="CV61" s="83"/>
      <c r="CW61" s="83">
        <f t="shared" ca="1" si="150"/>
        <v>-43576189.788472623</v>
      </c>
      <c r="CY61" s="83">
        <f t="shared" ca="1" si="151"/>
        <v>-2104842874.5008488</v>
      </c>
      <c r="CZ61" s="70" t="str">
        <f t="shared" ca="1" si="195"/>
        <v/>
      </c>
      <c r="DA61" s="83">
        <f>IF(RTD("tos.rtd",,DA$43,"."&amp;$A$43&amp;$AS$42&amp;"C"&amp;$A61)="N/A",0,RTD("tos.rtd",,DA$43,"."&amp;$A$43&amp;$AS$42&amp;"C"&amp;$A61))</f>
        <v>3.45</v>
      </c>
      <c r="DB61" s="83">
        <f>IF(RTD("tos.rtd",,DB$43,"."&amp;$A$43&amp;$AS$42&amp;"P"&amp;$A61)="N/A",0,RTD("tos.rtd",,DB$43,"."&amp;$A$43&amp;$AS$42&amp;"P"&amp;$A61))</f>
        <v>0.01</v>
      </c>
      <c r="DC61" s="83">
        <f>IF(RTD("tos.rtd",,DC$43,"."&amp;$A$43&amp;$AS$42&amp;"C"&amp;$A61)="N/A",0,RTD("tos.rtd",,DC$43,"."&amp;$A$43&amp;$AS$42&amp;"C"&amp;$A61))</f>
        <v>5.5</v>
      </c>
      <c r="DD61" s="83">
        <f>IF(RTD("tos.rtd",,DD$43,"."&amp;$A$43&amp;$AS$42&amp;"P"&amp;$A61)="N/A",0,RTD("tos.rtd",,DD$43,"."&amp;$A$43&amp;$AS$42&amp;"P"&amp;$A61))</f>
        <v>0.02</v>
      </c>
      <c r="DE61" s="83">
        <f>IF(RTD("tos.rtd",,DE$43,"."&amp;$A$43&amp;$AS$42&amp;"C"&amp;$A61)="N/A",0,RTD("tos.rtd",,DE$43,"."&amp;$A$43&amp;$AS$42&amp;"C"&amp;$A61))</f>
        <v>1.68</v>
      </c>
      <c r="DF61" s="83">
        <f>IF(RTD("tos.rtd",,DF$43,"."&amp;$A$43&amp;$AS$42&amp;"P"&amp;$A61)="N/A",0,RTD("tos.rtd",,DF$43,"."&amp;$A$43&amp;$AS$42&amp;"P"&amp;$A61))</f>
        <v>0.01</v>
      </c>
      <c r="DG61" s="86">
        <f t="shared" si="187"/>
        <v>-3.6299999999999955</v>
      </c>
      <c r="DH61" s="3">
        <f t="shared" si="152"/>
        <v>0</v>
      </c>
      <c r="DI61" s="3">
        <f t="shared" si="153"/>
        <v>0</v>
      </c>
      <c r="DJ61" s="3">
        <f t="shared" si="154"/>
        <v>0</v>
      </c>
      <c r="DK61" s="3">
        <f t="shared" si="155"/>
        <v>0</v>
      </c>
      <c r="DL61" s="3">
        <f t="shared" si="156"/>
        <v>0</v>
      </c>
      <c r="DM61" s="3">
        <f t="shared" si="157"/>
        <v>0</v>
      </c>
      <c r="DN61" s="64" t="str">
        <f t="shared" si="158"/>
        <v>UNKNOWN</v>
      </c>
      <c r="DO61" s="64" t="str">
        <f t="shared" si="159"/>
        <v>UNKNOWN</v>
      </c>
      <c r="DP61" s="83">
        <f t="shared" si="160"/>
        <v>0</v>
      </c>
      <c r="DQ61" s="83">
        <f t="shared" si="161"/>
        <v>0</v>
      </c>
      <c r="DR61" s="83">
        <f t="shared" ca="1" si="162"/>
        <v>0</v>
      </c>
      <c r="DS61" s="83">
        <f t="shared" si="163"/>
        <v>0</v>
      </c>
      <c r="DT61" s="83">
        <f t="shared" si="188"/>
        <v>0</v>
      </c>
      <c r="DU61" s="83">
        <f t="shared" si="189"/>
        <v>0</v>
      </c>
      <c r="DV61" s="83">
        <f t="shared" si="164"/>
        <v>-1475</v>
      </c>
      <c r="DW61" s="83">
        <f t="shared" si="165"/>
        <v>-16497</v>
      </c>
      <c r="DX61" s="83">
        <f t="shared" ca="1" si="228"/>
        <v>1.6648870235057248E-2</v>
      </c>
      <c r="DY61" s="83">
        <f t="shared" ca="1" si="229"/>
        <v>-6.2083197220992176E-2</v>
      </c>
      <c r="DZ61" s="83">
        <f t="shared" ca="1" si="230"/>
        <v>3.0967407238188655E-2</v>
      </c>
      <c r="EA61" s="83">
        <f t="shared" ca="1" si="231"/>
        <v>-3.0283817029223462E-2</v>
      </c>
      <c r="EB61" s="83">
        <f t="shared" ca="1" si="232"/>
        <v>3.3476967927139424E-2</v>
      </c>
      <c r="EC61" s="83">
        <f t="shared" ca="1" si="233"/>
        <v>-3.2815262336814567E-2</v>
      </c>
      <c r="ED61" s="63">
        <f t="shared" si="190"/>
        <v>-17972</v>
      </c>
      <c r="EE61" s="84">
        <f t="shared" si="166"/>
        <v>0.25</v>
      </c>
      <c r="EF61" s="84">
        <f t="shared" si="167"/>
        <v>0.46300000000000002</v>
      </c>
      <c r="EG61" s="84">
        <f t="shared" si="168"/>
        <v>0.21920000000000001</v>
      </c>
      <c r="EH61" s="84">
        <f t="shared" si="169"/>
        <v>0.22470000000000001</v>
      </c>
      <c r="EI61" s="84">
        <f t="shared" si="170"/>
        <v>0.20080000000000001</v>
      </c>
      <c r="EJ61" s="84">
        <f t="shared" si="171"/>
        <v>0.2054</v>
      </c>
      <c r="EK61" s="63">
        <f t="shared" ca="1" si="191"/>
        <v>269915274.87512589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46.30%</v>
      </c>
      <c r="EN61" s="83" t="str">
        <f>RTD("tos.rtd",,EN$2,"."&amp;$A$43&amp;$AU$1&amp;"C"&amp;$A61)</f>
        <v>21.92%</v>
      </c>
      <c r="EO61" s="83" t="str">
        <f>RTD("tos.rtd",,EO$2,"."&amp;$A$43&amp;$AU$1&amp;"P"&amp;$A61)</f>
        <v>22.47%</v>
      </c>
      <c r="EP61" s="83" t="str">
        <f>RTD("tos.rtd",,EP$2,"."&amp;$A$43&amp;$AW$1&amp;"C"&amp;$A61)</f>
        <v>20.08%</v>
      </c>
      <c r="EQ61" s="83" t="str">
        <f>RTD("tos.rtd",,EQ$2,"."&amp;$A$43&amp;$AW$1&amp;"P"&amp;$A61)</f>
        <v>20.54%</v>
      </c>
      <c r="ES61" s="63" t="str">
        <f t="shared" si="172"/>
        <v>516,-17972.00</v>
      </c>
      <c r="ET61" s="63" t="str">
        <f t="shared" ca="1" si="173"/>
        <v>516,-2104842.87</v>
      </c>
      <c r="EU61" s="67">
        <v>593.47</v>
      </c>
      <c r="EV61" s="67" t="s">
        <v>508</v>
      </c>
      <c r="EW61" s="67">
        <v>519.91</v>
      </c>
      <c r="EX61" s="67" t="s">
        <v>509</v>
      </c>
      <c r="EY61" s="67">
        <v>5945</v>
      </c>
      <c r="EZ61" s="67" t="s">
        <v>510</v>
      </c>
      <c r="FA61" s="67">
        <v>21340.5</v>
      </c>
      <c r="FB61" s="67" t="s">
        <v>511</v>
      </c>
      <c r="FC61" s="67" t="s">
        <v>512</v>
      </c>
      <c r="FD61" s="67" t="s">
        <v>513</v>
      </c>
      <c r="FE61" s="68" t="s">
        <v>514</v>
      </c>
      <c r="FF61" s="68" t="s">
        <v>515</v>
      </c>
    </row>
    <row r="62" spans="1:162" ht="13.5" thickBot="1" x14ac:dyDescent="0.25">
      <c r="A62" s="2">
        <f t="shared" si="192"/>
        <v>515</v>
      </c>
      <c r="B62" s="33">
        <f t="shared" si="142"/>
        <v>8164</v>
      </c>
      <c r="C62" s="33">
        <f t="shared" si="143"/>
        <v>15407</v>
      </c>
      <c r="D62" s="33">
        <f t="shared" si="144"/>
        <v>27156</v>
      </c>
      <c r="E62" s="33">
        <f t="shared" si="145"/>
        <v>50727</v>
      </c>
      <c r="F62" s="4">
        <f t="shared" si="196"/>
        <v>21229.887131227988</v>
      </c>
      <c r="AM62" s="1">
        <v>-262</v>
      </c>
      <c r="AN62" s="1">
        <v>-6148</v>
      </c>
      <c r="AO62" s="1">
        <v>515</v>
      </c>
      <c r="AP62" s="1">
        <v>2863</v>
      </c>
      <c r="AQ62" s="1">
        <v>-64950</v>
      </c>
      <c r="AS62" s="13">
        <f>IF(RTD("tos.rtd",,AS$43,"."&amp;$A$43&amp;$AS$42&amp;"C"&amp;$A62)="N/A",0,RTD("tos.rtd",,AS$43,"."&amp;$A$43&amp;$AS$42&amp;"C"&amp;$A62))</f>
        <v>1208</v>
      </c>
      <c r="AT62" s="29">
        <f>-IF(RTD("tos.rtd",,AT$43,"."&amp;$A$43&amp;$AS$42&amp;"P"&amp;$A62)="N/A",0,RTD("tos.rtd",,AT$43,"."&amp;$A$43&amp;$AS$42&amp;"P"&amp;$A62))</f>
        <v>-6956</v>
      </c>
      <c r="AU62" s="13">
        <f>IF(RTD("tos.rtd",,AU$2,"."&amp;$A$43&amp;$AU$1&amp;"C"&amp;$A62)="N/A",0,RTD("tos.rtd",,AU$2,"."&amp;$A$43&amp;$AU$1&amp;"C"&amp;$A62))</f>
        <v>7093</v>
      </c>
      <c r="AV62" s="29">
        <f>-IF(RTD("tos.rtd",,AV$2,"."&amp;$A$43&amp;$AU$1&amp;"P"&amp;$A62)="N/A",0,RTD("tos.rtd",,AV$2,"."&amp;$A$43&amp;$AU$1&amp;"P"&amp;$A62))</f>
        <v>-8314</v>
      </c>
      <c r="AW62" s="13">
        <f>IF(RTD("tos.rtd",,AW$2,"."&amp;$A$43&amp;$AW$1&amp;"C"&amp;$A62)="N/A",0,RTD("tos.rtd",,AW$2,"."&amp;$A$43&amp;$AW$1&amp;"C"&amp;$A62))</f>
        <v>11746</v>
      </c>
      <c r="AX62" s="29">
        <f>-IF(RTD("tos.rtd",,AX$2,"."&amp;$A$43&amp;$AW$1&amp;"P"&amp;$A62)="N/A",0,RTD("tos.rtd",,AX$2,"."&amp;$A$43&amp;$AW$1&amp;"P"&amp;$A62))</f>
        <v>-15410</v>
      </c>
      <c r="AY62" s="7">
        <f t="shared" si="174"/>
        <v>-10633</v>
      </c>
      <c r="AZ62" s="8">
        <f t="shared" si="146"/>
        <v>515</v>
      </c>
      <c r="BA62" s="13">
        <f>IF(RTD("tos.rtd",,BA$43,"."&amp;$A$43&amp;$AS$42&amp;"C"&amp;$A62)="N/A",0,RTD("tos.rtd",,BA$43,"."&amp;$A$43&amp;$AS$42&amp;"C"&amp;$A62))</f>
        <v>2863</v>
      </c>
      <c r="BB62" s="29">
        <f>-IF(RTD("tos.rtd",,BB$43,"."&amp;$A$43&amp;$AS$42&amp;"P"&amp;$A62)="N/A",0,RTD("tos.rtd",,BB$43,"."&amp;$A$43&amp;$AS$42&amp;"P"&amp;$A62))</f>
        <v>-64950</v>
      </c>
      <c r="BC62" s="13">
        <f>IF(RTD("tos.rtd",,BC$2,"."&amp;$A$43&amp;$AU$1&amp;"C"&amp;$A62)="N/A",0,RTD("tos.rtd",,BC$2,"."&amp;$A$43&amp;$AU$1&amp;"C"&amp;$A62))</f>
        <v>1636</v>
      </c>
      <c r="BD62" s="29">
        <f>-IF(RTD("tos.rtd",,BD$2,"."&amp;$A$43&amp;$AU$1&amp;"P"&amp;$A62)="N/A",0,RTD("tos.rtd",,BD$2,"."&amp;$A$43&amp;$AU$1&amp;"P"&amp;$A62))</f>
        <v>-12999</v>
      </c>
      <c r="BE62" s="13">
        <f>IF(RTD("tos.rtd",,BE$2,"."&amp;$A$43&amp;$AW$1&amp;"C"&amp;$A62)="N/A",0,RTD("tos.rtd",,BE$2,"."&amp;$A$43&amp;$AW$1&amp;"C"&amp;$A62))</f>
        <v>698</v>
      </c>
      <c r="BF62" s="29">
        <f>-IF(RTD("tos.rtd",,BF$2,"."&amp;$A$43&amp;$AW$1&amp;"P"&amp;$A62)="N/A",0,RTD("tos.rtd",,BF$2,"."&amp;$A$43&amp;$AW$1&amp;"P"&amp;$A62))</f>
        <v>-1946</v>
      </c>
      <c r="BG62" s="100">
        <f ca="1">+Hoja2!Y63</f>
        <v>-27981</v>
      </c>
      <c r="BH62" s="7">
        <f t="shared" ca="1" si="175"/>
        <v>-102679</v>
      </c>
      <c r="BI62" s="8" t="str">
        <f t="shared" ca="1" si="193"/>
        <v/>
      </c>
      <c r="BJ62" s="83">
        <f ca="1">IF($BP$1=1,DX62,IF(RTD("tos.rtd",,BJ$43,"."&amp;$A$43&amp;$AS$42&amp;"C"&amp;$A62)="N/A",0,RTD("tos.rtd",,BJ$43,"."&amp;$A$43&amp;$AS$42&amp;"C"&amp;$A62)))</f>
        <v>2.9879471308925233E-3</v>
      </c>
      <c r="BK62" s="83">
        <f ca="1">IF($BP$1=1,DY62,-IF(RTD("tos.rtd",,BK$43,"."&amp;$A$43&amp;$AS$42&amp;"P"&amp;$A62)="N/A",0,RTD("tos.rtd",,BK$43,"."&amp;$A$43&amp;$AS$42&amp;"P"&amp;$A62)))</f>
        <v>-4.0928568622717598E-2</v>
      </c>
      <c r="BL62" s="83">
        <f ca="1">IF($BP$1=1,DZ62,IF(RTD("tos.rtd",,BL$2,"."&amp;$A$43&amp;$AU$1&amp;"C"&amp;$A62)="N/A",0,RTD("tos.rtd",,BL$2,"."&amp;$A$43&amp;$AU$1&amp;"C"&amp;$A62)))</f>
        <v>3.1303222240911498E-2</v>
      </c>
      <c r="BM62" s="83">
        <f ca="1">IF($BP$1=1,EA62,-IF(RTD("tos.rtd",,BM$2,"."&amp;$A$43&amp;$AU$1&amp;"P"&amp;$A62)="N/A",0,RTD("tos.rtd",,BM$2,"."&amp;$A$43&amp;$AU$1&amp;"P"&amp;$A62)))</f>
        <v>-2.9090384650437204E-2</v>
      </c>
      <c r="BN62" s="83">
        <f ca="1">IF($BP$1=1,EB62,IF(RTD("tos.rtd",,BN$2,"."&amp;$A$43&amp;$AW$1&amp;"C"&amp;$A62)="N/A",0,RTD("tos.rtd",,BN$2,"."&amp;$A$43&amp;$AW$1&amp;"C"&amp;$A62)))</f>
        <v>3.2058333029121602E-2</v>
      </c>
      <c r="BO62" s="83">
        <f ca="1">IF($BP$1=1,EC62,-IF(RTD("tos.rtd",,BO$2,"."&amp;$A$43&amp;$AW$1&amp;"P"&amp;$A62)="N/A",0,RTD("tos.rtd",,BO$2,"."&amp;$A$43&amp;$AW$1&amp;"P"&amp;$A62)))</f>
        <v>-3.1501649377006412E-2</v>
      </c>
      <c r="BQ62" s="83">
        <f t="shared" ca="1" si="176"/>
        <v>-75898525.509848818</v>
      </c>
      <c r="BR62" s="3" t="str">
        <f t="shared" ca="1" si="177"/>
        <v/>
      </c>
      <c r="BS62" s="83">
        <f t="shared" ca="1" si="178"/>
        <v>-5352703.7439612597</v>
      </c>
      <c r="BT62" s="3" t="str">
        <f t="shared" ca="1" si="179"/>
        <v/>
      </c>
      <c r="BU62" s="83">
        <f t="shared" ca="1" si="180"/>
        <v>-29400143.959013432</v>
      </c>
      <c r="BV62" s="83"/>
      <c r="BX62" s="83">
        <f t="shared" ca="1" si="181"/>
        <v>-715474769.68403673</v>
      </c>
      <c r="BY62" s="83" t="str">
        <f t="shared" ca="1" si="194"/>
        <v/>
      </c>
      <c r="BZ62" s="83">
        <f t="shared" ca="1" si="182"/>
        <v>-88277150.542511001</v>
      </c>
      <c r="CA62" s="83" t="str">
        <f t="shared" ca="1" si="194"/>
        <v/>
      </c>
      <c r="CB62" s="83">
        <f t="shared" ca="1" si="183"/>
        <v>-10510480.169395622</v>
      </c>
      <c r="CC62" s="83" t="str">
        <f t="shared" ca="1" si="194"/>
        <v/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0.01</v>
      </c>
      <c r="CF62" s="83">
        <f>IF(RTD("tos.rtd",,CF$2,"."&amp;$A$43&amp;$AU$1&amp;"C"&amp;$A62)="N/A",0,RTD("tos.rtd",,CF$2,"."&amp;$A$43&amp;$AU$1&amp;"C"&amp;$A62))</f>
        <v>0.69</v>
      </c>
      <c r="CG62" s="83">
        <f>-IF(RTD("tos.rtd",,CG$2,"."&amp;$A$43&amp;$AU$1&amp;"P"&amp;$A62)="N/A",0,RTD("tos.rtd",,CG$2,"."&amp;$A$43&amp;$AU$1&amp;"P"&amp;$A62))</f>
        <v>0.32</v>
      </c>
      <c r="CH62" s="83">
        <f>IF(RTD("tos.rtd",,CH$2,"."&amp;$A$43&amp;$AW$1&amp;"C"&amp;$A62)="N/A",0,RTD("tos.rtd",,CH$2,"."&amp;$A$43&amp;$AW$1&amp;"C"&amp;$A62))</f>
        <v>0.59</v>
      </c>
      <c r="CI62" s="83">
        <f>-IF(RTD("tos.rtd",,CI$2,"."&amp;$A$43&amp;$AW$1&amp;"P"&amp;$A62)="N/A",0,RTD("tos.rtd",,CI$2,"."&amp;$A$43&amp;$AW$1&amp;"P"&amp;$A62))</f>
        <v>0.41</v>
      </c>
      <c r="CK62" s="83">
        <f t="shared" si="184"/>
        <v>624098493.72000003</v>
      </c>
      <c r="CL62" s="83"/>
      <c r="CM62" s="83">
        <f t="shared" si="185"/>
        <v>116069233.47</v>
      </c>
      <c r="CN62" s="83"/>
      <c r="CO62" s="83">
        <f t="shared" si="186"/>
        <v>31803434.519999981</v>
      </c>
      <c r="CP62" s="83">
        <f t="shared" si="137"/>
        <v>771971161.71000004</v>
      </c>
      <c r="CQ62" s="83">
        <f t="shared" si="147"/>
        <v>-62087</v>
      </c>
      <c r="CR62" s="83"/>
      <c r="CS62" s="83">
        <f t="shared" si="148"/>
        <v>-11363</v>
      </c>
      <c r="CT62" s="83"/>
      <c r="CU62" s="83">
        <f t="shared" si="149"/>
        <v>-1248</v>
      </c>
      <c r="CV62" s="83"/>
      <c r="CW62" s="83">
        <f t="shared" ca="1" si="150"/>
        <v>-110651373.21282351</v>
      </c>
      <c r="CY62" s="83">
        <f t="shared" ca="1" si="151"/>
        <v>-814262400.39594328</v>
      </c>
      <c r="CZ62" s="70" t="str">
        <f t="shared" ca="1" si="195"/>
        <v/>
      </c>
      <c r="DA62" s="83">
        <f>IF(RTD("tos.rtd",,DA$43,"."&amp;$A$43&amp;$AS$42&amp;"C"&amp;$A62)="N/A",0,RTD("tos.rtd",,DA$43,"."&amp;$A$43&amp;$AS$42&amp;"C"&amp;$A62))</f>
        <v>4.34</v>
      </c>
      <c r="DB62" s="83">
        <f>IF(RTD("tos.rtd",,DB$43,"."&amp;$A$43&amp;$AS$42&amp;"P"&amp;$A62)="N/A",0,RTD("tos.rtd",,DB$43,"."&amp;$A$43&amp;$AS$42&amp;"P"&amp;$A62))</f>
        <v>0.01</v>
      </c>
      <c r="DC62" s="83">
        <f>IF(RTD("tos.rtd",,DC$43,"."&amp;$A$43&amp;$AS$42&amp;"C"&amp;$A62)="N/A",0,RTD("tos.rtd",,DC$43,"."&amp;$A$43&amp;$AS$42&amp;"C"&amp;$A62))</f>
        <v>6.34</v>
      </c>
      <c r="DD62" s="83">
        <f>IF(RTD("tos.rtd",,DD$43,"."&amp;$A$43&amp;$AS$42&amp;"P"&amp;$A62)="N/A",0,RTD("tos.rtd",,DD$43,"."&amp;$A$43&amp;$AS$42&amp;"P"&amp;$A62))</f>
        <v>0.01</v>
      </c>
      <c r="DE62" s="83">
        <f>IF(RTD("tos.rtd",,DE$43,"."&amp;$A$43&amp;$AS$42&amp;"C"&amp;$A62)="N/A",0,RTD("tos.rtd",,DE$43,"."&amp;$A$43&amp;$AS$42&amp;"C"&amp;$A62))</f>
        <v>2.81</v>
      </c>
      <c r="DF62" s="83">
        <f>IF(RTD("tos.rtd",,DF$43,"."&amp;$A$43&amp;$AS$42&amp;"P"&amp;$A62)="N/A",0,RTD("tos.rtd",,DF$43,"."&amp;$A$43&amp;$AS$42&amp;"P"&amp;$A62))</f>
        <v>0</v>
      </c>
      <c r="DG62" s="86">
        <f t="shared" si="187"/>
        <v>-4.6299999999999955</v>
      </c>
      <c r="DH62" s="3">
        <f t="shared" si="152"/>
        <v>0</v>
      </c>
      <c r="DI62" s="3">
        <f t="shared" si="153"/>
        <v>0</v>
      </c>
      <c r="DJ62" s="3">
        <f t="shared" si="154"/>
        <v>0</v>
      </c>
      <c r="DK62" s="3">
        <f t="shared" si="155"/>
        <v>0</v>
      </c>
      <c r="DL62" s="3">
        <f t="shared" si="156"/>
        <v>0</v>
      </c>
      <c r="DM62" s="3">
        <f t="shared" si="157"/>
        <v>0</v>
      </c>
      <c r="DN62" s="64" t="str">
        <f t="shared" si="158"/>
        <v>UNKNOWN</v>
      </c>
      <c r="DO62" s="64" t="str">
        <f t="shared" si="159"/>
        <v>UNKNOWN</v>
      </c>
      <c r="DP62" s="83">
        <f t="shared" si="160"/>
        <v>0</v>
      </c>
      <c r="DQ62" s="83">
        <f t="shared" si="161"/>
        <v>0</v>
      </c>
      <c r="DR62" s="83">
        <f t="shared" ca="1" si="162"/>
        <v>0</v>
      </c>
      <c r="DS62" s="83">
        <f t="shared" si="163"/>
        <v>0</v>
      </c>
      <c r="DT62" s="83">
        <f t="shared" si="188"/>
        <v>0</v>
      </c>
      <c r="DU62" s="83">
        <f t="shared" si="189"/>
        <v>0</v>
      </c>
      <c r="DV62" s="83">
        <f t="shared" si="164"/>
        <v>-262</v>
      </c>
      <c r="DW62" s="83">
        <f t="shared" si="165"/>
        <v>-6148</v>
      </c>
      <c r="DX62" s="83">
        <f t="shared" ca="1" si="228"/>
        <v>2.9879471308925233E-3</v>
      </c>
      <c r="DY62" s="83">
        <f t="shared" ca="1" si="229"/>
        <v>-4.0928568622717598E-2</v>
      </c>
      <c r="DZ62" s="83">
        <f t="shared" ca="1" si="230"/>
        <v>3.1303222240911498E-2</v>
      </c>
      <c r="EA62" s="83">
        <f t="shared" ca="1" si="231"/>
        <v>-2.9090384650437204E-2</v>
      </c>
      <c r="EB62" s="83">
        <f t="shared" ca="1" si="232"/>
        <v>3.2058333029121602E-2</v>
      </c>
      <c r="EC62" s="83">
        <f t="shared" ca="1" si="233"/>
        <v>-3.1501649377006412E-2</v>
      </c>
      <c r="ED62" s="63">
        <f t="shared" si="190"/>
        <v>-6410</v>
      </c>
      <c r="EE62" s="84">
        <f t="shared" si="166"/>
        <v>0.25</v>
      </c>
      <c r="EF62" s="84">
        <f t="shared" si="167"/>
        <v>0.49099999999999999</v>
      </c>
      <c r="EG62" s="84">
        <f t="shared" si="168"/>
        <v>0.20849999999999999</v>
      </c>
      <c r="EH62" s="84">
        <f t="shared" si="169"/>
        <v>0.2276</v>
      </c>
      <c r="EI62" s="84">
        <f t="shared" si="170"/>
        <v>0.20250000000000001</v>
      </c>
      <c r="EJ62" s="84">
        <f t="shared" si="171"/>
        <v>0.2069</v>
      </c>
      <c r="EK62" s="63">
        <f t="shared" ca="1" si="191"/>
        <v>67732266.590909764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49.10%</v>
      </c>
      <c r="EN62" s="83" t="str">
        <f>RTD("tos.rtd",,EN$2,"."&amp;$A$43&amp;$AU$1&amp;"C"&amp;$A62)</f>
        <v>20.85%</v>
      </c>
      <c r="EO62" s="83" t="str">
        <f>RTD("tos.rtd",,EO$2,"."&amp;$A$43&amp;$AU$1&amp;"P"&amp;$A62)</f>
        <v>22.76%</v>
      </c>
      <c r="EP62" s="83" t="str">
        <f>RTD("tos.rtd",,EP$2,"."&amp;$A$43&amp;$AW$1&amp;"C"&amp;$A62)</f>
        <v>20.25%</v>
      </c>
      <c r="EQ62" s="83" t="str">
        <f>RTD("tos.rtd",,EQ$2,"."&amp;$A$43&amp;$AW$1&amp;"P"&amp;$A62)</f>
        <v>20.69%</v>
      </c>
      <c r="ES62" s="63" t="str">
        <f t="shared" si="172"/>
        <v>515,-6410.00</v>
      </c>
      <c r="ET62" s="63" t="str">
        <f t="shared" ca="1" si="173"/>
        <v>515,-814262.40</v>
      </c>
      <c r="EU62" s="67">
        <v>593.45000000000005</v>
      </c>
      <c r="EV62" s="67" t="s">
        <v>516</v>
      </c>
      <c r="EW62" s="67">
        <v>519.9</v>
      </c>
      <c r="EX62" s="67" t="s">
        <v>517</v>
      </c>
      <c r="EY62" s="67">
        <v>5944.75</v>
      </c>
      <c r="EZ62" s="67" t="s">
        <v>518</v>
      </c>
      <c r="FA62" s="67">
        <v>21340</v>
      </c>
      <c r="FB62" s="67" t="s">
        <v>519</v>
      </c>
      <c r="FC62" s="67" t="s">
        <v>520</v>
      </c>
      <c r="FD62" s="67" t="s">
        <v>521</v>
      </c>
      <c r="FE62" s="68" t="s">
        <v>522</v>
      </c>
      <c r="FF62" s="68" t="s">
        <v>523</v>
      </c>
    </row>
    <row r="63" spans="1:162" ht="13.5" thickBot="1" x14ac:dyDescent="0.25">
      <c r="A63" s="2">
        <f t="shared" si="192"/>
        <v>514</v>
      </c>
      <c r="B63" s="3">
        <f t="shared" si="142"/>
        <v>4153</v>
      </c>
      <c r="C63" s="3">
        <f t="shared" si="143"/>
        <v>6910</v>
      </c>
      <c r="D63" s="3">
        <f t="shared" si="144"/>
        <v>68</v>
      </c>
      <c r="E63" s="3">
        <f t="shared" si="145"/>
        <v>11131</v>
      </c>
      <c r="F63" s="4">
        <f>+$F$44/$A$44*A63</f>
        <v>21188.664049419778</v>
      </c>
      <c r="AM63" s="1">
        <v>103</v>
      </c>
      <c r="AN63" s="1">
        <v>-5111</v>
      </c>
      <c r="AO63" s="1">
        <v>514</v>
      </c>
      <c r="AP63" s="1">
        <v>1025</v>
      </c>
      <c r="AQ63" s="1">
        <v>-29929</v>
      </c>
      <c r="AS63" s="6">
        <f>IF(RTD("tos.rtd",,AS$43,"."&amp;$A$43&amp;$AS$42&amp;"C"&amp;$A63)="N/A",0,RTD("tos.rtd",,AS$43,"."&amp;$A$43&amp;$AS$42&amp;"C"&amp;$A63))</f>
        <v>1309</v>
      </c>
      <c r="AT63" s="7">
        <f>-IF(RTD("tos.rtd",,AT$43,"."&amp;$A$43&amp;$AS$42&amp;"P"&amp;$A63)="N/A",0,RTD("tos.rtd",,AT$43,"."&amp;$A$43&amp;$AS$42&amp;"P"&amp;$A63))</f>
        <v>-2844</v>
      </c>
      <c r="AU63" s="6">
        <f>IF(RTD("tos.rtd",,AU$2,"."&amp;$A$43&amp;$AU$1&amp;"C"&amp;$A63)="N/A",0,RTD("tos.rtd",,AU$2,"."&amp;$A$43&amp;$AU$1&amp;"C"&amp;$A63))</f>
        <v>302</v>
      </c>
      <c r="AV63" s="7">
        <f>-IF(RTD("tos.rtd",,AV$2,"."&amp;$A$43&amp;$AU$1&amp;"P"&amp;$A63)="N/A",0,RTD("tos.rtd",,AV$2,"."&amp;$A$43&amp;$AU$1&amp;"P"&amp;$A63))</f>
        <v>-6608</v>
      </c>
      <c r="AW63" s="6">
        <f>IF(RTD("tos.rtd",,AW$2,"."&amp;$A$43&amp;$AW$1&amp;"C"&amp;$A63)="N/A",0,RTD("tos.rtd",,AW$2,"."&amp;$A$43&amp;$AW$1&amp;"C"&amp;$A63))</f>
        <v>4</v>
      </c>
      <c r="AX63" s="7">
        <f>-IF(RTD("tos.rtd",,AX$2,"."&amp;$A$43&amp;$AW$1&amp;"P"&amp;$A63)="N/A",0,RTD("tos.rtd",,AX$2,"."&amp;$A$43&amp;$AW$1&amp;"P"&amp;$A63))</f>
        <v>-64</v>
      </c>
      <c r="AY63" s="7">
        <f t="shared" si="174"/>
        <v>-7901</v>
      </c>
      <c r="AZ63" s="8">
        <f t="shared" si="146"/>
        <v>514</v>
      </c>
      <c r="BA63" s="6">
        <f>IF(RTD("tos.rtd",,BA$43,"."&amp;$A$43&amp;$AS$42&amp;"C"&amp;$A63)="N/A",0,RTD("tos.rtd",,BA$43,"."&amp;$A$43&amp;$AS$42&amp;"C"&amp;$A63))</f>
        <v>1025</v>
      </c>
      <c r="BB63" s="7">
        <f>-IF(RTD("tos.rtd",,BB$43,"."&amp;$A$43&amp;$AS$42&amp;"P"&amp;$A63)="N/A",0,RTD("tos.rtd",,BB$43,"."&amp;$A$43&amp;$AS$42&amp;"P"&amp;$A63))</f>
        <v>-29929</v>
      </c>
      <c r="BC63" s="6">
        <f>IF(RTD("tos.rtd",,BC$2,"."&amp;$A$43&amp;$AU$1&amp;"C"&amp;$A63)="N/A",0,RTD("tos.rtd",,BC$2,"."&amp;$A$43&amp;$AU$1&amp;"C"&amp;$A63))</f>
        <v>185</v>
      </c>
      <c r="BD63" s="7">
        <f>-IF(RTD("tos.rtd",,BD$2,"."&amp;$A$43&amp;$AU$1&amp;"P"&amp;$A63)="N/A",0,RTD("tos.rtd",,BD$2,"."&amp;$A$43&amp;$AU$1&amp;"P"&amp;$A63))</f>
        <v>-3797</v>
      </c>
      <c r="BE63" s="6">
        <f>IF(RTD("tos.rtd",,BE$2,"."&amp;$A$43&amp;$AW$1&amp;"C"&amp;$A63)="N/A",0,RTD("tos.rtd",,BE$2,"."&amp;$A$43&amp;$AW$1&amp;"C"&amp;$A63))</f>
        <v>79</v>
      </c>
      <c r="BF63" s="7">
        <f>-IF(RTD("tos.rtd",,BF$2,"."&amp;$A$43&amp;$AW$1&amp;"P"&amp;$A63)="N/A",0,RTD("tos.rtd",,BF$2,"."&amp;$A$43&amp;$AW$1&amp;"P"&amp;$A63))</f>
        <v>-64</v>
      </c>
      <c r="BG63" s="32">
        <f ca="1">+Hoja2!Y64</f>
        <v>-12756</v>
      </c>
      <c r="BH63" s="7">
        <f t="shared" ca="1" si="175"/>
        <v>-45257</v>
      </c>
      <c r="BI63" s="8" t="str">
        <f t="shared" ca="1" si="193"/>
        <v/>
      </c>
      <c r="BJ63" s="83">
        <f ca="1">IF($BP$1=1,DX63,IF(RTD("tos.rtd",,BJ$43,"."&amp;$A$43&amp;$AS$42&amp;"C"&amp;$A63)="N/A",0,RTD("tos.rtd",,BJ$43,"."&amp;$A$43&amp;$AS$42&amp;"C"&amp;$A63)))</f>
        <v>4.2417832984107437E-2</v>
      </c>
      <c r="BK63" s="83">
        <f ca="1">IF($BP$1=1,DY63,-IF(RTD("tos.rtd",,BK$43,"."&amp;$A$43&amp;$AS$42&amp;"P"&amp;$A63)="N/A",0,RTD("tos.rtd",,BK$43,"."&amp;$A$43&amp;$AS$42&amp;"P"&amp;$A63)))</f>
        <v>-3.2558819663629945E-2</v>
      </c>
      <c r="BL63" s="83">
        <f ca="1">IF($BP$1=1,DZ63,IF(RTD("tos.rtd",,BL$2,"."&amp;$A$43&amp;$AU$1&amp;"C"&amp;$A63)="N/A",0,RTD("tos.rtd",,BL$2,"."&amp;$A$43&amp;$AU$1&amp;"C"&amp;$A63)))</f>
        <v>2.9785585230383604E-2</v>
      </c>
      <c r="BM63" s="83">
        <f ca="1">IF($BP$1=1,EA63,-IF(RTD("tos.rtd",,BM$2,"."&amp;$A$43&amp;$AU$1&amp;"P"&amp;$A63)="N/A",0,RTD("tos.rtd",,BM$2,"."&amp;$A$43&amp;$AU$1&amp;"P"&amp;$A63)))</f>
        <v>-2.7830542648099726E-2</v>
      </c>
      <c r="BN63" s="83">
        <f ca="1">IF($BP$1=1,EB63,IF(RTD("tos.rtd",,BN$2,"."&amp;$A$43&amp;$AW$1&amp;"C"&amp;$A63)="N/A",0,RTD("tos.rtd",,BN$2,"."&amp;$A$43&amp;$AW$1&amp;"C"&amp;$A63)))</f>
        <v>3.0547515959745249E-2</v>
      </c>
      <c r="BO63" s="83">
        <f ca="1">IF($BP$1=1,EC63,-IF(RTD("tos.rtd",,BO$2,"."&amp;$A$43&amp;$AW$1&amp;"P"&amp;$A63)="N/A",0,RTD("tos.rtd",,BO$2,"."&amp;$A$43&amp;$AW$1&amp;"P"&amp;$A63)))</f>
        <v>-3.0168576118832464E-2</v>
      </c>
      <c r="BQ63" s="83">
        <f t="shared" ca="1" si="176"/>
        <v>-10010100.30650254</v>
      </c>
      <c r="BR63" s="3" t="str">
        <f t="shared" ca="1" si="177"/>
        <v/>
      </c>
      <c r="BS63" s="83">
        <f t="shared" ca="1" si="178"/>
        <v>-47228106.912869364</v>
      </c>
      <c r="BT63" s="3" t="str">
        <f t="shared" ca="1" si="179"/>
        <v/>
      </c>
      <c r="BU63" s="83">
        <f t="shared" ca="1" si="180"/>
        <v>-488349.4163959549</v>
      </c>
      <c r="BV63" s="83"/>
      <c r="BX63" s="83">
        <f t="shared" ca="1" si="181"/>
        <v>-251377429.68897709</v>
      </c>
      <c r="BY63" s="83" t="str">
        <f t="shared" ca="1" si="194"/>
        <v/>
      </c>
      <c r="BZ63" s="83">
        <f t="shared" ca="1" si="182"/>
        <v>-27045340.213362906</v>
      </c>
      <c r="CA63" s="83" t="str">
        <f t="shared" ca="1" si="194"/>
        <v/>
      </c>
      <c r="CB63" s="83">
        <f t="shared" ca="1" si="183"/>
        <v>130272.91960370063</v>
      </c>
      <c r="CC63" s="83" t="str">
        <f t="shared" ca="1" si="194"/>
        <v>Cruce +</v>
      </c>
      <c r="CD63" s="83">
        <f>IF(RTD("tos.rtd",,CD$43,"."&amp;$A$43&amp;$AS$42&amp;"C"&amp;$A63)="N/A",0,RTD("tos.rtd",,CD$43,"."&amp;$A$43&amp;$AS$42&amp;"C"&amp;$A63))</f>
        <v>0.95</v>
      </c>
      <c r="CE63" s="83">
        <f>-IF(RTD("tos.rtd",,CE$43,"."&amp;$A$43&amp;$AS$42&amp;"P"&amp;$A63)="N/A",0,RTD("tos.rtd",,CE$43,"."&amp;$A$43&amp;$AS$42&amp;"P"&amp;$A63))</f>
        <v>0.01</v>
      </c>
      <c r="CF63" s="83">
        <f>IF(RTD("tos.rtd",,CF$2,"."&amp;$A$43&amp;$AU$1&amp;"C"&amp;$A63)="N/A",0,RTD("tos.rtd",,CF$2,"."&amp;$A$43&amp;$AU$1&amp;"C"&amp;$A63))</f>
        <v>0.72</v>
      </c>
      <c r="CG63" s="83">
        <f>-IF(RTD("tos.rtd",,CG$2,"."&amp;$A$43&amp;$AU$1&amp;"P"&amp;$A63)="N/A",0,RTD("tos.rtd",,CG$2,"."&amp;$A$43&amp;$AU$1&amp;"P"&amp;$A63))</f>
        <v>0.28999999999999998</v>
      </c>
      <c r="CH63" s="83">
        <f>IF(RTD("tos.rtd",,CH$2,"."&amp;$A$43&amp;$AW$1&amp;"C"&amp;$A63)="N/A",0,RTD("tos.rtd",,CH$2,"."&amp;$A$43&amp;$AW$1&amp;"C"&amp;$A63))</f>
        <v>0.61</v>
      </c>
      <c r="CI63" s="83">
        <f>-IF(RTD("tos.rtd",,CI$2,"."&amp;$A$43&amp;$AW$1&amp;"P"&amp;$A63)="N/A",0,RTD("tos.rtd",,CI$2,"."&amp;$A$43&amp;$AW$1&amp;"P"&amp;$A63))</f>
        <v>0.4</v>
      </c>
      <c r="CK63" s="83">
        <f t="shared" si="184"/>
        <v>644708058.77999997</v>
      </c>
      <c r="CL63" s="83"/>
      <c r="CM63" s="83">
        <f t="shared" si="185"/>
        <v>-88278901.439999998</v>
      </c>
      <c r="CN63" s="83"/>
      <c r="CO63" s="83">
        <f t="shared" si="186"/>
        <v>-1203463.08</v>
      </c>
      <c r="CP63" s="83">
        <f t="shared" si="137"/>
        <v>555225694.25999987</v>
      </c>
      <c r="CQ63" s="83">
        <f t="shared" si="147"/>
        <v>-28904</v>
      </c>
      <c r="CR63" s="83"/>
      <c r="CS63" s="83">
        <f t="shared" si="148"/>
        <v>-3612</v>
      </c>
      <c r="CT63" s="83"/>
      <c r="CU63" s="83">
        <f t="shared" si="149"/>
        <v>15</v>
      </c>
      <c r="CV63" s="83"/>
      <c r="CW63" s="83">
        <f t="shared" ca="1" si="150"/>
        <v>-57726556.635767855</v>
      </c>
      <c r="CY63" s="83">
        <f t="shared" ca="1" si="151"/>
        <v>-278292496.98273629</v>
      </c>
      <c r="CZ63" s="70" t="str">
        <f t="shared" ca="1" si="195"/>
        <v/>
      </c>
      <c r="DA63" s="83">
        <f>IF(RTD("tos.rtd",,DA$43,"."&amp;$A$43&amp;$AS$42&amp;"C"&amp;$A63)="N/A",0,RTD("tos.rtd",,DA$43,"."&amp;$A$43&amp;$AS$42&amp;"C"&amp;$A63))</f>
        <v>6.03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7.5</v>
      </c>
      <c r="DD63" s="83">
        <f>IF(RTD("tos.rtd",,DD$43,"."&amp;$A$43&amp;$AS$42&amp;"P"&amp;$A63)="N/A",0,RTD("tos.rtd",,DD$43,"."&amp;$A$43&amp;$AS$42&amp;"P"&amp;$A63))</f>
        <v>0.01</v>
      </c>
      <c r="DE63" s="83">
        <f>IF(RTD("tos.rtd",,DE$43,"."&amp;$A$43&amp;$AS$42&amp;"C"&amp;$A63)="N/A",0,RTD("tos.rtd",,DE$43,"."&amp;$A$43&amp;$AS$42&amp;"C"&amp;$A63))</f>
        <v>3.9</v>
      </c>
      <c r="DF63" s="83">
        <f>IF(RTD("tos.rtd",,DF$43,"."&amp;$A$43&amp;$AS$42&amp;"P"&amp;$A63)="N/A",0,RTD("tos.rtd",,DF$43,"."&amp;$A$43&amp;$AS$42&amp;"P"&amp;$A63))</f>
        <v>0</v>
      </c>
      <c r="DG63" s="86">
        <f t="shared" si="187"/>
        <v>-5.6299999999999955</v>
      </c>
      <c r="DH63" s="3">
        <f t="shared" si="152"/>
        <v>0</v>
      </c>
      <c r="DI63" s="3">
        <f t="shared" si="153"/>
        <v>0</v>
      </c>
      <c r="DJ63" s="3">
        <f t="shared" si="154"/>
        <v>0</v>
      </c>
      <c r="DK63" s="3">
        <f t="shared" si="155"/>
        <v>0</v>
      </c>
      <c r="DL63" s="3">
        <f t="shared" si="156"/>
        <v>0</v>
      </c>
      <c r="DM63" s="3">
        <f t="shared" si="157"/>
        <v>0</v>
      </c>
      <c r="DN63" s="64" t="str">
        <f t="shared" si="158"/>
        <v>UNKNOWN</v>
      </c>
      <c r="DO63" s="64" t="str">
        <f t="shared" si="159"/>
        <v>UNKNOWN</v>
      </c>
      <c r="DP63" s="83">
        <f t="shared" si="160"/>
        <v>0</v>
      </c>
      <c r="DQ63" s="83">
        <f t="shared" si="161"/>
        <v>0</v>
      </c>
      <c r="DR63" s="83">
        <f t="shared" ca="1" si="162"/>
        <v>0</v>
      </c>
      <c r="DS63" s="83">
        <f t="shared" si="163"/>
        <v>0</v>
      </c>
      <c r="DT63" s="83">
        <f t="shared" si="188"/>
        <v>0</v>
      </c>
      <c r="DU63" s="83">
        <f t="shared" si="189"/>
        <v>0</v>
      </c>
      <c r="DV63" s="83">
        <f t="shared" si="164"/>
        <v>103</v>
      </c>
      <c r="DW63" s="83">
        <f t="shared" si="165"/>
        <v>-5111</v>
      </c>
      <c r="DX63" s="83">
        <f t="shared" ca="1" si="228"/>
        <v>4.2417832984107437E-2</v>
      </c>
      <c r="DY63" s="83">
        <f t="shared" ca="1" si="229"/>
        <v>-3.2558819663629945E-2</v>
      </c>
      <c r="DZ63" s="83">
        <f t="shared" ca="1" si="230"/>
        <v>2.9785585230383604E-2</v>
      </c>
      <c r="EA63" s="83">
        <f t="shared" ca="1" si="231"/>
        <v>-2.7830542648099726E-2</v>
      </c>
      <c r="EB63" s="83">
        <f t="shared" ca="1" si="232"/>
        <v>3.0547515959745249E-2</v>
      </c>
      <c r="EC63" s="83">
        <f t="shared" ca="1" si="233"/>
        <v>-3.0168576118832464E-2</v>
      </c>
      <c r="ED63" s="63">
        <f t="shared" si="190"/>
        <v>-5008</v>
      </c>
      <c r="EE63" s="84">
        <f t="shared" si="166"/>
        <v>0.87119999999999997</v>
      </c>
      <c r="EF63" s="84">
        <f t="shared" si="167"/>
        <v>0.58389999999999997</v>
      </c>
      <c r="EG63" s="84">
        <f t="shared" si="168"/>
        <v>0.21079999999999999</v>
      </c>
      <c r="EH63" s="84">
        <f t="shared" si="169"/>
        <v>0.2303</v>
      </c>
      <c r="EI63" s="84">
        <f t="shared" si="170"/>
        <v>0.20369999999999999</v>
      </c>
      <c r="EJ63" s="84">
        <f t="shared" si="171"/>
        <v>0.2072</v>
      </c>
      <c r="EK63" s="63">
        <f t="shared" ca="1" si="191"/>
        <v>46112453.498795494</v>
      </c>
      <c r="EL63" s="83" t="str">
        <f>RTD("tos.rtd",,EL$43,"."&amp;$A$43&amp;$AS$42&amp;"C"&amp;$A63)</f>
        <v>87.12%</v>
      </c>
      <c r="EM63" s="83" t="str">
        <f>RTD("tos.rtd",,EM$43,"."&amp;$A$43&amp;$AS$42&amp;"P"&amp;$A63)</f>
        <v>58.39%</v>
      </c>
      <c r="EN63" s="83" t="str">
        <f>RTD("tos.rtd",,EN$2,"."&amp;$A$43&amp;$AU$1&amp;"C"&amp;$A63)</f>
        <v>21.08%</v>
      </c>
      <c r="EO63" s="83" t="str">
        <f>RTD("tos.rtd",,EO$2,"."&amp;$A$43&amp;$AU$1&amp;"P"&amp;$A63)</f>
        <v>23.03%</v>
      </c>
      <c r="EP63" s="83" t="str">
        <f>RTD("tos.rtd",,EP$2,"."&amp;$A$43&amp;$AW$1&amp;"C"&amp;$A63)</f>
        <v>20.37%</v>
      </c>
      <c r="EQ63" s="83" t="str">
        <f>RTD("tos.rtd",,EQ$2,"."&amp;$A$43&amp;$AW$1&amp;"P"&amp;$A63)</f>
        <v>20.72%</v>
      </c>
      <c r="ES63" s="63" t="str">
        <f t="shared" si="172"/>
        <v>514,-5008.00</v>
      </c>
      <c r="ET63" s="63" t="str">
        <f t="shared" ca="1" si="173"/>
        <v>514,-278292.50</v>
      </c>
      <c r="EU63" s="67">
        <v>593.48</v>
      </c>
      <c r="EV63" s="67" t="s">
        <v>524</v>
      </c>
      <c r="EW63" s="67">
        <v>519.92999999999995</v>
      </c>
      <c r="EX63" s="67" t="s">
        <v>525</v>
      </c>
      <c r="EY63" s="67">
        <v>5944.75</v>
      </c>
      <c r="EZ63" s="67" t="s">
        <v>526</v>
      </c>
      <c r="FA63" s="67">
        <v>21340.75</v>
      </c>
      <c r="FB63" s="67" t="s">
        <v>527</v>
      </c>
      <c r="FC63" s="67" t="s">
        <v>528</v>
      </c>
      <c r="FD63" s="67" t="s">
        <v>529</v>
      </c>
      <c r="FE63" s="68" t="s">
        <v>530</v>
      </c>
      <c r="FF63" s="68" t="s">
        <v>531</v>
      </c>
    </row>
    <row r="64" spans="1:162" ht="13.5" thickBot="1" x14ac:dyDescent="0.25">
      <c r="A64" s="2">
        <f t="shared" si="192"/>
        <v>513</v>
      </c>
      <c r="B64" s="3">
        <f t="shared" si="142"/>
        <v>2454</v>
      </c>
      <c r="C64" s="3">
        <f t="shared" si="143"/>
        <v>1499</v>
      </c>
      <c r="D64" s="3">
        <f t="shared" si="144"/>
        <v>68</v>
      </c>
      <c r="E64" s="3">
        <f t="shared" si="145"/>
        <v>4021</v>
      </c>
      <c r="F64" s="34">
        <f t="shared" si="196"/>
        <v>21147.440967611568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1236</v>
      </c>
      <c r="AN64" s="12">
        <v>-2676</v>
      </c>
      <c r="AO64" s="12">
        <v>513</v>
      </c>
      <c r="AP64" s="12">
        <v>2041</v>
      </c>
      <c r="AQ64" s="12">
        <v>-19517</v>
      </c>
      <c r="AR64" s="12"/>
      <c r="AS64" s="6">
        <f>IF(RTD("tos.rtd",,AS$43,"."&amp;$A$43&amp;$AS$42&amp;"C"&amp;$A64)="N/A",0,RTD("tos.rtd",,AS$43,"."&amp;$A$43&amp;$AS$42&amp;"C"&amp;$A64))</f>
        <v>364</v>
      </c>
      <c r="AT64" s="7">
        <f>-IF(RTD("tos.rtd",,AT$43,"."&amp;$A$43&amp;$AS$42&amp;"P"&amp;$A64)="N/A",0,RTD("tos.rtd",,AT$43,"."&amp;$A$43&amp;$AS$42&amp;"P"&amp;$A64))</f>
        <v>-2090</v>
      </c>
      <c r="AU64" s="6">
        <f>IF(RTD("tos.rtd",,AU$2,"."&amp;$A$43&amp;$AU$1&amp;"C"&amp;$A64)="N/A",0,RTD("tos.rtd",,AU$2,"."&amp;$A$43&amp;$AU$1&amp;"C"&amp;$A64))</f>
        <v>340</v>
      </c>
      <c r="AV64" s="7">
        <f>-IF(RTD("tos.rtd",,AV$2,"."&amp;$A$43&amp;$AU$1&amp;"P"&amp;$A64)="N/A",0,RTD("tos.rtd",,AV$2,"."&amp;$A$43&amp;$AU$1&amp;"P"&amp;$A64))</f>
        <v>-1159</v>
      </c>
      <c r="AW64" s="6">
        <f>IF(RTD("tos.rtd",,AW$2,"."&amp;$A$43&amp;$AW$1&amp;"C"&amp;$A64)="N/A",0,RTD("tos.rtd",,AW$2,"."&amp;$A$43&amp;$AW$1&amp;"C"&amp;$A64))</f>
        <v>32</v>
      </c>
      <c r="AX64" s="7">
        <f>-IF(RTD("tos.rtd",,AX$2,"."&amp;$A$43&amp;$AW$1&amp;"P"&amp;$A64)="N/A",0,RTD("tos.rtd",,AX$2,"."&amp;$A$43&amp;$AW$1&amp;"P"&amp;$A64))</f>
        <v>-36</v>
      </c>
      <c r="AY64" s="7">
        <f t="shared" si="174"/>
        <v>-2549</v>
      </c>
      <c r="AZ64" s="8">
        <f t="shared" si="146"/>
        <v>513</v>
      </c>
      <c r="BA64" s="6">
        <f>IF(RTD("tos.rtd",,BA$43,"."&amp;$A$43&amp;$AS$42&amp;"C"&amp;$A64)="N/A",0,RTD("tos.rtd",,BA$43,"."&amp;$A$43&amp;$AS$42&amp;"C"&amp;$A64))</f>
        <v>2041</v>
      </c>
      <c r="BB64" s="7">
        <f>-IF(RTD("tos.rtd",,BB$43,"."&amp;$A$43&amp;$AS$42&amp;"P"&amp;$A64)="N/A",0,RTD("tos.rtd",,BB$43,"."&amp;$A$43&amp;$AS$42&amp;"P"&amp;$A64))</f>
        <v>-19517</v>
      </c>
      <c r="BC64" s="6">
        <f>IF(RTD("tos.rtd",,BC$2,"."&amp;$A$43&amp;$AU$1&amp;"C"&amp;$A64)="N/A",0,RTD("tos.rtd",,BC$2,"."&amp;$A$43&amp;$AU$1&amp;"C"&amp;$A64))</f>
        <v>147</v>
      </c>
      <c r="BD64" s="7">
        <f>-IF(RTD("tos.rtd",,BD$2,"."&amp;$A$43&amp;$AU$1&amp;"P"&amp;$A64)="N/A",0,RTD("tos.rtd",,BD$2,"."&amp;$A$43&amp;$AU$1&amp;"P"&amp;$A64))</f>
        <v>-2646</v>
      </c>
      <c r="BE64" s="6">
        <f>IF(RTD("tos.rtd",,BE$2,"."&amp;$A$43&amp;$AW$1&amp;"C"&amp;$A64)="N/A",0,RTD("tos.rtd",,BE$2,"."&amp;$A$43&amp;$AW$1&amp;"C"&amp;$A64))</f>
        <v>29</v>
      </c>
      <c r="BF64" s="7">
        <f>-IF(RTD("tos.rtd",,BF$2,"."&amp;$A$43&amp;$AW$1&amp;"P"&amp;$A64)="N/A",0,RTD("tos.rtd",,BF$2,"."&amp;$A$43&amp;$AW$1&amp;"P"&amp;$A64))</f>
        <v>-418</v>
      </c>
      <c r="BG64" s="32">
        <f ca="1">+Hoja2!Y65</f>
        <v>-13303</v>
      </c>
      <c r="BH64" s="7">
        <f t="shared" ca="1" si="175"/>
        <v>-33667</v>
      </c>
      <c r="BI64" s="8" t="str">
        <f t="shared" ca="1" si="193"/>
        <v/>
      </c>
      <c r="BJ64" s="83">
        <f ca="1">IF($BP$1=1,DX64,IF(RTD("tos.rtd",,BJ$43,"."&amp;$A$43&amp;$AS$42&amp;"C"&amp;$A64)="N/A",0,RTD("tos.rtd",,BJ$43,"."&amp;$A$43&amp;$AS$42&amp;"C"&amp;$A64)))</f>
        <v>3.3644335582535913E-2</v>
      </c>
      <c r="BK64" s="83">
        <f ca="1">IF($BP$1=1,DY64,-IF(RTD("tos.rtd",,BK$43,"."&amp;$A$43&amp;$AS$42&amp;"P"&amp;$A64)="N/A",0,RTD("tos.rtd",,BK$43,"."&amp;$A$43&amp;$AS$42&amp;"P"&amp;$A64)))</f>
        <v>-2.6855329655487471E-2</v>
      </c>
      <c r="BL64" s="83">
        <f ca="1">IF($BP$1=1,DZ64,IF(RTD("tos.rtd",,BL$2,"."&amp;$A$43&amp;$AU$1&amp;"C"&amp;$A64)="N/A",0,RTD("tos.rtd",,BL$2,"."&amp;$A$43&amp;$AU$1&amp;"C"&amp;$A64)))</f>
        <v>2.6229913010839441E-2</v>
      </c>
      <c r="BM64" s="83">
        <f ca="1">IF($BP$1=1,EA64,-IF(RTD("tos.rtd",,BM$2,"."&amp;$A$43&amp;$AU$1&amp;"P"&amp;$A64)="N/A",0,RTD("tos.rtd",,BM$2,"."&amp;$A$43&amp;$AU$1&amp;"P"&amp;$A64)))</f>
        <v>-2.6545291854898539E-2</v>
      </c>
      <c r="BN64" s="83">
        <f ca="1">IF($BP$1=1,EB64,IF(RTD("tos.rtd",,BN$2,"."&amp;$A$43&amp;$AW$1&amp;"C"&amp;$A64)="N/A",0,RTD("tos.rtd",,BN$2,"."&amp;$A$43&amp;$AW$1&amp;"C"&amp;$A64)))</f>
        <v>2.8897488559519326E-2</v>
      </c>
      <c r="BO64" s="83">
        <f ca="1">IF($BP$1=1,EC64,-IF(RTD("tos.rtd",,BO$2,"."&amp;$A$43&amp;$AW$1&amp;"P"&amp;$A64)="N/A",0,RTD("tos.rtd",,BO$2,"."&amp;$A$43&amp;$AW$1&amp;"P"&amp;$A64)))</f>
        <v>-2.7647999751224575E-2</v>
      </c>
      <c r="BQ64" s="83">
        <f t="shared" ca="1" si="176"/>
        <v>-11848570.223595235</v>
      </c>
      <c r="BR64" s="3" t="str">
        <f t="shared" ca="1" si="177"/>
        <v/>
      </c>
      <c r="BS64" s="83">
        <f t="shared" ca="1" si="178"/>
        <v>-5899247.2436323939</v>
      </c>
      <c r="BT64" s="3" t="str">
        <f t="shared" ca="1" si="179"/>
        <v/>
      </c>
      <c r="BU64" s="83">
        <f t="shared" ca="1" si="180"/>
        <v>-19065.339340968494</v>
      </c>
      <c r="BV64" s="83"/>
      <c r="BX64" s="83">
        <f t="shared" ca="1" si="181"/>
        <v>-122983178.04745188</v>
      </c>
      <c r="BY64" s="83" t="str">
        <f t="shared" ca="1" si="194"/>
        <v/>
      </c>
      <c r="BZ64" s="83">
        <f t="shared" ca="1" si="182"/>
        <v>-17924440.269699801</v>
      </c>
      <c r="CA64" s="83" t="str">
        <f t="shared" ca="1" si="194"/>
        <v/>
      </c>
      <c r="CB64" s="83">
        <f t="shared" ca="1" si="183"/>
        <v>-2894250.3102291794</v>
      </c>
      <c r="CC64" s="83" t="str">
        <f t="shared" ca="1" si="194"/>
        <v>Cruce -</v>
      </c>
      <c r="CD64" s="83">
        <f>IF(RTD("tos.rtd",,CD$43,"."&amp;$A$43&amp;$AS$42&amp;"C"&amp;$A64)="N/A",0,RTD("tos.rtd",,CD$43,"."&amp;$A$43&amp;$AS$42&amp;"C"&amp;$A64))</f>
        <v>0.89</v>
      </c>
      <c r="CE64" s="83">
        <f>-IF(RTD("tos.rtd",,CE$43,"."&amp;$A$43&amp;$AS$42&amp;"P"&amp;$A64)="N/A",0,RTD("tos.rtd",,CE$43,"."&amp;$A$43&amp;$AS$42&amp;"P"&amp;$A64))</f>
        <v>0.01</v>
      </c>
      <c r="CF64" s="83">
        <f>IF(RTD("tos.rtd",,CF$2,"."&amp;$A$43&amp;$AU$1&amp;"C"&amp;$A64)="N/A",0,RTD("tos.rtd",,CF$2,"."&amp;$A$43&amp;$AU$1&amp;"C"&amp;$A64))</f>
        <v>0.73</v>
      </c>
      <c r="CG64" s="83">
        <f>-IF(RTD("tos.rtd",,CG$2,"."&amp;$A$43&amp;$AU$1&amp;"P"&amp;$A64)="N/A",0,RTD("tos.rtd",,CG$2,"."&amp;$A$43&amp;$AU$1&amp;"P"&amp;$A64))</f>
        <v>0.26</v>
      </c>
      <c r="CH64" s="83">
        <f>IF(RTD("tos.rtd",,CH$2,"."&amp;$A$43&amp;$AW$1&amp;"C"&amp;$A64)="N/A",0,RTD("tos.rtd",,CH$2,"."&amp;$A$43&amp;$AW$1&amp;"C"&amp;$A64))</f>
        <v>0.62</v>
      </c>
      <c r="CI64" s="83">
        <f>-IF(RTD("tos.rtd",,CI$2,"."&amp;$A$43&amp;$AW$1&amp;"P"&amp;$A64)="N/A",0,RTD("tos.rtd",,CI$2,"."&amp;$A$43&amp;$AW$1&amp;"P"&amp;$A64))</f>
        <v>0.39</v>
      </c>
      <c r="CK64" s="83">
        <f t="shared" si="184"/>
        <v>167253308.10000002</v>
      </c>
      <c r="CL64" s="83"/>
      <c r="CM64" s="83">
        <f t="shared" si="185"/>
        <v>-2761313.8200000022</v>
      </c>
      <c r="CN64" s="83"/>
      <c r="CO64" s="83">
        <f t="shared" si="186"/>
        <v>301385.40000000002</v>
      </c>
      <c r="CP64" s="83">
        <f t="shared" si="137"/>
        <v>164793379.68000004</v>
      </c>
      <c r="CQ64" s="83">
        <f t="shared" si="147"/>
        <v>-17476</v>
      </c>
      <c r="CR64" s="83"/>
      <c r="CS64" s="83">
        <f t="shared" si="148"/>
        <v>-2499</v>
      </c>
      <c r="CT64" s="83"/>
      <c r="CU64" s="83">
        <f t="shared" si="149"/>
        <v>-389</v>
      </c>
      <c r="CV64" s="83"/>
      <c r="CW64" s="83">
        <f t="shared" ca="1" si="150"/>
        <v>-17766882.8065686</v>
      </c>
      <c r="CY64" s="83">
        <f t="shared" ca="1" si="151"/>
        <v>-143801868.62738088</v>
      </c>
      <c r="CZ64" s="70" t="str">
        <f t="shared" ca="1" si="195"/>
        <v/>
      </c>
      <c r="DA64" s="83">
        <f>IF(RTD("tos.rtd",,DA$43,"."&amp;$A$43&amp;$AS$42&amp;"C"&amp;$A64)="N/A",0,RTD("tos.rtd",,DA$43,"."&amp;$A$43&amp;$AS$42&amp;"C"&amp;$A64))</f>
        <v>6.69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8.5</v>
      </c>
      <c r="DD64" s="83">
        <f>IF(RTD("tos.rtd",,DD$43,"."&amp;$A$43&amp;$AS$42&amp;"P"&amp;$A64)="N/A",0,RTD("tos.rtd",,DD$43,"."&amp;$A$43&amp;$AS$42&amp;"P"&amp;$A64))</f>
        <v>0.01</v>
      </c>
      <c r="DE64" s="83">
        <f>IF(RTD("tos.rtd",,DE$43,"."&amp;$A$43&amp;$AS$42&amp;"C"&amp;$A64)="N/A",0,RTD("tos.rtd",,DE$43,"."&amp;$A$43&amp;$AS$42&amp;"C"&amp;$A64))</f>
        <v>5.39</v>
      </c>
      <c r="DF64" s="83">
        <f>IF(RTD("tos.rtd",,DF$43,"."&amp;$A$43&amp;$AS$42&amp;"P"&amp;$A64)="N/A",0,RTD("tos.rtd",,DF$43,"."&amp;$A$43&amp;$AS$42&amp;"P"&amp;$A64))</f>
        <v>0</v>
      </c>
      <c r="DG64" s="86">
        <f t="shared" si="187"/>
        <v>-6.6299999999999955</v>
      </c>
      <c r="DH64" s="3">
        <f t="shared" si="152"/>
        <v>0</v>
      </c>
      <c r="DI64" s="3">
        <f t="shared" si="153"/>
        <v>0</v>
      </c>
      <c r="DJ64" s="3">
        <f t="shared" si="154"/>
        <v>0</v>
      </c>
      <c r="DK64" s="3">
        <f t="shared" si="155"/>
        <v>0</v>
      </c>
      <c r="DL64" s="3">
        <f t="shared" si="156"/>
        <v>0</v>
      </c>
      <c r="DM64" s="3">
        <f t="shared" si="157"/>
        <v>0</v>
      </c>
      <c r="DN64" s="64" t="str">
        <f t="shared" si="158"/>
        <v>UNKNOWN</v>
      </c>
      <c r="DO64" s="64" t="str">
        <f t="shared" si="159"/>
        <v>UNKNOWN</v>
      </c>
      <c r="DP64" s="83">
        <f t="shared" si="160"/>
        <v>0</v>
      </c>
      <c r="DQ64" s="83">
        <f t="shared" si="161"/>
        <v>0</v>
      </c>
      <c r="DR64" s="83">
        <f t="shared" ca="1" si="162"/>
        <v>0</v>
      </c>
      <c r="DS64" s="83">
        <f t="shared" si="163"/>
        <v>0</v>
      </c>
      <c r="DT64" s="83">
        <f t="shared" si="188"/>
        <v>0</v>
      </c>
      <c r="DU64" s="83">
        <f t="shared" si="189"/>
        <v>0</v>
      </c>
      <c r="DV64" s="83">
        <f t="shared" si="164"/>
        <v>1236</v>
      </c>
      <c r="DW64" s="83">
        <f t="shared" si="165"/>
        <v>-2676</v>
      </c>
      <c r="DX64" s="83">
        <f t="shared" ca="1" si="228"/>
        <v>3.3644335582535913E-2</v>
      </c>
      <c r="DY64" s="83">
        <f t="shared" ca="1" si="229"/>
        <v>-2.6855329655487471E-2</v>
      </c>
      <c r="DZ64" s="83">
        <f t="shared" ca="1" si="230"/>
        <v>2.6229913010839441E-2</v>
      </c>
      <c r="EA64" s="83">
        <f t="shared" ca="1" si="231"/>
        <v>-2.6545291854898539E-2</v>
      </c>
      <c r="EB64" s="83">
        <f t="shared" ca="1" si="232"/>
        <v>2.8897488559519326E-2</v>
      </c>
      <c r="EC64" s="83">
        <f t="shared" ca="1" si="233"/>
        <v>-2.7647999751224575E-2</v>
      </c>
      <c r="ED64" s="63">
        <f t="shared" si="190"/>
        <v>-1440</v>
      </c>
      <c r="EE64" s="84">
        <f t="shared" si="166"/>
        <v>1.4226000000000001</v>
      </c>
      <c r="EF64" s="84">
        <f t="shared" si="167"/>
        <v>0.67549999999999999</v>
      </c>
      <c r="EG64" s="84">
        <f t="shared" si="168"/>
        <v>0.2364</v>
      </c>
      <c r="EH64" s="84">
        <f t="shared" si="169"/>
        <v>0.23250000000000001</v>
      </c>
      <c r="EI64" s="84">
        <f t="shared" si="170"/>
        <v>0.20499999999999999</v>
      </c>
      <c r="EJ64" s="84">
        <f t="shared" si="171"/>
        <v>0.21929999999999999</v>
      </c>
      <c r="EK64" s="63">
        <f t="shared" ca="1" si="191"/>
        <v>30633040.413256772</v>
      </c>
      <c r="EL64" s="83" t="str">
        <f>RTD("tos.rtd",,EL$43,"."&amp;$A$43&amp;$AS$42&amp;"C"&amp;$A64)</f>
        <v>142.26%</v>
      </c>
      <c r="EM64" s="83" t="str">
        <f>RTD("tos.rtd",,EM$43,"."&amp;$A$43&amp;$AS$42&amp;"P"&amp;$A64)</f>
        <v>67.55%</v>
      </c>
      <c r="EN64" s="83" t="str">
        <f>RTD("tos.rtd",,EN$2,"."&amp;$A$43&amp;$AU$1&amp;"C"&amp;$A64)</f>
        <v>23.64%</v>
      </c>
      <c r="EO64" s="83" t="str">
        <f>RTD("tos.rtd",,EO$2,"."&amp;$A$43&amp;$AU$1&amp;"P"&amp;$A64)</f>
        <v>23.25%</v>
      </c>
      <c r="EP64" s="83" t="str">
        <f>RTD("tos.rtd",,EP$2,"."&amp;$A$43&amp;$AW$1&amp;"C"&amp;$A64)</f>
        <v>20.50%</v>
      </c>
      <c r="EQ64" s="83" t="str">
        <f>RTD("tos.rtd",,EQ$2,"."&amp;$A$43&amp;$AW$1&amp;"P"&amp;$A64)</f>
        <v>21.93%</v>
      </c>
      <c r="ES64" s="63" t="str">
        <f t="shared" si="172"/>
        <v>513,-1440.00</v>
      </c>
      <c r="ET64" s="63" t="str">
        <f t="shared" ca="1" si="173"/>
        <v>513,-143801.87</v>
      </c>
      <c r="EU64" s="67">
        <v>593.48</v>
      </c>
      <c r="EV64" s="67" t="s">
        <v>532</v>
      </c>
      <c r="EW64" s="67">
        <v>519.96</v>
      </c>
      <c r="EX64" s="67" t="s">
        <v>533</v>
      </c>
      <c r="EY64" s="67">
        <v>5945</v>
      </c>
      <c r="EZ64" s="67" t="s">
        <v>534</v>
      </c>
      <c r="FA64" s="67">
        <v>21341.75</v>
      </c>
      <c r="FB64" s="67" t="s">
        <v>535</v>
      </c>
      <c r="FC64" s="67" t="s">
        <v>536</v>
      </c>
      <c r="FD64" s="67" t="s">
        <v>537</v>
      </c>
      <c r="FE64" s="68" t="s">
        <v>538</v>
      </c>
      <c r="FF64" s="68" t="s">
        <v>539</v>
      </c>
    </row>
    <row r="65" spans="1:162" ht="13.5" thickBot="1" x14ac:dyDescent="0.25">
      <c r="A65" s="2">
        <f t="shared" si="192"/>
        <v>512</v>
      </c>
      <c r="B65" s="3">
        <f>+IF($A$1="ABS",AS65-AT65,AS65+AT65)</f>
        <v>2627</v>
      </c>
      <c r="C65" s="3">
        <f t="shared" si="143"/>
        <v>1810</v>
      </c>
      <c r="D65" s="3">
        <f>+IF($A$1="ABS",AW65-AX65,AW65+AX65)</f>
        <v>118</v>
      </c>
      <c r="E65" s="3">
        <f>SUM(B65:D65)</f>
        <v>4555</v>
      </c>
      <c r="F65" s="4">
        <f>+$F$44/$A$44*A65</f>
        <v>21106.217885803359</v>
      </c>
      <c r="AM65" s="1">
        <v>197</v>
      </c>
      <c r="AN65" s="1">
        <v>2779</v>
      </c>
      <c r="AO65" s="1">
        <v>512</v>
      </c>
      <c r="AP65" s="1">
        <v>690</v>
      </c>
      <c r="AQ65" s="1">
        <v>-14349</v>
      </c>
      <c r="AS65" s="6">
        <f>IF(RTD("tos.rtd",,AS$43,"."&amp;$A$43&amp;$AS$42&amp;"C"&amp;$A65)="N/A",0,RTD("tos.rtd",,AS$43,"."&amp;$A$43&amp;$AS$42&amp;"C"&amp;$A65))</f>
        <v>553</v>
      </c>
      <c r="AT65" s="7">
        <f>-IF(RTD("tos.rtd",,AT$43,"."&amp;$A$43&amp;$AS$42&amp;"P"&amp;$A65)="N/A",0,RTD("tos.rtd",,AT$43,"."&amp;$A$43&amp;$AS$42&amp;"P"&amp;$A65))</f>
        <v>-2074</v>
      </c>
      <c r="AU65" s="6">
        <f>IF(RTD("tos.rtd",,AU$2,"."&amp;$A$43&amp;$AU$1&amp;"C"&amp;$A65)="N/A",0,RTD("tos.rtd",,AU$2,"."&amp;$A$43&amp;$AU$1&amp;"C"&amp;$A65))</f>
        <v>191</v>
      </c>
      <c r="AV65" s="7">
        <f>-IF(RTD("tos.rtd",,AV$2,"."&amp;$A$43&amp;$AU$1&amp;"P"&amp;$A65)="N/A",0,RTD("tos.rtd",,AV$2,"."&amp;$A$43&amp;$AU$1&amp;"P"&amp;$A65))</f>
        <v>-1619</v>
      </c>
      <c r="AW65" s="6">
        <f>IF(RTD("tos.rtd",,AW$2,"."&amp;$A$43&amp;$AW$1&amp;"C"&amp;$A65)="N/A",0,RTD("tos.rtd",,AW$2,"."&amp;$A$43&amp;$AW$1&amp;"C"&amp;$A65))</f>
        <v>21</v>
      </c>
      <c r="AX65" s="7">
        <f>-IF(RTD("tos.rtd",,AX$2,"."&amp;$A$43&amp;$AW$1&amp;"P"&amp;$A65)="N/A",0,RTD("tos.rtd",,AX$2,"."&amp;$A$43&amp;$AW$1&amp;"P"&amp;$A65))</f>
        <v>-97</v>
      </c>
      <c r="AY65" s="7">
        <f>SUM(AS65:AX65)</f>
        <v>-3025</v>
      </c>
      <c r="AZ65" s="8">
        <f t="shared" si="146"/>
        <v>512</v>
      </c>
      <c r="BA65" s="6">
        <f>IF(RTD("tos.rtd",,BA$43,"."&amp;$A$43&amp;$AS$42&amp;"C"&amp;$A65)="N/A",0,RTD("tos.rtd",,BA$43,"."&amp;$A$43&amp;$AS$42&amp;"C"&amp;$A65))</f>
        <v>690</v>
      </c>
      <c r="BB65" s="7">
        <f>-IF(RTD("tos.rtd",,BB$43,"."&amp;$A$43&amp;$AS$42&amp;"P"&amp;$A65)="N/A",0,RTD("tos.rtd",,BB$43,"."&amp;$A$43&amp;$AS$42&amp;"P"&amp;$A65))</f>
        <v>-14349</v>
      </c>
      <c r="BC65" s="6">
        <f>IF(RTD("tos.rtd",,BC$2,"."&amp;$A$43&amp;$AU$1&amp;"C"&amp;$A65)="N/A",0,RTD("tos.rtd",,BC$2,"."&amp;$A$43&amp;$AU$1&amp;"C"&amp;$A65))</f>
        <v>211</v>
      </c>
      <c r="BD65" s="7">
        <f>-IF(RTD("tos.rtd",,BD$2,"."&amp;$A$43&amp;$AU$1&amp;"P"&amp;$A65)="N/A",0,RTD("tos.rtd",,BD$2,"."&amp;$A$43&amp;$AU$1&amp;"P"&amp;$A65))</f>
        <v>-6560</v>
      </c>
      <c r="BE65" s="6">
        <f>IF(RTD("tos.rtd",,BE$2,"."&amp;$A$43&amp;$AW$1&amp;"C"&amp;$A65)="N/A",0,RTD("tos.rtd",,BE$2,"."&amp;$A$43&amp;$AW$1&amp;"C"&amp;$A65))</f>
        <v>2</v>
      </c>
      <c r="BF65" s="7">
        <f>-IF(RTD("tos.rtd",,BF$2,"."&amp;$A$43&amp;$AW$1&amp;"P"&amp;$A65)="N/A",0,RTD("tos.rtd",,BF$2,"."&amp;$A$43&amp;$AW$1&amp;"P"&amp;$A65))</f>
        <v>-38</v>
      </c>
      <c r="BG65" s="32">
        <f ca="1">+Hoja2!Y66</f>
        <v>-7052</v>
      </c>
      <c r="BH65" s="7">
        <f t="shared" ca="1" si="175"/>
        <v>-27096</v>
      </c>
      <c r="BI65" s="8" t="str">
        <f t="shared" ca="1" si="193"/>
        <v/>
      </c>
      <c r="BJ65" s="83">
        <f ca="1">IF($BP$1=1,DX65,IF(RTD("tos.rtd",,BJ$43,"."&amp;$A$43&amp;$AS$42&amp;"C"&amp;$A65)="N/A",0,RTD("tos.rtd",,BJ$43,"."&amp;$A$43&amp;$AS$42&amp;"C"&amp;$A65)))</f>
        <v>1.3632168718112433E-6</v>
      </c>
      <c r="BK65" s="83">
        <f ca="1">IF($BP$1=1,DY65,-IF(RTD("tos.rtd",,BK$43,"."&amp;$A$43&amp;$AS$42&amp;"P"&amp;$A65)="N/A",0,RTD("tos.rtd",,BK$43,"."&amp;$A$43&amp;$AS$42&amp;"P"&amp;$A65)))</f>
        <v>-2.2734669546581158E-2</v>
      </c>
      <c r="BL65" s="83">
        <f ca="1">IF($BP$1=1,DZ65,IF(RTD("tos.rtd",,BL$2,"."&amp;$A$43&amp;$AU$1&amp;"C"&amp;$A65)="N/A",0,RTD("tos.rtd",,BL$2,"."&amp;$A$43&amp;$AU$1&amp;"C"&amp;$A65)))</f>
        <v>2.447984911060164E-2</v>
      </c>
      <c r="BM65" s="83">
        <f ca="1">IF($BP$1=1,EA65,-IF(RTD("tos.rtd",,BM$2,"."&amp;$A$43&amp;$AU$1&amp;"P"&amp;$A65)="N/A",0,RTD("tos.rtd",,BM$2,"."&amp;$A$43&amp;$AU$1&amp;"P"&amp;$A65)))</f>
        <v>-2.5189214659093212E-2</v>
      </c>
      <c r="BN65" s="83">
        <f ca="1">IF($BP$1=1,EB65,IF(RTD("tos.rtd",,BN$2,"."&amp;$A$43&amp;$AW$1&amp;"C"&amp;$A65)="N/A",0,RTD("tos.rtd",,BN$2,"."&amp;$A$43&amp;$AW$1&amp;"C"&amp;$A65)))</f>
        <v>2.6631607969612441E-2</v>
      </c>
      <c r="BO65" s="83">
        <f ca="1">IF($BP$1=1,EC65,-IF(RTD("tos.rtd",,BO$2,"."&amp;$A$43&amp;$AW$1&amp;"P"&amp;$A65)="N/A",0,RTD("tos.rtd",,BO$2,"."&amp;$A$43&amp;$AW$1&amp;"P"&amp;$A65)))</f>
        <v>-2.6907974068105241E-2</v>
      </c>
      <c r="BQ65" s="83">
        <f ca="1">+$A$44*$A$44*AS65*BJ65-$A$44*$A$44*AT65*BK65</f>
        <v>-12731479.860200416</v>
      </c>
      <c r="BR65" s="3" t="str">
        <f t="shared" ca="1" si="177"/>
        <v/>
      </c>
      <c r="BS65" s="83">
        <f ca="1">+$A$44*$A$44*AU65*BL65-$A$44*$A$44*AV65*BM65</f>
        <v>-9749089.3346120529</v>
      </c>
      <c r="BT65" s="3" t="str">
        <f t="shared" ca="1" si="179"/>
        <v/>
      </c>
      <c r="BU65" s="83">
        <f ca="1">+$A$44*$A$44*AW65*BN65-$A$44*$A$44*AX65*BO65</f>
        <v>-553750.07671952609</v>
      </c>
      <c r="BV65" s="83"/>
      <c r="BX65" s="83">
        <f ca="1">+$A$44*$A$44*BA65*BJ65-$A$44*$A$44*BB65*BK65</f>
        <v>-88084088.015763208</v>
      </c>
      <c r="BY65" s="83" t="str">
        <f t="shared" ca="1" si="194"/>
        <v/>
      </c>
      <c r="BZ65" s="83">
        <f ca="1">+$A$44*$A$44*BC65*BL65-$A$44*$A$44*BD65*BM65</f>
        <v>-43222975.069959335</v>
      </c>
      <c r="CA65" s="83" t="str">
        <f t="shared" ca="1" si="194"/>
        <v/>
      </c>
      <c r="CB65" s="83">
        <f ca="1">+$A$44*$A$44*BE65*BN65-$A$44*$A$44*BF65*BO65</f>
        <v>-261709.61076903698</v>
      </c>
      <c r="CC65" s="83" t="str">
        <f t="shared" ca="1" si="194"/>
        <v/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0.01</v>
      </c>
      <c r="CF65" s="83">
        <f>IF(RTD("tos.rtd",,CF$2,"."&amp;$A$43&amp;$AU$1&amp;"C"&amp;$A65)="N/A",0,RTD("tos.rtd",,CF$2,"."&amp;$A$43&amp;$AU$1&amp;"C"&amp;$A65))</f>
        <v>0.76</v>
      </c>
      <c r="CG65" s="83">
        <f>-IF(RTD("tos.rtd",,CG$2,"."&amp;$A$43&amp;$AU$1&amp;"P"&amp;$A65)="N/A",0,RTD("tos.rtd",,CG$2,"."&amp;$A$43&amp;$AU$1&amp;"P"&amp;$A65))</f>
        <v>0.24</v>
      </c>
      <c r="CH65" s="83">
        <f>IF(RTD("tos.rtd",,CH$2,"."&amp;$A$43&amp;$AW$1&amp;"C"&amp;$A65)="N/A",0,RTD("tos.rtd",,CH$2,"."&amp;$A$43&amp;$AW$1&amp;"C"&amp;$A65))</f>
        <v>0.63</v>
      </c>
      <c r="CI65" s="83">
        <f>-IF(RTD("tos.rtd",,CI$2,"."&amp;$A$43&amp;$AW$1&amp;"P"&amp;$A65)="N/A",0,RTD("tos.rtd",,CI$2,"."&amp;$A$43&amp;$AW$1&amp;"P"&amp;$A65))</f>
        <v>0.37</v>
      </c>
      <c r="CK65" s="83">
        <f t="shared" si="184"/>
        <v>286277677.38</v>
      </c>
      <c r="CL65" s="83"/>
      <c r="CM65" s="83">
        <f t="shared" si="185"/>
        <v>-12647794.200000001</v>
      </c>
      <c r="CN65" s="83"/>
      <c r="CO65" s="83">
        <f t="shared" si="186"/>
        <v>-1177481.58</v>
      </c>
      <c r="CP65" s="83">
        <f>+CK65+CM65+CO65</f>
        <v>272452401.60000002</v>
      </c>
      <c r="CQ65" s="83">
        <f>+BA65+BB65</f>
        <v>-13659</v>
      </c>
      <c r="CR65" s="83"/>
      <c r="CS65" s="83">
        <f>+BC65+BD65</f>
        <v>-6349</v>
      </c>
      <c r="CT65" s="83"/>
      <c r="CU65" s="83">
        <f>+BE65+BF65</f>
        <v>-36</v>
      </c>
      <c r="CV65" s="83"/>
      <c r="CW65" s="83">
        <f ca="1">+BQ65+BS65+BU65</f>
        <v>-23034319.271531995</v>
      </c>
      <c r="CY65" s="83">
        <f ca="1">+BX65+BZ65+CB65</f>
        <v>-131568772.69649157</v>
      </c>
      <c r="CZ65" s="70" t="str">
        <f t="shared" ca="1" si="195"/>
        <v/>
      </c>
      <c r="DA65" s="83">
        <f>IF(RTD("tos.rtd",,DA$43,"."&amp;$A$43&amp;$AS$42&amp;"C"&amp;$A65)="N/A",0,RTD("tos.rtd",,DA$43,"."&amp;$A$43&amp;$AS$42&amp;"C"&amp;$A65))</f>
        <v>7.88</v>
      </c>
      <c r="DB65" s="83">
        <f>IF(RTD("tos.rtd",,DB$43,"."&amp;$A$43&amp;$AS$42&amp;"P"&amp;$A65)="N/A",0,RTD("tos.rtd",,DB$43,"."&amp;$A$43&amp;$AS$42&amp;"P"&amp;$A65))</f>
        <v>0.01</v>
      </c>
      <c r="DC65" s="83">
        <f>IF(RTD("tos.rtd",,DC$43,"."&amp;$A$43&amp;$AS$42&amp;"C"&amp;$A65)="N/A",0,RTD("tos.rtd",,DC$43,"."&amp;$A$43&amp;$AS$42&amp;"C"&amp;$A65))</f>
        <v>9.5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5.68</v>
      </c>
      <c r="DF65" s="83">
        <f>IF(RTD("tos.rtd",,DF$43,"."&amp;$A$43&amp;$AS$42&amp;"P"&amp;$A65)="N/A",0,RTD("tos.rtd",,DF$43,"."&amp;$A$43&amp;$AS$42&amp;"P"&amp;$A65))</f>
        <v>0</v>
      </c>
      <c r="DG65" s="86">
        <f t="shared" si="187"/>
        <v>-7.6299999999999955</v>
      </c>
      <c r="DH65" s="3">
        <f t="shared" si="152"/>
        <v>0</v>
      </c>
      <c r="DI65" s="3">
        <f t="shared" si="153"/>
        <v>0</v>
      </c>
      <c r="DJ65" s="3">
        <f t="shared" si="154"/>
        <v>0</v>
      </c>
      <c r="DK65" s="3">
        <f t="shared" si="155"/>
        <v>0</v>
      </c>
      <c r="DL65" s="3">
        <f t="shared" si="156"/>
        <v>0</v>
      </c>
      <c r="DM65" s="3">
        <f t="shared" si="157"/>
        <v>0</v>
      </c>
      <c r="DN65" s="64" t="str">
        <f t="shared" si="158"/>
        <v>UNKNOWN</v>
      </c>
      <c r="DO65" s="64" t="str">
        <f t="shared" si="159"/>
        <v>UNKNOWN</v>
      </c>
      <c r="DP65" s="83">
        <f t="shared" si="160"/>
        <v>0</v>
      </c>
      <c r="DQ65" s="83">
        <f t="shared" si="161"/>
        <v>0</v>
      </c>
      <c r="DR65" s="83">
        <f t="shared" ca="1" si="162"/>
        <v>0</v>
      </c>
      <c r="DS65" s="83">
        <f t="shared" si="163"/>
        <v>0</v>
      </c>
      <c r="DT65" s="83">
        <f t="shared" si="188"/>
        <v>0</v>
      </c>
      <c r="DU65" s="83">
        <f t="shared" si="189"/>
        <v>0</v>
      </c>
      <c r="DV65" s="83">
        <f t="shared" si="164"/>
        <v>197</v>
      </c>
      <c r="DW65" s="83">
        <f t="shared" si="165"/>
        <v>2779</v>
      </c>
      <c r="DX65" s="83">
        <f ca="1">(EXP(-POWER((LN($A$44/$A65)+($EC$1+POWER($EE65,2)/2)*($EM$1/$DY$1))/($EE65*SQRT($EM$1/$DY$1)),2)/2)/SQRT(2*PI())/($A$44*$EE65*SQRT($EM$1/$DY$1)))</f>
        <v>1.3632168718112433E-6</v>
      </c>
      <c r="DY65" s="83">
        <f ca="1">-(EXP(-POWER((LN($A$44/$A65)+($EC$1+POWER($EF65,2)/2)*($EM$1/$DY$1))/($EF65*SQRT($EM$1/$DY$1)),2)/2)/SQRT(2*PI())/($A$44*$EF65*SQRT($EM$1/$DY$1)))</f>
        <v>-2.2734669546581158E-2</v>
      </c>
      <c r="DZ65" s="83">
        <f ca="1">(EXP(-POWER((LN($A$44/$A65)+($EC$1+POWER($EG65,2)/2)*($EO$1/$DY$1))/($EG65*SQRT($EO$1/$DY$1)),2)/2)/SQRT(2*PI())/($A$44*$EG65*SQRT($EO$1/$DY$1)))</f>
        <v>2.447984911060164E-2</v>
      </c>
      <c r="EA65" s="83">
        <f ca="1">-(EXP(-POWER((LN($A$44/$A65)+($EC$1+POWER($EH65,2)/2)*($EO$1/$DY$1))/($EH65*SQRT($EO$1/$DY$1)),2)/2)/SQRT(2*PI())/($A$44*$EH65*SQRT($EO$1/$DY$1)))</f>
        <v>-2.5189214659093212E-2</v>
      </c>
      <c r="EB65" s="83">
        <f ca="1">(EXP(-POWER((LN($A$44/$A65)+($EC$1+POWER($EI65,2)/2)*($EO$1/$DY$1))/($EI65*SQRT($EO$1/$DY$1)),2)/2)/SQRT(2*PI())/($A$44*$EI65*SQRT($EO$1/$DY$1)))</f>
        <v>2.6631607969612441E-2</v>
      </c>
      <c r="EC65" s="83">
        <f ca="1">-(EXP(-POWER((LN($A$44/$A65)+($EC$1+POWER($EJ65,2)/2)*($EO$1/$DY$1))/($EJ65*SQRT($EO$1/$DY$1)),2)/2)/SQRT(2*PI())/($A$44*$EJ65*SQRT($EO$1/$DY$1)))</f>
        <v>-2.6907974068105241E-2</v>
      </c>
      <c r="ED65" s="63">
        <f t="shared" si="190"/>
        <v>2976</v>
      </c>
      <c r="EE65" s="84">
        <f t="shared" ref="EE65:EJ69" si="234">IFERROR(VALUE(IF(OR(EL65="--",EL65="0.00%"),$EE$1,EL65)),$EE$1)</f>
        <v>0.25</v>
      </c>
      <c r="EF65" s="84">
        <f t="shared" si="234"/>
        <v>0.76600000000000001</v>
      </c>
      <c r="EG65" s="84">
        <f t="shared" si="234"/>
        <v>0.2455</v>
      </c>
      <c r="EH65" s="84">
        <f t="shared" si="234"/>
        <v>0.2349</v>
      </c>
      <c r="EI65" s="84">
        <f t="shared" si="234"/>
        <v>0.21390000000000001</v>
      </c>
      <c r="EJ65" s="84">
        <f t="shared" si="234"/>
        <v>0.2099</v>
      </c>
      <c r="EK65" s="63">
        <f t="shared" ca="1" si="191"/>
        <v>-17059401.067185055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76.60%</v>
      </c>
      <c r="EN65" s="83" t="str">
        <f>RTD("tos.rtd",,EN$2,"."&amp;$A$43&amp;$AU$1&amp;"C"&amp;$A65)</f>
        <v>24.55%</v>
      </c>
      <c r="EO65" s="83" t="str">
        <f>RTD("tos.rtd",,EO$2,"."&amp;$A$43&amp;$AU$1&amp;"P"&amp;$A65)</f>
        <v>23.49%</v>
      </c>
      <c r="EP65" s="83" t="str">
        <f>RTD("tos.rtd",,EP$2,"."&amp;$A$43&amp;$AW$1&amp;"C"&amp;$A65)</f>
        <v>21.39%</v>
      </c>
      <c r="EQ65" s="83" t="str">
        <f>RTD("tos.rtd",,EQ$2,"."&amp;$A$43&amp;$AW$1&amp;"P"&amp;$A65)</f>
        <v>20.99%</v>
      </c>
      <c r="ES65" s="63" t="str">
        <f t="shared" si="172"/>
        <v>512,2976.00</v>
      </c>
      <c r="ET65" s="63" t="str">
        <f t="shared" ca="1" si="173"/>
        <v>512,-131568.77</v>
      </c>
      <c r="EU65" s="67">
        <v>593.5</v>
      </c>
      <c r="EV65" s="67" t="s">
        <v>540</v>
      </c>
      <c r="EW65" s="67">
        <v>519.95000000000005</v>
      </c>
      <c r="EX65" s="67" t="s">
        <v>541</v>
      </c>
      <c r="EY65" s="67">
        <v>5945.25</v>
      </c>
      <c r="EZ65" s="67" t="s">
        <v>542</v>
      </c>
      <c r="FA65" s="67">
        <v>21342</v>
      </c>
      <c r="FB65" s="67" t="s">
        <v>543</v>
      </c>
      <c r="FC65" s="67" t="s">
        <v>544</v>
      </c>
      <c r="FD65" s="67" t="s">
        <v>545</v>
      </c>
      <c r="FE65" s="68" t="s">
        <v>546</v>
      </c>
      <c r="FF65" s="68" t="s">
        <v>547</v>
      </c>
    </row>
    <row r="66" spans="1:162" ht="13.5" thickBot="1" x14ac:dyDescent="0.25">
      <c r="A66" s="2">
        <f t="shared" si="192"/>
        <v>511</v>
      </c>
      <c r="B66" s="3">
        <f>+IF($A$1="ABS",AS66-AT66,AS66+AT66)</f>
        <v>2484</v>
      </c>
      <c r="C66" s="3">
        <f t="shared" si="143"/>
        <v>3451</v>
      </c>
      <c r="D66" s="3">
        <f>+IF($A$1="ABS",AW66-AX66,AW66+AX66)</f>
        <v>68</v>
      </c>
      <c r="E66" s="3">
        <f>SUM(B66:D66)</f>
        <v>6003</v>
      </c>
      <c r="F66" s="4">
        <f>+$F$44/$A$44*A66</f>
        <v>21064.994803995149</v>
      </c>
      <c r="AM66" s="1">
        <v>713</v>
      </c>
      <c r="AN66" s="1">
        <v>1075</v>
      </c>
      <c r="AO66" s="1">
        <v>511</v>
      </c>
      <c r="AP66" s="1">
        <v>2332</v>
      </c>
      <c r="AQ66" s="1">
        <v>-15405</v>
      </c>
      <c r="AS66" s="6">
        <f>IF(RTD("tos.rtd",,AS$43,"."&amp;$A$43&amp;$AS$42&amp;"C"&amp;$A66)="N/A",0,RTD("tos.rtd",,AS$43,"."&amp;$A$43&amp;$AS$42&amp;"C"&amp;$A66))</f>
        <v>289</v>
      </c>
      <c r="AT66" s="7">
        <f>-IF(RTD("tos.rtd",,AT$43,"."&amp;$A$43&amp;$AS$42&amp;"P"&amp;$A66)="N/A",0,RTD("tos.rtd",,AT$43,"."&amp;$A$43&amp;$AS$42&amp;"P"&amp;$A66))</f>
        <v>-2195</v>
      </c>
      <c r="AU66" s="6">
        <f>IF(RTD("tos.rtd",,AU$2,"."&amp;$A$43&amp;$AU$1&amp;"C"&amp;$A66)="N/A",0,RTD("tos.rtd",,AU$2,"."&amp;$A$43&amp;$AU$1&amp;"C"&amp;$A66))</f>
        <v>591</v>
      </c>
      <c r="AV66" s="7">
        <f>-IF(RTD("tos.rtd",,AV$2,"."&amp;$A$43&amp;$AU$1&amp;"P"&amp;$A66)="N/A",0,RTD("tos.rtd",,AV$2,"."&amp;$A$43&amp;$AU$1&amp;"P"&amp;$A66))</f>
        <v>-2860</v>
      </c>
      <c r="AW66" s="6">
        <f>IF(RTD("tos.rtd",,AW$2,"."&amp;$A$43&amp;$AW$1&amp;"C"&amp;$A66)="N/A",0,RTD("tos.rtd",,AW$2,"."&amp;$A$43&amp;$AW$1&amp;"C"&amp;$A66))</f>
        <v>3</v>
      </c>
      <c r="AX66" s="7">
        <f>-IF(RTD("tos.rtd",,AX$2,"."&amp;$A$43&amp;$AW$1&amp;"P"&amp;$A66)="N/A",0,RTD("tos.rtd",,AX$2,"."&amp;$A$43&amp;$AW$1&amp;"P"&amp;$A66))</f>
        <v>-65</v>
      </c>
      <c r="AY66" s="7">
        <f>SUM(AS66:AX66)</f>
        <v>-4237</v>
      </c>
      <c r="AZ66" s="8">
        <f t="shared" si="146"/>
        <v>511</v>
      </c>
      <c r="BA66" s="6">
        <f>IF(RTD("tos.rtd",,BA$43,"."&amp;$A$43&amp;$AS$42&amp;"C"&amp;$A66)="N/A",0,RTD("tos.rtd",,BA$43,"."&amp;$A$43&amp;$AS$42&amp;"C"&amp;$A66))</f>
        <v>2332</v>
      </c>
      <c r="BB66" s="7">
        <f>-IF(RTD("tos.rtd",,BB$43,"."&amp;$A$43&amp;$AS$42&amp;"P"&amp;$A66)="N/A",0,RTD("tos.rtd",,BB$43,"."&amp;$A$43&amp;$AS$42&amp;"P"&amp;$A66))</f>
        <v>-15405</v>
      </c>
      <c r="BC66" s="6">
        <f>IF(RTD("tos.rtd",,BC$2,"."&amp;$A$43&amp;$AU$1&amp;"C"&amp;$A66)="N/A",0,RTD("tos.rtd",,BC$2,"."&amp;$A$43&amp;$AU$1&amp;"C"&amp;$A66))</f>
        <v>108</v>
      </c>
      <c r="BD66" s="7">
        <f>-IF(RTD("tos.rtd",,BD$2,"."&amp;$A$43&amp;$AU$1&amp;"P"&amp;$A66)="N/A",0,RTD("tos.rtd",,BD$2,"."&amp;$A$43&amp;$AU$1&amp;"P"&amp;$A66))</f>
        <v>-7609</v>
      </c>
      <c r="BE66" s="6">
        <f>IF(RTD("tos.rtd",,BE$2,"."&amp;$A$43&amp;$AW$1&amp;"C"&amp;$A66)="N/A",0,RTD("tos.rtd",,BE$2,"."&amp;$A$43&amp;$AW$1&amp;"C"&amp;$A66))</f>
        <v>5</v>
      </c>
      <c r="BF66" s="7">
        <f>-IF(RTD("tos.rtd",,BF$2,"."&amp;$A$43&amp;$AW$1&amp;"P"&amp;$A66)="N/A",0,RTD("tos.rtd",,BF$2,"."&amp;$A$43&amp;$AW$1&amp;"P"&amp;$A66))</f>
        <v>-101</v>
      </c>
      <c r="BG66" s="32">
        <f ca="1">+Hoja2!Y67</f>
        <v>-8746</v>
      </c>
      <c r="BH66" s="7">
        <f t="shared" ca="1" si="175"/>
        <v>-29416</v>
      </c>
      <c r="BI66" s="8" t="str">
        <f t="shared" ca="1" si="193"/>
        <v/>
      </c>
      <c r="BJ66" s="83">
        <f ca="1">IF($BP$1=1,DX66,IF(RTD("tos.rtd",,BJ$43,"."&amp;$A$43&amp;$AS$42&amp;"C"&amp;$A66)="N/A",0,RTD("tos.rtd",,BJ$43,"."&amp;$A$43&amp;$AS$42&amp;"C"&amp;$A66)))</f>
        <v>4.4646650248125057E-8</v>
      </c>
      <c r="BK66" s="83">
        <f ca="1">IF($BP$1=1,DY66,-IF(RTD("tos.rtd",,BK$43,"."&amp;$A$43&amp;$AS$42&amp;"P"&amp;$A66)="N/A",0,RTD("tos.rtd",,BK$43,"."&amp;$A$43&amp;$AS$42&amp;"P"&amp;$A66)))</f>
        <v>-1.9629152842519888E-2</v>
      </c>
      <c r="BL66" s="83">
        <f ca="1">IF($BP$1=1,DZ66,IF(RTD("tos.rtd",,BL$2,"."&amp;$A$43&amp;$AU$1&amp;"C"&amp;$A66)="N/A",0,RTD("tos.rtd",,BL$2,"."&amp;$A$43&amp;$AU$1&amp;"C"&amp;$A66)))</f>
        <v>2.3818273578719733E-2</v>
      </c>
      <c r="BM66" s="83">
        <f ca="1">IF($BP$1=1,EA66,-IF(RTD("tos.rtd",,BM$2,"."&amp;$A$43&amp;$AU$1&amp;"P"&amp;$A66)="N/A",0,RTD("tos.rtd",,BM$2,"."&amp;$A$43&amp;$AU$1&amp;"P"&amp;$A66)))</f>
        <v>-2.3780330419635717E-2</v>
      </c>
      <c r="BN66" s="83">
        <f ca="1">IF($BP$1=1,EB66,IF(RTD("tos.rtd",,BN$2,"."&amp;$A$43&amp;$AW$1&amp;"C"&amp;$A66)="N/A",0,RTD("tos.rtd",,BN$2,"."&amp;$A$43&amp;$AW$1&amp;"C"&amp;$A66)))</f>
        <v>2.5006306934081953E-2</v>
      </c>
      <c r="BO66" s="83">
        <f ca="1">IF($BP$1=1,EC66,-IF(RTD("tos.rtd",,BO$2,"."&amp;$A$43&amp;$AW$1&amp;"P"&amp;$A66)="N/A",0,RTD("tos.rtd",,BO$2,"."&amp;$A$43&amp;$AW$1&amp;"P"&amp;$A66)))</f>
        <v>-2.5133009326274994E-2</v>
      </c>
      <c r="BQ66" s="83">
        <f ca="1">+$A$44*$A$44*AS66*BJ66-$A$44*$A$44*AT66*BK66</f>
        <v>-11633874.753670938</v>
      </c>
      <c r="BR66" s="3" t="str">
        <f t="shared" ca="1" si="177"/>
        <v/>
      </c>
      <c r="BS66" s="83">
        <f ca="1">+$A$44*$A$44*AU66*BL66-$A$44*$A$44*AV66*BM66</f>
        <v>-14563316.43301658</v>
      </c>
      <c r="BT66" s="3" t="str">
        <f t="shared" ca="1" si="179"/>
        <v/>
      </c>
      <c r="BU66" s="83">
        <f ca="1">+$A$44*$A$44*AW66*BN66-$A$44*$A$44*AX66*BO66</f>
        <v>-420853.10956113116</v>
      </c>
      <c r="BV66" s="83"/>
      <c r="BX66" s="83">
        <f ca="1">+$A$44*$A$44*BA66*BJ66-$A$44*$A$44*BB66*BK66</f>
        <v>-81649126.443328336</v>
      </c>
      <c r="BY66" s="83" t="str">
        <f t="shared" ca="1" si="194"/>
        <v/>
      </c>
      <c r="BZ66" s="83">
        <f ca="1">+$A$44*$A$44*BC66*BL66-$A$44*$A$44*BD66*BM66</f>
        <v>-48163219.042446904</v>
      </c>
      <c r="CA66" s="83" t="str">
        <f t="shared" ca="1" si="194"/>
        <v/>
      </c>
      <c r="CB66" s="83">
        <f ca="1">+$A$44*$A$44*BE66*BN66-$A$44*$A$44*BF66*BO66</f>
        <v>-651655.66407788871</v>
      </c>
      <c r="CC66" s="83" t="str">
        <f t="shared" ca="1" si="194"/>
        <v/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</v>
      </c>
      <c r="CF66" s="83">
        <f>IF(RTD("tos.rtd",,CF$2,"."&amp;$A$43&amp;$AU$1&amp;"C"&amp;$A66)="N/A",0,RTD("tos.rtd",,CF$2,"."&amp;$A$43&amp;$AU$1&amp;"C"&amp;$A66))</f>
        <v>0.79</v>
      </c>
      <c r="CG66" s="83">
        <f>-IF(RTD("tos.rtd",,CG$2,"."&amp;$A$43&amp;$AU$1&amp;"P"&amp;$A66)="N/A",0,RTD("tos.rtd",,CG$2,"."&amp;$A$43&amp;$AU$1&amp;"P"&amp;$A66))</f>
        <v>0.21</v>
      </c>
      <c r="CH66" s="83">
        <f>IF(RTD("tos.rtd",,CH$2,"."&amp;$A$43&amp;$AW$1&amp;"C"&amp;$A66)="N/A",0,RTD("tos.rtd",,CH$2,"."&amp;$A$43&amp;$AW$1&amp;"C"&amp;$A66))</f>
        <v>0.64</v>
      </c>
      <c r="CI66" s="83">
        <f>-IF(RTD("tos.rtd",,CI$2,"."&amp;$A$43&amp;$AW$1&amp;"P"&amp;$A66)="N/A",0,RTD("tos.rtd",,CI$2,"."&amp;$A$43&amp;$AW$1&amp;"P"&amp;$A66))</f>
        <v>0.36</v>
      </c>
      <c r="CK66" s="83">
        <f t="shared" si="184"/>
        <v>150173070</v>
      </c>
      <c r="CL66" s="83"/>
      <c r="CM66" s="83">
        <f t="shared" si="185"/>
        <v>-6947972.7299999967</v>
      </c>
      <c r="CN66" s="83"/>
      <c r="CO66" s="83">
        <f t="shared" si="186"/>
        <v>-1116165.24</v>
      </c>
      <c r="CP66" s="83">
        <f>+CK66+CM66+CO66</f>
        <v>142108932.03</v>
      </c>
      <c r="CQ66" s="83">
        <f>+BA66+BB66</f>
        <v>-13073</v>
      </c>
      <c r="CR66" s="83"/>
      <c r="CS66" s="83">
        <f>+BC66+BD66</f>
        <v>-7501</v>
      </c>
      <c r="CT66" s="83"/>
      <c r="CU66" s="83">
        <f>+BE66+BF66</f>
        <v>-96</v>
      </c>
      <c r="CV66" s="83"/>
      <c r="CW66" s="83">
        <f ca="1">+BQ66+BS66+BU66</f>
        <v>-26618044.296248648</v>
      </c>
      <c r="CY66" s="83">
        <f ca="1">+BX66+BZ66+CB66</f>
        <v>-130464001.14985313</v>
      </c>
      <c r="CZ66" s="70" t="str">
        <f t="shared" ca="1" si="195"/>
        <v/>
      </c>
      <c r="DA66" s="83">
        <f>IF(RTD("tos.rtd",,DA$43,"."&amp;$A$43&amp;$AS$42&amp;"C"&amp;$A66)="N/A",0,RTD("tos.rtd",,DA$43,"."&amp;$A$43&amp;$AS$42&amp;"C"&amp;$A66))</f>
        <v>8.7899999999999991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10.5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6.61</v>
      </c>
      <c r="DF66" s="83">
        <f>IF(RTD("tos.rtd",,DF$43,"."&amp;$A$43&amp;$AS$42&amp;"P"&amp;$A66)="N/A",0,RTD("tos.rtd",,DF$43,"."&amp;$A$43&amp;$AS$42&amp;"P"&amp;$A66))</f>
        <v>0</v>
      </c>
      <c r="DG66" s="86">
        <f t="shared" si="187"/>
        <v>-8.6299999999999955</v>
      </c>
      <c r="DH66" s="3">
        <f t="shared" si="152"/>
        <v>0</v>
      </c>
      <c r="DI66" s="3">
        <f t="shared" si="153"/>
        <v>0</v>
      </c>
      <c r="DJ66" s="3">
        <f t="shared" si="154"/>
        <v>0</v>
      </c>
      <c r="DK66" s="3">
        <f t="shared" si="155"/>
        <v>0</v>
      </c>
      <c r="DL66" s="3">
        <f t="shared" si="156"/>
        <v>0</v>
      </c>
      <c r="DM66" s="3">
        <f t="shared" si="157"/>
        <v>0</v>
      </c>
      <c r="DN66" s="64" t="str">
        <f t="shared" si="158"/>
        <v>UNKNOWN</v>
      </c>
      <c r="DO66" s="64" t="str">
        <f t="shared" si="159"/>
        <v>UNKNOWN</v>
      </c>
      <c r="DP66" s="83">
        <f t="shared" si="160"/>
        <v>0</v>
      </c>
      <c r="DQ66" s="83">
        <f t="shared" si="161"/>
        <v>0</v>
      </c>
      <c r="DR66" s="83">
        <f t="shared" ca="1" si="162"/>
        <v>0</v>
      </c>
      <c r="DS66" s="83">
        <f t="shared" si="163"/>
        <v>0</v>
      </c>
      <c r="DT66" s="83">
        <f t="shared" si="188"/>
        <v>0</v>
      </c>
      <c r="DU66" s="83">
        <f t="shared" si="189"/>
        <v>0</v>
      </c>
      <c r="DV66" s="83">
        <f t="shared" si="164"/>
        <v>713</v>
      </c>
      <c r="DW66" s="83">
        <f t="shared" si="165"/>
        <v>1075</v>
      </c>
      <c r="DX66" s="83">
        <f ca="1">(EXP(-POWER((LN($A$44/$A66)+($EC$1+POWER($EE66,2)/2)*($EM$1/$DY$1))/($EE66*SQRT($EM$1/$DY$1)),2)/2)/SQRT(2*PI())/($A$44*$EE66*SQRT($EM$1/$DY$1)))</f>
        <v>4.4646650248125057E-8</v>
      </c>
      <c r="DY66" s="83">
        <f ca="1">-(EXP(-POWER((LN($A$44/$A66)+($EC$1+POWER($EF66,2)/2)*($EM$1/$DY$1))/($EF66*SQRT($EM$1/$DY$1)),2)/2)/SQRT(2*PI())/($A$44*$EF66*SQRT($EM$1/$DY$1)))</f>
        <v>-1.9629152842519888E-2</v>
      </c>
      <c r="DZ66" s="83">
        <f ca="1">(EXP(-POWER((LN($A$44/$A66)+($EC$1+POWER($EG66,2)/2)*($EO$1/$DY$1))/($EG66*SQRT($EO$1/$DY$1)),2)/2)/SQRT(2*PI())/($A$44*$EG66*SQRT($EO$1/$DY$1)))</f>
        <v>2.3818273578719733E-2</v>
      </c>
      <c r="EA66" s="83">
        <f ca="1">-(EXP(-POWER((LN($A$44/$A66)+($EC$1+POWER($EH66,2)/2)*($EO$1/$DY$1))/($EH66*SQRT($EO$1/$DY$1)),2)/2)/SQRT(2*PI())/($A$44*$EH66*SQRT($EO$1/$DY$1)))</f>
        <v>-2.3780330419635717E-2</v>
      </c>
      <c r="EB66" s="83">
        <f ca="1">(EXP(-POWER((LN($A$44/$A66)+($EC$1+POWER($EI66,2)/2)*($EO$1/$DY$1))/($EI66*SQRT($EO$1/$DY$1)),2)/2)/SQRT(2*PI())/($A$44*$EI66*SQRT($EO$1/$DY$1)))</f>
        <v>2.5006306934081953E-2</v>
      </c>
      <c r="EC66" s="83">
        <f ca="1">-(EXP(-POWER((LN($A$44/$A66)+($EC$1+POWER($EJ66,2)/2)*($EO$1/$DY$1))/($EJ66*SQRT($EO$1/$DY$1)),2)/2)/SQRT(2*PI())/($A$44*$EJ66*SQRT($EO$1/$DY$1)))</f>
        <v>-2.5133009326274994E-2</v>
      </c>
      <c r="ED66" s="63">
        <f t="shared" si="190"/>
        <v>1788</v>
      </c>
      <c r="EE66" s="84">
        <f t="shared" si="234"/>
        <v>0.25</v>
      </c>
      <c r="EF66" s="84">
        <f t="shared" si="234"/>
        <v>0.85560000000000003</v>
      </c>
      <c r="EG66" s="84">
        <f t="shared" si="234"/>
        <v>0.23699999999999999</v>
      </c>
      <c r="EH66" s="84">
        <f t="shared" si="234"/>
        <v>0.23769999999999999</v>
      </c>
      <c r="EI66" s="84">
        <f t="shared" si="234"/>
        <v>0.21460000000000001</v>
      </c>
      <c r="EJ66" s="84">
        <f t="shared" si="234"/>
        <v>0.21210000000000001</v>
      </c>
      <c r="EK66" s="63">
        <f t="shared" ca="1" si="191"/>
        <v>-5697676.6462573353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85.56%</v>
      </c>
      <c r="EN66" s="83" t="str">
        <f>RTD("tos.rtd",,EN$2,"."&amp;$A$43&amp;$AU$1&amp;"C"&amp;$A66)</f>
        <v>23.70%</v>
      </c>
      <c r="EO66" s="83" t="str">
        <f>RTD("tos.rtd",,EO$2,"."&amp;$A$43&amp;$AU$1&amp;"P"&amp;$A66)</f>
        <v>23.77%</v>
      </c>
      <c r="EP66" s="83" t="str">
        <f>RTD("tos.rtd",,EP$2,"."&amp;$A$43&amp;$AW$1&amp;"C"&amp;$A66)</f>
        <v>21.46%</v>
      </c>
      <c r="EQ66" s="83" t="str">
        <f>RTD("tos.rtd",,EQ$2,"."&amp;$A$43&amp;$AW$1&amp;"P"&amp;$A66)</f>
        <v>21.21%</v>
      </c>
      <c r="ES66" s="63" t="str">
        <f t="shared" si="172"/>
        <v>511,1788.00</v>
      </c>
      <c r="ET66" s="63" t="str">
        <f t="shared" ca="1" si="173"/>
        <v>511,-130464.00</v>
      </c>
      <c r="EU66" s="67">
        <v>593.57000000000005</v>
      </c>
      <c r="EV66" s="67" t="s">
        <v>548</v>
      </c>
      <c r="EW66" s="67">
        <v>520</v>
      </c>
      <c r="EX66" s="67" t="s">
        <v>549</v>
      </c>
      <c r="EY66" s="67">
        <v>5945.75</v>
      </c>
      <c r="EZ66" s="67" t="s">
        <v>550</v>
      </c>
      <c r="FA66" s="67">
        <v>21345.5</v>
      </c>
      <c r="FB66" s="67" t="s">
        <v>551</v>
      </c>
      <c r="FC66" s="67" t="s">
        <v>552</v>
      </c>
      <c r="FD66" s="67" t="s">
        <v>553</v>
      </c>
      <c r="FE66" s="68" t="s">
        <v>554</v>
      </c>
      <c r="FF66" s="68" t="s">
        <v>555</v>
      </c>
    </row>
    <row r="67" spans="1:162" ht="13.5" thickBot="1" x14ac:dyDescent="0.25">
      <c r="A67" s="2">
        <f t="shared" si="192"/>
        <v>510</v>
      </c>
      <c r="B67" s="3">
        <f>+IF($A$1="ABS",AS67-AT67,AS67+AT67)</f>
        <v>7349</v>
      </c>
      <c r="C67" s="3">
        <f t="shared" si="143"/>
        <v>22007</v>
      </c>
      <c r="D67" s="3">
        <f>+IF($A$1="ABS",AW67-AX67,AW67+AX67)</f>
        <v>69623</v>
      </c>
      <c r="E67" s="3">
        <f>SUM(B67:D67)</f>
        <v>98979</v>
      </c>
      <c r="F67" s="4">
        <f>+$F$44/$A$44*A67</f>
        <v>21023.771722186939</v>
      </c>
      <c r="AM67" s="1">
        <v>-105</v>
      </c>
      <c r="AN67" s="1">
        <v>-2036</v>
      </c>
      <c r="AO67" s="1">
        <v>510</v>
      </c>
      <c r="AP67" s="1">
        <v>363</v>
      </c>
      <c r="AQ67" s="1">
        <v>-16230</v>
      </c>
      <c r="AS67" s="6">
        <f>IF(RTD("tos.rtd",,AS$43,"."&amp;$A$43&amp;$AS$42&amp;"C"&amp;$A67)="N/A",0,RTD("tos.rtd",,AS$43,"."&amp;$A$43&amp;$AS$42&amp;"C"&amp;$A67))</f>
        <v>1098</v>
      </c>
      <c r="AT67" s="7">
        <f>-IF(RTD("tos.rtd",,AT$43,"."&amp;$A$43&amp;$AS$42&amp;"P"&amp;$A67)="N/A",0,RTD("tos.rtd",,AT$43,"."&amp;$A$43&amp;$AS$42&amp;"P"&amp;$A67))</f>
        <v>-6251</v>
      </c>
      <c r="AU67" s="6">
        <f>IF(RTD("tos.rtd",,AU$2,"."&amp;$A$43&amp;$AU$1&amp;"C"&amp;$A67)="N/A",0,RTD("tos.rtd",,AU$2,"."&amp;$A$43&amp;$AU$1&amp;"C"&amp;$A67))</f>
        <v>4369</v>
      </c>
      <c r="AV67" s="7">
        <f>-IF(RTD("tos.rtd",,AV$2,"."&amp;$A$43&amp;$AU$1&amp;"P"&amp;$A67)="N/A",0,RTD("tos.rtd",,AV$2,"."&amp;$A$43&amp;$AU$1&amp;"P"&amp;$A67))</f>
        <v>-17638</v>
      </c>
      <c r="AW67" s="6">
        <f>IF(RTD("tos.rtd",,AW$2,"."&amp;$A$43&amp;$AW$1&amp;"C"&amp;$A67)="N/A",0,RTD("tos.rtd",,AW$2,"."&amp;$A$43&amp;$AW$1&amp;"C"&amp;$A67))</f>
        <v>32390</v>
      </c>
      <c r="AX67" s="7">
        <f>-IF(RTD("tos.rtd",,AX$2,"."&amp;$A$43&amp;$AW$1&amp;"P"&amp;$A67)="N/A",0,RTD("tos.rtd",,AX$2,"."&amp;$A$43&amp;$AW$1&amp;"P"&amp;$A67))</f>
        <v>-37233</v>
      </c>
      <c r="AY67" s="7">
        <f>SUM(AS67:AX67)</f>
        <v>-23265</v>
      </c>
      <c r="AZ67" s="8">
        <f t="shared" si="146"/>
        <v>510</v>
      </c>
      <c r="BA67" s="6">
        <f>IF(RTD("tos.rtd",,BA$43,"."&amp;$A$43&amp;$AS$42&amp;"C"&amp;$A67)="N/A",0,RTD("tos.rtd",,BA$43,"."&amp;$A$43&amp;$AS$42&amp;"C"&amp;$A67))</f>
        <v>363</v>
      </c>
      <c r="BB67" s="7">
        <f>-IF(RTD("tos.rtd",,BB$43,"."&amp;$A$43&amp;$AS$42&amp;"P"&amp;$A67)="N/A",0,RTD("tos.rtd",,BB$43,"."&amp;$A$43&amp;$AS$42&amp;"P"&amp;$A67))</f>
        <v>-16230</v>
      </c>
      <c r="BC67" s="6">
        <f>IF(RTD("tos.rtd",,BC$2,"."&amp;$A$43&amp;$AU$1&amp;"C"&amp;$A67)="N/A",0,RTD("tos.rtd",,BC$2,"."&amp;$A$43&amp;$AU$1&amp;"C"&amp;$A67))</f>
        <v>955</v>
      </c>
      <c r="BD67" s="7">
        <f>-IF(RTD("tos.rtd",,BD$2,"."&amp;$A$43&amp;$AU$1&amp;"P"&amp;$A67)="N/A",0,RTD("tos.rtd",,BD$2,"."&amp;$A$43&amp;$AU$1&amp;"P"&amp;$A67))</f>
        <v>-14247</v>
      </c>
      <c r="BE67" s="6">
        <f>IF(RTD("tos.rtd",,BE$2,"."&amp;$A$43&amp;$AW$1&amp;"C"&amp;$A67)="N/A",0,RTD("tos.rtd",,BE$2,"."&amp;$A$43&amp;$AW$1&amp;"C"&amp;$A67))</f>
        <v>2239</v>
      </c>
      <c r="BF67" s="7">
        <f>-IF(RTD("tos.rtd",,BF$2,"."&amp;$A$43&amp;$AW$1&amp;"P"&amp;$A67)="N/A",0,RTD("tos.rtd",,BF$2,"."&amp;$A$43&amp;$AW$1&amp;"P"&amp;$A67))</f>
        <v>-8216</v>
      </c>
      <c r="BG67" s="32">
        <f ca="1">+Hoja2!Y68</f>
        <v>-23758</v>
      </c>
      <c r="BH67" s="7">
        <f t="shared" ca="1" si="175"/>
        <v>-58894</v>
      </c>
      <c r="BI67" s="8" t="str">
        <f t="shared" ca="1" si="193"/>
        <v/>
      </c>
      <c r="BJ67" s="83">
        <f ca="1">IF($BP$1=1,DX67,IF(RTD("tos.rtd",,BJ$43,"."&amp;$A$43&amp;$AS$42&amp;"C"&amp;$A67)="N/A",0,RTD("tos.rtd",,BJ$43,"."&amp;$A$43&amp;$AS$42&amp;"C"&amp;$A67)))</f>
        <v>9.4976356591117594E-10</v>
      </c>
      <c r="BK67" s="83">
        <f ca="1">IF($BP$1=1,DY67,-IF(RTD("tos.rtd",,BK$43,"."&amp;$A$43&amp;$AS$42&amp;"P"&amp;$A67)="N/A",0,RTD("tos.rtd",,BK$43,"."&amp;$A$43&amp;$AS$42&amp;"P"&amp;$A67)))</f>
        <v>-1.7210089059411571E-2</v>
      </c>
      <c r="BL67" s="83">
        <f ca="1">IF($BP$1=1,DZ67,IF(RTD("tos.rtd",,BL$2,"."&amp;$A$43&amp;$AU$1&amp;"C"&amp;$A67)="N/A",0,RTD("tos.rtd",,BL$2,"."&amp;$A$43&amp;$AU$1&amp;"C"&amp;$A67)))</f>
        <v>2.2979174439057962E-2</v>
      </c>
      <c r="BM67" s="83">
        <f ca="1">IF($BP$1=1,EA67,-IF(RTD("tos.rtd",,BM$2,"."&amp;$A$43&amp;$AU$1&amp;"P"&amp;$A67)="N/A",0,RTD("tos.rtd",,BM$2,"."&amp;$A$43&amp;$AU$1&amp;"P"&amp;$A67)))</f>
        <v>-2.2373334290463807E-2</v>
      </c>
      <c r="BN67" s="83">
        <f ca="1">IF($BP$1=1,EB67,IF(RTD("tos.rtd",,BN$2,"."&amp;$A$43&amp;$AW$1&amp;"C"&amp;$A67)="N/A",0,RTD("tos.rtd",,BN$2,"."&amp;$A$43&amp;$AW$1&amp;"C"&amp;$A67)))</f>
        <v>2.3846073345716985E-2</v>
      </c>
      <c r="BO67" s="83">
        <f ca="1">IF($BP$1=1,EC67,-IF(RTD("tos.rtd",,BO$2,"."&amp;$A$43&amp;$AW$1&amp;"P"&amp;$A67)="N/A",0,RTD("tos.rtd",,BO$2,"."&amp;$A$43&amp;$AW$1&amp;"P"&amp;$A67)))</f>
        <v>-2.3366406882962064E-2</v>
      </c>
      <c r="BQ67" s="83">
        <f ca="1">+$A$44*$A$44*AS67*BJ67-$A$44*$A$44*AT67*BK67</f>
        <v>-29048321.678012677</v>
      </c>
      <c r="BR67" s="3" t="str">
        <f t="shared" ca="1" si="177"/>
        <v/>
      </c>
      <c r="BS67" s="83">
        <f ca="1">+$A$44*$A$44*AU67*BL67-$A$44*$A$44*AV67*BM67</f>
        <v>-79445223.911768943</v>
      </c>
      <c r="BT67" s="3" t="str">
        <f t="shared" ca="1" si="179"/>
        <v/>
      </c>
      <c r="BU67" s="83">
        <f ca="1">+$A$44*$A$44*AW67*BN67-$A$44*$A$44*AX67*BO67</f>
        <v>-26360817.48475042</v>
      </c>
      <c r="BV67" s="83"/>
      <c r="BX67" s="83">
        <f ca="1">+$A$44*$A$44*BA67*BJ67-$A$44*$A$44*BB67*BK67</f>
        <v>-75420615.073159575</v>
      </c>
      <c r="BY67" s="83" t="str">
        <f t="shared" ca="1" si="194"/>
        <v/>
      </c>
      <c r="BZ67" s="83">
        <f ca="1">+$A$44*$A$44*BC67*BL67-$A$44*$A$44*BD67*BM67</f>
        <v>-80142653.263945609</v>
      </c>
      <c r="CA67" s="83" t="str">
        <f t="shared" ca="1" si="194"/>
        <v/>
      </c>
      <c r="CB67" s="83">
        <f ca="1">+$A$44*$A$44*BE67*BN67-$A$44*$A$44*BF67*BO67</f>
        <v>-37420626.492511071</v>
      </c>
      <c r="CC67" s="83" t="str">
        <f t="shared" ca="1" si="194"/>
        <v/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</v>
      </c>
      <c r="CF67" s="83">
        <f>IF(RTD("tos.rtd",,CF$2,"."&amp;$A$43&amp;$AU$1&amp;"C"&amp;$A67)="N/A",0,RTD("tos.rtd",,CF$2,"."&amp;$A$43&amp;$AU$1&amp;"C"&amp;$A67))</f>
        <v>0.83</v>
      </c>
      <c r="CG67" s="83">
        <f>-IF(RTD("tos.rtd",,CG$2,"."&amp;$A$43&amp;$AU$1&amp;"P"&amp;$A67)="N/A",0,RTD("tos.rtd",,CG$2,"."&amp;$A$43&amp;$AU$1&amp;"P"&amp;$A67))</f>
        <v>0.19</v>
      </c>
      <c r="CH67" s="83">
        <f>IF(RTD("tos.rtd",,CH$2,"."&amp;$A$43&amp;$AW$1&amp;"C"&amp;$A67)="N/A",0,RTD("tos.rtd",,CH$2,"."&amp;$A$43&amp;$AW$1&amp;"C"&amp;$A67))</f>
        <v>0.66</v>
      </c>
      <c r="CI67" s="83">
        <f>-IF(RTD("tos.rtd",,CI$2,"."&amp;$A$43&amp;$AW$1&amp;"P"&amp;$A67)="N/A",0,RTD("tos.rtd",,CI$2,"."&amp;$A$43&amp;$AW$1&amp;"P"&amp;$A67))</f>
        <v>0.35</v>
      </c>
      <c r="CK67" s="83">
        <f t="shared" si="184"/>
        <v>570553740</v>
      </c>
      <c r="CL67" s="83"/>
      <c r="CM67" s="83">
        <f t="shared" si="185"/>
        <v>14292423.150000006</v>
      </c>
      <c r="CN67" s="83"/>
      <c r="CO67" s="83">
        <f t="shared" si="186"/>
        <v>433675403.55000007</v>
      </c>
      <c r="CP67" s="83">
        <f>+CK67+CM67+CO67</f>
        <v>1018521566.7</v>
      </c>
      <c r="CQ67" s="83">
        <f>+BA67+BB67</f>
        <v>-15867</v>
      </c>
      <c r="CR67" s="83"/>
      <c r="CS67" s="83">
        <f>+BC67+BD67</f>
        <v>-13292</v>
      </c>
      <c r="CT67" s="83"/>
      <c r="CU67" s="83">
        <f>+BE67+BF67</f>
        <v>-5977</v>
      </c>
      <c r="CV67" s="83"/>
      <c r="CW67" s="83">
        <f ca="1">+BQ67+BS67+BU67</f>
        <v>-134854363.07453203</v>
      </c>
      <c r="CY67" s="83">
        <f ca="1">+BX67+BZ67+CB67</f>
        <v>-192983894.82961625</v>
      </c>
      <c r="CZ67" s="70" t="str">
        <f t="shared" ca="1" si="195"/>
        <v/>
      </c>
      <c r="DA67" s="83">
        <f>IF(RTD("tos.rtd",,DA$43,"."&amp;$A$43&amp;$AS$42&amp;"C"&amp;$A67)="N/A",0,RTD("tos.rtd",,DA$43,"."&amp;$A$43&amp;$AS$42&amp;"C"&amp;$A67))</f>
        <v>9.23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11.5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7.69</v>
      </c>
      <c r="DF67" s="83">
        <f>IF(RTD("tos.rtd",,DF$43,"."&amp;$A$43&amp;$AS$42&amp;"P"&amp;$A67)="N/A",0,RTD("tos.rtd",,DF$43,"."&amp;$A$43&amp;$AS$42&amp;"P"&amp;$A67))</f>
        <v>0</v>
      </c>
      <c r="DG67" s="86">
        <f t="shared" si="187"/>
        <v>-9.6299999999999955</v>
      </c>
      <c r="DH67" s="3">
        <f t="shared" si="152"/>
        <v>0</v>
      </c>
      <c r="DI67" s="3">
        <f t="shared" si="153"/>
        <v>0</v>
      </c>
      <c r="DJ67" s="3">
        <f t="shared" si="154"/>
        <v>0</v>
      </c>
      <c r="DK67" s="3">
        <f t="shared" si="155"/>
        <v>0</v>
      </c>
      <c r="DL67" s="3">
        <f t="shared" si="156"/>
        <v>0</v>
      </c>
      <c r="DM67" s="3">
        <f t="shared" si="157"/>
        <v>0</v>
      </c>
      <c r="DN67" s="64" t="str">
        <f t="shared" si="158"/>
        <v>UNKNOWN</v>
      </c>
      <c r="DO67" s="64" t="str">
        <f t="shared" si="159"/>
        <v>UNKNOWN</v>
      </c>
      <c r="DP67" s="83">
        <f t="shared" si="160"/>
        <v>0</v>
      </c>
      <c r="DQ67" s="83">
        <f t="shared" si="161"/>
        <v>0</v>
      </c>
      <c r="DR67" s="83">
        <f t="shared" ca="1" si="162"/>
        <v>0</v>
      </c>
      <c r="DS67" s="83">
        <f t="shared" si="163"/>
        <v>0</v>
      </c>
      <c r="DT67" s="83">
        <f t="shared" si="188"/>
        <v>0</v>
      </c>
      <c r="DU67" s="83">
        <f t="shared" si="189"/>
        <v>0</v>
      </c>
      <c r="DV67" s="83">
        <f t="shared" si="164"/>
        <v>-105</v>
      </c>
      <c r="DW67" s="83">
        <f t="shared" si="165"/>
        <v>-2036</v>
      </c>
      <c r="DX67" s="83">
        <f ca="1">(EXP(-POWER((LN($A$44/$A67)+($EC$1+POWER($EE67,2)/2)*($EM$1/$DY$1))/($EE67*SQRT($EM$1/$DY$1)),2)/2)/SQRT(2*PI())/($A$44*$EE67*SQRT($EM$1/$DY$1)))</f>
        <v>9.4976356591117594E-10</v>
      </c>
      <c r="DY67" s="83">
        <f ca="1">-(EXP(-POWER((LN($A$44/$A67)+($EC$1+POWER($EF67,2)/2)*($EM$1/$DY$1))/($EF67*SQRT($EM$1/$DY$1)),2)/2)/SQRT(2*PI())/($A$44*$EF67*SQRT($EM$1/$DY$1)))</f>
        <v>-1.7210089059411571E-2</v>
      </c>
      <c r="DZ67" s="83">
        <f ca="1">(EXP(-POWER((LN($A$44/$A67)+($EC$1+POWER($EG67,2)/2)*($EO$1/$DY$1))/($EG67*SQRT($EO$1/$DY$1)),2)/2)/SQRT(2*PI())/($A$44*$EG67*SQRT($EO$1/$DY$1)))</f>
        <v>2.2979174439057962E-2</v>
      </c>
      <c r="EA67" s="83">
        <f ca="1">-(EXP(-POWER((LN($A$44/$A67)+($EC$1+POWER($EH67,2)/2)*($EO$1/$DY$1))/($EH67*SQRT($EO$1/$DY$1)),2)/2)/SQRT(2*PI())/($A$44*$EH67*SQRT($EO$1/$DY$1)))</f>
        <v>-2.2373334290463807E-2</v>
      </c>
      <c r="EB67" s="83">
        <f ca="1">(EXP(-POWER((LN($A$44/$A67)+($EC$1+POWER($EI67,2)/2)*($EO$1/$DY$1))/($EI67*SQRT($EO$1/$DY$1)),2)/2)/SQRT(2*PI())/($A$44*$EI67*SQRT($EO$1/$DY$1)))</f>
        <v>2.3846073345716985E-2</v>
      </c>
      <c r="EC67" s="83">
        <f ca="1">-(EXP(-POWER((LN($A$44/$A67)+($EC$1+POWER($EJ67,2)/2)*($EO$1/$DY$1))/($EJ67*SQRT($EO$1/$DY$1)),2)/2)/SQRT(2*PI())/($A$44*$EJ67*SQRT($EO$1/$DY$1)))</f>
        <v>-2.3366406882962064E-2</v>
      </c>
      <c r="ED67" s="63">
        <f t="shared" si="190"/>
        <v>-2141</v>
      </c>
      <c r="EE67" s="84">
        <f t="shared" si="234"/>
        <v>0.25</v>
      </c>
      <c r="EF67" s="84">
        <f t="shared" si="234"/>
        <v>0.94440000000000002</v>
      </c>
      <c r="EG67" s="84">
        <f t="shared" si="234"/>
        <v>0.22509999999999999</v>
      </c>
      <c r="EH67" s="84">
        <f t="shared" si="234"/>
        <v>0.2404</v>
      </c>
      <c r="EI67" s="84">
        <f t="shared" si="234"/>
        <v>0.19639999999999999</v>
      </c>
      <c r="EJ67" s="84">
        <f t="shared" si="234"/>
        <v>0.21410000000000001</v>
      </c>
      <c r="EK67" s="63">
        <f t="shared" ca="1" si="191"/>
        <v>9461267.5318211298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94.44%</v>
      </c>
      <c r="EN67" s="83" t="str">
        <f>RTD("tos.rtd",,EN$2,"."&amp;$A$43&amp;$AU$1&amp;"C"&amp;$A67)</f>
        <v>22.51%</v>
      </c>
      <c r="EO67" s="83" t="str">
        <f>RTD("tos.rtd",,EO$2,"."&amp;$A$43&amp;$AU$1&amp;"P"&amp;$A67)</f>
        <v>24.04%</v>
      </c>
      <c r="EP67" s="83" t="str">
        <f>RTD("tos.rtd",,EP$2,"."&amp;$A$43&amp;$AW$1&amp;"C"&amp;$A67)</f>
        <v>19.64%</v>
      </c>
      <c r="EQ67" s="83" t="str">
        <f>RTD("tos.rtd",,EQ$2,"."&amp;$A$43&amp;$AW$1&amp;"P"&amp;$A67)</f>
        <v>21.41%</v>
      </c>
      <c r="ES67" s="63" t="str">
        <f t="shared" si="172"/>
        <v>510,-2141.00</v>
      </c>
      <c r="ET67" s="63" t="str">
        <f t="shared" ca="1" si="173"/>
        <v>510,-192983.89</v>
      </c>
      <c r="EU67" s="67">
        <v>593.55999999999995</v>
      </c>
      <c r="EV67" s="67" t="s">
        <v>556</v>
      </c>
      <c r="EW67" s="67">
        <v>520</v>
      </c>
      <c r="EX67" s="67" t="s">
        <v>557</v>
      </c>
      <c r="EY67" s="67">
        <v>5945.5</v>
      </c>
      <c r="EZ67" s="67" t="s">
        <v>558</v>
      </c>
      <c r="FA67" s="67">
        <v>21345.25</v>
      </c>
      <c r="FB67" s="67" t="s">
        <v>559</v>
      </c>
      <c r="FC67" s="67" t="s">
        <v>560</v>
      </c>
      <c r="FD67" s="67" t="s">
        <v>561</v>
      </c>
      <c r="FE67" s="68" t="s">
        <v>562</v>
      </c>
      <c r="FF67" s="68" t="s">
        <v>563</v>
      </c>
    </row>
    <row r="68" spans="1:162" ht="13.5" thickBot="1" x14ac:dyDescent="0.25">
      <c r="A68" s="2">
        <f t="shared" si="192"/>
        <v>509</v>
      </c>
      <c r="B68" s="3">
        <f>+IF($A$1="ABS",AS68-AT68,AS68+AT68)</f>
        <v>3294</v>
      </c>
      <c r="C68" s="3">
        <f t="shared" si="143"/>
        <v>1286</v>
      </c>
      <c r="D68" s="3">
        <f>+IF($A$1="ABS",AW68-AX68,AW68+AX68)</f>
        <v>59</v>
      </c>
      <c r="E68" s="3">
        <f>SUM(B68:D68)</f>
        <v>4639</v>
      </c>
      <c r="F68" s="4">
        <f>+$F$44/$A$44*A68</f>
        <v>20982.548640378729</v>
      </c>
      <c r="AM68" s="1">
        <v>46</v>
      </c>
      <c r="AN68" s="1">
        <v>518</v>
      </c>
      <c r="AO68" s="1">
        <v>509</v>
      </c>
      <c r="AP68" s="1">
        <v>123</v>
      </c>
      <c r="AQ68" s="1">
        <v>-4258</v>
      </c>
      <c r="AS68" s="6">
        <f>IF(RTD("tos.rtd",,AS$43,"."&amp;$A$43&amp;$AS$42&amp;"C"&amp;$A68)="N/A",0,RTD("tos.rtd",,AS$43,"."&amp;$A$43&amp;$AS$42&amp;"C"&amp;$A68))</f>
        <v>409</v>
      </c>
      <c r="AT68" s="7">
        <f>-IF(RTD("tos.rtd",,AT$43,"."&amp;$A$43&amp;$AS$42&amp;"P"&amp;$A68)="N/A",0,RTD("tos.rtd",,AT$43,"."&amp;$A$43&amp;$AS$42&amp;"P"&amp;$A68))</f>
        <v>-2885</v>
      </c>
      <c r="AU68" s="6">
        <f>IF(RTD("tos.rtd",,AU$2,"."&amp;$A$43&amp;$AU$1&amp;"C"&amp;$A68)="N/A",0,RTD("tos.rtd",,AU$2,"."&amp;$A$43&amp;$AU$1&amp;"C"&amp;$A68))</f>
        <v>310</v>
      </c>
      <c r="AV68" s="7">
        <f>-IF(RTD("tos.rtd",,AV$2,"."&amp;$A$43&amp;$AU$1&amp;"P"&amp;$A68)="N/A",0,RTD("tos.rtd",,AV$2,"."&amp;$A$43&amp;$AU$1&amp;"P"&amp;$A68))</f>
        <v>-976</v>
      </c>
      <c r="AW68" s="6">
        <f>IF(RTD("tos.rtd",,AW$2,"."&amp;$A$43&amp;$AW$1&amp;"C"&amp;$A68)="N/A",0,RTD("tos.rtd",,AW$2,"."&amp;$A$43&amp;$AW$1&amp;"C"&amp;$A68))</f>
        <v>1</v>
      </c>
      <c r="AX68" s="7">
        <f>-IF(RTD("tos.rtd",,AX$2,"."&amp;$A$43&amp;$AW$1&amp;"P"&amp;$A68)="N/A",0,RTD("tos.rtd",,AX$2,"."&amp;$A$43&amp;$AW$1&amp;"P"&amp;$A68))</f>
        <v>-58</v>
      </c>
      <c r="AY68" s="7">
        <f>SUM(AS68:AX68)</f>
        <v>-3199</v>
      </c>
      <c r="AZ68" s="8">
        <f t="shared" si="146"/>
        <v>509</v>
      </c>
      <c r="BA68" s="6">
        <f>IF(RTD("tos.rtd",,BA$43,"."&amp;$A$43&amp;$AS$42&amp;"C"&amp;$A68)="N/A",0,RTD("tos.rtd",,BA$43,"."&amp;$A$43&amp;$AS$42&amp;"C"&amp;$A68))</f>
        <v>123</v>
      </c>
      <c r="BB68" s="7">
        <f>-IF(RTD("tos.rtd",,BB$43,"."&amp;$A$43&amp;$AS$42&amp;"P"&amp;$A68)="N/A",0,RTD("tos.rtd",,BB$43,"."&amp;$A$43&amp;$AS$42&amp;"P"&amp;$A68))</f>
        <v>-4258</v>
      </c>
      <c r="BC68" s="6">
        <f>IF(RTD("tos.rtd",,BC$2,"."&amp;$A$43&amp;$AU$1&amp;"C"&amp;$A68)="N/A",0,RTD("tos.rtd",,BC$2,"."&amp;$A$43&amp;$AU$1&amp;"C"&amp;$A68))</f>
        <v>33</v>
      </c>
      <c r="BD68" s="7">
        <f>-IF(RTD("tos.rtd",,BD$2,"."&amp;$A$43&amp;$AU$1&amp;"P"&amp;$A68)="N/A",0,RTD("tos.rtd",,BD$2,"."&amp;$A$43&amp;$AU$1&amp;"P"&amp;$A68))</f>
        <v>-2456</v>
      </c>
      <c r="BE68" s="6">
        <f>IF(RTD("tos.rtd",,BE$2,"."&amp;$A$43&amp;$AW$1&amp;"C"&amp;$A68)="N/A",0,RTD("tos.rtd",,BE$2,"."&amp;$A$43&amp;$AW$1&amp;"C"&amp;$A68))</f>
        <v>12</v>
      </c>
      <c r="BF68" s="7">
        <f>-IF(RTD("tos.rtd",,BF$2,"."&amp;$A$43&amp;$AW$1&amp;"P"&amp;$A68)="N/A",0,RTD("tos.rtd",,BF$2,"."&amp;$A$43&amp;$AW$1&amp;"P"&amp;$A68))</f>
        <v>-79</v>
      </c>
      <c r="BG68" s="32">
        <f ca="1">+Hoja2!Y69</f>
        <v>-6127</v>
      </c>
      <c r="BH68" s="7">
        <f t="shared" ca="1" si="175"/>
        <v>-12752</v>
      </c>
      <c r="BI68" s="8" t="str">
        <f t="shared" ca="1" si="193"/>
        <v/>
      </c>
      <c r="BJ68" s="83">
        <f ca="1">IF($BP$1=1,DX68,IF(RTD("tos.rtd",,BJ$43,"."&amp;$A$43&amp;$AS$42&amp;"C"&amp;$A68)="N/A",0,RTD("tos.rtd",,BJ$43,"."&amp;$A$43&amp;$AS$42&amp;"C"&amp;$A68)))</f>
        <v>1.309021445849613E-11</v>
      </c>
      <c r="BK68" s="83">
        <f ca="1">IF($BP$1=1,DY68,-IF(RTD("tos.rtd",,BK$43,"."&amp;$A$43&amp;$AS$42&amp;"P"&amp;$A68)="N/A",0,RTD("tos.rtd",,BK$43,"."&amp;$A$43&amp;$AS$42&amp;"P"&amp;$A68)))</f>
        <v>-1.5281750442061232E-2</v>
      </c>
      <c r="BL68" s="83">
        <f ca="1">IF($BP$1=1,DZ68,IF(RTD("tos.rtd",,BL$2,"."&amp;$A$43&amp;$AU$1&amp;"C"&amp;$A68)="N/A",0,RTD("tos.rtd",,BL$2,"."&amp;$A$43&amp;$AU$1&amp;"C"&amp;$A68)))</f>
        <v>2.0576461407803583E-2</v>
      </c>
      <c r="BM68" s="83">
        <f ca="1">IF($BP$1=1,EA68,-IF(RTD("tos.rtd",,BM$2,"."&amp;$A$43&amp;$AU$1&amp;"P"&amp;$A68)="N/A",0,RTD("tos.rtd",,BM$2,"."&amp;$A$43&amp;$AU$1&amp;"P"&amp;$A68)))</f>
        <v>-2.0977082078211823E-2</v>
      </c>
      <c r="BN68" s="83">
        <f ca="1">IF($BP$1=1,EB68,IF(RTD("tos.rtd",,BN$2,"."&amp;$A$43&amp;$AW$1&amp;"C"&amp;$A68)="N/A",0,RTD("tos.rtd",,BN$2,"."&amp;$A$43&amp;$AW$1&amp;"C"&amp;$A68)))</f>
        <v>2.1611576145393802E-2</v>
      </c>
      <c r="BO68" s="83">
        <f ca="1">IF($BP$1=1,EC68,-IF(RTD("tos.rtd",,BO$2,"."&amp;$A$43&amp;$AW$1&amp;"P"&amp;$A68)="N/A",0,RTD("tos.rtd",,BO$2,"."&amp;$A$43&amp;$AW$1&amp;"P"&amp;$A68)))</f>
        <v>-2.1635914441527983E-2</v>
      </c>
      <c r="BQ68" s="83">
        <f ca="1">+$A$44*$A$44*AS68*BJ68-$A$44*$A$44*AT68*BK68</f>
        <v>-11904395.676345015</v>
      </c>
      <c r="BR68" s="3" t="str">
        <f t="shared" ca="1" si="177"/>
        <v/>
      </c>
      <c r="BS68" s="83">
        <f ca="1">+$A$44*$A$44*AU68*BL68-$A$44*$A$44*AV68*BM68</f>
        <v>-3805847.0219349032</v>
      </c>
      <c r="BT68" s="3" t="str">
        <f t="shared" ca="1" si="179"/>
        <v/>
      </c>
      <c r="BU68" s="83">
        <f ca="1">+$A$44*$A$44*AW68*BN68-$A$44*$A$44*AX68*BO68</f>
        <v>-333002.20915614918</v>
      </c>
      <c r="BV68" s="83"/>
      <c r="BX68" s="83">
        <f ca="1">+$A$44*$A$44*BA68*BJ68-$A$44*$A$44*BB68*BK68</f>
        <v>-17569815.180165797</v>
      </c>
      <c r="BY68" s="83" t="str">
        <f t="shared" ca="1" si="194"/>
        <v/>
      </c>
      <c r="BZ68" s="83">
        <f ca="1">+$A$44*$A$44*BC68*BL68-$A$44*$A$44*BD68*BM68</f>
        <v>-13727766.135144239</v>
      </c>
      <c r="CA68" s="83" t="str">
        <f t="shared" ca="1" si="194"/>
        <v/>
      </c>
      <c r="CB68" s="83">
        <f ca="1">+$A$44*$A$44*BE68*BN68-$A$44*$A$44*BF68*BO68</f>
        <v>-391494.78527236939</v>
      </c>
      <c r="CC68" s="83" t="str">
        <f t="shared" ca="1" si="194"/>
        <v/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</v>
      </c>
      <c r="CF68" s="83">
        <f>IF(RTD("tos.rtd",,CF$2,"."&amp;$A$43&amp;$AU$1&amp;"C"&amp;$A68)="N/A",0,RTD("tos.rtd",,CF$2,"."&amp;$A$43&amp;$AU$1&amp;"C"&amp;$A68))</f>
        <v>0.82</v>
      </c>
      <c r="CG68" s="83">
        <f>-IF(RTD("tos.rtd",,CG$2,"."&amp;$A$43&amp;$AU$1&amp;"P"&amp;$A68)="N/A",0,RTD("tos.rtd",,CG$2,"."&amp;$A$43&amp;$AU$1&amp;"P"&amp;$A68))</f>
        <v>0.17</v>
      </c>
      <c r="CH68" s="83">
        <f>IF(RTD("tos.rtd",,CH$2,"."&amp;$A$43&amp;$AW$1&amp;"C"&amp;$A68)="N/A",0,RTD("tos.rtd",,CH$2,"."&amp;$A$43&amp;$AW$1&amp;"C"&amp;$A68))</f>
        <v>0.66</v>
      </c>
      <c r="CI68" s="83">
        <f>-IF(RTD("tos.rtd",,CI$2,"."&amp;$A$43&amp;$AW$1&amp;"P"&amp;$A68)="N/A",0,RTD("tos.rtd",,CI$2,"."&amp;$A$43&amp;$AW$1&amp;"P"&amp;$A68))</f>
        <v>0.34</v>
      </c>
      <c r="CK68" s="83">
        <f t="shared" si="184"/>
        <v>212528670</v>
      </c>
      <c r="CL68" s="83"/>
      <c r="CM68" s="83">
        <f t="shared" si="185"/>
        <v>4587293.6400000006</v>
      </c>
      <c r="CN68" s="83"/>
      <c r="CO68" s="83">
        <f t="shared" si="186"/>
        <v>-990414.78000000014</v>
      </c>
      <c r="CP68" s="83">
        <f>+CK68+CM68+CO68</f>
        <v>216125548.85999998</v>
      </c>
      <c r="CQ68" s="83">
        <f>+BA68+BB68</f>
        <v>-4135</v>
      </c>
      <c r="CR68" s="83"/>
      <c r="CS68" s="83">
        <f>+BC68+BD68</f>
        <v>-2423</v>
      </c>
      <c r="CT68" s="83"/>
      <c r="CU68" s="83">
        <f>+BE68+BF68</f>
        <v>-67</v>
      </c>
      <c r="CV68" s="83"/>
      <c r="CW68" s="83">
        <f ca="1">+BQ68+BS68+BU68</f>
        <v>-16043244.907436067</v>
      </c>
      <c r="CY68" s="83">
        <f ca="1">+BX68+BZ68+CB68</f>
        <v>-31689076.10058241</v>
      </c>
      <c r="CZ68" s="70" t="str">
        <f t="shared" ca="1" si="195"/>
        <v/>
      </c>
      <c r="DA68" s="83">
        <f>IF(RTD("tos.rtd",,DA$43,"."&amp;$A$43&amp;$AS$42&amp;"C"&amp;$A68)="N/A",0,RTD("tos.rtd",,DA$43,"."&amp;$A$43&amp;$AS$42&amp;"C"&amp;$A68))</f>
        <v>10.66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12.5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8.7200000000000006</v>
      </c>
      <c r="DF68" s="83">
        <f>IF(RTD("tos.rtd",,DF$43,"."&amp;$A$43&amp;$AS$42&amp;"P"&amp;$A68)="N/A",0,RTD("tos.rtd",,DF$43,"."&amp;$A$43&amp;$AS$42&amp;"P"&amp;$A68))</f>
        <v>0</v>
      </c>
      <c r="DG68" s="86">
        <f t="shared" si="187"/>
        <v>-10.629999999999995</v>
      </c>
      <c r="DH68" s="3">
        <f t="shared" si="152"/>
        <v>0</v>
      </c>
      <c r="DI68" s="3">
        <f t="shared" si="153"/>
        <v>0</v>
      </c>
      <c r="DJ68" s="3">
        <f t="shared" si="154"/>
        <v>0</v>
      </c>
      <c r="DK68" s="3">
        <f t="shared" si="155"/>
        <v>0</v>
      </c>
      <c r="DL68" s="3">
        <f t="shared" si="156"/>
        <v>0</v>
      </c>
      <c r="DM68" s="3">
        <f t="shared" si="157"/>
        <v>0</v>
      </c>
      <c r="DN68" s="64" t="str">
        <f t="shared" si="158"/>
        <v>UNKNOWN</v>
      </c>
      <c r="DO68" s="64" t="str">
        <f t="shared" si="159"/>
        <v>UNKNOWN</v>
      </c>
      <c r="DP68" s="83">
        <f t="shared" si="160"/>
        <v>0</v>
      </c>
      <c r="DQ68" s="83">
        <f t="shared" si="161"/>
        <v>0</v>
      </c>
      <c r="DR68" s="83">
        <f t="shared" ca="1" si="162"/>
        <v>0</v>
      </c>
      <c r="DS68" s="83">
        <f t="shared" si="163"/>
        <v>0</v>
      </c>
      <c r="DT68" s="83">
        <f t="shared" si="188"/>
        <v>0</v>
      </c>
      <c r="DU68" s="83">
        <f t="shared" si="189"/>
        <v>0</v>
      </c>
      <c r="DV68" s="83">
        <f t="shared" si="164"/>
        <v>46</v>
      </c>
      <c r="DW68" s="83">
        <f t="shared" si="165"/>
        <v>518</v>
      </c>
      <c r="DX68" s="83">
        <f ca="1">(EXP(-POWER((LN($A$44/$A68)+($EC$1+POWER($EE68,2)/2)*($EM$1/$DY$1))/($EE68*SQRT($EM$1/$DY$1)),2)/2)/SQRT(2*PI())/($A$44*$EE68*SQRT($EM$1/$DY$1)))</f>
        <v>1.309021445849613E-11</v>
      </c>
      <c r="DY68" s="83">
        <f ca="1">-(EXP(-POWER((LN($A$44/$A68)+($EC$1+POWER($EF68,2)/2)*($EM$1/$DY$1))/($EF68*SQRT($EM$1/$DY$1)),2)/2)/SQRT(2*PI())/($A$44*$EF68*SQRT($EM$1/$DY$1)))</f>
        <v>-1.5281750442061232E-2</v>
      </c>
      <c r="DZ68" s="83">
        <f ca="1">(EXP(-POWER((LN($A$44/$A68)+($EC$1+POWER($EG68,2)/2)*($EO$1/$DY$1))/($EG68*SQRT($EO$1/$DY$1)),2)/2)/SQRT(2*PI())/($A$44*$EG68*SQRT($EO$1/$DY$1)))</f>
        <v>2.0576461407803583E-2</v>
      </c>
      <c r="EA68" s="83">
        <f ca="1">-(EXP(-POWER((LN($A$44/$A68)+($EC$1+POWER($EH68,2)/2)*($EO$1/$DY$1))/($EH68*SQRT($EO$1/$DY$1)),2)/2)/SQRT(2*PI())/($A$44*$EH68*SQRT($EO$1/$DY$1)))</f>
        <v>-2.0977082078211823E-2</v>
      </c>
      <c r="EB68" s="83">
        <f ca="1">(EXP(-POWER((LN($A$44/$A68)+($EC$1+POWER($EI68,2)/2)*($EO$1/$DY$1))/($EI68*SQRT($EO$1/$DY$1)),2)/2)/SQRT(2*PI())/($A$44*$EI68*SQRT($EO$1/$DY$1)))</f>
        <v>2.1611576145393802E-2</v>
      </c>
      <c r="EC68" s="83">
        <f ca="1">-(EXP(-POWER((LN($A$44/$A68)+($EC$1+POWER($EJ68,2)/2)*($EO$1/$DY$1))/($EJ68*SQRT($EO$1/$DY$1)),2)/2)/SQRT(2*PI())/($A$44*$EJ68*SQRT($EO$1/$DY$1)))</f>
        <v>-2.1635914441527983E-2</v>
      </c>
      <c r="ED68" s="63">
        <f t="shared" si="190"/>
        <v>564</v>
      </c>
      <c r="EE68" s="84">
        <f t="shared" si="234"/>
        <v>0.25</v>
      </c>
      <c r="EF68" s="84">
        <f t="shared" si="234"/>
        <v>1.0327</v>
      </c>
      <c r="EG68" s="84">
        <f t="shared" si="234"/>
        <v>0.25600000000000001</v>
      </c>
      <c r="EH68" s="84">
        <f t="shared" si="234"/>
        <v>0.24310000000000001</v>
      </c>
      <c r="EI68" s="84">
        <f t="shared" si="234"/>
        <v>0.2165</v>
      </c>
      <c r="EJ68" s="84">
        <f t="shared" si="234"/>
        <v>0.215</v>
      </c>
      <c r="EK68" s="63">
        <f t="shared" ca="1" si="191"/>
        <v>-2137427.0227474817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103.27%</v>
      </c>
      <c r="EN68" s="83" t="str">
        <f>RTD("tos.rtd",,EN$2,"."&amp;$A$43&amp;$AU$1&amp;"C"&amp;$A68)</f>
        <v>25.60%</v>
      </c>
      <c r="EO68" s="83" t="str">
        <f>RTD("tos.rtd",,EO$2,"."&amp;$A$43&amp;$AU$1&amp;"P"&amp;$A68)</f>
        <v>24.31%</v>
      </c>
      <c r="EP68" s="83" t="str">
        <f>RTD("tos.rtd",,EP$2,"."&amp;$A$43&amp;$AW$1&amp;"C"&amp;$A68)</f>
        <v>21.65%</v>
      </c>
      <c r="EQ68" s="83" t="str">
        <f>RTD("tos.rtd",,EQ$2,"."&amp;$A$43&amp;$AW$1&amp;"P"&amp;$A68)</f>
        <v>21.50%</v>
      </c>
      <c r="ES68" s="63" t="str">
        <f t="shared" si="172"/>
        <v>509,564.00</v>
      </c>
      <c r="ET68" s="63" t="str">
        <f t="shared" ca="1" si="173"/>
        <v>509,-31689.08</v>
      </c>
      <c r="EU68" s="67">
        <v>593.49</v>
      </c>
      <c r="EV68" s="67" t="s">
        <v>564</v>
      </c>
      <c r="EW68" s="67">
        <v>519.99</v>
      </c>
      <c r="EX68" s="67" t="s">
        <v>565</v>
      </c>
      <c r="EY68" s="67">
        <v>5945</v>
      </c>
      <c r="EZ68" s="67" t="s">
        <v>566</v>
      </c>
      <c r="FA68" s="67">
        <v>21343</v>
      </c>
      <c r="FB68" s="67" t="s">
        <v>567</v>
      </c>
      <c r="FC68" s="67" t="s">
        <v>568</v>
      </c>
      <c r="FD68" s="67" t="s">
        <v>569</v>
      </c>
      <c r="FE68" s="68" t="s">
        <v>570</v>
      </c>
      <c r="FF68" s="68" t="s">
        <v>571</v>
      </c>
    </row>
    <row r="69" spans="1:162" ht="13.5" thickBot="1" x14ac:dyDescent="0.25">
      <c r="A69" s="2">
        <f t="shared" si="192"/>
        <v>508</v>
      </c>
      <c r="B69" s="3">
        <f>+IF($A$1="ABS",AS69-AT69,AS69+AT69)</f>
        <v>3304</v>
      </c>
      <c r="C69" s="3">
        <f t="shared" si="143"/>
        <v>3037</v>
      </c>
      <c r="D69" s="3">
        <f>+IF($A$1="ABS",AW69-AX69,AW69+AX69)</f>
        <v>65</v>
      </c>
      <c r="E69" s="3">
        <f>SUM(B69:D69)</f>
        <v>6406</v>
      </c>
      <c r="F69" s="4">
        <f>+$F$44/$A$44*A69</f>
        <v>20941.325558570519</v>
      </c>
      <c r="AM69" s="1">
        <v>-14</v>
      </c>
      <c r="AN69" s="1">
        <v>-352</v>
      </c>
      <c r="AO69" s="1">
        <v>508</v>
      </c>
      <c r="AP69" s="1">
        <v>73</v>
      </c>
      <c r="AQ69" s="1">
        <v>-5878</v>
      </c>
      <c r="AS69" s="6">
        <f>IF(RTD("tos.rtd",,AS$43,"."&amp;$A$43&amp;$AS$42&amp;"C"&amp;$A69)="N/A",0,RTD("tos.rtd",,AS$43,"."&amp;$A$43&amp;$AS$42&amp;"C"&amp;$A69))</f>
        <v>232</v>
      </c>
      <c r="AT69" s="7">
        <f>-IF(RTD("tos.rtd",,AT$43,"."&amp;$A$43&amp;$AS$42&amp;"P"&amp;$A69)="N/A",0,RTD("tos.rtd",,AT$43,"."&amp;$A$43&amp;$AS$42&amp;"P"&amp;$A69))</f>
        <v>-3072</v>
      </c>
      <c r="AU69" s="6">
        <f>IF(RTD("tos.rtd",,AU$2,"."&amp;$A$43&amp;$AU$1&amp;"C"&amp;$A69)="N/A",0,RTD("tos.rtd",,AU$2,"."&amp;$A$43&amp;$AU$1&amp;"C"&amp;$A69))</f>
        <v>489</v>
      </c>
      <c r="AV69" s="7">
        <f>-IF(RTD("tos.rtd",,AV$2,"."&amp;$A$43&amp;$AU$1&amp;"P"&amp;$A69)="N/A",0,RTD("tos.rtd",,AV$2,"."&amp;$A$43&amp;$AU$1&amp;"P"&amp;$A69))</f>
        <v>-2548</v>
      </c>
      <c r="AW69" s="6">
        <f>IF(RTD("tos.rtd",,AW$2,"."&amp;$A$43&amp;$AW$1&amp;"C"&amp;$A69)="N/A",0,RTD("tos.rtd",,AW$2,"."&amp;$A$43&amp;$AW$1&amp;"C"&amp;$A69))</f>
        <v>1</v>
      </c>
      <c r="AX69" s="7">
        <f>-IF(RTD("tos.rtd",,AX$2,"."&amp;$A$43&amp;$AW$1&amp;"P"&amp;$A69)="N/A",0,RTD("tos.rtd",,AX$2,"."&amp;$A$43&amp;$AW$1&amp;"P"&amp;$A69))</f>
        <v>-64</v>
      </c>
      <c r="AY69" s="7">
        <f>SUM(AS69:AX69)</f>
        <v>-4962</v>
      </c>
      <c r="AZ69" s="8">
        <f t="shared" si="146"/>
        <v>508</v>
      </c>
      <c r="BA69" s="6">
        <f>IF(RTD("tos.rtd",,BA$43,"."&amp;$A$43&amp;$AS$42&amp;"C"&amp;$A69)="N/A",0,RTD("tos.rtd",,BA$43,"."&amp;$A$43&amp;$AS$42&amp;"C"&amp;$A69))</f>
        <v>73</v>
      </c>
      <c r="BB69" s="7">
        <f>-IF(RTD("tos.rtd",,BB$43,"."&amp;$A$43&amp;$AS$42&amp;"P"&amp;$A69)="N/A",0,RTD("tos.rtd",,BB$43,"."&amp;$A$43&amp;$AS$42&amp;"P"&amp;$A69))</f>
        <v>-5878</v>
      </c>
      <c r="BC69" s="6">
        <f>IF(RTD("tos.rtd",,BC$2,"."&amp;$A$43&amp;$AU$1&amp;"C"&amp;$A69)="N/A",0,RTD("tos.rtd",,BC$2,"."&amp;$A$43&amp;$AU$1&amp;"C"&amp;$A69))</f>
        <v>35</v>
      </c>
      <c r="BD69" s="7">
        <f>-IF(RTD("tos.rtd",,BD$2,"."&amp;$A$43&amp;$AU$1&amp;"P"&amp;$A69)="N/A",0,RTD("tos.rtd",,BD$2,"."&amp;$A$43&amp;$AU$1&amp;"P"&amp;$A69))</f>
        <v>-2484</v>
      </c>
      <c r="BE69" s="6">
        <f>IF(RTD("tos.rtd",,BE$2,"."&amp;$A$43&amp;$AW$1&amp;"C"&amp;$A69)="N/A",0,RTD("tos.rtd",,BE$2,"."&amp;$A$43&amp;$AW$1&amp;"C"&amp;$A69))</f>
        <v>0</v>
      </c>
      <c r="BF69" s="7">
        <f>-IF(RTD("tos.rtd",,BF$2,"."&amp;$A$43&amp;$AW$1&amp;"P"&amp;$A69)="N/A",0,RTD("tos.rtd",,BF$2,"."&amp;$A$43&amp;$AW$1&amp;"P"&amp;$A69))</f>
        <v>-46</v>
      </c>
      <c r="BG69" s="32">
        <f ca="1">+Hoja2!Y70</f>
        <v>-7238</v>
      </c>
      <c r="BH69" s="7">
        <f t="shared" ca="1" si="175"/>
        <v>-15538</v>
      </c>
      <c r="BI69" s="8" t="str">
        <f t="shared" ca="1" si="193"/>
        <v/>
      </c>
      <c r="BJ69" s="83">
        <f ca="1">IF($BP$1=1,DX69,IF(RTD("tos.rtd",,BJ$43,"."&amp;$A$43&amp;$AS$42&amp;"C"&amp;$A69)="N/A",0,RTD("tos.rtd",,BJ$43,"."&amp;$A$43&amp;$AS$42&amp;"C"&amp;$A69)))</f>
        <v>1.1659412747611414E-13</v>
      </c>
      <c r="BK69" s="83">
        <f ca="1">IF($BP$1=1,DY69,-IF(RTD("tos.rtd",,BK$43,"."&amp;$A$43&amp;$AS$42&amp;"P"&amp;$A69)="N/A",0,RTD("tos.rtd",,BK$43,"."&amp;$A$43&amp;$AS$42&amp;"P"&amp;$A69)))</f>
        <v>-1.3709897652739814E-2</v>
      </c>
      <c r="BL69" s="83">
        <f ca="1">IF($BP$1=1,DZ69,IF(RTD("tos.rtd",,BL$2,"."&amp;$A$43&amp;$AU$1&amp;"C"&amp;$A69)="N/A",0,RTD("tos.rtd",,BL$2,"."&amp;$A$43&amp;$AU$1&amp;"C"&amp;$A69)))</f>
        <v>1.8195279610475647E-2</v>
      </c>
      <c r="BM69" s="83">
        <f ca="1">IF($BP$1=1,EA69,-IF(RTD("tos.rtd",,BM$2,"."&amp;$A$43&amp;$AU$1&amp;"P"&amp;$A69)="N/A",0,RTD("tos.rtd",,BM$2,"."&amp;$A$43&amp;$AU$1&amp;"P"&amp;$A69)))</f>
        <v>-1.959930986512699E-2</v>
      </c>
      <c r="BN69" s="83">
        <f ca="1">IF($BP$1=1,EB69,IF(RTD("tos.rtd",,BN$2,"."&amp;$A$43&amp;$AW$1&amp;"C"&amp;$A69)="N/A",0,RTD("tos.rtd",,BN$2,"."&amp;$A$43&amp;$AW$1&amp;"C"&amp;$A69)))</f>
        <v>1.9906100372765516E-2</v>
      </c>
      <c r="BO69" s="83">
        <f ca="1">IF($BP$1=1,EC69,-IF(RTD("tos.rtd",,BO$2,"."&amp;$A$43&amp;$AW$1&amp;"P"&amp;$A69)="N/A",0,RTD("tos.rtd",,BO$2,"."&amp;$A$43&amp;$AW$1&amp;"P"&amp;$A69)))</f>
        <v>-1.9910674525612602E-2</v>
      </c>
      <c r="BQ69" s="83">
        <f ca="1">+$A$44*$A$44*AS69*BJ69-$A$44*$A$44*AT69*BK69</f>
        <v>-11372183.450316848</v>
      </c>
      <c r="BR69" s="3" t="str">
        <f t="shared" ca="1" si="177"/>
        <v/>
      </c>
      <c r="BS69" s="83">
        <f ca="1">+$A$44*$A$44*AU69*BL69-$A$44*$A$44*AV69*BM69</f>
        <v>-11081847.897986896</v>
      </c>
      <c r="BT69" s="3" t="str">
        <f t="shared" ca="1" si="179"/>
        <v/>
      </c>
      <c r="BU69" s="83">
        <f ca="1">+$A$44*$A$44*AW69*BN69-$A$44*$A$44*AX69*BO69</f>
        <v>-338701.04695761268</v>
      </c>
      <c r="BV69" s="83"/>
      <c r="BX69" s="83">
        <f ca="1">+$A$44*$A$44*BA69*BJ69-$A$44*$A$44*BB69*BK69</f>
        <v>-21759666.120116636</v>
      </c>
      <c r="BY69" s="83" t="str">
        <f t="shared" ca="1" si="194"/>
        <v/>
      </c>
      <c r="BZ69" s="83">
        <f ca="1">+$A$44*$A$44*BC69*BL69-$A$44*$A$44*BD69*BM69</f>
        <v>-12973656.653109128</v>
      </c>
      <c r="CA69" s="83" t="str">
        <f t="shared" ca="1" si="194"/>
        <v/>
      </c>
      <c r="CB69" s="83">
        <f ca="1">+$A$44*$A$44*BE69*BN69-$A$44*$A$44*BF69*BO69</f>
        <v>-247304.62453721859</v>
      </c>
      <c r="CC69" s="83" t="str">
        <f t="shared" ca="1" si="194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0.8</v>
      </c>
      <c r="CG69" s="83">
        <f>-IF(RTD("tos.rtd",,CG$2,"."&amp;$A$43&amp;$AU$1&amp;"P"&amp;$A69)="N/A",0,RTD("tos.rtd",,CG$2,"."&amp;$A$43&amp;$AU$1&amp;"P"&amp;$A69))</f>
        <v>0.15</v>
      </c>
      <c r="CH69" s="83">
        <f>IF(RTD("tos.rtd",,CH$2,"."&amp;$A$43&amp;$AW$1&amp;"C"&amp;$A69)="N/A",0,RTD("tos.rtd",,CH$2,"."&amp;$A$43&amp;$AW$1&amp;"C"&amp;$A69))</f>
        <v>0.67</v>
      </c>
      <c r="CI69" s="83">
        <f>-IF(RTD("tos.rtd",,CI$2,"."&amp;$A$43&amp;$AW$1&amp;"P"&amp;$A69)="N/A",0,RTD("tos.rtd",,CI$2,"."&amp;$A$43&amp;$AW$1&amp;"P"&amp;$A69))</f>
        <v>0.33</v>
      </c>
      <c r="CK69" s="83">
        <f t="shared" si="184"/>
        <v>120554160</v>
      </c>
      <c r="CL69" s="83"/>
      <c r="CM69" s="83">
        <f t="shared" si="185"/>
        <v>467667.00000000373</v>
      </c>
      <c r="CN69" s="83"/>
      <c r="CO69" s="83">
        <f t="shared" si="186"/>
        <v>-1062643.3500000001</v>
      </c>
      <c r="CP69" s="83">
        <f>+CK69+CM69+CO69</f>
        <v>119959183.65000001</v>
      </c>
      <c r="CQ69" s="83">
        <f>+BA69+BB69</f>
        <v>-5805</v>
      </c>
      <c r="CR69" s="83"/>
      <c r="CS69" s="83">
        <f>+BC69+BD69</f>
        <v>-2449</v>
      </c>
      <c r="CT69" s="83"/>
      <c r="CU69" s="83">
        <f>+BE69+BF69</f>
        <v>-46</v>
      </c>
      <c r="CV69" s="83"/>
      <c r="CW69" s="83">
        <f ca="1">+BQ69+BS69+BU69</f>
        <v>-22792732.395261355</v>
      </c>
      <c r="CY69" s="83">
        <f ca="1">+BX69+BZ69+CB69</f>
        <v>-34980627.397762984</v>
      </c>
      <c r="CZ69" s="70" t="str">
        <f t="shared" ca="1" si="195"/>
        <v/>
      </c>
      <c r="DA69" s="83">
        <f>IF(RTD("tos.rtd",,DA$43,"."&amp;$A$43&amp;$AS$42&amp;"C"&amp;$A69)="N/A",0,RTD("tos.rtd",,DA$43,"."&amp;$A$43&amp;$AS$42&amp;"C"&amp;$A69))</f>
        <v>11.07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13.5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9.73</v>
      </c>
      <c r="DF69" s="83">
        <f>IF(RTD("tos.rtd",,DF$43,"."&amp;$A$43&amp;$AS$42&amp;"P"&amp;$A69)="N/A",0,RTD("tos.rtd",,DF$43,"."&amp;$A$43&amp;$AS$42&amp;"P"&amp;$A69))</f>
        <v>0</v>
      </c>
      <c r="DG69" s="86">
        <f t="shared" si="187"/>
        <v>-11.629999999999995</v>
      </c>
      <c r="DH69" s="3">
        <f t="shared" si="152"/>
        <v>0</v>
      </c>
      <c r="DI69" s="3">
        <f t="shared" si="153"/>
        <v>0</v>
      </c>
      <c r="DJ69" s="3">
        <f t="shared" si="154"/>
        <v>0</v>
      </c>
      <c r="DK69" s="3">
        <f t="shared" si="155"/>
        <v>0</v>
      </c>
      <c r="DL69" s="3">
        <f t="shared" si="156"/>
        <v>0</v>
      </c>
      <c r="DM69" s="3">
        <f t="shared" si="157"/>
        <v>0</v>
      </c>
      <c r="DN69" s="64" t="str">
        <f t="shared" si="158"/>
        <v>UNKNOWN</v>
      </c>
      <c r="DO69" s="64" t="str">
        <f t="shared" si="159"/>
        <v>UNKNOWN</v>
      </c>
      <c r="DP69" s="83">
        <f t="shared" si="160"/>
        <v>0</v>
      </c>
      <c r="DQ69" s="83">
        <f t="shared" si="161"/>
        <v>0</v>
      </c>
      <c r="DR69" s="83">
        <f t="shared" ca="1" si="162"/>
        <v>0</v>
      </c>
      <c r="DS69" s="83">
        <f t="shared" si="163"/>
        <v>0</v>
      </c>
      <c r="DT69" s="83">
        <f t="shared" si="188"/>
        <v>0</v>
      </c>
      <c r="DU69" s="83">
        <f t="shared" si="189"/>
        <v>0</v>
      </c>
      <c r="DV69" s="83">
        <f t="shared" si="164"/>
        <v>-14</v>
      </c>
      <c r="DW69" s="83">
        <f t="shared" si="165"/>
        <v>-352</v>
      </c>
      <c r="DX69" s="83">
        <f ca="1">(EXP(-POWER((LN($A$44/$A69)+($EC$1+POWER($EE69,2)/2)*($EM$1/$DY$1))/($EE69*SQRT($EM$1/$DY$1)),2)/2)/SQRT(2*PI())/($A$44*$EE69*SQRT($EM$1/$DY$1)))</f>
        <v>1.1659412747611414E-13</v>
      </c>
      <c r="DY69" s="83">
        <f ca="1">-(EXP(-POWER((LN($A$44/$A69)+($EC$1+POWER($EF69,2)/2)*($EM$1/$DY$1))/($EF69*SQRT($EM$1/$DY$1)),2)/2)/SQRT(2*PI())/($A$44*$EF69*SQRT($EM$1/$DY$1)))</f>
        <v>-1.3709897652739814E-2</v>
      </c>
      <c r="DZ69" s="83">
        <f ca="1">(EXP(-POWER((LN($A$44/$A69)+($EC$1+POWER($EG69,2)/2)*($EO$1/$DY$1))/($EG69*SQRT($EO$1/$DY$1)),2)/2)/SQRT(2*PI())/($A$44*$EG69*SQRT($EO$1/$DY$1)))</f>
        <v>1.8195279610475647E-2</v>
      </c>
      <c r="EA69" s="83">
        <f ca="1">-(EXP(-POWER((LN($A$44/$A69)+($EC$1+POWER($EH69,2)/2)*($EO$1/$DY$1))/($EH69*SQRT($EO$1/$DY$1)),2)/2)/SQRT(2*PI())/($A$44*$EH69*SQRT($EO$1/$DY$1)))</f>
        <v>-1.959930986512699E-2</v>
      </c>
      <c r="EB69" s="83">
        <f ca="1">(EXP(-POWER((LN($A$44/$A69)+($EC$1+POWER($EI69,2)/2)*($EO$1/$DY$1))/($EI69*SQRT($EO$1/$DY$1)),2)/2)/SQRT(2*PI())/($A$44*$EI69*SQRT($EO$1/$DY$1)))</f>
        <v>1.9906100372765516E-2</v>
      </c>
      <c r="EC69" s="83">
        <f ca="1">-(EXP(-POWER((LN($A$44/$A69)+($EC$1+POWER($EJ69,2)/2)*($EO$1/$DY$1))/($EJ69*SQRT($EO$1/$DY$1)),2)/2)/SQRT(2*PI())/($A$44*$EJ69*SQRT($EO$1/$DY$1)))</f>
        <v>-1.9910674525612602E-2</v>
      </c>
      <c r="ED69" s="63">
        <f t="shared" si="190"/>
        <v>-366</v>
      </c>
      <c r="EE69" s="84">
        <f t="shared" si="234"/>
        <v>0.25</v>
      </c>
      <c r="EF69" s="84">
        <f t="shared" si="234"/>
        <v>1.1205000000000001</v>
      </c>
      <c r="EG69" s="84">
        <f t="shared" si="234"/>
        <v>0.30130000000000001</v>
      </c>
      <c r="EH69" s="84">
        <f t="shared" si="234"/>
        <v>0.24610000000000001</v>
      </c>
      <c r="EI69" s="84">
        <f t="shared" si="234"/>
        <v>0.21920000000000001</v>
      </c>
      <c r="EJ69" s="84">
        <f t="shared" si="234"/>
        <v>0.2157</v>
      </c>
      <c r="EK69" s="63">
        <f t="shared" ca="1" si="191"/>
        <v>1303062.6870158683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112.05%</v>
      </c>
      <c r="EN69" s="83" t="str">
        <f>RTD("tos.rtd",,EN$2,"."&amp;$A$43&amp;$AU$1&amp;"C"&amp;$A69)</f>
        <v>30.13%</v>
      </c>
      <c r="EO69" s="83" t="str">
        <f>RTD("tos.rtd",,EO$2,"."&amp;$A$43&amp;$AU$1&amp;"P"&amp;$A69)</f>
        <v>24.61%</v>
      </c>
      <c r="EP69" s="83" t="str">
        <f>RTD("tos.rtd",,EP$2,"."&amp;$A$43&amp;$AW$1&amp;"C"&amp;$A69)</f>
        <v>21.92%</v>
      </c>
      <c r="EQ69" s="83" t="str">
        <f>RTD("tos.rtd",,EQ$2,"."&amp;$A$43&amp;$AW$1&amp;"P"&amp;$A69)</f>
        <v>21.57%</v>
      </c>
      <c r="ES69" s="63" t="str">
        <f t="shared" si="172"/>
        <v>508,-366.00</v>
      </c>
      <c r="ET69" s="63" t="str">
        <f t="shared" ca="1" si="173"/>
        <v>508,-34980.63</v>
      </c>
      <c r="EU69" s="67">
        <v>593.46</v>
      </c>
      <c r="EV69" s="67" t="s">
        <v>572</v>
      </c>
      <c r="EW69" s="67">
        <v>519.94000000000005</v>
      </c>
      <c r="EX69" s="67" t="s">
        <v>573</v>
      </c>
      <c r="EY69" s="67">
        <v>5944.75</v>
      </c>
      <c r="EZ69" s="67" t="s">
        <v>574</v>
      </c>
      <c r="FA69" s="67">
        <v>21341.75</v>
      </c>
      <c r="FB69" s="67" t="s">
        <v>575</v>
      </c>
      <c r="FC69" s="67" t="s">
        <v>576</v>
      </c>
      <c r="FD69" s="67" t="s">
        <v>577</v>
      </c>
      <c r="FE69" s="68" t="s">
        <v>578</v>
      </c>
      <c r="FF69" s="68" t="s">
        <v>579</v>
      </c>
    </row>
    <row r="70" spans="1:162" ht="13.5" thickBot="1" x14ac:dyDescent="0.25">
      <c r="A70" s="2">
        <f t="shared" si="192"/>
        <v>507</v>
      </c>
      <c r="B70" s="3">
        <f t="shared" si="142"/>
        <v>1886</v>
      </c>
      <c r="C70" s="3">
        <f t="shared" si="143"/>
        <v>3079</v>
      </c>
      <c r="D70" s="3">
        <f t="shared" si="144"/>
        <v>266</v>
      </c>
      <c r="E70" s="3">
        <f t="shared" si="145"/>
        <v>5231</v>
      </c>
      <c r="F70" s="4">
        <f t="shared" si="196"/>
        <v>20900.102476762309</v>
      </c>
      <c r="AM70" s="1">
        <v>28</v>
      </c>
      <c r="AN70" s="1">
        <v>1500</v>
      </c>
      <c r="AO70" s="1">
        <v>507</v>
      </c>
      <c r="AP70" s="1">
        <v>110</v>
      </c>
      <c r="AQ70" s="1">
        <v>-4582</v>
      </c>
      <c r="AS70" s="6">
        <f>IF(RTD("tos.rtd",,AS$43,"."&amp;$A$43&amp;$AS$42&amp;"C"&amp;$A70)="N/A",0,RTD("tos.rtd",,AS$43,"."&amp;$A$43&amp;$AS$42&amp;"C"&amp;$A70))</f>
        <v>225</v>
      </c>
      <c r="AT70" s="7">
        <f>-IF(RTD("tos.rtd",,AT$43,"."&amp;$A$43&amp;$AS$42&amp;"P"&amp;$A70)="N/A",0,RTD("tos.rtd",,AT$43,"."&amp;$A$43&amp;$AS$42&amp;"P"&amp;$A70))</f>
        <v>-1661</v>
      </c>
      <c r="AU70" s="6">
        <f>IF(RTD("tos.rtd",,AU$2,"."&amp;$A$43&amp;$AU$1&amp;"C"&amp;$A70)="N/A",0,RTD("tos.rtd",,AU$2,"."&amp;$A$43&amp;$AU$1&amp;"C"&amp;$A70))</f>
        <v>754</v>
      </c>
      <c r="AV70" s="7">
        <f>-IF(RTD("tos.rtd",,AV$2,"."&amp;$A$43&amp;$AU$1&amp;"P"&amp;$A70)="N/A",0,RTD("tos.rtd",,AV$2,"."&amp;$A$43&amp;$AU$1&amp;"P"&amp;$A70))</f>
        <v>-2325</v>
      </c>
      <c r="AW70" s="6">
        <f>IF(RTD("tos.rtd",,AW$2,"."&amp;$A$43&amp;$AW$1&amp;"C"&amp;$A70)="N/A",0,RTD("tos.rtd",,AW$2,"."&amp;$A$43&amp;$AW$1&amp;"C"&amp;$A70))</f>
        <v>8</v>
      </c>
      <c r="AX70" s="7">
        <f>-IF(RTD("tos.rtd",,AX$2,"."&amp;$A$43&amp;$AW$1&amp;"P"&amp;$A70)="N/A",0,RTD("tos.rtd",,AX$2,"."&amp;$A$43&amp;$AW$1&amp;"P"&amp;$A70))</f>
        <v>-258</v>
      </c>
      <c r="AY70" s="7">
        <f t="shared" si="174"/>
        <v>-3257</v>
      </c>
      <c r="AZ70" s="8">
        <f t="shared" si="146"/>
        <v>507</v>
      </c>
      <c r="BA70" s="6">
        <f>IF(RTD("tos.rtd",,BA$43,"."&amp;$A$43&amp;$AS$42&amp;"C"&amp;$A70)="N/A",0,RTD("tos.rtd",,BA$43,"."&amp;$A$43&amp;$AS$42&amp;"C"&amp;$A70))</f>
        <v>110</v>
      </c>
      <c r="BB70" s="7">
        <f>-IF(RTD("tos.rtd",,BB$43,"."&amp;$A$43&amp;$AS$42&amp;"P"&amp;$A70)="N/A",0,RTD("tos.rtd",,BB$43,"."&amp;$A$43&amp;$AS$42&amp;"P"&amp;$A70))</f>
        <v>-4582</v>
      </c>
      <c r="BC70" s="6">
        <f>IF(RTD("tos.rtd",,BC$2,"."&amp;$A$43&amp;$AU$1&amp;"C"&amp;$A70)="N/A",0,RTD("tos.rtd",,BC$2,"."&amp;$A$43&amp;$AU$1&amp;"C"&amp;$A70))</f>
        <v>54</v>
      </c>
      <c r="BD70" s="7">
        <f>-IF(RTD("tos.rtd",,BD$2,"."&amp;$A$43&amp;$AU$1&amp;"P"&amp;$A70)="N/A",0,RTD("tos.rtd",,BD$2,"."&amp;$A$43&amp;$AU$1&amp;"P"&amp;$A70))</f>
        <v>-1517</v>
      </c>
      <c r="BE70" s="6">
        <f>IF(RTD("tos.rtd",,BE$2,"."&amp;$A$43&amp;$AW$1&amp;"C"&amp;$A70)="N/A",0,RTD("tos.rtd",,BE$2,"."&amp;$A$43&amp;$AW$1&amp;"C"&amp;$A70))</f>
        <v>3</v>
      </c>
      <c r="BF70" s="7">
        <f>-IF(RTD("tos.rtd",,BF$2,"."&amp;$A$43&amp;$AW$1&amp;"P"&amp;$A70)="N/A",0,RTD("tos.rtd",,BF$2,"."&amp;$A$43&amp;$AW$1&amp;"P"&amp;$A70))</f>
        <v>-30</v>
      </c>
      <c r="BG70" s="32">
        <f ca="1">+Hoja2!Y71</f>
        <v>-3778</v>
      </c>
      <c r="BH70" s="7">
        <f t="shared" ca="1" si="175"/>
        <v>-9740</v>
      </c>
      <c r="BI70" s="8" t="str">
        <f t="shared" ca="1" si="193"/>
        <v/>
      </c>
      <c r="BJ70" s="83">
        <f ca="1">IF($BP$1=1,DX70,IF(RTD("tos.rtd",,BJ$43,"."&amp;$A$43&amp;$AS$42&amp;"C"&amp;$A70)="N/A",0,RTD("tos.rtd",,BJ$43,"."&amp;$A$43&amp;$AS$42&amp;"C"&amp;$A70)))</f>
        <v>6.6940862329994126E-16</v>
      </c>
      <c r="BK70" s="83">
        <f ca="1">IF($BP$1=1,DY70,-IF(RTD("tos.rtd",,BK$43,"."&amp;$A$43&amp;$AS$42&amp;"P"&amp;$A70)="N/A",0,RTD("tos.rtd",,BK$43,"."&amp;$A$43&amp;$AS$42&amp;"P"&amp;$A70)))</f>
        <v>-1.2402912409247556E-2</v>
      </c>
      <c r="BL70" s="83">
        <f ca="1">IF($BP$1=1,DZ70,IF(RTD("tos.rtd",,BL$2,"."&amp;$A$43&amp;$AU$1&amp;"C"&amp;$A70)="N/A",0,RTD("tos.rtd",,BL$2,"."&amp;$A$43&amp;$AU$1&amp;"C"&amp;$A70)))</f>
        <v>1.8250115206519806E-2</v>
      </c>
      <c r="BM70" s="83">
        <f ca="1">IF($BP$1=1,EA70,-IF(RTD("tos.rtd",,BM$2,"."&amp;$A$43&amp;$AU$1&amp;"P"&amp;$A70)="N/A",0,RTD("tos.rtd",,BM$2,"."&amp;$A$43&amp;$AU$1&amp;"P"&amp;$A70)))</f>
        <v>-1.8264121137693122E-2</v>
      </c>
      <c r="BN70" s="83">
        <f ca="1">IF($BP$1=1,EB70,IF(RTD("tos.rtd",,BN$2,"."&amp;$A$43&amp;$AW$1&amp;"C"&amp;$A70)="N/A",0,RTD("tos.rtd",,BN$2,"."&amp;$A$43&amp;$AW$1&amp;"C"&amp;$A70)))</f>
        <v>1.8247399501123484E-2</v>
      </c>
      <c r="BO70" s="83">
        <f ca="1">IF($BP$1=1,EC70,-IF(RTD("tos.rtd",,BO$2,"."&amp;$A$43&amp;$AW$1&amp;"P"&amp;$A70)="N/A",0,RTD("tos.rtd",,BO$2,"."&amp;$A$43&amp;$AW$1&amp;"P"&amp;$A70)))</f>
        <v>-1.8219702166288643E-2</v>
      </c>
      <c r="BQ70" s="83">
        <f t="shared" ca="1" si="176"/>
        <v>-5562650.0872948049</v>
      </c>
      <c r="BR70" s="3" t="str">
        <f t="shared" ca="1" si="177"/>
        <v/>
      </c>
      <c r="BS70" s="83">
        <f t="shared" ca="1" si="178"/>
        <v>-7750383.8130726367</v>
      </c>
      <c r="BT70" s="3" t="str">
        <f t="shared" ca="1" si="179"/>
        <v/>
      </c>
      <c r="BU70" s="83">
        <f t="shared" ca="1" si="180"/>
        <v>-1229839.9250204486</v>
      </c>
      <c r="BV70" s="83"/>
      <c r="BX70" s="83">
        <f t="shared" ca="1" si="181"/>
        <v>-15345010.656222126</v>
      </c>
      <c r="BY70" s="83" t="str">
        <f t="shared" ca="1" si="194"/>
        <v/>
      </c>
      <c r="BZ70" s="83">
        <f t="shared" ca="1" si="182"/>
        <v>-7215124.5169205107</v>
      </c>
      <c r="CA70" s="83" t="str">
        <f t="shared" ca="1" si="194"/>
        <v/>
      </c>
      <c r="CB70" s="83">
        <f t="shared" ca="1" si="183"/>
        <v>-132806.73738790836</v>
      </c>
      <c r="CC70" s="83" t="str">
        <f t="shared" ca="1" si="194"/>
        <v/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0.87</v>
      </c>
      <c r="CG70" s="83">
        <f>-IF(RTD("tos.rtd",,CG$2,"."&amp;$A$43&amp;$AU$1&amp;"P"&amp;$A70)="N/A",0,RTD("tos.rtd",,CG$2,"."&amp;$A$43&amp;$AU$1&amp;"P"&amp;$A70))</f>
        <v>0.13</v>
      </c>
      <c r="CH70" s="83">
        <f>IF(RTD("tos.rtd",,CH$2,"."&amp;$A$43&amp;$AW$1&amp;"C"&amp;$A70)="N/A",0,RTD("tos.rtd",,CH$2,"."&amp;$A$43&amp;$AW$1&amp;"C"&amp;$A70))</f>
        <v>0.68</v>
      </c>
      <c r="CI70" s="83">
        <f>-IF(RTD("tos.rtd",,CI$2,"."&amp;$A$43&amp;$AW$1&amp;"P"&amp;$A70)="N/A",0,RTD("tos.rtd",,CI$2,"."&amp;$A$43&amp;$AW$1&amp;"P"&amp;$A70))</f>
        <v>0.32</v>
      </c>
      <c r="CK70" s="83">
        <f t="shared" si="184"/>
        <v>116916750</v>
      </c>
      <c r="CL70" s="83"/>
      <c r="CM70" s="83">
        <f t="shared" si="185"/>
        <v>18380871.990000002</v>
      </c>
      <c r="CN70" s="83"/>
      <c r="CO70" s="83">
        <f t="shared" si="186"/>
        <v>-4007386.5600000005</v>
      </c>
      <c r="CP70" s="83">
        <f t="shared" si="137"/>
        <v>131290235.43000001</v>
      </c>
      <c r="CQ70" s="83">
        <f t="shared" si="147"/>
        <v>-4472</v>
      </c>
      <c r="CR70" s="83"/>
      <c r="CS70" s="83">
        <f t="shared" si="148"/>
        <v>-1463</v>
      </c>
      <c r="CT70" s="83"/>
      <c r="CU70" s="83">
        <f t="shared" si="149"/>
        <v>-27</v>
      </c>
      <c r="CV70" s="83"/>
      <c r="CW70" s="83">
        <f t="shared" ca="1" si="150"/>
        <v>-14542873.825387891</v>
      </c>
      <c r="CY70" s="83">
        <f t="shared" ca="1" si="151"/>
        <v>-22692941.910530541</v>
      </c>
      <c r="CZ70" s="70" t="str">
        <f t="shared" ca="1" si="195"/>
        <v/>
      </c>
      <c r="DA70" s="83">
        <f>IF(RTD("tos.rtd",,DA$43,"."&amp;$A$43&amp;$AS$42&amp;"C"&amp;$A70)="N/A",0,RTD("tos.rtd",,DA$43,"."&amp;$A$43&amp;$AS$42&amp;"C"&amp;$A70))</f>
        <v>12.08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14.5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10.73</v>
      </c>
      <c r="DF70" s="83">
        <f>IF(RTD("tos.rtd",,DF$43,"."&amp;$A$43&amp;$AS$42&amp;"P"&amp;$A70)="N/A",0,RTD("tos.rtd",,DF$43,"."&amp;$A$43&amp;$AS$42&amp;"P"&amp;$A70))</f>
        <v>0</v>
      </c>
      <c r="DG70" s="86">
        <f t="shared" si="187"/>
        <v>-12.629999999999995</v>
      </c>
      <c r="DH70" s="3">
        <f t="shared" si="152"/>
        <v>0</v>
      </c>
      <c r="DI70" s="3">
        <f t="shared" si="153"/>
        <v>0</v>
      </c>
      <c r="DJ70" s="3">
        <f t="shared" si="154"/>
        <v>0</v>
      </c>
      <c r="DK70" s="3">
        <f t="shared" si="155"/>
        <v>0</v>
      </c>
      <c r="DL70" s="3">
        <f t="shared" si="156"/>
        <v>0</v>
      </c>
      <c r="DM70" s="3">
        <f t="shared" si="157"/>
        <v>0</v>
      </c>
      <c r="DN70" s="64" t="str">
        <f t="shared" si="158"/>
        <v>UNKNOWN</v>
      </c>
      <c r="DO70" s="64" t="str">
        <f t="shared" si="159"/>
        <v>UNKNOWN</v>
      </c>
      <c r="DP70" s="83">
        <f t="shared" si="160"/>
        <v>0</v>
      </c>
      <c r="DQ70" s="83">
        <f t="shared" si="161"/>
        <v>0</v>
      </c>
      <c r="DR70" s="83">
        <f t="shared" ca="1" si="162"/>
        <v>0</v>
      </c>
      <c r="DS70" s="83">
        <f t="shared" si="163"/>
        <v>0</v>
      </c>
      <c r="DT70" s="83">
        <f t="shared" si="188"/>
        <v>0</v>
      </c>
      <c r="DU70" s="83">
        <f t="shared" si="189"/>
        <v>0</v>
      </c>
      <c r="DV70" s="83">
        <f t="shared" si="164"/>
        <v>28</v>
      </c>
      <c r="DW70" s="83">
        <f t="shared" si="165"/>
        <v>1500</v>
      </c>
      <c r="DX70" s="83">
        <f t="shared" ref="DX70:DX79" ca="1" si="235">(EXP(-POWER((LN($A$44/$A70)+($EC$1+POWER($EE70,2)/2)*($EM$1/$DY$1))/($EE70*SQRT($EM$1/$DY$1)),2)/2)/SQRT(2*PI())/($A$44*$EE70*SQRT($EM$1/$DY$1)))</f>
        <v>6.6940862329994126E-16</v>
      </c>
      <c r="DY70" s="83">
        <f t="shared" ref="DY70:DY79" ca="1" si="236">-(EXP(-POWER((LN($A$44/$A70)+($EC$1+POWER($EF70,2)/2)*($EM$1/$DY$1))/($EF70*SQRT($EM$1/$DY$1)),2)/2)/SQRT(2*PI())/($A$44*$EF70*SQRT($EM$1/$DY$1)))</f>
        <v>-1.2402912409247556E-2</v>
      </c>
      <c r="DZ70" s="83">
        <f t="shared" ref="DZ70:DZ79" ca="1" si="237">(EXP(-POWER((LN($A$44/$A70)+($EC$1+POWER($EG70,2)/2)*($EO$1/$DY$1))/($EG70*SQRT($EO$1/$DY$1)),2)/2)/SQRT(2*PI())/($A$44*$EG70*SQRT($EO$1/$DY$1)))</f>
        <v>1.8250115206519806E-2</v>
      </c>
      <c r="EA70" s="83">
        <f t="shared" ref="EA70:EA79" ca="1" si="238">-(EXP(-POWER((LN($A$44/$A70)+($EC$1+POWER($EH70,2)/2)*($EO$1/$DY$1))/($EH70*SQRT($EO$1/$DY$1)),2)/2)/SQRT(2*PI())/($A$44*$EH70*SQRT($EO$1/$DY$1)))</f>
        <v>-1.8264121137693122E-2</v>
      </c>
      <c r="EB70" s="83">
        <f t="shared" ref="EB70:EB79" ca="1" si="239">(EXP(-POWER((LN($A$44/$A70)+($EC$1+POWER($EI70,2)/2)*($EO$1/$DY$1))/($EI70*SQRT($EO$1/$DY$1)),2)/2)/SQRT(2*PI())/($A$44*$EI70*SQRT($EO$1/$DY$1)))</f>
        <v>1.8247399501123484E-2</v>
      </c>
      <c r="EC70" s="83">
        <f t="shared" ref="EC70:EC79" ca="1" si="240">-(EXP(-POWER((LN($A$44/$A70)+($EC$1+POWER($EJ70,2)/2)*($EO$1/$DY$1))/($EJ70*SQRT($EO$1/$DY$1)),2)/2)/SQRT(2*PI())/($A$44*$EJ70*SQRT($EO$1/$DY$1)))</f>
        <v>-1.8219702166288643E-2</v>
      </c>
      <c r="ED70" s="63">
        <f t="shared" si="190"/>
        <v>1528</v>
      </c>
      <c r="EE70" s="84">
        <f t="shared" si="166"/>
        <v>0.25</v>
      </c>
      <c r="EF70" s="84">
        <f t="shared" si="167"/>
        <v>1.2077</v>
      </c>
      <c r="EG70" s="84">
        <f t="shared" si="168"/>
        <v>0.2505</v>
      </c>
      <c r="EH70" s="84">
        <f t="shared" si="169"/>
        <v>0.24890000000000001</v>
      </c>
      <c r="EI70" s="84">
        <f t="shared" si="170"/>
        <v>0.2195</v>
      </c>
      <c r="EJ70" s="84">
        <f t="shared" si="171"/>
        <v>0.21729999999999999</v>
      </c>
      <c r="EK70" s="63">
        <f t="shared" ca="1" si="191"/>
        <v>-5023464.85908625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120.77%</v>
      </c>
      <c r="EN70" s="83" t="str">
        <f>RTD("tos.rtd",,EN$2,"."&amp;$A$43&amp;$AU$1&amp;"C"&amp;$A70)</f>
        <v>25.05%</v>
      </c>
      <c r="EO70" s="83" t="str">
        <f>RTD("tos.rtd",,EO$2,"."&amp;$A$43&amp;$AU$1&amp;"P"&amp;$A70)</f>
        <v>24.89%</v>
      </c>
      <c r="EP70" s="83" t="str">
        <f>RTD("tos.rtd",,EP$2,"."&amp;$A$43&amp;$AW$1&amp;"C"&amp;$A70)</f>
        <v>21.95%</v>
      </c>
      <c r="EQ70" s="83" t="str">
        <f>RTD("tos.rtd",,EQ$2,"."&amp;$A$43&amp;$AW$1&amp;"P"&amp;$A70)</f>
        <v>21.73%</v>
      </c>
      <c r="ES70" s="63" t="str">
        <f t="shared" si="172"/>
        <v>507,1528.00</v>
      </c>
      <c r="ET70" s="63" t="str">
        <f t="shared" ca="1" si="173"/>
        <v>507,-22692.94</v>
      </c>
      <c r="EU70" s="67">
        <v>593.46</v>
      </c>
      <c r="EV70" s="67" t="s">
        <v>580</v>
      </c>
      <c r="EW70" s="67">
        <v>519.91999999999996</v>
      </c>
      <c r="EX70" s="67" t="s">
        <v>581</v>
      </c>
      <c r="EY70" s="67">
        <v>5944.75</v>
      </c>
      <c r="EZ70" s="67" t="s">
        <v>582</v>
      </c>
      <c r="FA70" s="67">
        <v>21340</v>
      </c>
      <c r="FB70" s="67" t="s">
        <v>583</v>
      </c>
      <c r="FC70" s="67" t="s">
        <v>584</v>
      </c>
      <c r="FD70" s="67" t="s">
        <v>585</v>
      </c>
      <c r="FE70" s="68" t="s">
        <v>586</v>
      </c>
      <c r="FF70" s="68" t="s">
        <v>587</v>
      </c>
    </row>
    <row r="71" spans="1:162" ht="13.5" thickBot="1" x14ac:dyDescent="0.25">
      <c r="A71" s="2">
        <f t="shared" si="192"/>
        <v>506</v>
      </c>
      <c r="B71" s="3">
        <f t="shared" si="142"/>
        <v>7350</v>
      </c>
      <c r="C71" s="3">
        <f t="shared" si="143"/>
        <v>1878</v>
      </c>
      <c r="D71" s="3">
        <f t="shared" si="144"/>
        <v>84</v>
      </c>
      <c r="E71" s="3">
        <f t="shared" si="145"/>
        <v>9312</v>
      </c>
      <c r="F71" s="4">
        <f t="shared" si="196"/>
        <v>20858.8793949541</v>
      </c>
      <c r="AM71" s="1">
        <v>-3</v>
      </c>
      <c r="AN71" s="1">
        <v>-478</v>
      </c>
      <c r="AO71" s="1">
        <v>506</v>
      </c>
      <c r="AP71" s="1">
        <v>67</v>
      </c>
      <c r="AQ71" s="1">
        <v>-4160</v>
      </c>
      <c r="AS71" s="6">
        <f>IF(RTD("tos.rtd",,AS$43,"."&amp;$A$43&amp;$AS$42&amp;"C"&amp;$A71)="N/A",0,RTD("tos.rtd",,AS$43,"."&amp;$A$43&amp;$AS$42&amp;"C"&amp;$A71))</f>
        <v>199</v>
      </c>
      <c r="AT71" s="7">
        <f>-IF(RTD("tos.rtd",,AT$43,"."&amp;$A$43&amp;$AS$42&amp;"P"&amp;$A71)="N/A",0,RTD("tos.rtd",,AT$43,"."&amp;$A$43&amp;$AS$42&amp;"P"&amp;$A71))</f>
        <v>-7151</v>
      </c>
      <c r="AU71" s="6">
        <f>IF(RTD("tos.rtd",,AU$2,"."&amp;$A$43&amp;$AU$1&amp;"C"&amp;$A71)="N/A",0,RTD("tos.rtd",,AU$2,"."&amp;$A$43&amp;$AU$1&amp;"C"&amp;$A71))</f>
        <v>707</v>
      </c>
      <c r="AV71" s="7">
        <f>-IF(RTD("tos.rtd",,AV$2,"."&amp;$A$43&amp;$AU$1&amp;"P"&amp;$A71)="N/A",0,RTD("tos.rtd",,AV$2,"."&amp;$A$43&amp;$AU$1&amp;"P"&amp;$A71))</f>
        <v>-1171</v>
      </c>
      <c r="AW71" s="6">
        <f>IF(RTD("tos.rtd",,AW$2,"."&amp;$A$43&amp;$AW$1&amp;"C"&amp;$A71)="N/A",0,RTD("tos.rtd",,AW$2,"."&amp;$A$43&amp;$AW$1&amp;"C"&amp;$A71))</f>
        <v>2</v>
      </c>
      <c r="AX71" s="7">
        <f>-IF(RTD("tos.rtd",,AX$2,"."&amp;$A$43&amp;$AW$1&amp;"P"&amp;$A71)="N/A",0,RTD("tos.rtd",,AX$2,"."&amp;$A$43&amp;$AW$1&amp;"P"&amp;$A71))</f>
        <v>-82</v>
      </c>
      <c r="AY71" s="7">
        <f t="shared" si="174"/>
        <v>-7496</v>
      </c>
      <c r="AZ71" s="8">
        <f t="shared" si="146"/>
        <v>506</v>
      </c>
      <c r="BA71" s="6">
        <f>IF(RTD("tos.rtd",,BA$43,"."&amp;$A$43&amp;$AS$42&amp;"C"&amp;$A71)="N/A",0,RTD("tos.rtd",,BA$43,"."&amp;$A$43&amp;$AS$42&amp;"C"&amp;$A71))</f>
        <v>67</v>
      </c>
      <c r="BB71" s="7">
        <f>-IF(RTD("tos.rtd",,BB$43,"."&amp;$A$43&amp;$AS$42&amp;"P"&amp;$A71)="N/A",0,RTD("tos.rtd",,BB$43,"."&amp;$A$43&amp;$AS$42&amp;"P"&amp;$A71))</f>
        <v>-4160</v>
      </c>
      <c r="BC71" s="6">
        <f>IF(RTD("tos.rtd",,BC$2,"."&amp;$A$43&amp;$AU$1&amp;"C"&amp;$A71)="N/A",0,RTD("tos.rtd",,BC$2,"."&amp;$A$43&amp;$AU$1&amp;"C"&amp;$A71))</f>
        <v>46</v>
      </c>
      <c r="BD71" s="7">
        <f>-IF(RTD("tos.rtd",,BD$2,"."&amp;$A$43&amp;$AU$1&amp;"P"&amp;$A71)="N/A",0,RTD("tos.rtd",,BD$2,"."&amp;$A$43&amp;$AU$1&amp;"P"&amp;$A71))</f>
        <v>-6630</v>
      </c>
      <c r="BE71" s="6">
        <f>IF(RTD("tos.rtd",,BE$2,"."&amp;$A$43&amp;$AW$1&amp;"C"&amp;$A71)="N/A",0,RTD("tos.rtd",,BE$2,"."&amp;$A$43&amp;$AW$1&amp;"C"&amp;$A71))</f>
        <v>4</v>
      </c>
      <c r="BF71" s="7">
        <f>-IF(RTD("tos.rtd",,BF$2,"."&amp;$A$43&amp;$AW$1&amp;"P"&amp;$A71)="N/A",0,RTD("tos.rtd",,BF$2,"."&amp;$A$43&amp;$AW$1&amp;"P"&amp;$A71))</f>
        <v>-195</v>
      </c>
      <c r="BG71" s="32">
        <f ca="1">+Hoja2!Y72</f>
        <v>-2639</v>
      </c>
      <c r="BH71" s="7">
        <f t="shared" ca="1" si="175"/>
        <v>-13507</v>
      </c>
      <c r="BI71" s="8" t="str">
        <f t="shared" ca="1" si="193"/>
        <v/>
      </c>
      <c r="BJ71" s="83">
        <f ca="1">IF($BP$1=1,DX71,IF(RTD("tos.rtd",,BJ$43,"."&amp;$A$43&amp;$AS$42&amp;"C"&amp;$A71)="N/A",0,RTD("tos.rtd",,BJ$43,"."&amp;$A$43&amp;$AS$42&amp;"C"&amp;$A71)))</f>
        <v>2.4709766628561447E-18</v>
      </c>
      <c r="BK71" s="83">
        <f ca="1">IF($BP$1=1,DY71,-IF(RTD("tos.rtd",,BK$43,"."&amp;$A$43&amp;$AS$42&amp;"P"&amp;$A71)="N/A",0,RTD("tos.rtd",,BK$43,"."&amp;$A$43&amp;$AS$42&amp;"P"&amp;$A71)))</f>
        <v>-1.1304461709701152E-2</v>
      </c>
      <c r="BL71" s="83">
        <f ca="1">IF($BP$1=1,DZ71,IF(RTD("tos.rtd",,BL$2,"."&amp;$A$43&amp;$AU$1&amp;"C"&amp;$A71)="N/A",0,RTD("tos.rtd",,BL$2,"."&amp;$A$43&amp;$AU$1&amp;"C"&amp;$A71)))</f>
        <v>1.6958693393245038E-2</v>
      </c>
      <c r="BM71" s="83">
        <f ca="1">IF($BP$1=1,EA71,-IF(RTD("tos.rtd",,BM$2,"."&amp;$A$43&amp;$AU$1&amp;"P"&amp;$A71)="N/A",0,RTD("tos.rtd",,BM$2,"."&amp;$A$43&amp;$AU$1&amp;"P"&amp;$A71)))</f>
        <v>-1.6974261727961241E-2</v>
      </c>
      <c r="BN71" s="83">
        <f ca="1">IF($BP$1=1,EB71,IF(RTD("tos.rtd",,BN$2,"."&amp;$A$43&amp;$AW$1&amp;"C"&amp;$A71)="N/A",0,RTD("tos.rtd",,BN$2,"."&amp;$A$43&amp;$AW$1&amp;"C"&amp;$A71)))</f>
        <v>1.6726326526290736E-2</v>
      </c>
      <c r="BO71" s="83">
        <f ca="1">IF($BP$1=1,EC71,-IF(RTD("tos.rtd",,BO$2,"."&amp;$A$43&amp;$AW$1&amp;"P"&amp;$A71)="N/A",0,RTD("tos.rtd",,BO$2,"."&amp;$A$43&amp;$AW$1&amp;"P"&amp;$A71)))</f>
        <v>-1.6592308885041276E-2</v>
      </c>
      <c r="BQ71" s="83">
        <f t="shared" ca="1" si="176"/>
        <v>-21827555.342716482</v>
      </c>
      <c r="BR71" s="3" t="str">
        <f t="shared" ca="1" si="177"/>
        <v/>
      </c>
      <c r="BS71" s="83">
        <f t="shared" ca="1" si="178"/>
        <v>-2129628.311808723</v>
      </c>
      <c r="BT71" s="3" t="str">
        <f t="shared" ca="1" si="179"/>
        <v/>
      </c>
      <c r="BU71" s="83">
        <f t="shared" ca="1" si="180"/>
        <v>-358341.85624635761</v>
      </c>
      <c r="BV71" s="83"/>
      <c r="BX71" s="83">
        <f t="shared" ca="1" si="181"/>
        <v>-12697892.633995323</v>
      </c>
      <c r="BY71" s="83" t="str">
        <f t="shared" ca="1" si="194"/>
        <v/>
      </c>
      <c r="BZ71" s="83">
        <f t="shared" ca="1" si="182"/>
        <v>-30176712.987802848</v>
      </c>
      <c r="CA71" s="83" t="str">
        <f t="shared" ca="1" si="194"/>
        <v/>
      </c>
      <c r="CB71" s="83">
        <f t="shared" ca="1" si="183"/>
        <v>-855569.22657255712</v>
      </c>
      <c r="CC71" s="83" t="str">
        <f t="shared" ca="1" si="194"/>
        <v/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0.88</v>
      </c>
      <c r="CG71" s="83">
        <f>-IF(RTD("tos.rtd",,CG$2,"."&amp;$A$43&amp;$AU$1&amp;"P"&amp;$A71)="N/A",0,RTD("tos.rtd",,CG$2,"."&amp;$A$43&amp;$AU$1&amp;"P"&amp;$A71))</f>
        <v>0.12</v>
      </c>
      <c r="CH71" s="83">
        <f>IF(RTD("tos.rtd",,CH$2,"."&amp;$A$43&amp;$AW$1&amp;"C"&amp;$A71)="N/A",0,RTD("tos.rtd",,CH$2,"."&amp;$A$43&amp;$AW$1&amp;"C"&amp;$A71))</f>
        <v>0.69</v>
      </c>
      <c r="CI71" s="83">
        <f>-IF(RTD("tos.rtd",,CI$2,"."&amp;$A$43&amp;$AW$1&amp;"P"&amp;$A71)="N/A",0,RTD("tos.rtd",,CI$2,"."&amp;$A$43&amp;$AW$1&amp;"P"&amp;$A71))</f>
        <v>0.31</v>
      </c>
      <c r="CK71" s="83">
        <f t="shared" si="184"/>
        <v>103406370</v>
      </c>
      <c r="CL71" s="83"/>
      <c r="CM71" s="83">
        <f t="shared" si="185"/>
        <v>25027459.32</v>
      </c>
      <c r="CN71" s="83"/>
      <c r="CO71" s="83">
        <f t="shared" si="186"/>
        <v>-1249190.52</v>
      </c>
      <c r="CP71" s="83">
        <f t="shared" si="137"/>
        <v>127184638.8</v>
      </c>
      <c r="CQ71" s="83">
        <f t="shared" si="147"/>
        <v>-4093</v>
      </c>
      <c r="CR71" s="83"/>
      <c r="CS71" s="83">
        <f t="shared" si="148"/>
        <v>-6584</v>
      </c>
      <c r="CT71" s="83"/>
      <c r="CU71" s="83">
        <f t="shared" si="149"/>
        <v>-191</v>
      </c>
      <c r="CV71" s="83"/>
      <c r="CW71" s="83">
        <f t="shared" ca="1" si="150"/>
        <v>-24315525.510771561</v>
      </c>
      <c r="CY71" s="83">
        <f t="shared" ca="1" si="151"/>
        <v>-43730174.848370731</v>
      </c>
      <c r="CZ71" s="70" t="str">
        <f t="shared" ca="1" si="195"/>
        <v/>
      </c>
      <c r="DA71" s="83">
        <f>IF(RTD("tos.rtd",,DA$43,"."&amp;$A$43&amp;$AS$42&amp;"C"&amp;$A71)="N/A",0,RTD("tos.rtd",,DA$43,"."&amp;$A$43&amp;$AS$42&amp;"C"&amp;$A71))</f>
        <v>13.2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15.5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11.75</v>
      </c>
      <c r="DF71" s="83">
        <f>IF(RTD("tos.rtd",,DF$43,"."&amp;$A$43&amp;$AS$42&amp;"P"&amp;$A71)="N/A",0,RTD("tos.rtd",,DF$43,"."&amp;$A$43&amp;$AS$42&amp;"P"&amp;$A71))</f>
        <v>0</v>
      </c>
      <c r="DG71" s="86">
        <f t="shared" si="187"/>
        <v>-13.629999999999995</v>
      </c>
      <c r="DH71" s="3">
        <f t="shared" si="152"/>
        <v>0</v>
      </c>
      <c r="DI71" s="3">
        <f t="shared" si="153"/>
        <v>0</v>
      </c>
      <c r="DJ71" s="3">
        <f t="shared" si="154"/>
        <v>0</v>
      </c>
      <c r="DK71" s="3">
        <f t="shared" si="155"/>
        <v>0</v>
      </c>
      <c r="DL71" s="3">
        <f t="shared" si="156"/>
        <v>0</v>
      </c>
      <c r="DM71" s="3">
        <f t="shared" si="157"/>
        <v>0</v>
      </c>
      <c r="DN71" s="64" t="str">
        <f t="shared" si="158"/>
        <v>UNKNOWN</v>
      </c>
      <c r="DO71" s="64" t="str">
        <f t="shared" si="159"/>
        <v>UNKNOWN</v>
      </c>
      <c r="DP71" s="83">
        <f t="shared" si="160"/>
        <v>0</v>
      </c>
      <c r="DQ71" s="83">
        <f t="shared" si="161"/>
        <v>0</v>
      </c>
      <c r="DR71" s="83">
        <f t="shared" ca="1" si="162"/>
        <v>0</v>
      </c>
      <c r="DS71" s="83">
        <f t="shared" si="163"/>
        <v>0</v>
      </c>
      <c r="DT71" s="83">
        <f t="shared" si="188"/>
        <v>0</v>
      </c>
      <c r="DU71" s="83">
        <f t="shared" si="189"/>
        <v>0</v>
      </c>
      <c r="DV71" s="83">
        <f t="shared" si="164"/>
        <v>-3</v>
      </c>
      <c r="DW71" s="83">
        <f t="shared" si="165"/>
        <v>-478</v>
      </c>
      <c r="DX71" s="83">
        <f t="shared" ca="1" si="235"/>
        <v>2.4709766628561447E-18</v>
      </c>
      <c r="DY71" s="83">
        <f t="shared" ca="1" si="236"/>
        <v>-1.1304461709701152E-2</v>
      </c>
      <c r="DZ71" s="83">
        <f t="shared" ca="1" si="237"/>
        <v>1.6958693393245038E-2</v>
      </c>
      <c r="EA71" s="83">
        <f t="shared" ca="1" si="238"/>
        <v>-1.6974261727961241E-2</v>
      </c>
      <c r="EB71" s="83">
        <f t="shared" ca="1" si="239"/>
        <v>1.6726326526290736E-2</v>
      </c>
      <c r="EC71" s="83">
        <f t="shared" ca="1" si="240"/>
        <v>-1.6592308885041276E-2</v>
      </c>
      <c r="ED71" s="63">
        <f t="shared" si="190"/>
        <v>-481</v>
      </c>
      <c r="EE71" s="84">
        <f t="shared" si="166"/>
        <v>0.25</v>
      </c>
      <c r="EF71" s="84">
        <f t="shared" si="167"/>
        <v>1.2946</v>
      </c>
      <c r="EG71" s="84">
        <f t="shared" si="168"/>
        <v>0.2606</v>
      </c>
      <c r="EH71" s="84">
        <f t="shared" si="169"/>
        <v>0.252</v>
      </c>
      <c r="EI71" s="84">
        <f t="shared" si="170"/>
        <v>0.22489999999999999</v>
      </c>
      <c r="EJ71" s="84">
        <f t="shared" si="171"/>
        <v>0.21890000000000001</v>
      </c>
      <c r="EK71" s="63">
        <f t="shared" ca="1" si="191"/>
        <v>1459036.701694655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129.46%</v>
      </c>
      <c r="EN71" s="83" t="str">
        <f>RTD("tos.rtd",,EN$2,"."&amp;$A$43&amp;$AU$1&amp;"C"&amp;$A71)</f>
        <v>26.06%</v>
      </c>
      <c r="EO71" s="83" t="str">
        <f>RTD("tos.rtd",,EO$2,"."&amp;$A$43&amp;$AU$1&amp;"P"&amp;$A71)</f>
        <v>25.20%</v>
      </c>
      <c r="EP71" s="83" t="str">
        <f>RTD("tos.rtd",,EP$2,"."&amp;$A$43&amp;$AW$1&amp;"C"&amp;$A71)</f>
        <v>22.49%</v>
      </c>
      <c r="EQ71" s="83" t="str">
        <f>RTD("tos.rtd",,EQ$2,"."&amp;$A$43&amp;$AW$1&amp;"P"&amp;$A71)</f>
        <v>21.89%</v>
      </c>
      <c r="ES71" s="63" t="str">
        <f t="shared" si="172"/>
        <v>506,-481.00</v>
      </c>
      <c r="ET71" s="63" t="str">
        <f t="shared" ca="1" si="173"/>
        <v>506,-43730.17</v>
      </c>
      <c r="EU71" s="67">
        <v>593.54</v>
      </c>
      <c r="EV71" s="67" t="s">
        <v>588</v>
      </c>
      <c r="EW71" s="67">
        <v>519.96</v>
      </c>
      <c r="EX71" s="67" t="s">
        <v>589</v>
      </c>
      <c r="EY71" s="67">
        <v>5945</v>
      </c>
      <c r="EZ71" s="67" t="s">
        <v>590</v>
      </c>
      <c r="FA71" s="67">
        <v>21342.5</v>
      </c>
      <c r="FB71" s="67" t="s">
        <v>591</v>
      </c>
      <c r="FC71" s="67" t="s">
        <v>592</v>
      </c>
      <c r="FD71" s="67" t="s">
        <v>593</v>
      </c>
      <c r="FE71" s="68" t="s">
        <v>594</v>
      </c>
      <c r="FF71" s="68" t="s">
        <v>595</v>
      </c>
    </row>
    <row r="72" spans="1:162" ht="13.5" thickBot="1" x14ac:dyDescent="0.25">
      <c r="A72" s="2">
        <f t="shared" si="192"/>
        <v>505</v>
      </c>
      <c r="B72" s="3">
        <f t="shared" si="142"/>
        <v>2756</v>
      </c>
      <c r="C72" s="3">
        <f t="shared" ref="C72:C79" si="241">+IF($A$1="ABS",AU72-AV72,AU72+AV72)</f>
        <v>6936</v>
      </c>
      <c r="D72" s="3">
        <f t="shared" si="144"/>
        <v>17298</v>
      </c>
      <c r="E72" s="3">
        <f t="shared" si="145"/>
        <v>26990</v>
      </c>
      <c r="F72" s="4">
        <f t="shared" si="196"/>
        <v>20817.65631314589</v>
      </c>
      <c r="AM72" s="1">
        <v>6</v>
      </c>
      <c r="AN72" s="1">
        <v>-1086</v>
      </c>
      <c r="AO72" s="1">
        <v>505</v>
      </c>
      <c r="AP72" s="1">
        <v>48</v>
      </c>
      <c r="AQ72" s="1">
        <v>-4348</v>
      </c>
      <c r="AS72" s="6">
        <f>IF(RTD("tos.rtd",,AS$43,"."&amp;$A$43&amp;$AS$42&amp;"C"&amp;$A72)="N/A",0,RTD("tos.rtd",,AS$43,"."&amp;$A$43&amp;$AS$42&amp;"C"&amp;$A72))</f>
        <v>175</v>
      </c>
      <c r="AT72" s="7">
        <f>-IF(RTD("tos.rtd",,AT$43,"."&amp;$A$43&amp;$AS$42&amp;"P"&amp;$A72)="N/A",0,RTD("tos.rtd",,AT$43,"."&amp;$A$43&amp;$AS$42&amp;"P"&amp;$A72))</f>
        <v>-2581</v>
      </c>
      <c r="AU72" s="6">
        <f>IF(RTD("tos.rtd",,AU$2,"."&amp;$A$43&amp;$AU$1&amp;"C"&amp;$A72)="N/A",0,RTD("tos.rtd",,AU$2,"."&amp;$A$43&amp;$AU$1&amp;"C"&amp;$A72))</f>
        <v>1186</v>
      </c>
      <c r="AV72" s="7">
        <f>-IF(RTD("tos.rtd",,AV$2,"."&amp;$A$43&amp;$AU$1&amp;"P"&amp;$A72)="N/A",0,RTD("tos.rtd",,AV$2,"."&amp;$A$43&amp;$AU$1&amp;"P"&amp;$A72))</f>
        <v>-5750</v>
      </c>
      <c r="AW72" s="6">
        <f>IF(RTD("tos.rtd",,AW$2,"."&amp;$A$43&amp;$AW$1&amp;"C"&amp;$A72)="N/A",0,RTD("tos.rtd",,AW$2,"."&amp;$A$43&amp;$AW$1&amp;"C"&amp;$A72))</f>
        <v>2922</v>
      </c>
      <c r="AX72" s="7">
        <f>-IF(RTD("tos.rtd",,AX$2,"."&amp;$A$43&amp;$AW$1&amp;"P"&amp;$A72)="N/A",0,RTD("tos.rtd",,AX$2,"."&amp;$A$43&amp;$AW$1&amp;"P"&amp;$A72))</f>
        <v>-14376</v>
      </c>
      <c r="AY72" s="7">
        <f t="shared" si="174"/>
        <v>-18424</v>
      </c>
      <c r="AZ72" s="8">
        <f t="shared" si="146"/>
        <v>505</v>
      </c>
      <c r="BA72" s="6">
        <f>IF(RTD("tos.rtd",,BA$43,"."&amp;$A$43&amp;$AS$42&amp;"C"&amp;$A72)="N/A",0,RTD("tos.rtd",,BA$43,"."&amp;$A$43&amp;$AS$42&amp;"C"&amp;$A72))</f>
        <v>48</v>
      </c>
      <c r="BB72" s="7">
        <f>-IF(RTD("tos.rtd",,BB$43,"."&amp;$A$43&amp;$AS$42&amp;"P"&amp;$A72)="N/A",0,RTD("tos.rtd",,BB$43,"."&amp;$A$43&amp;$AS$42&amp;"P"&amp;$A72))</f>
        <v>-4348</v>
      </c>
      <c r="BC72" s="6">
        <f>IF(RTD("tos.rtd",,BC$2,"."&amp;$A$43&amp;$AU$1&amp;"C"&amp;$A72)="N/A",0,RTD("tos.rtd",,BC$2,"."&amp;$A$43&amp;$AU$1&amp;"C"&amp;$A72))</f>
        <v>265</v>
      </c>
      <c r="BD72" s="7">
        <f>-IF(RTD("tos.rtd",,BD$2,"."&amp;$A$43&amp;$AU$1&amp;"P"&amp;$A72)="N/A",0,RTD("tos.rtd",,BD$2,"."&amp;$A$43&amp;$AU$1&amp;"P"&amp;$A72))</f>
        <v>-3728</v>
      </c>
      <c r="BE72" s="6">
        <f>IF(RTD("tos.rtd",,BE$2,"."&amp;$A$43&amp;$AW$1&amp;"C"&amp;$A72)="N/A",0,RTD("tos.rtd",,BE$2,"."&amp;$A$43&amp;$AW$1&amp;"C"&amp;$A72))</f>
        <v>206</v>
      </c>
      <c r="BF72" s="7">
        <f>-IF(RTD("tos.rtd",,BF$2,"."&amp;$A$43&amp;$AW$1&amp;"P"&amp;$A72)="N/A",0,RTD("tos.rtd",,BF$2,"."&amp;$A$43&amp;$AW$1&amp;"P"&amp;$A72))</f>
        <v>-1127</v>
      </c>
      <c r="BG72" s="32">
        <f ca="1">+Hoja2!Y73</f>
        <v>-5577</v>
      </c>
      <c r="BH72" s="7">
        <f t="shared" ca="1" si="175"/>
        <v>-14261</v>
      </c>
      <c r="BI72" s="8" t="str">
        <f t="shared" ca="1" si="193"/>
        <v/>
      </c>
      <c r="BJ72" s="83">
        <f ca="1">IF($BP$1=1,DX72,IF(RTD("tos.rtd",,BJ$43,"."&amp;$A$43&amp;$AS$42&amp;"C"&amp;$A72)="N/A",0,RTD("tos.rtd",,BJ$43,"."&amp;$A$43&amp;$AS$42&amp;"C"&amp;$A72)))</f>
        <v>5.84895910256448E-21</v>
      </c>
      <c r="BK72" s="83">
        <f ca="1">IF($BP$1=1,DY72,-IF(RTD("tos.rtd",,BK$43,"."&amp;$A$43&amp;$AS$42&amp;"P"&amp;$A72)="N/A",0,RTD("tos.rtd",,BK$43,"."&amp;$A$43&amp;$AS$42&amp;"P"&amp;$A72)))</f>
        <v>-1.0367383623064913E-2</v>
      </c>
      <c r="BL72" s="83">
        <f ca="1">IF($BP$1=1,DZ72,IF(RTD("tos.rtd",,BL$2,"."&amp;$A$43&amp;$AU$1&amp;"C"&amp;$A72)="N/A",0,RTD("tos.rtd",,BL$2,"."&amp;$A$43&amp;$AU$1&amp;"C"&amp;$A72)))</f>
        <v>1.5486276030009389E-2</v>
      </c>
      <c r="BM72" s="83">
        <f ca="1">IF($BP$1=1,EA72,-IF(RTD("tos.rtd",,BM$2,"."&amp;$A$43&amp;$AU$1&amp;"P"&amp;$A72)="N/A",0,RTD("tos.rtd",,BM$2,"."&amp;$A$43&amp;$AU$1&amp;"P"&amp;$A72)))</f>
        <v>-1.5737513245611592E-2</v>
      </c>
      <c r="BN72" s="83">
        <f ca="1">IF($BP$1=1,EB72,IF(RTD("tos.rtd",,BN$2,"."&amp;$A$43&amp;$AW$1&amp;"C"&amp;$A72)="N/A",0,RTD("tos.rtd",,BN$2,"."&amp;$A$43&amp;$AW$1&amp;"C"&amp;$A72)))</f>
        <v>1.4791207923119599E-2</v>
      </c>
      <c r="BO72" s="83">
        <f ca="1">IF($BP$1=1,EC72,-IF(RTD("tos.rtd",,BO$2,"."&amp;$A$43&amp;$AW$1&amp;"P"&amp;$A72)="N/A",0,RTD("tos.rtd",,BO$2,"."&amp;$A$43&amp;$AW$1&amp;"P"&amp;$A72)))</f>
        <v>-1.5054559958364662E-2</v>
      </c>
      <c r="BQ72" s="83">
        <f t="shared" ca="1" si="176"/>
        <v>-7225129.013505565</v>
      </c>
      <c r="BR72" s="3" t="str">
        <f t="shared" ca="1" si="177"/>
        <v/>
      </c>
      <c r="BS72" s="83">
        <f t="shared" ca="1" si="178"/>
        <v>-19474580.161717366</v>
      </c>
      <c r="BT72" s="3" t="str">
        <f t="shared" ca="1" si="179"/>
        <v/>
      </c>
      <c r="BU72" s="83">
        <f t="shared" ca="1" si="180"/>
        <v>-46767856.409969099</v>
      </c>
      <c r="BV72" s="83"/>
      <c r="BX72" s="83">
        <f t="shared" ca="1" si="181"/>
        <v>-12171585.025463847</v>
      </c>
      <c r="BY72" s="83" t="str">
        <f t="shared" ca="1" si="194"/>
        <v/>
      </c>
      <c r="BZ72" s="83">
        <f t="shared" ca="1" si="182"/>
        <v>-14733545.149495108</v>
      </c>
      <c r="CA72" s="83" t="str">
        <f t="shared" ca="1" si="194"/>
        <v/>
      </c>
      <c r="CB72" s="83">
        <f t="shared" ca="1" si="183"/>
        <v>-3758478.5470301155</v>
      </c>
      <c r="CC72" s="83" t="str">
        <f t="shared" ca="1" si="194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0.85</v>
      </c>
      <c r="CG72" s="83">
        <f>-IF(RTD("tos.rtd",,CG$2,"."&amp;$A$43&amp;$AU$1&amp;"P"&amp;$A72)="N/A",0,RTD("tos.rtd",,CG$2,"."&amp;$A$43&amp;$AU$1&amp;"P"&amp;$A72))</f>
        <v>0.1</v>
      </c>
      <c r="CH72" s="83">
        <f>IF(RTD("tos.rtd",,CH$2,"."&amp;$A$43&amp;$AW$1&amp;"C"&amp;$A72)="N/A",0,RTD("tos.rtd",,CH$2,"."&amp;$A$43&amp;$AW$1&amp;"C"&amp;$A72))</f>
        <v>0.71</v>
      </c>
      <c r="CI72" s="83">
        <f>-IF(RTD("tos.rtd",,CI$2,"."&amp;$A$43&amp;$AW$1&amp;"P"&amp;$A72)="N/A",0,RTD("tos.rtd",,CI$2,"."&amp;$A$43&amp;$AW$1&amp;"P"&amp;$A72))</f>
        <v>0.3</v>
      </c>
      <c r="CK72" s="83">
        <f t="shared" si="184"/>
        <v>90935250</v>
      </c>
      <c r="CL72" s="83"/>
      <c r="CM72" s="83">
        <f t="shared" si="185"/>
        <v>22505175.299999997</v>
      </c>
      <c r="CN72" s="83"/>
      <c r="CO72" s="83">
        <f t="shared" si="186"/>
        <v>-116302547.34</v>
      </c>
      <c r="CP72" s="83">
        <f t="shared" si="137"/>
        <v>-2862122.0400000066</v>
      </c>
      <c r="CQ72" s="83">
        <f t="shared" si="147"/>
        <v>-4300</v>
      </c>
      <c r="CR72" s="83"/>
      <c r="CS72" s="83">
        <f t="shared" si="148"/>
        <v>-3463</v>
      </c>
      <c r="CT72" s="83"/>
      <c r="CU72" s="83">
        <f t="shared" si="149"/>
        <v>-921</v>
      </c>
      <c r="CV72" s="83"/>
      <c r="CW72" s="83">
        <f t="shared" ca="1" si="150"/>
        <v>-73467565.585192025</v>
      </c>
      <c r="CY72" s="83">
        <f t="shared" ca="1" si="151"/>
        <v>-30663608.721989073</v>
      </c>
      <c r="CZ72" s="70" t="str">
        <f t="shared" ca="1" si="195"/>
        <v/>
      </c>
      <c r="DA72" s="83">
        <f>IF(RTD("tos.rtd",,DA$43,"."&amp;$A$43&amp;$AS$42&amp;"C"&amp;$A72)="N/A",0,RTD("tos.rtd",,DA$43,"."&amp;$A$43&amp;$AS$42&amp;"C"&amp;$A72))</f>
        <v>14.77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16.5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12.73</v>
      </c>
      <c r="DF72" s="83">
        <f>IF(RTD("tos.rtd",,DF$43,"."&amp;$A$43&amp;$AS$42&amp;"P"&amp;$A72)="N/A",0,RTD("tos.rtd",,DF$43,"."&amp;$A$43&amp;$AS$42&amp;"P"&amp;$A72))</f>
        <v>0</v>
      </c>
      <c r="DG72" s="86">
        <f t="shared" si="187"/>
        <v>-14.629999999999995</v>
      </c>
      <c r="DH72" s="3">
        <f t="shared" si="152"/>
        <v>0</v>
      </c>
      <c r="DI72" s="3">
        <f t="shared" si="153"/>
        <v>0</v>
      </c>
      <c r="DJ72" s="3">
        <f t="shared" si="154"/>
        <v>0</v>
      </c>
      <c r="DK72" s="3">
        <f t="shared" si="155"/>
        <v>0</v>
      </c>
      <c r="DL72" s="3">
        <f t="shared" si="156"/>
        <v>0</v>
      </c>
      <c r="DM72" s="3">
        <f t="shared" si="157"/>
        <v>0</v>
      </c>
      <c r="DN72" s="64" t="str">
        <f t="shared" si="158"/>
        <v>UNKNOWN</v>
      </c>
      <c r="DO72" s="64" t="str">
        <f t="shared" si="159"/>
        <v>UNKNOWN</v>
      </c>
      <c r="DP72" s="83">
        <f t="shared" si="160"/>
        <v>0</v>
      </c>
      <c r="DQ72" s="83">
        <f t="shared" si="161"/>
        <v>0</v>
      </c>
      <c r="DR72" s="83">
        <f t="shared" ca="1" si="162"/>
        <v>0</v>
      </c>
      <c r="DS72" s="83">
        <f t="shared" si="163"/>
        <v>0</v>
      </c>
      <c r="DT72" s="83">
        <f t="shared" si="188"/>
        <v>0</v>
      </c>
      <c r="DU72" s="83">
        <f t="shared" si="189"/>
        <v>0</v>
      </c>
      <c r="DV72" s="83">
        <f t="shared" si="164"/>
        <v>6</v>
      </c>
      <c r="DW72" s="83">
        <f t="shared" si="165"/>
        <v>-1086</v>
      </c>
      <c r="DX72" s="83">
        <f t="shared" ca="1" si="235"/>
        <v>5.84895910256448E-21</v>
      </c>
      <c r="DY72" s="83">
        <f t="shared" ca="1" si="236"/>
        <v>-1.0367383623064913E-2</v>
      </c>
      <c r="DZ72" s="83">
        <f t="shared" ca="1" si="237"/>
        <v>1.5486276030009389E-2</v>
      </c>
      <c r="EA72" s="83">
        <f t="shared" ca="1" si="238"/>
        <v>-1.5737513245611592E-2</v>
      </c>
      <c r="EB72" s="83">
        <f t="shared" ca="1" si="239"/>
        <v>1.4791207923119599E-2</v>
      </c>
      <c r="EC72" s="83">
        <f t="shared" ca="1" si="240"/>
        <v>-1.5054559958364662E-2</v>
      </c>
      <c r="ED72" s="63">
        <f t="shared" si="190"/>
        <v>-1080</v>
      </c>
      <c r="EE72" s="84">
        <f t="shared" si="166"/>
        <v>0.25</v>
      </c>
      <c r="EF72" s="84">
        <f t="shared" si="167"/>
        <v>1.3811</v>
      </c>
      <c r="EG72" s="84">
        <f t="shared" si="168"/>
        <v>0.31480000000000002</v>
      </c>
      <c r="EH72" s="84">
        <f t="shared" si="169"/>
        <v>0.25469999999999998</v>
      </c>
      <c r="EI72" s="84">
        <f t="shared" si="170"/>
        <v>0.214</v>
      </c>
      <c r="EJ72" s="84">
        <f t="shared" si="171"/>
        <v>0.22090000000000001</v>
      </c>
      <c r="EK72" s="63">
        <f t="shared" ca="1" si="191"/>
        <v>3040096.9037842085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138.11%</v>
      </c>
      <c r="EN72" s="83" t="str">
        <f>RTD("tos.rtd",,EN$2,"."&amp;$A$43&amp;$AU$1&amp;"C"&amp;$A72)</f>
        <v>31.48%</v>
      </c>
      <c r="EO72" s="83" t="str">
        <f>RTD("tos.rtd",,EO$2,"."&amp;$A$43&amp;$AU$1&amp;"P"&amp;$A72)</f>
        <v>25.47%</v>
      </c>
      <c r="EP72" s="83" t="str">
        <f>RTD("tos.rtd",,EP$2,"."&amp;$A$43&amp;$AW$1&amp;"C"&amp;$A72)</f>
        <v>21.40%</v>
      </c>
      <c r="EQ72" s="83" t="str">
        <f>RTD("tos.rtd",,EQ$2,"."&amp;$A$43&amp;$AW$1&amp;"P"&amp;$A72)</f>
        <v>22.09%</v>
      </c>
      <c r="ES72" s="63" t="str">
        <f t="shared" si="172"/>
        <v>505,-1080.00</v>
      </c>
      <c r="ET72" s="63" t="str">
        <f t="shared" ca="1" si="173"/>
        <v>505,-30663.61</v>
      </c>
      <c r="EU72" s="67">
        <v>593.46</v>
      </c>
      <c r="EV72" s="67" t="s">
        <v>596</v>
      </c>
      <c r="EW72" s="67">
        <v>519.92999999999995</v>
      </c>
      <c r="EX72" s="67" t="s">
        <v>597</v>
      </c>
      <c r="EY72" s="67">
        <v>5944.75</v>
      </c>
      <c r="EZ72" s="67" t="s">
        <v>598</v>
      </c>
      <c r="FA72" s="67">
        <v>21341</v>
      </c>
      <c r="FB72" s="67" t="s">
        <v>599</v>
      </c>
      <c r="FC72" s="67" t="s">
        <v>600</v>
      </c>
      <c r="FD72" s="67" t="s">
        <v>601</v>
      </c>
      <c r="FE72" s="68" t="s">
        <v>602</v>
      </c>
      <c r="FF72" s="68" t="s">
        <v>603</v>
      </c>
    </row>
    <row r="73" spans="1:162" ht="13.5" thickBot="1" x14ac:dyDescent="0.25">
      <c r="A73" s="2">
        <f t="shared" si="192"/>
        <v>504</v>
      </c>
      <c r="B73" s="3">
        <f t="shared" si="142"/>
        <v>2545</v>
      </c>
      <c r="C73" s="3">
        <f t="shared" si="241"/>
        <v>2829</v>
      </c>
      <c r="D73" s="3">
        <f t="shared" si="144"/>
        <v>160</v>
      </c>
      <c r="E73" s="3">
        <f t="shared" si="145"/>
        <v>5534</v>
      </c>
      <c r="F73" s="4">
        <f t="shared" si="196"/>
        <v>20776.43323133768</v>
      </c>
      <c r="AM73" s="1">
        <v>10</v>
      </c>
      <c r="AN73" s="1">
        <v>-1728</v>
      </c>
      <c r="AO73" s="1">
        <v>504</v>
      </c>
      <c r="AP73" s="1">
        <v>74</v>
      </c>
      <c r="AQ73" s="1">
        <v>-3530</v>
      </c>
      <c r="AS73" s="6">
        <f>IF(RTD("tos.rtd",,AS$43,"."&amp;$A$43&amp;$AS$42&amp;"C"&amp;$A73)="N/A",0,RTD("tos.rtd",,AS$43,"."&amp;$A$43&amp;$AS$42&amp;"C"&amp;$A73))</f>
        <v>151</v>
      </c>
      <c r="AT73" s="7">
        <f>-IF(RTD("tos.rtd",,AT$43,"."&amp;$A$43&amp;$AS$42&amp;"P"&amp;$A73)="N/A",0,RTD("tos.rtd",,AT$43,"."&amp;$A$43&amp;$AS$42&amp;"P"&amp;$A73))</f>
        <v>-2394</v>
      </c>
      <c r="AU73" s="6">
        <f>IF(RTD("tos.rtd",,AU$2,"."&amp;$A$43&amp;$AU$1&amp;"C"&amp;$A73)="N/A",0,RTD("tos.rtd",,AU$2,"."&amp;$A$43&amp;$AU$1&amp;"C"&amp;$A73))</f>
        <v>418</v>
      </c>
      <c r="AV73" s="7">
        <f>-IF(RTD("tos.rtd",,AV$2,"."&amp;$A$43&amp;$AU$1&amp;"P"&amp;$A73)="N/A",0,RTD("tos.rtd",,AV$2,"."&amp;$A$43&amp;$AU$1&amp;"P"&amp;$A73))</f>
        <v>-2411</v>
      </c>
      <c r="AW73" s="6">
        <f>IF(RTD("tos.rtd",,AW$2,"."&amp;$A$43&amp;$AW$1&amp;"C"&amp;$A73)="N/A",0,RTD("tos.rtd",,AW$2,"."&amp;$A$43&amp;$AW$1&amp;"C"&amp;$A73))</f>
        <v>14</v>
      </c>
      <c r="AX73" s="7">
        <f>-IF(RTD("tos.rtd",,AX$2,"."&amp;$A$43&amp;$AW$1&amp;"P"&amp;$A73)="N/A",0,RTD("tos.rtd",,AX$2,"."&amp;$A$43&amp;$AW$1&amp;"P"&amp;$A73))</f>
        <v>-146</v>
      </c>
      <c r="AY73" s="7">
        <f t="shared" si="174"/>
        <v>-4368</v>
      </c>
      <c r="AZ73" s="8">
        <f t="shared" si="146"/>
        <v>504</v>
      </c>
      <c r="BA73" s="6">
        <f>IF(RTD("tos.rtd",,BA$43,"."&amp;$A$43&amp;$AS$42&amp;"C"&amp;$A73)="N/A",0,RTD("tos.rtd",,BA$43,"."&amp;$A$43&amp;$AS$42&amp;"C"&amp;$A73))</f>
        <v>74</v>
      </c>
      <c r="BB73" s="7">
        <f>-IF(RTD("tos.rtd",,BB$43,"."&amp;$A$43&amp;$AS$42&amp;"P"&amp;$A73)="N/A",0,RTD("tos.rtd",,BB$43,"."&amp;$A$43&amp;$AS$42&amp;"P"&amp;$A73))</f>
        <v>-3530</v>
      </c>
      <c r="BC73" s="6">
        <f>IF(RTD("tos.rtd",,BC$2,"."&amp;$A$43&amp;$AU$1&amp;"C"&amp;$A73)="N/A",0,RTD("tos.rtd",,BC$2,"."&amp;$A$43&amp;$AU$1&amp;"C"&amp;$A73))</f>
        <v>4</v>
      </c>
      <c r="BD73" s="7">
        <f>-IF(RTD("tos.rtd",,BD$2,"."&amp;$A$43&amp;$AU$1&amp;"P"&amp;$A73)="N/A",0,RTD("tos.rtd",,BD$2,"."&amp;$A$43&amp;$AU$1&amp;"P"&amp;$A73))</f>
        <v>-1131</v>
      </c>
      <c r="BE73" s="6">
        <f>IF(RTD("tos.rtd",,BE$2,"."&amp;$A$43&amp;$AW$1&amp;"C"&amp;$A73)="N/A",0,RTD("tos.rtd",,BE$2,"."&amp;$A$43&amp;$AW$1&amp;"C"&amp;$A73))</f>
        <v>4</v>
      </c>
      <c r="BF73" s="7">
        <f>-IF(RTD("tos.rtd",,BF$2,"."&amp;$A$43&amp;$AW$1&amp;"P"&amp;$A73)="N/A",0,RTD("tos.rtd",,BF$2,"."&amp;$A$43&amp;$AW$1&amp;"P"&amp;$A73))</f>
        <v>-97</v>
      </c>
      <c r="BG73" s="32">
        <f ca="1">+Hoja2!Y74</f>
        <v>-2573</v>
      </c>
      <c r="BH73" s="7">
        <f t="shared" ca="1" si="175"/>
        <v>-7249</v>
      </c>
      <c r="BI73" s="8" t="str">
        <f t="shared" ca="1" si="193"/>
        <v/>
      </c>
      <c r="BJ73" s="83">
        <f ca="1">IF($BP$1=1,DX73,IF(RTD("tos.rtd",,BJ$43,"."&amp;$A$43&amp;$AS$42&amp;"C"&amp;$A73)="N/A",0,RTD("tos.rtd",,BJ$43,"."&amp;$A$43&amp;$AS$42&amp;"C"&amp;$A73)))</f>
        <v>8.8548827955244553E-24</v>
      </c>
      <c r="BK73" s="83">
        <f ca="1">IF($BP$1=1,DY73,-IF(RTD("tos.rtd",,BK$43,"."&amp;$A$43&amp;$AS$42&amp;"P"&amp;$A73)="N/A",0,RTD("tos.rtd",,BK$43,"."&amp;$A$43&amp;$AS$42&amp;"P"&amp;$A73)))</f>
        <v>-9.5601373132404247E-3</v>
      </c>
      <c r="BL73" s="83">
        <f ca="1">IF($BP$1=1,DZ73,IF(RTD("tos.rtd",,BL$2,"."&amp;$A$43&amp;$AU$1&amp;"C"&amp;$A73)="N/A",0,RTD("tos.rtd",,BL$2,"."&amp;$A$43&amp;$AU$1&amp;"C"&amp;$A73)))</f>
        <v>1.4182845697345452E-2</v>
      </c>
      <c r="BM73" s="83">
        <f ca="1">IF($BP$1=1,EA73,-IF(RTD("tos.rtd",,BM$2,"."&amp;$A$43&amp;$AU$1&amp;"P"&amp;$A73)="N/A",0,RTD("tos.rtd",,BM$2,"."&amp;$A$43&amp;$AU$1&amp;"P"&amp;$A73)))</f>
        <v>-1.4563080908814849E-2</v>
      </c>
      <c r="BN73" s="83">
        <f ca="1">IF($BP$1=1,EB73,IF(RTD("tos.rtd",,BN$2,"."&amp;$A$43&amp;$AW$1&amp;"C"&amp;$A73)="N/A",0,RTD("tos.rtd",,BN$2,"."&amp;$A$43&amp;$AW$1&amp;"C"&amp;$A73)))</f>
        <v>1.3729644326741855E-2</v>
      </c>
      <c r="BO73" s="83">
        <f ca="1">IF($BP$1=1,EC73,-IF(RTD("tos.rtd",,BO$2,"."&amp;$A$43&amp;$AW$1&amp;"P"&amp;$A73)="N/A",0,RTD("tos.rtd",,BO$2,"."&amp;$A$43&amp;$AW$1&amp;"P"&amp;$A73)))</f>
        <v>-1.3556560026666184E-2</v>
      </c>
      <c r="BQ73" s="83">
        <f t="shared" ca="1" si="176"/>
        <v>-6179832.5716830287</v>
      </c>
      <c r="BR73" s="3" t="str">
        <f t="shared" ca="1" si="177"/>
        <v/>
      </c>
      <c r="BS73" s="83">
        <f t="shared" ca="1" si="178"/>
        <v>-7879900.3929934613</v>
      </c>
      <c r="BT73" s="3" t="str">
        <f t="shared" ca="1" si="179"/>
        <v/>
      </c>
      <c r="BU73" s="83">
        <f t="shared" ca="1" si="180"/>
        <v>-482528.94839194667</v>
      </c>
      <c r="BV73" s="83"/>
      <c r="BX73" s="83">
        <f t="shared" ca="1" si="181"/>
        <v>-9112284.4519804046</v>
      </c>
      <c r="BY73" s="83" t="str">
        <f t="shared" ca="1" si="194"/>
        <v/>
      </c>
      <c r="BZ73" s="83">
        <f t="shared" ca="1" si="182"/>
        <v>-4432062.2853832459</v>
      </c>
      <c r="CA73" s="83" t="str">
        <f t="shared" ca="1" si="194"/>
        <v/>
      </c>
      <c r="CB73" s="83">
        <f t="shared" ca="1" si="183"/>
        <v>-340237.61675850872</v>
      </c>
      <c r="CC73" s="83" t="str">
        <f t="shared" ca="1" si="194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0.92</v>
      </c>
      <c r="CG73" s="83">
        <f>-IF(RTD("tos.rtd",,CG$2,"."&amp;$A$43&amp;$AU$1&amp;"P"&amp;$A73)="N/A",0,RTD("tos.rtd",,CG$2,"."&amp;$A$43&amp;$AU$1&amp;"P"&amp;$A73))</f>
        <v>0.09</v>
      </c>
      <c r="CH73" s="83">
        <f>IF(RTD("tos.rtd",,CH$2,"."&amp;$A$43&amp;$AW$1&amp;"C"&amp;$A73)="N/A",0,RTD("tos.rtd",,CH$2,"."&amp;$A$43&amp;$AW$1&amp;"C"&amp;$A73))</f>
        <v>0.71</v>
      </c>
      <c r="CI73" s="83">
        <f>-IF(RTD("tos.rtd",,CI$2,"."&amp;$A$43&amp;$AW$1&amp;"P"&amp;$A73)="N/A",0,RTD("tos.rtd",,CI$2,"."&amp;$A$43&amp;$AW$1&amp;"P"&amp;$A73))</f>
        <v>0.28999999999999998</v>
      </c>
      <c r="CK73" s="83">
        <f t="shared" si="184"/>
        <v>78464130</v>
      </c>
      <c r="CL73" s="83"/>
      <c r="CM73" s="83">
        <f t="shared" si="185"/>
        <v>8707439.9100000039</v>
      </c>
      <c r="CN73" s="83"/>
      <c r="CO73" s="83">
        <f t="shared" si="186"/>
        <v>-1683601.2</v>
      </c>
      <c r="CP73" s="83">
        <f t="shared" si="137"/>
        <v>85487968.709999993</v>
      </c>
      <c r="CQ73" s="83">
        <f t="shared" si="147"/>
        <v>-3456</v>
      </c>
      <c r="CR73" s="83"/>
      <c r="CS73" s="83">
        <f t="shared" si="148"/>
        <v>-1127</v>
      </c>
      <c r="CT73" s="83"/>
      <c r="CU73" s="83">
        <f t="shared" si="149"/>
        <v>-93</v>
      </c>
      <c r="CV73" s="83"/>
      <c r="CW73" s="83">
        <f t="shared" ca="1" si="150"/>
        <v>-14542261.913068436</v>
      </c>
      <c r="CY73" s="83">
        <f t="shared" ca="1" si="151"/>
        <v>-13884584.35412216</v>
      </c>
      <c r="CZ73" s="70" t="str">
        <f t="shared" ca="1" si="195"/>
        <v/>
      </c>
      <c r="DA73" s="83">
        <f>IF(RTD("tos.rtd",,DA$43,"."&amp;$A$43&amp;$AS$42&amp;"C"&amp;$A73)="N/A",0,RTD("tos.rtd",,DA$43,"."&amp;$A$43&amp;$AS$42&amp;"C"&amp;$A73))</f>
        <v>16.07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17.5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13.52</v>
      </c>
      <c r="DF73" s="83">
        <f>IF(RTD("tos.rtd",,DF$43,"."&amp;$A$43&amp;$AS$42&amp;"P"&amp;$A73)="N/A",0,RTD("tos.rtd",,DF$43,"."&amp;$A$43&amp;$AS$42&amp;"P"&amp;$A73))</f>
        <v>0</v>
      </c>
      <c r="DG73" s="86">
        <f t="shared" si="187"/>
        <v>-15.629999999999995</v>
      </c>
      <c r="DH73" s="3">
        <f t="shared" si="152"/>
        <v>0</v>
      </c>
      <c r="DI73" s="3">
        <f t="shared" si="153"/>
        <v>0</v>
      </c>
      <c r="DJ73" s="3">
        <f t="shared" si="154"/>
        <v>0</v>
      </c>
      <c r="DK73" s="3">
        <f t="shared" si="155"/>
        <v>0</v>
      </c>
      <c r="DL73" s="3">
        <f t="shared" si="156"/>
        <v>0</v>
      </c>
      <c r="DM73" s="3">
        <f t="shared" si="157"/>
        <v>0</v>
      </c>
      <c r="DN73" s="64" t="str">
        <f t="shared" si="158"/>
        <v>UNKNOWN</v>
      </c>
      <c r="DO73" s="64" t="str">
        <f t="shared" si="159"/>
        <v>UNKNOWN</v>
      </c>
      <c r="DP73" s="83">
        <f t="shared" si="160"/>
        <v>0</v>
      </c>
      <c r="DQ73" s="83">
        <f t="shared" si="161"/>
        <v>0</v>
      </c>
      <c r="DR73" s="83">
        <f t="shared" ca="1" si="162"/>
        <v>0</v>
      </c>
      <c r="DS73" s="83">
        <f t="shared" si="163"/>
        <v>0</v>
      </c>
      <c r="DT73" s="83">
        <f t="shared" si="188"/>
        <v>0</v>
      </c>
      <c r="DU73" s="83">
        <f t="shared" si="189"/>
        <v>0</v>
      </c>
      <c r="DV73" s="83">
        <f t="shared" si="164"/>
        <v>10</v>
      </c>
      <c r="DW73" s="83">
        <f t="shared" si="165"/>
        <v>-1728</v>
      </c>
      <c r="DX73" s="83">
        <f t="shared" ca="1" si="235"/>
        <v>8.8548827955244553E-24</v>
      </c>
      <c r="DY73" s="83">
        <f t="shared" ca="1" si="236"/>
        <v>-9.5601373132404247E-3</v>
      </c>
      <c r="DZ73" s="83">
        <f t="shared" ca="1" si="237"/>
        <v>1.4182845697345452E-2</v>
      </c>
      <c r="EA73" s="83">
        <f t="shared" ca="1" si="238"/>
        <v>-1.4563080908814849E-2</v>
      </c>
      <c r="EB73" s="83">
        <f t="shared" ca="1" si="239"/>
        <v>1.3729644326741855E-2</v>
      </c>
      <c r="EC73" s="83">
        <f t="shared" ca="1" si="240"/>
        <v>-1.3556560026666184E-2</v>
      </c>
      <c r="ED73" s="63">
        <f t="shared" si="190"/>
        <v>-1718</v>
      </c>
      <c r="EE73" s="84">
        <f t="shared" si="166"/>
        <v>0.25</v>
      </c>
      <c r="EF73" s="84">
        <f t="shared" si="167"/>
        <v>1.4673</v>
      </c>
      <c r="EG73" s="84">
        <f t="shared" si="168"/>
        <v>0.23960000000000001</v>
      </c>
      <c r="EH73" s="84">
        <f t="shared" si="169"/>
        <v>0.25790000000000002</v>
      </c>
      <c r="EI73" s="84">
        <f t="shared" si="170"/>
        <v>0.22589999999999999</v>
      </c>
      <c r="EJ73" s="84">
        <f t="shared" si="171"/>
        <v>0.22170000000000001</v>
      </c>
      <c r="EK73" s="63">
        <f t="shared" ca="1" si="191"/>
        <v>4460631.0291847419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146.73%</v>
      </c>
      <c r="EN73" s="83" t="str">
        <f>RTD("tos.rtd",,EN$2,"."&amp;$A$43&amp;$AU$1&amp;"C"&amp;$A73)</f>
        <v>23.96%</v>
      </c>
      <c r="EO73" s="83" t="str">
        <f>RTD("tos.rtd",,EO$2,"."&amp;$A$43&amp;$AU$1&amp;"P"&amp;$A73)</f>
        <v>25.79%</v>
      </c>
      <c r="EP73" s="83" t="str">
        <f>RTD("tos.rtd",,EP$2,"."&amp;$A$43&amp;$AW$1&amp;"C"&amp;$A73)</f>
        <v>22.59%</v>
      </c>
      <c r="EQ73" s="83" t="str">
        <f>RTD("tos.rtd",,EQ$2,"."&amp;$A$43&amp;$AW$1&amp;"P"&amp;$A73)</f>
        <v>22.17%</v>
      </c>
      <c r="ES73" s="63" t="str">
        <f t="shared" si="172"/>
        <v>504,-1718.00</v>
      </c>
      <c r="ET73" s="63" t="str">
        <f t="shared" ca="1" si="173"/>
        <v>504,-13884.58</v>
      </c>
      <c r="EU73" s="67">
        <v>593.42999999999995</v>
      </c>
      <c r="EV73" s="67" t="s">
        <v>604</v>
      </c>
      <c r="EW73" s="67">
        <v>519.95000000000005</v>
      </c>
      <c r="EX73" s="67" t="s">
        <v>605</v>
      </c>
      <c r="EY73" s="67">
        <v>5944.75</v>
      </c>
      <c r="EZ73" s="67" t="s">
        <v>606</v>
      </c>
      <c r="FA73" s="67">
        <v>21341.25</v>
      </c>
      <c r="FB73" s="67" t="s">
        <v>607</v>
      </c>
      <c r="FC73" s="67" t="s">
        <v>608</v>
      </c>
      <c r="FD73" s="67" t="s">
        <v>609</v>
      </c>
      <c r="FE73" s="68" t="s">
        <v>610</v>
      </c>
      <c r="FF73" s="68" t="s">
        <v>611</v>
      </c>
    </row>
    <row r="74" spans="1:162" ht="13.5" thickBot="1" x14ac:dyDescent="0.25">
      <c r="A74" s="2">
        <f t="shared" si="192"/>
        <v>503</v>
      </c>
      <c r="B74" s="3">
        <f t="shared" si="142"/>
        <v>2498</v>
      </c>
      <c r="C74" s="3">
        <f t="shared" si="241"/>
        <v>2284</v>
      </c>
      <c r="D74" s="3">
        <f t="shared" si="144"/>
        <v>157</v>
      </c>
      <c r="E74" s="3">
        <f>SUM(B74:D74)</f>
        <v>4939</v>
      </c>
      <c r="F74" s="4">
        <f>+$F$44/$A$44*A74</f>
        <v>20735.21014952947</v>
      </c>
      <c r="AM74" s="1">
        <v>6</v>
      </c>
      <c r="AN74" s="1">
        <v>-1241</v>
      </c>
      <c r="AO74" s="1">
        <v>503</v>
      </c>
      <c r="AP74" s="1">
        <v>13</v>
      </c>
      <c r="AQ74" s="1">
        <v>-4053</v>
      </c>
      <c r="AS74" s="6">
        <f>IF(RTD("tos.rtd",,AS$43,"."&amp;$A$43&amp;$AS$42&amp;"C"&amp;$A74)="N/A",0,RTD("tos.rtd",,AS$43,"."&amp;$A$43&amp;$AS$42&amp;"C"&amp;$A74))</f>
        <v>91</v>
      </c>
      <c r="AT74" s="7">
        <f>-IF(RTD("tos.rtd",,AT$43,"."&amp;$A$43&amp;$AS$42&amp;"P"&amp;$A74)="N/A",0,RTD("tos.rtd",,AT$43,"."&amp;$A$43&amp;$AS$42&amp;"P"&amp;$A74))</f>
        <v>-2407</v>
      </c>
      <c r="AU74" s="6">
        <f>IF(RTD("tos.rtd",,AU$2,"."&amp;$A$43&amp;$AU$1&amp;"C"&amp;$A74)="N/A",0,RTD("tos.rtd",,AU$2,"."&amp;$A$43&amp;$AU$1&amp;"C"&amp;$A74))</f>
        <v>94</v>
      </c>
      <c r="AV74" s="7">
        <f>-IF(RTD("tos.rtd",,AV$2,"."&amp;$A$43&amp;$AU$1&amp;"P"&amp;$A74)="N/A",0,RTD("tos.rtd",,AV$2,"."&amp;$A$43&amp;$AU$1&amp;"P"&amp;$A74))</f>
        <v>-2190</v>
      </c>
      <c r="AW74" s="6">
        <f>IF(RTD("tos.rtd",,AW$2,"."&amp;$A$43&amp;$AW$1&amp;"C"&amp;$A74)="N/A",0,RTD("tos.rtd",,AW$2,"."&amp;$A$43&amp;$AW$1&amp;"C"&amp;$A74))</f>
        <v>3</v>
      </c>
      <c r="AX74" s="7">
        <f>-IF(RTD("tos.rtd",,AX$2,"."&amp;$A$43&amp;$AW$1&amp;"P"&amp;$A74)="N/A",0,RTD("tos.rtd",,AX$2,"."&amp;$A$43&amp;$AW$1&amp;"P"&amp;$A74))</f>
        <v>-154</v>
      </c>
      <c r="AY74" s="7">
        <f>SUM(AS74:AX74)</f>
        <v>-4563</v>
      </c>
      <c r="AZ74" s="8">
        <f t="shared" si="146"/>
        <v>503</v>
      </c>
      <c r="BA74" s="6">
        <f>IF(RTD("tos.rtd",,BA$43,"."&amp;$A$43&amp;$AS$42&amp;"C"&amp;$A74)="N/A",0,RTD("tos.rtd",,BA$43,"."&amp;$A$43&amp;$AS$42&amp;"C"&amp;$A74))</f>
        <v>13</v>
      </c>
      <c r="BB74" s="7">
        <f>-IF(RTD("tos.rtd",,BB$43,"."&amp;$A$43&amp;$AS$42&amp;"P"&amp;$A74)="N/A",0,RTD("tos.rtd",,BB$43,"."&amp;$A$43&amp;$AS$42&amp;"P"&amp;$A74))</f>
        <v>-4053</v>
      </c>
      <c r="BC74" s="6">
        <f>IF(RTD("tos.rtd",,BC$2,"."&amp;$A$43&amp;$AU$1&amp;"C"&amp;$A74)="N/A",0,RTD("tos.rtd",,BC$2,"."&amp;$A$43&amp;$AU$1&amp;"C"&amp;$A74))</f>
        <v>30</v>
      </c>
      <c r="BD74" s="7">
        <f>-IF(RTD("tos.rtd",,BD$2,"."&amp;$A$43&amp;$AU$1&amp;"P"&amp;$A74)="N/A",0,RTD("tos.rtd",,BD$2,"."&amp;$A$43&amp;$AU$1&amp;"P"&amp;$A74))</f>
        <v>-2387</v>
      </c>
      <c r="BE74" s="6">
        <f>IF(RTD("tos.rtd",,BE$2,"."&amp;$A$43&amp;$AW$1&amp;"C"&amp;$A74)="N/A",0,RTD("tos.rtd",,BE$2,"."&amp;$A$43&amp;$AW$1&amp;"C"&amp;$A74))</f>
        <v>3</v>
      </c>
      <c r="BF74" s="7">
        <f>-IF(RTD("tos.rtd",,BF$2,"."&amp;$A$43&amp;$AW$1&amp;"P"&amp;$A74)="N/A",0,RTD("tos.rtd",,BF$2,"."&amp;$A$43&amp;$AW$1&amp;"P"&amp;$A74))</f>
        <v>-20</v>
      </c>
      <c r="BG74" s="32">
        <f ca="1">+Hoja2!Y75</f>
        <v>-3496</v>
      </c>
      <c r="BH74" s="7">
        <f t="shared" ca="1" si="175"/>
        <v>-9910</v>
      </c>
      <c r="BI74" s="8" t="str">
        <f t="shared" ca="1" si="193"/>
        <v/>
      </c>
      <c r="BJ74" s="83">
        <f ca="1">IF($BP$1=1,DX74,IF(RTD("tos.rtd",,BJ$43,"."&amp;$A$43&amp;$AS$42&amp;"C"&amp;$A74)="N/A",0,RTD("tos.rtd",,BJ$43,"."&amp;$A$43&amp;$AS$42&amp;"C"&amp;$A74)))</f>
        <v>8.5513516552169963E-27</v>
      </c>
      <c r="BK74" s="83">
        <f ca="1">IF($BP$1=1,DY74,-IF(RTD("tos.rtd",,BK$43,"."&amp;$A$43&amp;$AS$42&amp;"P"&amp;$A74)="N/A",0,RTD("tos.rtd",,BK$43,"."&amp;$A$43&amp;$AS$42&amp;"P"&amp;$A74)))</f>
        <v>-8.8589112855927445E-3</v>
      </c>
      <c r="BL74" s="83">
        <f ca="1">IF($BP$1=1,DZ74,IF(RTD("tos.rtd",,BL$2,"."&amp;$A$43&amp;$AU$1&amp;"C"&amp;$A74)="N/A",0,RTD("tos.rtd",,BL$2,"."&amp;$A$43&amp;$AU$1&amp;"C"&amp;$A74)))</f>
        <v>1.3796013721103353E-2</v>
      </c>
      <c r="BM74" s="83">
        <f ca="1">IF($BP$1=1,EA74,-IF(RTD("tos.rtd",,BM$2,"."&amp;$A$43&amp;$AU$1&amp;"P"&amp;$A74)="N/A",0,RTD("tos.rtd",,BM$2,"."&amp;$A$43&amp;$AU$1&amp;"P"&amp;$A74)))</f>
        <v>-1.3454774204431809E-2</v>
      </c>
      <c r="BN74" s="83">
        <f ca="1">IF($BP$1=1,EB74,IF(RTD("tos.rtd",,BN$2,"."&amp;$A$43&amp;$AW$1&amp;"C"&amp;$A74)="N/A",0,RTD("tos.rtd",,BN$2,"."&amp;$A$43&amp;$AW$1&amp;"C"&amp;$A74)))</f>
        <v>1.2294104925964697E-2</v>
      </c>
      <c r="BO74" s="83">
        <f ca="1">IF($BP$1=1,EC74,-IF(RTD("tos.rtd",,BO$2,"."&amp;$A$43&amp;$AW$1&amp;"P"&amp;$A74)="N/A",0,RTD("tos.rtd",,BO$2,"."&amp;$A$43&amp;$AW$1&amp;"P"&amp;$A74)))</f>
        <v>-1.2188134010953157E-2</v>
      </c>
      <c r="BQ74" s="83">
        <f t="shared" ca="1" si="176"/>
        <v>-5757644.8902391149</v>
      </c>
      <c r="BR74" s="3" t="str">
        <f t="shared" ca="1" si="177"/>
        <v/>
      </c>
      <c r="BS74" s="83">
        <f t="shared" ca="1" si="178"/>
        <v>-7606097.1859721644</v>
      </c>
      <c r="BT74" s="3" t="str">
        <f t="shared" ca="1" si="179"/>
        <v/>
      </c>
      <c r="BU74" s="83">
        <f t="shared" ca="1" si="180"/>
        <v>-496852.60846667428</v>
      </c>
      <c r="BV74" s="83"/>
      <c r="BX74" s="83">
        <f t="shared" ca="1" si="181"/>
        <v>-9694945.8828995135</v>
      </c>
      <c r="BY74" s="83" t="str">
        <f t="shared" ca="1" si="194"/>
        <v/>
      </c>
      <c r="BZ74" s="83">
        <f t="shared" ca="1" si="182"/>
        <v>-8560205.9364855792</v>
      </c>
      <c r="CA74" s="83" t="str">
        <f t="shared" ca="1" si="194"/>
        <v/>
      </c>
      <c r="CB74" s="83">
        <f t="shared" ca="1" si="183"/>
        <v>-55860.871572592376</v>
      </c>
      <c r="CC74" s="83" t="str">
        <f t="shared" ca="1" si="194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0.9</v>
      </c>
      <c r="CG74" s="83">
        <f>-IF(RTD("tos.rtd",,CG$2,"."&amp;$A$43&amp;$AU$1&amp;"P"&amp;$A74)="N/A",0,RTD("tos.rtd",,CG$2,"."&amp;$A$43&amp;$AU$1&amp;"P"&amp;$A74))</f>
        <v>0.08</v>
      </c>
      <c r="CH74" s="83">
        <f>IF(RTD("tos.rtd",,CH$2,"."&amp;$A$43&amp;$AW$1&amp;"C"&amp;$A74)="N/A",0,RTD("tos.rtd",,CH$2,"."&amp;$A$43&amp;$AW$1&amp;"C"&amp;$A74))</f>
        <v>0.72</v>
      </c>
      <c r="CI74" s="83">
        <f>-IF(RTD("tos.rtd",,CI$2,"."&amp;$A$43&amp;$AW$1&amp;"P"&amp;$A74)="N/A",0,RTD("tos.rtd",,CI$2,"."&amp;$A$43&amp;$AW$1&amp;"P"&amp;$A74))</f>
        <v>0.28000000000000003</v>
      </c>
      <c r="CK74" s="83">
        <f t="shared" si="184"/>
        <v>47286330</v>
      </c>
      <c r="CL74" s="83"/>
      <c r="CM74" s="83">
        <f t="shared" si="185"/>
        <v>-4707847.8</v>
      </c>
      <c r="CN74" s="83"/>
      <c r="CO74" s="83">
        <f t="shared" si="186"/>
        <v>-2128404.48</v>
      </c>
      <c r="CP74" s="83">
        <f t="shared" si="137"/>
        <v>40450077.720000006</v>
      </c>
      <c r="CQ74" s="83">
        <f t="shared" si="147"/>
        <v>-4040</v>
      </c>
      <c r="CR74" s="83"/>
      <c r="CS74" s="83">
        <f t="shared" si="148"/>
        <v>-2357</v>
      </c>
      <c r="CT74" s="83"/>
      <c r="CU74" s="83">
        <f t="shared" si="149"/>
        <v>-17</v>
      </c>
      <c r="CV74" s="83"/>
      <c r="CW74" s="83">
        <f ca="1">+BQ74+BS74+BU74</f>
        <v>-13860594.684677953</v>
      </c>
      <c r="CY74" s="83">
        <f t="shared" ca="1" si="151"/>
        <v>-18311012.690957684</v>
      </c>
      <c r="CZ74" s="70" t="str">
        <f t="shared" ca="1" si="195"/>
        <v/>
      </c>
      <c r="DA74" s="83">
        <f>IF(RTD("tos.rtd",,DA$43,"."&amp;$A$43&amp;$AS$42&amp;"C"&amp;$A74)="N/A",0,RTD("tos.rtd",,DA$43,"."&amp;$A$43&amp;$AS$42&amp;"C"&amp;$A74))</f>
        <v>16.68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18.5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14.4</v>
      </c>
      <c r="DF74" s="83">
        <f>IF(RTD("tos.rtd",,DF$43,"."&amp;$A$43&amp;$AS$42&amp;"P"&amp;$A74)="N/A",0,RTD("tos.rtd",,DF$43,"."&amp;$A$43&amp;$AS$42&amp;"P"&amp;$A74))</f>
        <v>0</v>
      </c>
      <c r="DG74" s="86">
        <f t="shared" si="187"/>
        <v>-16.629999999999995</v>
      </c>
      <c r="DH74" s="3">
        <f t="shared" si="152"/>
        <v>0</v>
      </c>
      <c r="DI74" s="3">
        <f t="shared" si="153"/>
        <v>0</v>
      </c>
      <c r="DJ74" s="3">
        <f t="shared" si="154"/>
        <v>0</v>
      </c>
      <c r="DK74" s="3">
        <f t="shared" si="155"/>
        <v>0</v>
      </c>
      <c r="DL74" s="3">
        <f t="shared" si="156"/>
        <v>0</v>
      </c>
      <c r="DM74" s="3">
        <f t="shared" si="157"/>
        <v>0</v>
      </c>
      <c r="DN74" s="64" t="str">
        <f t="shared" si="158"/>
        <v>UNKNOWN</v>
      </c>
      <c r="DO74" s="64" t="str">
        <f t="shared" si="159"/>
        <v>UNKNOWN</v>
      </c>
      <c r="DP74" s="83">
        <f t="shared" si="160"/>
        <v>0</v>
      </c>
      <c r="DQ74" s="83">
        <f t="shared" si="161"/>
        <v>0</v>
      </c>
      <c r="DR74" s="83">
        <f t="shared" ca="1" si="162"/>
        <v>0</v>
      </c>
      <c r="DS74" s="83">
        <f t="shared" si="163"/>
        <v>0</v>
      </c>
      <c r="DT74" s="83">
        <f t="shared" si="188"/>
        <v>0</v>
      </c>
      <c r="DU74" s="83">
        <f t="shared" si="189"/>
        <v>0</v>
      </c>
      <c r="DV74" s="83">
        <f t="shared" si="164"/>
        <v>6</v>
      </c>
      <c r="DW74" s="83">
        <f t="shared" si="165"/>
        <v>-1241</v>
      </c>
      <c r="DX74" s="83">
        <f t="shared" ca="1" si="235"/>
        <v>8.5513516552169963E-27</v>
      </c>
      <c r="DY74" s="83">
        <f t="shared" ca="1" si="236"/>
        <v>-8.8589112855927445E-3</v>
      </c>
      <c r="DZ74" s="83">
        <f t="shared" ca="1" si="237"/>
        <v>1.3796013721103353E-2</v>
      </c>
      <c r="EA74" s="83">
        <f t="shared" ca="1" si="238"/>
        <v>-1.3454774204431809E-2</v>
      </c>
      <c r="EB74" s="83">
        <f t="shared" ca="1" si="239"/>
        <v>1.2294104925964697E-2</v>
      </c>
      <c r="EC74" s="83">
        <f t="shared" ca="1" si="240"/>
        <v>-1.2188134010953157E-2</v>
      </c>
      <c r="ED74" s="63">
        <f t="shared" si="190"/>
        <v>-1235</v>
      </c>
      <c r="EE74" s="84">
        <f t="shared" si="166"/>
        <v>0.25</v>
      </c>
      <c r="EF74" s="84">
        <f t="shared" si="167"/>
        <v>1.5532999999999999</v>
      </c>
      <c r="EG74" s="84">
        <f t="shared" si="168"/>
        <v>0.28639999999999999</v>
      </c>
      <c r="EH74" s="84">
        <f t="shared" si="169"/>
        <v>0.26119999999999999</v>
      </c>
      <c r="EI74" s="84">
        <f t="shared" si="170"/>
        <v>0.22570000000000001</v>
      </c>
      <c r="EJ74" s="84">
        <f t="shared" si="171"/>
        <v>0.2235</v>
      </c>
      <c r="EK74" s="63">
        <f t="shared" ca="1" si="191"/>
        <v>2968524.0169450524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155.33%</v>
      </c>
      <c r="EN74" s="83" t="str">
        <f>RTD("tos.rtd",,EN$2,"."&amp;$A$43&amp;$AU$1&amp;"C"&amp;$A74)</f>
        <v>28.64%</v>
      </c>
      <c r="EO74" s="83" t="str">
        <f>RTD("tos.rtd",,EO$2,"."&amp;$A$43&amp;$AU$1&amp;"P"&amp;$A74)</f>
        <v>26.12%</v>
      </c>
      <c r="EP74" s="83" t="str">
        <f>RTD("tos.rtd",,EP$2,"."&amp;$A$43&amp;$AW$1&amp;"C"&amp;$A74)</f>
        <v>22.57%</v>
      </c>
      <c r="EQ74" s="83" t="str">
        <f>RTD("tos.rtd",,EQ$2,"."&amp;$A$43&amp;$AW$1&amp;"P"&amp;$A74)</f>
        <v>22.35%</v>
      </c>
      <c r="ES74" s="63" t="str">
        <f t="shared" si="172"/>
        <v>503,-1235.00</v>
      </c>
      <c r="ET74" s="63" t="str">
        <f t="shared" ca="1" si="173"/>
        <v>503,-18311.01</v>
      </c>
      <c r="EU74" s="67">
        <v>593.42999999999995</v>
      </c>
      <c r="EV74" s="67" t="s">
        <v>612</v>
      </c>
      <c r="EW74" s="67">
        <v>520</v>
      </c>
      <c r="EX74" s="67" t="s">
        <v>613</v>
      </c>
      <c r="EY74" s="67">
        <v>5945.25</v>
      </c>
      <c r="EZ74" s="67" t="s">
        <v>614</v>
      </c>
      <c r="FA74" s="67">
        <v>21343.75</v>
      </c>
      <c r="FB74" s="67" t="s">
        <v>615</v>
      </c>
      <c r="FC74" s="67" t="s">
        <v>616</v>
      </c>
      <c r="FD74" s="67" t="s">
        <v>617</v>
      </c>
      <c r="FE74" s="68" t="s">
        <v>618</v>
      </c>
      <c r="FF74" s="68" t="s">
        <v>619</v>
      </c>
    </row>
    <row r="75" spans="1:162" ht="13.5" thickBot="1" x14ac:dyDescent="0.25">
      <c r="A75" s="2">
        <f t="shared" si="192"/>
        <v>502</v>
      </c>
      <c r="B75" s="3">
        <f t="shared" si="142"/>
        <v>2963</v>
      </c>
      <c r="C75" s="3">
        <f t="shared" si="241"/>
        <v>2959</v>
      </c>
      <c r="D75" s="3">
        <f t="shared" si="144"/>
        <v>80</v>
      </c>
      <c r="E75" s="3">
        <f t="shared" si="145"/>
        <v>6002</v>
      </c>
      <c r="F75" s="4">
        <f t="shared" si="196"/>
        <v>20693.98706772126</v>
      </c>
      <c r="AM75" s="1">
        <v>5</v>
      </c>
      <c r="AN75" s="1">
        <v>-2827</v>
      </c>
      <c r="AO75" s="1">
        <v>502</v>
      </c>
      <c r="AP75" s="1">
        <v>7</v>
      </c>
      <c r="AQ75" s="1">
        <v>-4066</v>
      </c>
      <c r="AS75" s="6">
        <f>IF(RTD("tos.rtd",,AS$43,"."&amp;$A$43&amp;$AS$42&amp;"C"&amp;$A75)="N/A",0,RTD("tos.rtd",,AS$43,"."&amp;$A$43&amp;$AS$42&amp;"C"&amp;$A75))</f>
        <v>146</v>
      </c>
      <c r="AT75" s="7">
        <f>-IF(RTD("tos.rtd",,AT$43,"."&amp;$A$43&amp;$AS$42&amp;"P"&amp;$A75)="N/A",0,RTD("tos.rtd",,AT$43,"."&amp;$A$43&amp;$AS$42&amp;"P"&amp;$A75))</f>
        <v>-2817</v>
      </c>
      <c r="AU75" s="6">
        <f>IF(RTD("tos.rtd",,AU$2,"."&amp;$A$43&amp;$AU$1&amp;"C"&amp;$A75)="N/A",0,RTD("tos.rtd",,AU$2,"."&amp;$A$43&amp;$AU$1&amp;"C"&amp;$A75))</f>
        <v>256</v>
      </c>
      <c r="AV75" s="7">
        <f>-IF(RTD("tos.rtd",,AV$2,"."&amp;$A$43&amp;$AU$1&amp;"P"&amp;$A75)="N/A",0,RTD("tos.rtd",,AV$2,"."&amp;$A$43&amp;$AU$1&amp;"P"&amp;$A75))</f>
        <v>-2703</v>
      </c>
      <c r="AW75" s="6">
        <f>IF(RTD("tos.rtd",,AW$2,"."&amp;$A$43&amp;$AW$1&amp;"C"&amp;$A75)="N/A",0,RTD("tos.rtd",,AW$2,"."&amp;$A$43&amp;$AW$1&amp;"C"&amp;$A75))</f>
        <v>9</v>
      </c>
      <c r="AX75" s="7">
        <f>-IF(RTD("tos.rtd",,AX$2,"."&amp;$A$43&amp;$AW$1&amp;"P"&amp;$A75)="N/A",0,RTD("tos.rtd",,AX$2,"."&amp;$A$43&amp;$AW$1&amp;"P"&amp;$A75))</f>
        <v>-71</v>
      </c>
      <c r="AY75" s="7">
        <f t="shared" si="174"/>
        <v>-5180</v>
      </c>
      <c r="AZ75" s="8">
        <f t="shared" si="146"/>
        <v>502</v>
      </c>
      <c r="BA75" s="6">
        <f>IF(RTD("tos.rtd",,BA$43,"."&amp;$A$43&amp;$AS$42&amp;"C"&amp;$A75)="N/A",0,RTD("tos.rtd",,BA$43,"."&amp;$A$43&amp;$AS$42&amp;"C"&amp;$A75))</f>
        <v>7</v>
      </c>
      <c r="BB75" s="7">
        <f>-IF(RTD("tos.rtd",,BB$43,"."&amp;$A$43&amp;$AS$42&amp;"P"&amp;$A75)="N/A",0,RTD("tos.rtd",,BB$43,"."&amp;$A$43&amp;$AS$42&amp;"P"&amp;$A75))</f>
        <v>-4066</v>
      </c>
      <c r="BC75" s="6">
        <f>IF(RTD("tos.rtd",,BC$2,"."&amp;$A$43&amp;$AU$1&amp;"C"&amp;$A75)="N/A",0,RTD("tos.rtd",,BC$2,"."&amp;$A$43&amp;$AU$1&amp;"C"&amp;$A75))</f>
        <v>17</v>
      </c>
      <c r="BD75" s="7">
        <f>-IF(RTD("tos.rtd",,BD$2,"."&amp;$A$43&amp;$AU$1&amp;"P"&amp;$A75)="N/A",0,RTD("tos.rtd",,BD$2,"."&amp;$A$43&amp;$AU$1&amp;"P"&amp;$A75))</f>
        <v>-2255</v>
      </c>
      <c r="BE75" s="6">
        <f>IF(RTD("tos.rtd",,BE$2,"."&amp;$A$43&amp;$AW$1&amp;"C"&amp;$A75)="N/A",0,RTD("tos.rtd",,BE$2,"."&amp;$A$43&amp;$AW$1&amp;"C"&amp;$A75))</f>
        <v>0</v>
      </c>
      <c r="BF75" s="7">
        <f>-IF(RTD("tos.rtd",,BF$2,"."&amp;$A$43&amp;$AW$1&amp;"P"&amp;$A75)="N/A",0,RTD("tos.rtd",,BF$2,"."&amp;$A$43&amp;$AW$1&amp;"P"&amp;$A75))</f>
        <v>-47</v>
      </c>
      <c r="BG75" s="32">
        <f ca="1">+Hoja2!Y76</f>
        <v>-2293</v>
      </c>
      <c r="BH75" s="7">
        <f t="shared" ca="1" si="175"/>
        <v>-8637</v>
      </c>
      <c r="BI75" s="8" t="str">
        <f t="shared" ca="1" si="193"/>
        <v/>
      </c>
      <c r="BJ75" s="83">
        <f ca="1">IF($BP$1=1,DX75,IF(RTD("tos.rtd",,BJ$43,"."&amp;$A$43&amp;$AS$42&amp;"C"&amp;$A75)="N/A",0,RTD("tos.rtd",,BJ$43,"."&amp;$A$43&amp;$AS$42&amp;"C"&amp;$A75)))</f>
        <v>5.2538723306791229E-30</v>
      </c>
      <c r="BK75" s="83">
        <f ca="1">IF($BP$1=1,DY75,-IF(RTD("tos.rtd",,BK$43,"."&amp;$A$43&amp;$AS$42&amp;"P"&amp;$A75)="N/A",0,RTD("tos.rtd",,BK$43,"."&amp;$A$43&amp;$AS$42&amp;"P"&amp;$A75)))</f>
        <v>-8.2433048843187067E-3</v>
      </c>
      <c r="BL75" s="83">
        <f ca="1">IF($BP$1=1,DZ75,IF(RTD("tos.rtd",,BL$2,"."&amp;$A$43&amp;$AU$1&amp;"C"&amp;$A75)="N/A",0,RTD("tos.rtd",,BL$2,"."&amp;$A$43&amp;$AU$1&amp;"C"&amp;$A75)))</f>
        <v>1.2005308361560055E-2</v>
      </c>
      <c r="BM75" s="83">
        <f ca="1">IF($BP$1=1,EA75,-IF(RTD("tos.rtd",,BM$2,"."&amp;$A$43&amp;$AU$1&amp;"P"&amp;$A75)="N/A",0,RTD("tos.rtd",,BM$2,"."&amp;$A$43&amp;$AU$1&amp;"P"&amp;$A75)))</f>
        <v>-1.2402362813925613E-2</v>
      </c>
      <c r="BN75" s="83">
        <f ca="1">IF($BP$1=1,EB75,IF(RTD("tos.rtd",,BN$2,"."&amp;$A$43&amp;$AW$1&amp;"C"&amp;$A75)="N/A",0,RTD("tos.rtd",,BN$2,"."&amp;$A$43&amp;$AW$1&amp;"C"&amp;$A75)))</f>
        <v>1.112398704913971E-2</v>
      </c>
      <c r="BO75" s="83">
        <f ca="1">IF($BP$1=1,EC75,-IF(RTD("tos.rtd",,BO$2,"."&amp;$A$43&amp;$AW$1&amp;"P"&amp;$A75)="N/A",0,RTD("tos.rtd",,BO$2,"."&amp;$A$43&amp;$AW$1&amp;"P"&amp;$A75)))</f>
        <v>-1.0938208389008018E-2</v>
      </c>
      <c r="BQ75" s="83">
        <f t="shared" ca="1" si="176"/>
        <v>-6270131.4060980957</v>
      </c>
      <c r="BR75" s="3" t="str">
        <f t="shared" ca="1" si="177"/>
        <v/>
      </c>
      <c r="BS75" s="83">
        <f t="shared" ca="1" si="178"/>
        <v>-8222028.5033779303</v>
      </c>
      <c r="BT75" s="3" t="str">
        <f t="shared" ca="1" si="179"/>
        <v/>
      </c>
      <c r="BU75" s="83">
        <f t="shared" ca="1" si="180"/>
        <v>-182664.54165336658</v>
      </c>
      <c r="BV75" s="83"/>
      <c r="BX75" s="83">
        <f t="shared" ca="1" si="181"/>
        <v>-9050179.0192384999</v>
      </c>
      <c r="BY75" s="83" t="str">
        <f t="shared" ca="1" si="194"/>
        <v/>
      </c>
      <c r="BZ75" s="83">
        <f t="shared" ca="1" si="182"/>
        <v>-7496500.0358824469</v>
      </c>
      <c r="CA75" s="83" t="str">
        <f t="shared" ca="1" si="194"/>
        <v/>
      </c>
      <c r="CB75" s="83">
        <f t="shared" ca="1" si="183"/>
        <v>-138813.74909229908</v>
      </c>
      <c r="CC75" s="83" t="str">
        <f t="shared" ca="1" si="194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0.94</v>
      </c>
      <c r="CG75" s="83">
        <f>-IF(RTD("tos.rtd",,CG$2,"."&amp;$A$43&amp;$AU$1&amp;"P"&amp;$A75)="N/A",0,RTD("tos.rtd",,CG$2,"."&amp;$A$43&amp;$AU$1&amp;"P"&amp;$A75))</f>
        <v>7.0000000000000007E-2</v>
      </c>
      <c r="CH75" s="83">
        <f>IF(RTD("tos.rtd",,CH$2,"."&amp;$A$43&amp;$AW$1&amp;"C"&amp;$A75)="N/A",0,RTD("tos.rtd",,CH$2,"."&amp;$A$43&amp;$AW$1&amp;"C"&amp;$A75))</f>
        <v>0.73</v>
      </c>
      <c r="CI75" s="83">
        <f>-IF(RTD("tos.rtd",,CI$2,"."&amp;$A$43&amp;$AW$1&amp;"P"&amp;$A75)="N/A",0,RTD("tos.rtd",,CI$2,"."&amp;$A$43&amp;$AW$1&amp;"P"&amp;$A75))</f>
        <v>0.27</v>
      </c>
      <c r="CK75" s="83">
        <f t="shared" si="184"/>
        <v>75865980</v>
      </c>
      <c r="CL75" s="83"/>
      <c r="CM75" s="83">
        <f t="shared" si="185"/>
        <v>2672457.09</v>
      </c>
      <c r="CN75" s="83"/>
      <c r="CO75" s="83">
        <f t="shared" si="186"/>
        <v>-654733.80000000005</v>
      </c>
      <c r="CP75" s="83">
        <f t="shared" si="137"/>
        <v>77883703.290000007</v>
      </c>
      <c r="CQ75" s="83">
        <f t="shared" si="147"/>
        <v>-4059</v>
      </c>
      <c r="CR75" s="83"/>
      <c r="CS75" s="83">
        <f t="shared" si="148"/>
        <v>-2238</v>
      </c>
      <c r="CT75" s="83"/>
      <c r="CU75" s="83">
        <f t="shared" si="149"/>
        <v>-47</v>
      </c>
      <c r="CV75" s="83"/>
      <c r="CW75" s="83">
        <f t="shared" ca="1" si="150"/>
        <v>-14674824.451129394</v>
      </c>
      <c r="CY75" s="83">
        <f t="shared" ca="1" si="151"/>
        <v>-16685492.804213246</v>
      </c>
      <c r="CZ75" s="70" t="str">
        <f t="shared" ca="1" si="195"/>
        <v/>
      </c>
      <c r="DA75" s="83">
        <f>IF(RTD("tos.rtd",,DA$43,"."&amp;$A$43&amp;$AS$42&amp;"C"&amp;$A75)="N/A",0,RTD("tos.rtd",,DA$43,"."&amp;$A$43&amp;$AS$42&amp;"C"&amp;$A75))</f>
        <v>19.87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19.5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15.53</v>
      </c>
      <c r="DF75" s="83">
        <f>IF(RTD("tos.rtd",,DF$43,"."&amp;$A$43&amp;$AS$42&amp;"P"&amp;$A75)="N/A",0,RTD("tos.rtd",,DF$43,"."&amp;$A$43&amp;$AS$42&amp;"P"&amp;$A75))</f>
        <v>0</v>
      </c>
      <c r="DG75" s="86">
        <f t="shared" si="187"/>
        <v>-17.629999999999995</v>
      </c>
      <c r="DH75" s="3">
        <f t="shared" si="152"/>
        <v>0</v>
      </c>
      <c r="DI75" s="3">
        <f t="shared" si="153"/>
        <v>0</v>
      </c>
      <c r="DJ75" s="3">
        <f t="shared" si="154"/>
        <v>0</v>
      </c>
      <c r="DK75" s="3">
        <f t="shared" si="155"/>
        <v>0</v>
      </c>
      <c r="DL75" s="3">
        <f t="shared" si="156"/>
        <v>0</v>
      </c>
      <c r="DM75" s="3">
        <f t="shared" si="157"/>
        <v>0</v>
      </c>
      <c r="DN75" s="64" t="str">
        <f t="shared" si="158"/>
        <v>UNKNOWN</v>
      </c>
      <c r="DO75" s="64" t="str">
        <f t="shared" si="159"/>
        <v>UNKNOWN</v>
      </c>
      <c r="DP75" s="83">
        <f t="shared" si="160"/>
        <v>0</v>
      </c>
      <c r="DQ75" s="83">
        <f t="shared" si="161"/>
        <v>0</v>
      </c>
      <c r="DR75" s="83">
        <f t="shared" ca="1" si="162"/>
        <v>0</v>
      </c>
      <c r="DS75" s="83">
        <f t="shared" si="163"/>
        <v>0</v>
      </c>
      <c r="DT75" s="83">
        <f t="shared" si="188"/>
        <v>0</v>
      </c>
      <c r="DU75" s="83">
        <f t="shared" si="189"/>
        <v>0</v>
      </c>
      <c r="DV75" s="83">
        <f t="shared" si="164"/>
        <v>5</v>
      </c>
      <c r="DW75" s="83">
        <f t="shared" si="165"/>
        <v>-2827</v>
      </c>
      <c r="DX75" s="83">
        <f t="shared" ca="1" si="235"/>
        <v>5.2538723306791229E-30</v>
      </c>
      <c r="DY75" s="83">
        <f t="shared" ca="1" si="236"/>
        <v>-8.2433048843187067E-3</v>
      </c>
      <c r="DZ75" s="83">
        <f t="shared" ca="1" si="237"/>
        <v>1.2005308361560055E-2</v>
      </c>
      <c r="EA75" s="83">
        <f t="shared" ca="1" si="238"/>
        <v>-1.2402362813925613E-2</v>
      </c>
      <c r="EB75" s="83">
        <f t="shared" ca="1" si="239"/>
        <v>1.112398704913971E-2</v>
      </c>
      <c r="EC75" s="83">
        <f t="shared" ca="1" si="240"/>
        <v>-1.0938208389008018E-2</v>
      </c>
      <c r="ED75" s="63">
        <f t="shared" si="190"/>
        <v>-2822</v>
      </c>
      <c r="EE75" s="84">
        <f t="shared" si="166"/>
        <v>0.25</v>
      </c>
      <c r="EF75" s="84">
        <f t="shared" si="167"/>
        <v>1.639</v>
      </c>
      <c r="EG75" s="84">
        <f t="shared" si="168"/>
        <v>0.2505</v>
      </c>
      <c r="EH75" s="84">
        <f t="shared" si="169"/>
        <v>0.2641</v>
      </c>
      <c r="EI75" s="84">
        <f t="shared" si="170"/>
        <v>0.2293</v>
      </c>
      <c r="EJ75" s="84">
        <f t="shared" si="171"/>
        <v>0.22570000000000001</v>
      </c>
      <c r="EK75" s="63">
        <f t="shared" ca="1" si="191"/>
        <v>6292389.5935531836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163.90%</v>
      </c>
      <c r="EN75" s="83" t="str">
        <f>RTD("tos.rtd",,EN$2,"."&amp;$A$43&amp;$AU$1&amp;"C"&amp;$A75)</f>
        <v>25.05%</v>
      </c>
      <c r="EO75" s="83" t="str">
        <f>RTD("tos.rtd",,EO$2,"."&amp;$A$43&amp;$AU$1&amp;"P"&amp;$A75)</f>
        <v>26.41%</v>
      </c>
      <c r="EP75" s="83" t="str">
        <f>RTD("tos.rtd",,EP$2,"."&amp;$A$43&amp;$AW$1&amp;"C"&amp;$A75)</f>
        <v>22.93%</v>
      </c>
      <c r="EQ75" s="83" t="str">
        <f>RTD("tos.rtd",,EQ$2,"."&amp;$A$43&amp;$AW$1&amp;"P"&amp;$A75)</f>
        <v>22.57%</v>
      </c>
      <c r="ES75" s="63" t="str">
        <f t="shared" si="172"/>
        <v>502,-2822.00</v>
      </c>
      <c r="ET75" s="63" t="str">
        <f t="shared" ca="1" si="173"/>
        <v>502,-16685.49</v>
      </c>
      <c r="EU75" s="67">
        <v>593.48</v>
      </c>
      <c r="EV75" s="67" t="s">
        <v>620</v>
      </c>
      <c r="EW75" s="67">
        <v>520.01</v>
      </c>
      <c r="EX75" s="67" t="s">
        <v>621</v>
      </c>
      <c r="EY75" s="67">
        <v>5945</v>
      </c>
      <c r="EZ75" s="67" t="s">
        <v>622</v>
      </c>
      <c r="FA75" s="67">
        <v>21344.25</v>
      </c>
      <c r="FB75" s="67" t="s">
        <v>623</v>
      </c>
      <c r="FC75" s="67" t="s">
        <v>624</v>
      </c>
      <c r="FD75" s="67" t="s">
        <v>625</v>
      </c>
      <c r="FE75" s="68" t="s">
        <v>626</v>
      </c>
      <c r="FF75" s="68" t="s">
        <v>627</v>
      </c>
    </row>
    <row r="76" spans="1:162" ht="13.5" thickBot="1" x14ac:dyDescent="0.25">
      <c r="A76" s="2">
        <f t="shared" si="192"/>
        <v>501</v>
      </c>
      <c r="B76" s="3">
        <f t="shared" si="142"/>
        <v>1720</v>
      </c>
      <c r="C76" s="3">
        <f t="shared" si="241"/>
        <v>1304</v>
      </c>
      <c r="D76" s="3">
        <f t="shared" si="144"/>
        <v>102</v>
      </c>
      <c r="E76" s="3">
        <f t="shared" si="145"/>
        <v>3126</v>
      </c>
      <c r="F76" s="4">
        <f t="shared" si="196"/>
        <v>20652.76398591305</v>
      </c>
      <c r="AM76" s="1">
        <v>8</v>
      </c>
      <c r="AN76" s="1">
        <v>-804</v>
      </c>
      <c r="AO76" s="1">
        <v>501</v>
      </c>
      <c r="AP76" s="1">
        <v>12</v>
      </c>
      <c r="AQ76" s="1">
        <v>-842</v>
      </c>
      <c r="AS76" s="6">
        <f>IF(RTD("tos.rtd",,AS$43,"."&amp;$A$43&amp;$AS$42&amp;"C"&amp;$A76)="N/A",0,RTD("tos.rtd",,AS$43,"."&amp;$A$43&amp;$AS$42&amp;"C"&amp;$A76))</f>
        <v>186</v>
      </c>
      <c r="AT76" s="7">
        <f>-IF(RTD("tos.rtd",,AT$43,"."&amp;$A$43&amp;$AS$42&amp;"P"&amp;$A76)="N/A",0,RTD("tos.rtd",,AT$43,"."&amp;$A$43&amp;$AS$42&amp;"P"&amp;$A76))</f>
        <v>-1534</v>
      </c>
      <c r="AU76" s="6">
        <f>IF(RTD("tos.rtd",,AU$2,"."&amp;$A$43&amp;$AU$1&amp;"C"&amp;$A76)="N/A",0,RTD("tos.rtd",,AU$2,"."&amp;$A$43&amp;$AU$1&amp;"C"&amp;$A76))</f>
        <v>81</v>
      </c>
      <c r="AV76" s="7">
        <f>-IF(RTD("tos.rtd",,AV$2,"."&amp;$A$43&amp;$AU$1&amp;"P"&amp;$A76)="N/A",0,RTD("tos.rtd",,AV$2,"."&amp;$A$43&amp;$AU$1&amp;"P"&amp;$A76))</f>
        <v>-1223</v>
      </c>
      <c r="AW76" s="6">
        <f>IF(RTD("tos.rtd",,AW$2,"."&amp;$A$43&amp;$AW$1&amp;"C"&amp;$A76)="N/A",0,RTD("tos.rtd",,AW$2,"."&amp;$A$43&amp;$AW$1&amp;"C"&amp;$A76))</f>
        <v>10</v>
      </c>
      <c r="AX76" s="7">
        <f>-IF(RTD("tos.rtd",,AX$2,"."&amp;$A$43&amp;$AW$1&amp;"P"&amp;$A76)="N/A",0,RTD("tos.rtd",,AX$2,"."&amp;$A$43&amp;$AW$1&amp;"P"&amp;$A76))</f>
        <v>-92</v>
      </c>
      <c r="AY76" s="7">
        <f t="shared" si="174"/>
        <v>-2572</v>
      </c>
      <c r="AZ76" s="8">
        <f t="shared" si="146"/>
        <v>501</v>
      </c>
      <c r="BA76" s="6">
        <f>IF(RTD("tos.rtd",,BA$43,"."&amp;$A$43&amp;$AS$42&amp;"C"&amp;$A76)="N/A",0,RTD("tos.rtd",,BA$43,"."&amp;$A$43&amp;$AS$42&amp;"C"&amp;$A76))</f>
        <v>12</v>
      </c>
      <c r="BB76" s="7">
        <f>-IF(RTD("tos.rtd",,BB$43,"."&amp;$A$43&amp;$AS$42&amp;"P"&amp;$A76)="N/A",0,RTD("tos.rtd",,BB$43,"."&amp;$A$43&amp;$AS$42&amp;"P"&amp;$A76))</f>
        <v>-842</v>
      </c>
      <c r="BC76" s="6">
        <f>IF(RTD("tos.rtd",,BC$2,"."&amp;$A$43&amp;$AU$1&amp;"C"&amp;$A76)="N/A",0,RTD("tos.rtd",,BC$2,"."&amp;$A$43&amp;$AU$1&amp;"C"&amp;$A76))</f>
        <v>24</v>
      </c>
      <c r="BD76" s="7">
        <f>-IF(RTD("tos.rtd",,BD$2,"."&amp;$A$43&amp;$AU$1&amp;"P"&amp;$A76)="N/A",0,RTD("tos.rtd",,BD$2,"."&amp;$A$43&amp;$AU$1&amp;"P"&amp;$A76))</f>
        <v>-2178</v>
      </c>
      <c r="BE76" s="6">
        <f>IF(RTD("tos.rtd",,BE$2,"."&amp;$A$43&amp;$AW$1&amp;"C"&amp;$A76)="N/A",0,RTD("tos.rtd",,BE$2,"."&amp;$A$43&amp;$AW$1&amp;"C"&amp;$A76))</f>
        <v>1</v>
      </c>
      <c r="BF76" s="7">
        <f>-IF(RTD("tos.rtd",,BF$2,"."&amp;$A$43&amp;$AW$1&amp;"P"&amp;$A76)="N/A",0,RTD("tos.rtd",,BF$2,"."&amp;$A$43&amp;$AW$1&amp;"P"&amp;$A76))</f>
        <v>-143</v>
      </c>
      <c r="BG76" s="32">
        <f ca="1">+Hoja2!Y77</f>
        <v>-3456</v>
      </c>
      <c r="BH76" s="7">
        <f t="shared" ca="1" si="175"/>
        <v>-6582</v>
      </c>
      <c r="BI76" s="8" t="str">
        <f t="shared" ca="1" si="193"/>
        <v/>
      </c>
      <c r="BJ76" s="83">
        <f ca="1">IF($BP$1=1,DX76,IF(RTD("tos.rtd",,BJ$43,"."&amp;$A$43&amp;$AS$42&amp;"C"&amp;$A76)="N/A",0,RTD("tos.rtd",,BJ$43,"."&amp;$A$43&amp;$AS$42&amp;"C"&amp;$A76)))</f>
        <v>2.0481121351165026E-33</v>
      </c>
      <c r="BK76" s="83">
        <f ca="1">IF($BP$1=1,DY76,-IF(RTD("tos.rtd",,BK$43,"."&amp;$A$43&amp;$AS$42&amp;"P"&amp;$A76)="N/A",0,RTD("tos.rtd",,BK$43,"."&amp;$A$43&amp;$AS$42&amp;"P"&amp;$A76)))</f>
        <v>-7.6996114766362794E-3</v>
      </c>
      <c r="BL76" s="83">
        <f ca="1">IF($BP$1=1,DZ76,IF(RTD("tos.rtd",,BL$2,"."&amp;$A$43&amp;$AU$1&amp;"C"&amp;$A76)="N/A",0,RTD("tos.rtd",,BL$2,"."&amp;$A$43&amp;$AU$1&amp;"C"&amp;$A76)))</f>
        <v>1.1132587332168679E-2</v>
      </c>
      <c r="BM76" s="83">
        <f ca="1">IF($BP$1=1,EA76,-IF(RTD("tos.rtd",,BM$2,"."&amp;$A$43&amp;$AU$1&amp;"P"&amp;$A76)="N/A",0,RTD("tos.rtd",,BM$2,"."&amp;$A$43&amp;$AU$1&amp;"P"&amp;$A76)))</f>
        <v>-1.1371462420727096E-2</v>
      </c>
      <c r="BN76" s="83">
        <f ca="1">IF($BP$1=1,EB76,IF(RTD("tos.rtd",,BN$2,"."&amp;$A$43&amp;$AW$1&amp;"C"&amp;$A76)="N/A",0,RTD("tos.rtd",,BN$2,"."&amp;$A$43&amp;$AW$1&amp;"C"&amp;$A76)))</f>
        <v>9.8104337648224557E-3</v>
      </c>
      <c r="BO76" s="83">
        <f ca="1">IF($BP$1=1,EC76,-IF(RTD("tos.rtd",,BO$2,"."&amp;$A$43&amp;$AW$1&amp;"P"&amp;$A76)="N/A",0,RTD("tos.rtd",,BO$2,"."&amp;$A$43&amp;$AW$1&amp;"P"&amp;$A76)))</f>
        <v>-9.7489841957645162E-3</v>
      </c>
      <c r="BQ76" s="83">
        <f t="shared" ca="1" si="176"/>
        <v>-3189206.2286479208</v>
      </c>
      <c r="BR76" s="3" t="str">
        <f t="shared" ca="1" si="177"/>
        <v/>
      </c>
      <c r="BS76" s="83">
        <f t="shared" ca="1" si="178"/>
        <v>-3511700.3859510808</v>
      </c>
      <c r="BT76" s="3" t="str">
        <f t="shared" ca="1" si="179"/>
        <v/>
      </c>
      <c r="BU76" s="83">
        <f t="shared" ca="1" si="180"/>
        <v>-215688.8474073594</v>
      </c>
      <c r="BV76" s="83"/>
      <c r="BX76" s="83">
        <f t="shared" ca="1" si="181"/>
        <v>-1750529.1033386891</v>
      </c>
      <c r="BY76" s="83" t="str">
        <f t="shared" ca="1" si="194"/>
        <v/>
      </c>
      <c r="BZ76" s="83">
        <f t="shared" ca="1" si="182"/>
        <v>-6615338.7771700323</v>
      </c>
      <c r="CA76" s="83" t="str">
        <f t="shared" ca="1" si="194"/>
        <v/>
      </c>
      <c r="CB76" s="83">
        <f t="shared" ca="1" si="183"/>
        <v>-373780.69346531108</v>
      </c>
      <c r="CC76" s="83" t="str">
        <f t="shared" ca="1" si="194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0.94</v>
      </c>
      <c r="CG76" s="83">
        <f>-IF(RTD("tos.rtd",,CG$2,"."&amp;$A$43&amp;$AU$1&amp;"P"&amp;$A76)="N/A",0,RTD("tos.rtd",,CG$2,"."&amp;$A$43&amp;$AU$1&amp;"P"&amp;$A76))</f>
        <v>0.06</v>
      </c>
      <c r="CH76" s="83">
        <f>IF(RTD("tos.rtd",,CH$2,"."&amp;$A$43&amp;$AW$1&amp;"C"&amp;$A76)="N/A",0,RTD("tos.rtd",,CH$2,"."&amp;$A$43&amp;$AW$1&amp;"C"&amp;$A76))</f>
        <v>0.74</v>
      </c>
      <c r="CI76" s="83">
        <f>-IF(RTD("tos.rtd",,CI$2,"."&amp;$A$43&amp;$AW$1&amp;"P"&amp;$A76)="N/A",0,RTD("tos.rtd",,CI$2,"."&amp;$A$43&amp;$AW$1&amp;"P"&amp;$A76))</f>
        <v>0.26</v>
      </c>
      <c r="CK76" s="83">
        <f t="shared" si="184"/>
        <v>96651180</v>
      </c>
      <c r="CL76" s="83"/>
      <c r="CM76" s="83">
        <f t="shared" si="185"/>
        <v>143417.87999999989</v>
      </c>
      <c r="CN76" s="83"/>
      <c r="CO76" s="83">
        <f t="shared" si="186"/>
        <v>-858428.76</v>
      </c>
      <c r="CP76" s="83">
        <f t="shared" si="137"/>
        <v>95936169.11999999</v>
      </c>
      <c r="CQ76" s="83">
        <f t="shared" si="147"/>
        <v>-830</v>
      </c>
      <c r="CR76" s="83"/>
      <c r="CS76" s="83">
        <f t="shared" si="148"/>
        <v>-2154</v>
      </c>
      <c r="CT76" s="83"/>
      <c r="CU76" s="83">
        <f t="shared" si="149"/>
        <v>-142</v>
      </c>
      <c r="CV76" s="83"/>
      <c r="CW76" s="83">
        <f t="shared" ca="1" si="150"/>
        <v>-6916595.4620063612</v>
      </c>
      <c r="CY76" s="83">
        <f t="shared" ca="1" si="151"/>
        <v>-8739648.573974032</v>
      </c>
      <c r="CZ76" s="70" t="str">
        <f t="shared" ca="1" si="195"/>
        <v/>
      </c>
      <c r="DA76" s="83">
        <f>IF(RTD("tos.rtd",,DA$43,"."&amp;$A$43&amp;$AS$42&amp;"C"&amp;$A76)="N/A",0,RTD("tos.rtd",,DA$43,"."&amp;$A$43&amp;$AS$42&amp;"C"&amp;$A76))</f>
        <v>16.11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20.5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16.399999999999999</v>
      </c>
      <c r="DF76" s="83">
        <f>IF(RTD("tos.rtd",,DF$43,"."&amp;$A$43&amp;$AS$42&amp;"P"&amp;$A76)="N/A",0,RTD("tos.rtd",,DF$43,"."&amp;$A$43&amp;$AS$42&amp;"P"&amp;$A76))</f>
        <v>0</v>
      </c>
      <c r="DG76" s="86">
        <f t="shared" si="187"/>
        <v>-18.629999999999995</v>
      </c>
      <c r="DH76" s="3">
        <f t="shared" si="152"/>
        <v>0</v>
      </c>
      <c r="DI76" s="3">
        <f t="shared" si="153"/>
        <v>0</v>
      </c>
      <c r="DJ76" s="3">
        <f t="shared" si="154"/>
        <v>0</v>
      </c>
      <c r="DK76" s="3">
        <f t="shared" si="155"/>
        <v>0</v>
      </c>
      <c r="DL76" s="3">
        <f t="shared" si="156"/>
        <v>0</v>
      </c>
      <c r="DM76" s="3">
        <f t="shared" si="157"/>
        <v>0</v>
      </c>
      <c r="DN76" s="64" t="str">
        <f t="shared" si="158"/>
        <v>UNKNOWN</v>
      </c>
      <c r="DO76" s="64" t="str">
        <f t="shared" si="159"/>
        <v>UNKNOWN</v>
      </c>
      <c r="DP76" s="83">
        <f t="shared" si="160"/>
        <v>0</v>
      </c>
      <c r="DQ76" s="83">
        <f t="shared" si="161"/>
        <v>0</v>
      </c>
      <c r="DR76" s="83">
        <f t="shared" ca="1" si="162"/>
        <v>0</v>
      </c>
      <c r="DS76" s="83">
        <f t="shared" si="163"/>
        <v>0</v>
      </c>
      <c r="DT76" s="83">
        <f t="shared" si="188"/>
        <v>0</v>
      </c>
      <c r="DU76" s="83">
        <f t="shared" si="189"/>
        <v>0</v>
      </c>
      <c r="DV76" s="83">
        <f t="shared" si="164"/>
        <v>8</v>
      </c>
      <c r="DW76" s="83">
        <f t="shared" si="165"/>
        <v>-804</v>
      </c>
      <c r="DX76" s="83">
        <f t="shared" ca="1" si="235"/>
        <v>2.0481121351165026E-33</v>
      </c>
      <c r="DY76" s="83">
        <f t="shared" ca="1" si="236"/>
        <v>-7.6996114766362794E-3</v>
      </c>
      <c r="DZ76" s="83">
        <f t="shared" ca="1" si="237"/>
        <v>1.1132587332168679E-2</v>
      </c>
      <c r="EA76" s="83">
        <f t="shared" ca="1" si="238"/>
        <v>-1.1371462420727096E-2</v>
      </c>
      <c r="EB76" s="83">
        <f t="shared" ca="1" si="239"/>
        <v>9.8104337648224557E-3</v>
      </c>
      <c r="EC76" s="83">
        <f t="shared" ca="1" si="240"/>
        <v>-9.7489841957645162E-3</v>
      </c>
      <c r="ED76" s="63">
        <f t="shared" si="190"/>
        <v>-796</v>
      </c>
      <c r="EE76" s="84">
        <f t="shared" si="166"/>
        <v>0.25</v>
      </c>
      <c r="EF76" s="84">
        <f t="shared" si="167"/>
        <v>1.7244999999999999</v>
      </c>
      <c r="EG76" s="84">
        <f t="shared" si="168"/>
        <v>0.2581</v>
      </c>
      <c r="EH76" s="84">
        <f t="shared" si="169"/>
        <v>0.2656</v>
      </c>
      <c r="EI76" s="84">
        <f t="shared" si="170"/>
        <v>0.2283</v>
      </c>
      <c r="EJ76" s="84">
        <f t="shared" si="171"/>
        <v>0.22720000000000001</v>
      </c>
      <c r="EK76" s="63">
        <f t="shared" ca="1" si="191"/>
        <v>1671526.6022378933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172.45%</v>
      </c>
      <c r="EN76" s="83" t="str">
        <f>RTD("tos.rtd",,EN$2,"."&amp;$A$43&amp;$AU$1&amp;"C"&amp;$A76)</f>
        <v>25.81%</v>
      </c>
      <c r="EO76" s="83" t="str">
        <f>RTD("tos.rtd",,EO$2,"."&amp;$A$43&amp;$AU$1&amp;"P"&amp;$A76)</f>
        <v>26.56%</v>
      </c>
      <c r="EP76" s="83" t="str">
        <f>RTD("tos.rtd",,EP$2,"."&amp;$A$43&amp;$AW$1&amp;"C"&amp;$A76)</f>
        <v>22.83%</v>
      </c>
      <c r="EQ76" s="83" t="str">
        <f>RTD("tos.rtd",,EQ$2,"."&amp;$A$43&amp;$AW$1&amp;"P"&amp;$A76)</f>
        <v>22.72%</v>
      </c>
      <c r="ES76" s="63" t="str">
        <f t="shared" si="172"/>
        <v>501,-796.00</v>
      </c>
      <c r="ET76" s="63" t="str">
        <f t="shared" ca="1" si="173"/>
        <v>501,-8739.65</v>
      </c>
      <c r="EU76" s="67">
        <v>593.52</v>
      </c>
      <c r="EV76" s="67" t="s">
        <v>628</v>
      </c>
      <c r="EW76" s="67">
        <v>520.04</v>
      </c>
      <c r="EX76" s="67" t="s">
        <v>629</v>
      </c>
      <c r="EY76" s="67">
        <v>5945.25</v>
      </c>
      <c r="EZ76" s="67" t="s">
        <v>630</v>
      </c>
      <c r="FA76" s="67">
        <v>21346.25</v>
      </c>
      <c r="FB76" s="67" t="s">
        <v>631</v>
      </c>
      <c r="FC76" s="67" t="s">
        <v>632</v>
      </c>
      <c r="FD76" s="67" t="s">
        <v>633</v>
      </c>
      <c r="FE76" s="68" t="s">
        <v>634</v>
      </c>
      <c r="FF76" s="68" t="s">
        <v>635</v>
      </c>
    </row>
    <row r="77" spans="1:162" ht="13.5" thickBot="1" x14ac:dyDescent="0.25">
      <c r="A77" s="2">
        <f t="shared" si="192"/>
        <v>500</v>
      </c>
      <c r="B77" s="3">
        <f t="shared" si="142"/>
        <v>4999</v>
      </c>
      <c r="C77" s="3">
        <f t="shared" si="241"/>
        <v>18438</v>
      </c>
      <c r="D77" s="3">
        <f t="shared" si="144"/>
        <v>128223</v>
      </c>
      <c r="E77" s="3">
        <f t="shared" si="145"/>
        <v>151660</v>
      </c>
      <c r="F77" s="4">
        <f t="shared" si="196"/>
        <v>20611.540904104841</v>
      </c>
      <c r="AM77" s="1">
        <v>34</v>
      </c>
      <c r="AN77" s="1">
        <v>-1254</v>
      </c>
      <c r="AO77" s="1">
        <v>500</v>
      </c>
      <c r="AP77" s="1">
        <v>348</v>
      </c>
      <c r="AQ77" s="1">
        <v>-2422</v>
      </c>
      <c r="AS77" s="6">
        <f>IF(RTD("tos.rtd",,AS$43,"."&amp;$A$43&amp;$AS$42&amp;"C"&amp;$A77)="N/A",0,RTD("tos.rtd",,AS$43,"."&amp;$A$43&amp;$AS$42&amp;"C"&amp;$A77))</f>
        <v>510</v>
      </c>
      <c r="AT77" s="7">
        <f>-IF(RTD("tos.rtd",,AT$43,"."&amp;$A$43&amp;$AS$42&amp;"P"&amp;$A77)="N/A",0,RTD("tos.rtd",,AT$43,"."&amp;$A$43&amp;$AS$42&amp;"P"&amp;$A77))</f>
        <v>-4489</v>
      </c>
      <c r="AU77" s="6">
        <f>IF(RTD("tos.rtd",,AU$2,"."&amp;$A$43&amp;$AU$1&amp;"C"&amp;$A77)="N/A",0,RTD("tos.rtd",,AU$2,"."&amp;$A$43&amp;$AU$1&amp;"C"&amp;$A77))</f>
        <v>5953</v>
      </c>
      <c r="AV77" s="7">
        <f>-IF(RTD("tos.rtd",,AV$2,"."&amp;$A$43&amp;$AU$1&amp;"P"&amp;$A77)="N/A",0,RTD("tos.rtd",,AV$2,"."&amp;$A$43&amp;$AU$1&amp;"P"&amp;$A77))</f>
        <v>-12485</v>
      </c>
      <c r="AW77" s="6">
        <f>IF(RTD("tos.rtd",,AW$2,"."&amp;$A$43&amp;$AW$1&amp;"C"&amp;$A77)="N/A",0,RTD("tos.rtd",,AW$2,"."&amp;$A$43&amp;$AW$1&amp;"C"&amp;$A77))</f>
        <v>67602</v>
      </c>
      <c r="AX77" s="7">
        <f>-IF(RTD("tos.rtd",,AX$2,"."&amp;$A$43&amp;$AW$1&amp;"P"&amp;$A77)="N/A",0,RTD("tos.rtd",,AX$2,"."&amp;$A$43&amp;$AW$1&amp;"P"&amp;$A77))</f>
        <v>-60621</v>
      </c>
      <c r="AY77" s="7">
        <f t="shared" si="174"/>
        <v>-3530</v>
      </c>
      <c r="AZ77" s="8">
        <f t="shared" si="146"/>
        <v>500</v>
      </c>
      <c r="BA77" s="6">
        <f>IF(RTD("tos.rtd",,BA$43,"."&amp;$A$43&amp;$AS$42&amp;"C"&amp;$A77)="N/A",0,RTD("tos.rtd",,BA$43,"."&amp;$A$43&amp;$AS$42&amp;"C"&amp;$A77))</f>
        <v>348</v>
      </c>
      <c r="BB77" s="7">
        <f>-IF(RTD("tos.rtd",,BB$43,"."&amp;$A$43&amp;$AS$42&amp;"P"&amp;$A77)="N/A",0,RTD("tos.rtd",,BB$43,"."&amp;$A$43&amp;$AS$42&amp;"P"&amp;$A77))</f>
        <v>-2422</v>
      </c>
      <c r="BC77" s="6">
        <f>IF(RTD("tos.rtd",,BC$2,"."&amp;$A$43&amp;$AU$1&amp;"C"&amp;$A77)="N/A",0,RTD("tos.rtd",,BC$2,"."&amp;$A$43&amp;$AU$1&amp;"C"&amp;$A77))</f>
        <v>145</v>
      </c>
      <c r="BD77" s="7">
        <f>-IF(RTD("tos.rtd",,BD$2,"."&amp;$A$43&amp;$AU$1&amp;"P"&amp;$A77)="N/A",0,RTD("tos.rtd",,BD$2,"."&amp;$A$43&amp;$AU$1&amp;"P"&amp;$A77))</f>
        <v>-14107</v>
      </c>
      <c r="BE77" s="6">
        <f>IF(RTD("tos.rtd",,BE$2,"."&amp;$A$43&amp;$AW$1&amp;"C"&amp;$A77)="N/A",0,RTD("tos.rtd",,BE$2,"."&amp;$A$43&amp;$AW$1&amp;"C"&amp;$A77))</f>
        <v>693</v>
      </c>
      <c r="BF77" s="7">
        <f>-IF(RTD("tos.rtd",,BF$2,"."&amp;$A$43&amp;$AW$1&amp;"P"&amp;$A77)="N/A",0,RTD("tos.rtd",,BF$2,"."&amp;$A$43&amp;$AW$1&amp;"P"&amp;$A77))</f>
        <v>-8277</v>
      </c>
      <c r="BG77" s="32">
        <f ca="1">+Hoja2!Y78</f>
        <v>-23500</v>
      </c>
      <c r="BH77" s="7">
        <f t="shared" ca="1" si="175"/>
        <v>-47120</v>
      </c>
      <c r="BI77" s="8" t="str">
        <f t="shared" ca="1" si="193"/>
        <v/>
      </c>
      <c r="BJ77" s="83">
        <f ca="1">IF($BP$1=1,DX77,IF(RTD("tos.rtd",,BJ$43,"."&amp;$A$43&amp;$AS$42&amp;"C"&amp;$A77)="N/A",0,RTD("tos.rtd",,BJ$43,"."&amp;$A$43&amp;$AS$42&amp;"C"&amp;$A77)))</f>
        <v>5.0522587677330105E-37</v>
      </c>
      <c r="BK77" s="83">
        <f ca="1">IF($BP$1=1,DY77,-IF(RTD("tos.rtd",,BK$43,"."&amp;$A$43&amp;$AS$42&amp;"P"&amp;$A77)="N/A",0,RTD("tos.rtd",,BK$43,"."&amp;$A$43&amp;$AS$42&amp;"P"&amp;$A77)))</f>
        <v>-7.2160613946979472E-3</v>
      </c>
      <c r="BL77" s="83">
        <f ca="1">IF($BP$1=1,DZ77,IF(RTD("tos.rtd",,BL$2,"."&amp;$A$43&amp;$AU$1&amp;"C"&amp;$A77)="N/A",0,RTD("tos.rtd",,BL$2,"."&amp;$A$43&amp;$AU$1&amp;"C"&amp;$A77)))</f>
        <v>7.880321483893853E-3</v>
      </c>
      <c r="BM77" s="83">
        <f ca="1">IF($BP$1=1,EA77,-IF(RTD("tos.rtd",,BM$2,"."&amp;$A$43&amp;$AU$1&amp;"P"&amp;$A77)="N/A",0,RTD("tos.rtd",,BM$2,"."&amp;$A$43&amp;$AU$1&amp;"P"&amp;$A77)))</f>
        <v>-1.0500379388985915E-2</v>
      </c>
      <c r="BN77" s="83">
        <f ca="1">IF($BP$1=1,EB77,IF(RTD("tos.rtd",,BN$2,"."&amp;$A$43&amp;$AW$1&amp;"C"&amp;$A77)="N/A",0,RTD("tos.rtd",,BN$2,"."&amp;$A$43&amp;$AW$1&amp;"C"&amp;$A77)))</f>
        <v>8.0970118632246093E-3</v>
      </c>
      <c r="BO77" s="83">
        <f ca="1">IF($BP$1=1,EC77,-IF(RTD("tos.rtd",,BO$2,"."&amp;$A$43&amp;$AW$1&amp;"P"&amp;$A77)="N/A",0,RTD("tos.rtd",,BO$2,"."&amp;$A$43&amp;$AW$1&amp;"P"&amp;$A77)))</f>
        <v>-8.6431921498822499E-3</v>
      </c>
      <c r="BQ77" s="83">
        <f t="shared" ca="1" si="176"/>
        <v>-8746579.6988776401</v>
      </c>
      <c r="BR77" s="3" t="str">
        <f t="shared" ca="1" si="177"/>
        <v/>
      </c>
      <c r="BS77" s="83">
        <f t="shared" ca="1" si="178"/>
        <v>-22731425.52442437</v>
      </c>
      <c r="BT77" s="3" t="str">
        <f t="shared" ca="1" si="179"/>
        <v/>
      </c>
      <c r="BU77" s="83">
        <f t="shared" ca="1" si="180"/>
        <v>6322475.1753843129</v>
      </c>
      <c r="BV77" s="83"/>
      <c r="BX77" s="83">
        <f t="shared" ca="1" si="181"/>
        <v>-4719139.2360618496</v>
      </c>
      <c r="BY77" s="83" t="str">
        <f t="shared" ca="1" si="194"/>
        <v/>
      </c>
      <c r="BZ77" s="83">
        <f t="shared" ca="1" si="182"/>
        <v>-39688529.777554102</v>
      </c>
      <c r="CA77" s="83" t="str">
        <f t="shared" ca="1" si="194"/>
        <v/>
      </c>
      <c r="CB77" s="83">
        <f t="shared" ca="1" si="183"/>
        <v>-17801698.633292731</v>
      </c>
      <c r="CC77" s="83" t="str">
        <f t="shared" ca="1" si="194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0.98</v>
      </c>
      <c r="CG77" s="83">
        <f>-IF(RTD("tos.rtd",,CG$2,"."&amp;$A$43&amp;$AU$1&amp;"P"&amp;$A77)="N/A",0,RTD("tos.rtd",,CG$2,"."&amp;$A$43&amp;$AU$1&amp;"P"&amp;$A77))</f>
        <v>0.06</v>
      </c>
      <c r="CH77" s="83">
        <f>IF(RTD("tos.rtd",,CH$2,"."&amp;$A$43&amp;$AW$1&amp;"C"&amp;$A77)="N/A",0,RTD("tos.rtd",,CH$2,"."&amp;$A$43&amp;$AW$1&amp;"C"&amp;$A77))</f>
        <v>0.75</v>
      </c>
      <c r="CI77" s="83">
        <f>-IF(RTD("tos.rtd",,CI$2,"."&amp;$A$43&amp;$AW$1&amp;"P"&amp;$A77)="N/A",0,RTD("tos.rtd",,CI$2,"."&amp;$A$43&amp;$AW$1&amp;"P"&amp;$A77))</f>
        <v>0.25</v>
      </c>
      <c r="CK77" s="83">
        <f t="shared" si="184"/>
        <v>265011300</v>
      </c>
      <c r="CL77" s="83"/>
      <c r="CM77" s="83">
        <f t="shared" si="185"/>
        <v>264223540.91999996</v>
      </c>
      <c r="CN77" s="83"/>
      <c r="CO77" s="83">
        <f t="shared" si="186"/>
        <v>1847089788.75</v>
      </c>
      <c r="CP77" s="83">
        <f t="shared" si="137"/>
        <v>2376324629.6700001</v>
      </c>
      <c r="CQ77" s="83">
        <f t="shared" si="147"/>
        <v>-2074</v>
      </c>
      <c r="CR77" s="83"/>
      <c r="CS77" s="83">
        <f t="shared" si="148"/>
        <v>-13962</v>
      </c>
      <c r="CT77" s="83"/>
      <c r="CU77" s="83">
        <f t="shared" si="149"/>
        <v>-7584</v>
      </c>
      <c r="CV77" s="83"/>
      <c r="CW77" s="83">
        <f t="shared" ca="1" si="150"/>
        <v>-25155530.047917698</v>
      </c>
      <c r="CY77" s="83">
        <f t="shared" ca="1" si="151"/>
        <v>-62209367.646908686</v>
      </c>
      <c r="CZ77" s="70" t="str">
        <f t="shared" ca="1" si="195"/>
        <v/>
      </c>
      <c r="DA77" s="83">
        <f>IF(RTD("tos.rtd",,DA$43,"."&amp;$A$43&amp;$AS$42&amp;"C"&amp;$A77)="N/A",0,RTD("tos.rtd",,DA$43,"."&amp;$A$43&amp;$AS$42&amp;"C"&amp;$A77))</f>
        <v>19.39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21.5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17.53</v>
      </c>
      <c r="DF77" s="83">
        <f>IF(RTD("tos.rtd",,DF$43,"."&amp;$A$43&amp;$AS$42&amp;"P"&amp;$A77)="N/A",0,RTD("tos.rtd",,DF$43,"."&amp;$A$43&amp;$AS$42&amp;"P"&amp;$A77))</f>
        <v>0</v>
      </c>
      <c r="DG77" s="86">
        <f t="shared" si="187"/>
        <v>-19.629999999999995</v>
      </c>
      <c r="DH77" s="3">
        <f t="shared" si="152"/>
        <v>0</v>
      </c>
      <c r="DI77" s="3">
        <f t="shared" si="153"/>
        <v>0</v>
      </c>
      <c r="DJ77" s="3">
        <f t="shared" si="154"/>
        <v>0</v>
      </c>
      <c r="DK77" s="3">
        <f t="shared" si="155"/>
        <v>0</v>
      </c>
      <c r="DL77" s="3">
        <f t="shared" si="156"/>
        <v>0</v>
      </c>
      <c r="DM77" s="3">
        <f t="shared" si="157"/>
        <v>0</v>
      </c>
      <c r="DN77" s="64" t="str">
        <f t="shared" si="158"/>
        <v>UNKNOWN</v>
      </c>
      <c r="DO77" s="64" t="str">
        <f t="shared" si="159"/>
        <v>UNKNOWN</v>
      </c>
      <c r="DP77" s="83">
        <f t="shared" si="160"/>
        <v>0</v>
      </c>
      <c r="DQ77" s="83">
        <f t="shared" si="161"/>
        <v>0</v>
      </c>
      <c r="DR77" s="83">
        <f t="shared" ca="1" si="162"/>
        <v>0</v>
      </c>
      <c r="DS77" s="83">
        <f t="shared" si="163"/>
        <v>0</v>
      </c>
      <c r="DT77" s="83">
        <f t="shared" si="188"/>
        <v>0</v>
      </c>
      <c r="DU77" s="83">
        <f t="shared" si="189"/>
        <v>0</v>
      </c>
      <c r="DV77" s="83">
        <f t="shared" si="164"/>
        <v>34</v>
      </c>
      <c r="DW77" s="83">
        <f t="shared" si="165"/>
        <v>-1254</v>
      </c>
      <c r="DX77" s="83">
        <f t="shared" ca="1" si="235"/>
        <v>5.0522587677330105E-37</v>
      </c>
      <c r="DY77" s="83">
        <f t="shared" ca="1" si="236"/>
        <v>-7.2160613946979472E-3</v>
      </c>
      <c r="DZ77" s="83">
        <f t="shared" ca="1" si="237"/>
        <v>7.880321483893853E-3</v>
      </c>
      <c r="EA77" s="83">
        <f t="shared" ca="1" si="238"/>
        <v>-1.0500379388985915E-2</v>
      </c>
      <c r="EB77" s="83">
        <f t="shared" ca="1" si="239"/>
        <v>8.0970118632246093E-3</v>
      </c>
      <c r="EC77" s="83">
        <f t="shared" ca="1" si="240"/>
        <v>-8.6431921498822499E-3</v>
      </c>
      <c r="ED77" s="63">
        <f t="shared" si="190"/>
        <v>-1220</v>
      </c>
      <c r="EE77" s="84">
        <f t="shared" si="166"/>
        <v>0.25</v>
      </c>
      <c r="EF77" s="84">
        <f t="shared" si="167"/>
        <v>1.8098000000000001</v>
      </c>
      <c r="EG77" s="84">
        <f t="shared" si="168"/>
        <v>0.21629999999999999</v>
      </c>
      <c r="EH77" s="84">
        <f t="shared" si="169"/>
        <v>0.27039999999999997</v>
      </c>
      <c r="EI77" s="84">
        <f t="shared" si="170"/>
        <v>0.21959999999999999</v>
      </c>
      <c r="EJ77" s="84">
        <f t="shared" si="171"/>
        <v>0.22850000000000001</v>
      </c>
      <c r="EK77" s="63">
        <f t="shared" ca="1" si="191"/>
        <v>2443352.8497198848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180.98%</v>
      </c>
      <c r="EN77" s="83" t="str">
        <f>RTD("tos.rtd",,EN$2,"."&amp;$A$43&amp;$AU$1&amp;"C"&amp;$A77)</f>
        <v>21.63%</v>
      </c>
      <c r="EO77" s="83" t="str">
        <f>RTD("tos.rtd",,EO$2,"."&amp;$A$43&amp;$AU$1&amp;"P"&amp;$A77)</f>
        <v>27.04%</v>
      </c>
      <c r="EP77" s="83" t="str">
        <f>RTD("tos.rtd",,EP$2,"."&amp;$A$43&amp;$AW$1&amp;"C"&amp;$A77)</f>
        <v>21.96%</v>
      </c>
      <c r="EQ77" s="83" t="str">
        <f>RTD("tos.rtd",,EQ$2,"."&amp;$A$43&amp;$AW$1&amp;"P"&amp;$A77)</f>
        <v>22.85%</v>
      </c>
      <c r="ES77" s="63" t="str">
        <f t="shared" si="172"/>
        <v>500,-1220.00</v>
      </c>
      <c r="ET77" s="63" t="str">
        <f t="shared" ca="1" si="173"/>
        <v>500,-62209.37</v>
      </c>
      <c r="EU77" s="67">
        <v>593.74</v>
      </c>
      <c r="EV77" s="67" t="s">
        <v>636</v>
      </c>
      <c r="EW77" s="67">
        <v>520.35</v>
      </c>
      <c r="EX77" s="67" t="s">
        <v>637</v>
      </c>
      <c r="EY77" s="67">
        <v>5947.75</v>
      </c>
      <c r="EZ77" s="67" t="s">
        <v>638</v>
      </c>
      <c r="FA77" s="67">
        <v>21358</v>
      </c>
      <c r="FB77" s="67" t="s">
        <v>639</v>
      </c>
      <c r="FC77" s="67" t="s">
        <v>640</v>
      </c>
      <c r="FD77" s="67" t="s">
        <v>641</v>
      </c>
      <c r="FE77" s="68" t="s">
        <v>642</v>
      </c>
      <c r="FF77" s="68" t="s">
        <v>643</v>
      </c>
    </row>
    <row r="78" spans="1:162" ht="13.5" thickBot="1" x14ac:dyDescent="0.25">
      <c r="A78" s="2">
        <f t="shared" si="192"/>
        <v>499</v>
      </c>
      <c r="B78" s="3">
        <f t="shared" si="142"/>
        <v>886</v>
      </c>
      <c r="C78" s="3">
        <f t="shared" si="241"/>
        <v>941</v>
      </c>
      <c r="D78" s="3">
        <f t="shared" si="144"/>
        <v>90</v>
      </c>
      <c r="E78" s="3">
        <f t="shared" si="145"/>
        <v>1917</v>
      </c>
      <c r="F78" s="4">
        <f t="shared" si="196"/>
        <v>20570.317822296634</v>
      </c>
      <c r="AM78" s="1">
        <v>18</v>
      </c>
      <c r="AN78" s="1">
        <v>-906</v>
      </c>
      <c r="AO78" s="1">
        <v>499</v>
      </c>
      <c r="AP78" s="1">
        <v>21</v>
      </c>
      <c r="AQ78" s="1">
        <v>-906</v>
      </c>
      <c r="AS78" s="6">
        <f>IF(RTD("tos.rtd",,AS$43,"."&amp;$A$43&amp;$AS$42&amp;"C"&amp;$A78)="N/A",0,RTD("tos.rtd",,AS$43,"."&amp;$A$43&amp;$AS$42&amp;"C"&amp;$A78))</f>
        <v>150</v>
      </c>
      <c r="AT78" s="7">
        <f>-IF(RTD("tos.rtd",,AT$43,"."&amp;$A$43&amp;$AS$42&amp;"P"&amp;$A78)="N/A",0,RTD("tos.rtd",,AT$43,"."&amp;$A$43&amp;$AS$42&amp;"P"&amp;$A78))</f>
        <v>-736</v>
      </c>
      <c r="AU78" s="6">
        <f>IF(RTD("tos.rtd",,AU$2,"."&amp;$A$43&amp;$AU$1&amp;"C"&amp;$A78)="N/A",0,RTD("tos.rtd",,AU$2,"."&amp;$A$43&amp;$AU$1&amp;"C"&amp;$A78))</f>
        <v>111</v>
      </c>
      <c r="AV78" s="7">
        <f>-IF(RTD("tos.rtd",,AV$2,"."&amp;$A$43&amp;$AU$1&amp;"P"&amp;$A78)="N/A",0,RTD("tos.rtd",,AV$2,"."&amp;$A$43&amp;$AU$1&amp;"P"&amp;$A78))</f>
        <v>-830</v>
      </c>
      <c r="AW78" s="6">
        <f>IF(RTD("tos.rtd",,AW$2,"."&amp;$A$43&amp;$AW$1&amp;"C"&amp;$A78)="N/A",0,RTD("tos.rtd",,AW$2,"."&amp;$A$43&amp;$AW$1&amp;"C"&amp;$A78))</f>
        <v>8</v>
      </c>
      <c r="AX78" s="7">
        <f>-IF(RTD("tos.rtd",,AX$2,"."&amp;$A$43&amp;$AW$1&amp;"P"&amp;$A78)="N/A",0,RTD("tos.rtd",,AX$2,"."&amp;$A$43&amp;$AW$1&amp;"P"&amp;$A78))</f>
        <v>-82</v>
      </c>
      <c r="AY78" s="7">
        <f t="shared" si="174"/>
        <v>-1379</v>
      </c>
      <c r="AZ78" s="8">
        <f t="shared" si="146"/>
        <v>499</v>
      </c>
      <c r="BA78" s="6">
        <f>IF(RTD("tos.rtd",,BA$43,"."&amp;$A$43&amp;$AS$42&amp;"C"&amp;$A78)="N/A",0,RTD("tos.rtd",,BA$43,"."&amp;$A$43&amp;$AS$42&amp;"C"&amp;$A78))</f>
        <v>21</v>
      </c>
      <c r="BB78" s="7">
        <f>-IF(RTD("tos.rtd",,BB$43,"."&amp;$A$43&amp;$AS$42&amp;"P"&amp;$A78)="N/A",0,RTD("tos.rtd",,BB$43,"."&amp;$A$43&amp;$AS$42&amp;"P"&amp;$A78))</f>
        <v>-906</v>
      </c>
      <c r="BC78" s="6">
        <f>IF(RTD("tos.rtd",,BC$2,"."&amp;$A$43&amp;$AU$1&amp;"C"&amp;$A78)="N/A",0,RTD("tos.rtd",,BC$2,"."&amp;$A$43&amp;$AU$1&amp;"C"&amp;$A78))</f>
        <v>2</v>
      </c>
      <c r="BD78" s="7">
        <f>-IF(RTD("tos.rtd",,BD$2,"."&amp;$A$43&amp;$AU$1&amp;"P"&amp;$A78)="N/A",0,RTD("tos.rtd",,BD$2,"."&amp;$A$43&amp;$AU$1&amp;"P"&amp;$A78))</f>
        <v>-1893</v>
      </c>
      <c r="BE78" s="6">
        <f>IF(RTD("tos.rtd",,BE$2,"."&amp;$A$43&amp;$AW$1&amp;"C"&amp;$A78)="N/A",0,RTD("tos.rtd",,BE$2,"."&amp;$A$43&amp;$AW$1&amp;"C"&amp;$A78))</f>
        <v>1</v>
      </c>
      <c r="BF78" s="7">
        <f>-IF(RTD("tos.rtd",,BF$2,"."&amp;$A$43&amp;$AW$1&amp;"P"&amp;$A78)="N/A",0,RTD("tos.rtd",,BF$2,"."&amp;$A$43&amp;$AW$1&amp;"P"&amp;$A78))</f>
        <v>-122</v>
      </c>
      <c r="BG78" s="32">
        <f ca="1">+Hoja2!Y79</f>
        <v>-1555</v>
      </c>
      <c r="BH78" s="7">
        <f t="shared" ca="1" si="175"/>
        <v>-4452</v>
      </c>
      <c r="BI78" s="8" t="str">
        <f t="shared" ca="1" si="193"/>
        <v/>
      </c>
      <c r="BJ78" s="83">
        <f ca="1">IF($BP$1=1,DX78,IF(RTD("tos.rtd",,BJ$43,"."&amp;$A$43&amp;$AS$42&amp;"C"&amp;$A78)="N/A",0,RTD("tos.rtd",,BJ$43,"."&amp;$A$43&amp;$AS$42&amp;"C"&amp;$A78)))</f>
        <v>7.8649267919709813E-41</v>
      </c>
      <c r="BK78" s="83">
        <f ca="1">IF($BP$1=1,DY78,-IF(RTD("tos.rtd",,BK$43,"."&amp;$A$43&amp;$AS$42&amp;"P"&amp;$A78)="N/A",0,RTD("tos.rtd",,BK$43,"."&amp;$A$43&amp;$AS$42&amp;"P"&amp;$A78)))</f>
        <v>-6.7833015372918033E-3</v>
      </c>
      <c r="BL78" s="83">
        <f ca="1">IF($BP$1=1,DZ78,IF(RTD("tos.rtd",,BL$2,"."&amp;$A$43&amp;$AU$1&amp;"C"&amp;$A78)="N/A",0,RTD("tos.rtd",,BL$2,"."&amp;$A$43&amp;$AU$1&amp;"C"&amp;$A78)))</f>
        <v>9.6618495408767845E-3</v>
      </c>
      <c r="BM78" s="83">
        <f ca="1">IF($BP$1=1,EA78,-IF(RTD("tos.rtd",,BM$2,"."&amp;$A$43&amp;$AU$1&amp;"P"&amp;$A78)="N/A",0,RTD("tos.rtd",,BM$2,"."&amp;$A$43&amp;$AU$1&amp;"P"&amp;$A78)))</f>
        <v>-9.6314869424012697E-3</v>
      </c>
      <c r="BN78" s="83">
        <f ca="1">IF($BP$1=1,EB78,IF(RTD("tos.rtd",,BN$2,"."&amp;$A$43&amp;$AW$1&amp;"C"&amp;$A78)="N/A",0,RTD("tos.rtd",,BN$2,"."&amp;$A$43&amp;$AW$1&amp;"C"&amp;$A78)))</f>
        <v>7.9011328155372523E-3</v>
      </c>
      <c r="BO78" s="83">
        <f ca="1">IF($BP$1=1,EC78,-IF(RTD("tos.rtd",,BO$2,"."&amp;$A$43&amp;$AW$1&amp;"P"&amp;$A78)="N/A",0,RTD("tos.rtd",,BO$2,"."&amp;$A$43&amp;$AW$1&amp;"P"&amp;$A78)))</f>
        <v>-7.6601499100027856E-3</v>
      </c>
      <c r="BQ78" s="83">
        <f t="shared" ca="1" si="176"/>
        <v>-1348054.2511161948</v>
      </c>
      <c r="BR78" s="3" t="str">
        <f t="shared" ca="1" si="177"/>
        <v/>
      </c>
      <c r="BS78" s="83">
        <f t="shared" ca="1" si="178"/>
        <v>-1868956.7499952349</v>
      </c>
      <c r="BT78" s="3" t="str">
        <f t="shared" ca="1" si="179"/>
        <v/>
      </c>
      <c r="BU78" s="83">
        <f t="shared" ca="1" si="180"/>
        <v>-152537.93629698886</v>
      </c>
      <c r="BV78" s="83"/>
      <c r="BX78" s="83">
        <f t="shared" ca="1" si="181"/>
        <v>-1659425.4775968376</v>
      </c>
      <c r="BY78" s="83" t="str">
        <f t="shared" ca="1" si="194"/>
        <v/>
      </c>
      <c r="BZ78" s="83">
        <f t="shared" ca="1" si="182"/>
        <v>-4917811.2245818991</v>
      </c>
      <c r="CA78" s="83" t="str">
        <f t="shared" ca="1" si="194"/>
        <v/>
      </c>
      <c r="CB78" s="83">
        <f t="shared" ca="1" si="183"/>
        <v>-250206.24391669768</v>
      </c>
      <c r="CC78" s="83" t="str">
        <f t="shared" ca="1" si="194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0.95</v>
      </c>
      <c r="CG78" s="83">
        <f>-IF(RTD("tos.rtd",,CG$2,"."&amp;$A$43&amp;$AU$1&amp;"P"&amp;$A78)="N/A",0,RTD("tos.rtd",,CG$2,"."&amp;$A$43&amp;$AU$1&amp;"P"&amp;$A78))</f>
        <v>0.05</v>
      </c>
      <c r="CH78" s="83">
        <f>IF(RTD("tos.rtd",,CH$2,"."&amp;$A$43&amp;$AW$1&amp;"C"&amp;$A78)="N/A",0,RTD("tos.rtd",,CH$2,"."&amp;$A$43&amp;$AW$1&amp;"C"&amp;$A78))</f>
        <v>0.75</v>
      </c>
      <c r="CI78" s="83">
        <f>-IF(RTD("tos.rtd",,CI$2,"."&amp;$A$43&amp;$AW$1&amp;"P"&amp;$A78)="N/A",0,RTD("tos.rtd",,CI$2,"."&amp;$A$43&amp;$AW$1&amp;"P"&amp;$A78))</f>
        <v>0.25</v>
      </c>
      <c r="CK78" s="83">
        <f t="shared" si="184"/>
        <v>77944500</v>
      </c>
      <c r="CL78" s="83"/>
      <c r="CM78" s="83">
        <f t="shared" si="185"/>
        <v>3323033.8499999987</v>
      </c>
      <c r="CN78" s="83"/>
      <c r="CO78" s="83">
        <f t="shared" si="186"/>
        <v>-753463.5</v>
      </c>
      <c r="CP78" s="83">
        <f t="shared" si="137"/>
        <v>80514070.349999994</v>
      </c>
      <c r="CQ78" s="83">
        <f t="shared" si="147"/>
        <v>-885</v>
      </c>
      <c r="CR78" s="83"/>
      <c r="CS78" s="83">
        <f t="shared" si="148"/>
        <v>-1891</v>
      </c>
      <c r="CT78" s="83"/>
      <c r="CU78" s="83">
        <f t="shared" si="149"/>
        <v>-121</v>
      </c>
      <c r="CV78" s="83"/>
      <c r="CW78" s="83">
        <f t="shared" ca="1" si="150"/>
        <v>-3369548.9374084184</v>
      </c>
      <c r="CY78" s="83">
        <f t="shared" ca="1" si="151"/>
        <v>-6827442.9460954349</v>
      </c>
      <c r="CZ78" s="70" t="str">
        <f t="shared" ca="1" si="195"/>
        <v/>
      </c>
      <c r="DA78" s="83">
        <f>IF(RTD("tos.rtd",,DA$43,"."&amp;$A$43&amp;$AS$42&amp;"C"&amp;$A78)="N/A",0,RTD("tos.rtd",,DA$43,"."&amp;$A$43&amp;$AS$42&amp;"C"&amp;$A78))</f>
        <v>20.92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22.5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18.399999999999999</v>
      </c>
      <c r="DF78" s="83">
        <f>IF(RTD("tos.rtd",,DF$43,"."&amp;$A$43&amp;$AS$42&amp;"P"&amp;$A78)="N/A",0,RTD("tos.rtd",,DF$43,"."&amp;$A$43&amp;$AS$42&amp;"P"&amp;$A78))</f>
        <v>0</v>
      </c>
      <c r="DG78" s="86">
        <f t="shared" si="187"/>
        <v>-20.629999999999995</v>
      </c>
      <c r="DH78" s="3">
        <f t="shared" si="152"/>
        <v>0</v>
      </c>
      <c r="DI78" s="3">
        <f t="shared" si="153"/>
        <v>0</v>
      </c>
      <c r="DJ78" s="3">
        <f t="shared" si="154"/>
        <v>0</v>
      </c>
      <c r="DK78" s="3">
        <f t="shared" si="155"/>
        <v>0</v>
      </c>
      <c r="DL78" s="3">
        <f t="shared" si="156"/>
        <v>0</v>
      </c>
      <c r="DM78" s="3">
        <f t="shared" si="157"/>
        <v>0</v>
      </c>
      <c r="DN78" s="64" t="str">
        <f t="shared" si="158"/>
        <v>UNKNOWN</v>
      </c>
      <c r="DO78" s="64" t="str">
        <f t="shared" si="159"/>
        <v>UNKNOWN</v>
      </c>
      <c r="DP78" s="83">
        <f t="shared" si="160"/>
        <v>0</v>
      </c>
      <c r="DQ78" s="83">
        <f t="shared" si="161"/>
        <v>0</v>
      </c>
      <c r="DR78" s="83">
        <f t="shared" ca="1" si="162"/>
        <v>0</v>
      </c>
      <c r="DS78" s="83">
        <f t="shared" si="163"/>
        <v>0</v>
      </c>
      <c r="DT78" s="83">
        <f t="shared" si="188"/>
        <v>0</v>
      </c>
      <c r="DU78" s="83">
        <f t="shared" si="189"/>
        <v>0</v>
      </c>
      <c r="DV78" s="83">
        <f t="shared" si="164"/>
        <v>18</v>
      </c>
      <c r="DW78" s="83">
        <f t="shared" si="165"/>
        <v>-906</v>
      </c>
      <c r="DX78" s="83">
        <f t="shared" ca="1" si="235"/>
        <v>7.8649267919709813E-41</v>
      </c>
      <c r="DY78" s="83">
        <f t="shared" ca="1" si="236"/>
        <v>-6.7833015372918033E-3</v>
      </c>
      <c r="DZ78" s="83">
        <f t="shared" ca="1" si="237"/>
        <v>9.6618495408767845E-3</v>
      </c>
      <c r="EA78" s="83">
        <f t="shared" ca="1" si="238"/>
        <v>-9.6314869424012697E-3</v>
      </c>
      <c r="EB78" s="83">
        <f t="shared" ca="1" si="239"/>
        <v>7.9011328155372523E-3</v>
      </c>
      <c r="EC78" s="83">
        <f t="shared" ca="1" si="240"/>
        <v>-7.6601499100027856E-3</v>
      </c>
      <c r="ED78" s="63">
        <f t="shared" si="190"/>
        <v>-888</v>
      </c>
      <c r="EE78" s="84">
        <f t="shared" si="166"/>
        <v>0.25</v>
      </c>
      <c r="EF78" s="84">
        <f t="shared" si="167"/>
        <v>1.8949</v>
      </c>
      <c r="EG78" s="84">
        <f t="shared" si="168"/>
        <v>0.27410000000000001</v>
      </c>
      <c r="EH78" s="84">
        <f t="shared" si="169"/>
        <v>0.2732</v>
      </c>
      <c r="EI78" s="84">
        <f t="shared" si="170"/>
        <v>0.23449999999999999</v>
      </c>
      <c r="EJ78" s="84">
        <f t="shared" si="171"/>
        <v>0.2303</v>
      </c>
      <c r="EK78" s="63">
        <f t="shared" ca="1" si="191"/>
        <v>1659425.4775968376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189.49%</v>
      </c>
      <c r="EN78" s="83" t="str">
        <f>RTD("tos.rtd",,EN$2,"."&amp;$A$43&amp;$AU$1&amp;"C"&amp;$A78)</f>
        <v>27.41%</v>
      </c>
      <c r="EO78" s="83" t="str">
        <f>RTD("tos.rtd",,EO$2,"."&amp;$A$43&amp;$AU$1&amp;"P"&amp;$A78)</f>
        <v>27.32%</v>
      </c>
      <c r="EP78" s="83" t="str">
        <f>RTD("tos.rtd",,EP$2,"."&amp;$A$43&amp;$AW$1&amp;"C"&amp;$A78)</f>
        <v>23.45%</v>
      </c>
      <c r="EQ78" s="83" t="str">
        <f>RTD("tos.rtd",,EQ$2,"."&amp;$A$43&amp;$AW$1&amp;"P"&amp;$A78)</f>
        <v>23.03%</v>
      </c>
      <c r="ES78" s="63" t="str">
        <f t="shared" si="172"/>
        <v>499,-888.00</v>
      </c>
      <c r="ET78" s="63" t="str">
        <f t="shared" ca="1" si="173"/>
        <v>499,-6827.44</v>
      </c>
      <c r="EU78" s="67">
        <v>593.72</v>
      </c>
      <c r="EV78" s="67" t="s">
        <v>644</v>
      </c>
      <c r="EW78" s="67">
        <v>520.34</v>
      </c>
      <c r="EX78" s="67" t="s">
        <v>645</v>
      </c>
      <c r="EY78" s="67">
        <v>5947.25</v>
      </c>
      <c r="EZ78" s="67" t="s">
        <v>646</v>
      </c>
      <c r="FA78" s="67">
        <v>21357.5</v>
      </c>
      <c r="FB78" s="67" t="s">
        <v>647</v>
      </c>
      <c r="FC78" s="67" t="s">
        <v>648</v>
      </c>
      <c r="FD78" s="67" t="s">
        <v>649</v>
      </c>
      <c r="FE78" s="68" t="s">
        <v>650</v>
      </c>
      <c r="FF78" s="68" t="s">
        <v>651</v>
      </c>
    </row>
    <row r="79" spans="1:162" ht="13.5" thickBot="1" x14ac:dyDescent="0.25">
      <c r="A79" s="2">
        <f t="shared" si="192"/>
        <v>498</v>
      </c>
      <c r="B79" s="35">
        <f t="shared" si="142"/>
        <v>1146</v>
      </c>
      <c r="C79" s="35">
        <f t="shared" si="241"/>
        <v>977</v>
      </c>
      <c r="D79" s="35">
        <f t="shared" si="144"/>
        <v>282</v>
      </c>
      <c r="E79" s="35">
        <f t="shared" si="145"/>
        <v>2405</v>
      </c>
      <c r="F79" s="11">
        <f t="shared" si="196"/>
        <v>20529.094740488425</v>
      </c>
      <c r="AM79" s="1">
        <v>2</v>
      </c>
      <c r="AN79" s="1">
        <v>-102</v>
      </c>
      <c r="AO79" s="1">
        <v>498</v>
      </c>
      <c r="AP79" s="1">
        <v>78</v>
      </c>
      <c r="AQ79" s="1">
        <v>-102</v>
      </c>
      <c r="AS79" s="15">
        <f>IF(RTD("tos.rtd",,AS$43,"."&amp;$A$43&amp;$AS$42&amp;"C"&amp;$A79)="N/A",0,RTD("tos.rtd",,AS$43,"."&amp;$A$43&amp;$AS$42&amp;"C"&amp;$A79))</f>
        <v>149</v>
      </c>
      <c r="AT79" s="36">
        <f>-IF(RTD("tos.rtd",,AT$43,"."&amp;$A$43&amp;$AS$42&amp;"P"&amp;$A79)="N/A",0,RTD("tos.rtd",,AT$43,"."&amp;$A$43&amp;$AS$42&amp;"P"&amp;$A79))</f>
        <v>-997</v>
      </c>
      <c r="AU79" s="15">
        <f>IF(RTD("tos.rtd",,AU$2,"."&amp;$A$43&amp;$AU$1&amp;"C"&amp;$A79)="N/A",0,RTD("tos.rtd",,AU$2,"."&amp;$A$43&amp;$AU$1&amp;"C"&amp;$A79))</f>
        <v>105</v>
      </c>
      <c r="AV79" s="36">
        <f>-IF(RTD("tos.rtd",,AV$2,"."&amp;$A$43&amp;$AU$1&amp;"P"&amp;$A79)="N/A",0,RTD("tos.rtd",,AV$2,"."&amp;$A$43&amp;$AU$1&amp;"P"&amp;$A79))</f>
        <v>-872</v>
      </c>
      <c r="AW79" s="15">
        <f>IF(RTD("tos.rtd",,AW$2,"."&amp;$A$43&amp;$AW$1&amp;"C"&amp;$A79)="N/A",0,RTD("tos.rtd",,AW$2,"."&amp;$A$43&amp;$AW$1&amp;"C"&amp;$A79))</f>
        <v>7</v>
      </c>
      <c r="AX79" s="36">
        <f>-IF(RTD("tos.rtd",,AX$2,"."&amp;$A$43&amp;$AW$1&amp;"P"&amp;$A79)="N/A",0,RTD("tos.rtd",,AX$2,"."&amp;$A$43&amp;$AW$1&amp;"P"&amp;$A79))</f>
        <v>-275</v>
      </c>
      <c r="AY79" s="36">
        <f t="shared" si="174"/>
        <v>-1883</v>
      </c>
      <c r="AZ79" s="8">
        <f t="shared" si="146"/>
        <v>498</v>
      </c>
      <c r="BA79" s="15">
        <f>IF(RTD("tos.rtd",,BA$43,"."&amp;$A$43&amp;$AS$42&amp;"C"&amp;$A79)="N/A",0,RTD("tos.rtd",,BA$43,"."&amp;$A$43&amp;$AS$42&amp;"C"&amp;$A79))</f>
        <v>78</v>
      </c>
      <c r="BB79" s="36">
        <f>-IF(RTD("tos.rtd",,BB$43,"."&amp;$A$43&amp;$AS$42&amp;"P"&amp;$A79)="N/A",0,RTD("tos.rtd",,BB$43,"."&amp;$A$43&amp;$AS$42&amp;"P"&amp;$A79))</f>
        <v>-102</v>
      </c>
      <c r="BC79" s="15">
        <f>IF(RTD("tos.rtd",,BC$2,"."&amp;$A$43&amp;$AU$1&amp;"C"&amp;$A79)="N/A",0,RTD("tos.rtd",,BC$2,"."&amp;$A$43&amp;$AU$1&amp;"C"&amp;$A79))</f>
        <v>125</v>
      </c>
      <c r="BD79" s="36">
        <f>-IF(RTD("tos.rtd",,BD$2,"."&amp;$A$43&amp;$AU$1&amp;"P"&amp;$A79)="N/A",0,RTD("tos.rtd",,BD$2,"."&amp;$A$43&amp;$AU$1&amp;"P"&amp;$A79))</f>
        <v>-819</v>
      </c>
      <c r="BE79" s="15">
        <f>IF(RTD("tos.rtd",,BE$2,"."&amp;$A$43&amp;$AW$1&amp;"C"&amp;$A79)="N/A",0,RTD("tos.rtd",,BE$2,"."&amp;$A$43&amp;$AW$1&amp;"C"&amp;$A79))</f>
        <v>1</v>
      </c>
      <c r="BF79" s="36">
        <f>-IF(RTD("tos.rtd",,BF$2,"."&amp;$A$43&amp;$AW$1&amp;"P"&amp;$A79)="N/A",0,RTD("tos.rtd",,BF$2,"."&amp;$A$43&amp;$AW$1&amp;"P"&amp;$A79))</f>
        <v>-41</v>
      </c>
      <c r="BG79" s="32">
        <f ca="1">+Hoja2!Y80</f>
        <v>-909</v>
      </c>
      <c r="BH79" s="36">
        <f t="shared" ca="1" si="175"/>
        <v>-1667</v>
      </c>
      <c r="BI79" s="8" t="str">
        <f t="shared" ca="1" si="193"/>
        <v/>
      </c>
      <c r="BJ79" s="83">
        <f ca="1">IF($BP$1=1,DX79,IF(RTD("tos.rtd",,BJ$43,"."&amp;$A$43&amp;$AS$42&amp;"C"&amp;$A79)="N/A",0,RTD("tos.rtd",,BJ$43,"."&amp;$A$43&amp;$AS$42&amp;"C"&amp;$A79)))</f>
        <v>7.7053430729408626E-45</v>
      </c>
      <c r="BK79" s="83">
        <f ca="1">IF($BP$1=1,DY79,-IF(RTD("tos.rtd",,BK$43,"."&amp;$A$43&amp;$AS$42&amp;"P"&amp;$A79)="N/A",0,RTD("tos.rtd",,BK$43,"."&amp;$A$43&amp;$AS$42&amp;"P"&amp;$A79)))</f>
        <v>-6.3945179622311834E-3</v>
      </c>
      <c r="BL79" s="83">
        <f ca="1">IF($BP$1=1,DZ79,IF(RTD("tos.rtd",,BL$2,"."&amp;$A$43&amp;$AU$1&amp;"C"&amp;$A79)="N/A",0,RTD("tos.rtd",,BL$2,"."&amp;$A$43&amp;$AU$1&amp;"C"&amp;$A79)))</f>
        <v>9.2225426401926752E-3</v>
      </c>
      <c r="BM79" s="83">
        <f ca="1">IF($BP$1=1,EA79,-IF(RTD("tos.rtd",,BM$2,"."&amp;$A$43&amp;$AU$1&amp;"P"&amp;$A79)="N/A",0,RTD("tos.rtd",,BM$2,"."&amp;$A$43&amp;$AU$1&amp;"P"&amp;$A79)))</f>
        <v>-8.8215489766445641E-3</v>
      </c>
      <c r="BN79" s="83">
        <f ca="1">IF($BP$1=1,EB79,IF(RTD("tos.rtd",,BN$2,"."&amp;$A$43&amp;$AW$1&amp;"C"&amp;$A79)="N/A",0,RTD("tos.rtd",,BN$2,"."&amp;$A$43&amp;$AW$1&amp;"C"&amp;$A79)))</f>
        <v>6.9286685476329709E-3</v>
      </c>
      <c r="BO79" s="83">
        <f ca="1">IF($BP$1=1,EC79,-IF(RTD("tos.rtd",,BO$2,"."&amp;$A$43&amp;$AW$1&amp;"P"&amp;$A79)="N/A",0,RTD("tos.rtd",,BO$2,"."&amp;$A$43&amp;$AW$1&amp;"P"&amp;$A79)))</f>
        <v>-6.7562700706338798E-3</v>
      </c>
      <c r="BQ79" s="83">
        <f t="shared" ca="1" si="176"/>
        <v>-1721438.0681192996</v>
      </c>
      <c r="BR79" s="3" t="str">
        <f t="shared" ca="1" si="177"/>
        <v/>
      </c>
      <c r="BS79" s="83">
        <f t="shared" ca="1" si="178"/>
        <v>-1815589.5328912849</v>
      </c>
      <c r="BT79" s="3" t="str">
        <f t="shared" ca="1" si="179"/>
        <v/>
      </c>
      <c r="BU79" s="83">
        <f t="shared" ca="1" si="180"/>
        <v>-488585.62090503541</v>
      </c>
      <c r="BV79" s="83"/>
      <c r="BX79" s="83">
        <f t="shared" ca="1" si="181"/>
        <v>-176115.02803226537</v>
      </c>
      <c r="BY79" s="83" t="str">
        <f t="shared" ca="1" si="194"/>
        <v/>
      </c>
      <c r="BZ79" s="83">
        <f t="shared" ca="1" si="182"/>
        <v>-1639541.4372278077</v>
      </c>
      <c r="CA79" s="83" t="str">
        <f t="shared" ca="1" si="194"/>
        <v/>
      </c>
      <c r="CB79" s="83">
        <f t="shared" ca="1" si="183"/>
        <v>-72925.311339535794</v>
      </c>
      <c r="CC79" s="83" t="str">
        <f t="shared" ca="1" si="194"/>
        <v/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0.95</v>
      </c>
      <c r="CG79" s="83">
        <f>-IF(RTD("tos.rtd",,CG$2,"."&amp;$A$43&amp;$AU$1&amp;"P"&amp;$A79)="N/A",0,RTD("tos.rtd",,CG$2,"."&amp;$A$43&amp;$AU$1&amp;"P"&amp;$A79))</f>
        <v>0.04</v>
      </c>
      <c r="CH79" s="83">
        <f>IF(RTD("tos.rtd",,CH$2,"."&amp;$A$43&amp;$AW$1&amp;"C"&amp;$A79)="N/A",0,RTD("tos.rtd",,CH$2,"."&amp;$A$43&amp;$AW$1&amp;"C"&amp;$A79))</f>
        <v>0.76</v>
      </c>
      <c r="CI79" s="83">
        <f>-IF(RTD("tos.rtd",,CI$2,"."&amp;$A$43&amp;$AW$1&amp;"P"&amp;$A79)="N/A",0,RTD("tos.rtd",,CI$2,"."&amp;$A$43&amp;$AW$1&amp;"P"&amp;$A79))</f>
        <v>0.24</v>
      </c>
      <c r="CK79" s="83">
        <f t="shared" si="184"/>
        <v>77424870</v>
      </c>
      <c r="CL79" s="83"/>
      <c r="CM79" s="83">
        <f t="shared" si="185"/>
        <v>3370839.8099999996</v>
      </c>
      <c r="CN79" s="83"/>
      <c r="CO79" s="83">
        <f t="shared" si="186"/>
        <v>-3153114.84</v>
      </c>
      <c r="CP79" s="83">
        <f t="shared" si="137"/>
        <v>77642594.969999999</v>
      </c>
      <c r="CQ79" s="83">
        <f t="shared" si="147"/>
        <v>-24</v>
      </c>
      <c r="CR79" s="83"/>
      <c r="CS79" s="83">
        <f t="shared" si="148"/>
        <v>-694</v>
      </c>
      <c r="CT79" s="83"/>
      <c r="CU79" s="83">
        <f t="shared" si="149"/>
        <v>-40</v>
      </c>
      <c r="CV79" s="83"/>
      <c r="CW79" s="83">
        <f t="shared" ca="1" si="150"/>
        <v>-4025613.2219156194</v>
      </c>
      <c r="CY79" s="83">
        <f t="shared" ca="1" si="151"/>
        <v>-1888581.7765996088</v>
      </c>
      <c r="CZ79" s="70" t="str">
        <f t="shared" ca="1" si="195"/>
        <v/>
      </c>
      <c r="DA79" s="83">
        <f>IF(RTD("tos.rtd",,DA$43,"."&amp;$A$43&amp;$AS$42&amp;"C"&amp;$A79)="N/A",0,RTD("tos.rtd",,DA$43,"."&amp;$A$43&amp;$AS$42&amp;"C"&amp;$A79))</f>
        <v>20.53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23.5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19.52</v>
      </c>
      <c r="DF79" s="83">
        <f>IF(RTD("tos.rtd",,DF$43,"."&amp;$A$43&amp;$AS$42&amp;"P"&amp;$A79)="N/A",0,RTD("tos.rtd",,DF$43,"."&amp;$A$43&amp;$AS$42&amp;"P"&amp;$A79))</f>
        <v>0</v>
      </c>
      <c r="DG79" s="86">
        <f t="shared" si="187"/>
        <v>-21.629999999999995</v>
      </c>
      <c r="DH79" s="3">
        <f t="shared" si="152"/>
        <v>0</v>
      </c>
      <c r="DI79" s="3">
        <f t="shared" si="153"/>
        <v>0</v>
      </c>
      <c r="DJ79" s="3">
        <f t="shared" si="154"/>
        <v>0</v>
      </c>
      <c r="DK79" s="3">
        <f t="shared" si="155"/>
        <v>0</v>
      </c>
      <c r="DL79" s="3">
        <f t="shared" si="156"/>
        <v>0</v>
      </c>
      <c r="DM79" s="3">
        <f t="shared" si="157"/>
        <v>0</v>
      </c>
      <c r="DN79" s="64" t="str">
        <f t="shared" si="158"/>
        <v>UNKNOWN</v>
      </c>
      <c r="DO79" s="64" t="str">
        <f t="shared" si="159"/>
        <v>UNKNOWN</v>
      </c>
      <c r="DP79" s="83">
        <f t="shared" si="160"/>
        <v>0</v>
      </c>
      <c r="DQ79" s="83">
        <f t="shared" si="161"/>
        <v>0</v>
      </c>
      <c r="DR79" s="83">
        <f t="shared" ca="1" si="162"/>
        <v>0</v>
      </c>
      <c r="DS79" s="83">
        <f t="shared" si="163"/>
        <v>0</v>
      </c>
      <c r="DT79" s="83">
        <f t="shared" si="188"/>
        <v>0</v>
      </c>
      <c r="DU79" s="83">
        <f t="shared" si="189"/>
        <v>0</v>
      </c>
      <c r="DV79" s="83">
        <f t="shared" si="164"/>
        <v>2</v>
      </c>
      <c r="DW79" s="83">
        <f t="shared" si="165"/>
        <v>-102</v>
      </c>
      <c r="DX79" s="83">
        <f t="shared" ca="1" si="235"/>
        <v>7.7053430729408626E-45</v>
      </c>
      <c r="DY79" s="83">
        <f t="shared" ca="1" si="236"/>
        <v>-6.3945179622311834E-3</v>
      </c>
      <c r="DZ79" s="83">
        <f t="shared" ca="1" si="237"/>
        <v>9.2225426401926752E-3</v>
      </c>
      <c r="EA79" s="83">
        <f t="shared" ca="1" si="238"/>
        <v>-8.8215489766445641E-3</v>
      </c>
      <c r="EB79" s="83">
        <f t="shared" ca="1" si="239"/>
        <v>6.9286685476329709E-3</v>
      </c>
      <c r="EC79" s="83">
        <f t="shared" ca="1" si="240"/>
        <v>-6.7562700706338798E-3</v>
      </c>
      <c r="ED79" s="63">
        <f t="shared" si="190"/>
        <v>-100</v>
      </c>
      <c r="EE79" s="84">
        <f t="shared" si="166"/>
        <v>0.25</v>
      </c>
      <c r="EF79" s="84">
        <f t="shared" si="167"/>
        <v>1.9799</v>
      </c>
      <c r="EG79" s="84">
        <f t="shared" si="168"/>
        <v>0.28820000000000001</v>
      </c>
      <c r="EH79" s="84">
        <f t="shared" si="169"/>
        <v>0.27600000000000002</v>
      </c>
      <c r="EI79" s="84">
        <f t="shared" si="170"/>
        <v>0.2349</v>
      </c>
      <c r="EJ79" s="84">
        <f t="shared" si="171"/>
        <v>0.2319</v>
      </c>
      <c r="EK79" s="63">
        <f t="shared" ca="1" si="191"/>
        <v>176115.02803226534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197.99%</v>
      </c>
      <c r="EN79" s="83" t="str">
        <f>RTD("tos.rtd",,EN$2,"."&amp;$A$43&amp;$AU$1&amp;"C"&amp;$A79)</f>
        <v>28.82%</v>
      </c>
      <c r="EO79" s="83" t="str">
        <f>RTD("tos.rtd",,EO$2,"."&amp;$A$43&amp;$AU$1&amp;"P"&amp;$A79)</f>
        <v>27.60%</v>
      </c>
      <c r="EP79" s="83" t="str">
        <f>RTD("tos.rtd",,EP$2,"."&amp;$A$43&amp;$AW$1&amp;"C"&amp;$A79)</f>
        <v>23.49%</v>
      </c>
      <c r="EQ79" s="83" t="str">
        <f>RTD("tos.rtd",,EQ$2,"."&amp;$A$43&amp;$AW$1&amp;"P"&amp;$A79)</f>
        <v>23.19%</v>
      </c>
      <c r="ES79" s="63" t="str">
        <f t="shared" si="172"/>
        <v>498,-100.00</v>
      </c>
      <c r="ET79" s="63" t="str">
        <f t="shared" ca="1" si="173"/>
        <v>498,-1888.58</v>
      </c>
      <c r="EU79" s="67">
        <v>593.70000000000005</v>
      </c>
      <c r="EV79" s="67" t="s">
        <v>652</v>
      </c>
      <c r="EW79" s="67">
        <v>520.33000000000004</v>
      </c>
      <c r="EX79" s="67" t="s">
        <v>653</v>
      </c>
      <c r="EY79" s="67">
        <v>5947.25</v>
      </c>
      <c r="EZ79" s="67" t="s">
        <v>654</v>
      </c>
      <c r="FA79" s="67">
        <v>21357</v>
      </c>
      <c r="FB79" s="67" t="s">
        <v>655</v>
      </c>
      <c r="FC79" s="67" t="s">
        <v>656</v>
      </c>
      <c r="FD79" s="67" t="s">
        <v>657</v>
      </c>
      <c r="FE79" s="68" t="s">
        <v>658</v>
      </c>
      <c r="FF79" s="68" t="s">
        <v>659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-145913</v>
      </c>
      <c r="BI80" s="1">
        <f ca="1">IFERROR(IF(MIN(BH45:BH79)&lt;&gt;0,INDEX(A45:A79,MATCH(MIN(BH45:BH79),BH45:BH79,0)),""),"")</f>
        <v>518</v>
      </c>
      <c r="BJ80" s="42"/>
      <c r="BK80" s="42"/>
      <c r="BL80" s="42"/>
      <c r="BM80" s="42"/>
      <c r="BN80" s="42"/>
      <c r="BO80" s="42"/>
      <c r="BP80" s="64">
        <f ca="1">INDEX(BQ80:BU80,MATCH(MAX(BQ44:BU44),BQ44:BU44,0))</f>
        <v>520</v>
      </c>
      <c r="BQ80" s="42">
        <f ca="1">IF(AND(BQ44&gt;0,ABS(MAX(BQ45:BQ79))&gt;ABS(MIN(BQ45:BQ79))),IF(MAX(BQ45:BQ79)&lt;&gt;0,INDEX($A45:$A79,MATCH(MAX(BQ45:BQ79),BQ45:BQ79,0)),""),"")</f>
        <v>520</v>
      </c>
      <c r="BR80" s="42"/>
      <c r="BS80" s="42" t="str">
        <f ca="1">IF(AND(BS44&gt;0,ABS(MAX(BS45:BS79))&gt;ABS(MIN(BS45:BS79))),IF(MAX(BS45:BS79)&lt;&gt;0,INDEX($A45:$A79,MATCH(MAX(BS45:BS79),BS45:BS79,0)),""),"")</f>
        <v/>
      </c>
      <c r="BT80" s="42"/>
      <c r="BU80" s="42">
        <f ca="1">IF(AND(BU44&gt;0,ABS(MAX(BU45:BU79))&gt;ABS(MIN(BU45:BU79))),IF(MAX(BU45:BU79)&lt;&gt;0,INDEX($A45:$A79,MATCH(MAX(BU45:BU79),BU45:BU79,0)),""),"")</f>
        <v>525</v>
      </c>
      <c r="BV80" s="42"/>
      <c r="BW80" s="64">
        <f ca="1">INDEX(BX80:CB80,MATCH(MAX(BX44:CB44),BX44:CB44,0))</f>
        <v>520</v>
      </c>
      <c r="BX80" s="42">
        <f ca="1">IF(AND(BX44&gt;0,ABS(MAX(BX45:BX79))&gt;ABS(MIN(BX45:BX79))),IF(MAX(BX45:BX79)&lt;&gt;0,INDEX($A45:$A79,MATCH(MAX(BX45:BX79),BX45:BX79,0)),""),"")</f>
        <v>520</v>
      </c>
      <c r="BY80" s="42">
        <f ca="1">INDEX($A$45:$A$79,MATCH("Cruce -",BY45:BY79,)+1)</f>
        <v>518</v>
      </c>
      <c r="BZ80" s="42" t="str">
        <f ca="1">IF(AND(BZ44&gt;0,ABS(MAX(BZ45:BZ79))&gt;ABS(MIN(BZ45:BZ79))),IF(MAX(BZ45:BZ79)&lt;&gt;0,INDEX($A45:$A79,MATCH(MAX(BZ45:BZ79),BZ45:BZ79,0)),""),"")</f>
        <v/>
      </c>
      <c r="CA80" s="42"/>
      <c r="CB80" s="42">
        <f ca="1">IF(AND(CB44&gt;0,ABS(MAX(CB45:CB79))&gt;ABS(MIN(CB45:CB79))),IF(MAX(CB45:CB79)&lt;&gt;0,INDEX($A45:$A79,MATCH(MAX(CB45:CB79),CB45:CB79,0)),""),"")</f>
        <v>520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517</v>
      </c>
      <c r="CK80" s="42">
        <f>IF(AND(CK44&gt;0,ABS(MAX(CK45:CK79))&gt;ABS(MIN(CK45:CK79))),IF(MAX(CK45:CK79)&lt;&gt;0,INDEX($A45:$A79,MATCH(MAX(CK45:CK79),CK45:CK79,0)),""),"")</f>
        <v>517</v>
      </c>
      <c r="CL80" s="42"/>
      <c r="CM80" s="42">
        <f>IF(AND(CM44&gt;0,ABS(MAX(CM45:CM79))&gt;ABS(MIN(CM45:CM79))),IF(MAX(CM45:CM79)&lt;&gt;0,INDEX($A45:$A79,MATCH(MAX(CM45:CM79),CM45:CM79,0)),""),"")</f>
        <v>500</v>
      </c>
      <c r="CN80" s="42"/>
      <c r="CO80" s="42">
        <f>IF(AND(CO44&gt;0,ABS(MAX(CO45:CO79))&gt;ABS(MIN(CO45:CO79))),IF(MAX(CO45:CO79)&lt;&gt;0,INDEX($A45:$A79,MATCH(MAX(CO45:CO79),CO45:CO79,0)),""),"")</f>
        <v>500</v>
      </c>
      <c r="CP80" s="42">
        <f>IF(ABS(MAX(CP45:CP79))&gt;ABS(MIN(CP45:CP79)),IF(MAX(CP45:CP79)&lt;&gt;0,INDEX($A45:$A79,MATCH(MAX(CP45:CP79),CP45:CP79,0)),""),"")</f>
        <v>500</v>
      </c>
      <c r="CQ80" s="42"/>
      <c r="CR80" s="42"/>
      <c r="CS80" s="42"/>
      <c r="CT80" s="42"/>
      <c r="CU80" s="42"/>
      <c r="CV80" s="42"/>
      <c r="CW80" s="42">
        <f ca="1">IF(ABS(MAX(CW45:CW79))&gt;ABS(MIN(CW45:CW79)),IF(MAX(CW45:CW79)&lt;&gt;0,INDEX($A45:$A79,MATCH(MAX(CW45:CW79),CW45:CW79,0)),""),"")</f>
        <v>520</v>
      </c>
      <c r="CY80" s="42">
        <f ca="1">IF(ABS(MAX(CY45:CY79))&gt;ABS(MIN(CY45:CY79)),IF(MAX(CY45:CY79)&lt;&gt;0,INDEX($A45:$A79,MATCH(MAX(CY45:CY79),CY45:CY79,0)),""),"")</f>
        <v>520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 t="str">
        <f t="shared" ref="DH80:DM80" si="242">IF(AND(DH44&gt;0,ABS(MAX(DH45:DH79))&gt;ABS(MIN(DH45:DH79))),IF(MAX(DH45:DH79)&lt;&gt;0,INDEX($A45:$A79,MATCH(MAX(DH45:DH79),DH45:DH79,0)),""),"")</f>
        <v/>
      </c>
      <c r="DI80" s="42" t="str">
        <f t="shared" si="242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242"/>
        <v/>
      </c>
      <c r="DM80" s="42" t="str">
        <f t="shared" si="242"/>
        <v/>
      </c>
      <c r="DN80" s="64" t="str">
        <f>DJ80&amp;","&amp;DJ81&amp;","&amp;DK80&amp;","&amp;DK81</f>
        <v>,,,</v>
      </c>
      <c r="DP80" s="42" t="str">
        <f>IF(AND(DP44&gt;0,ABS(MAX(DP45:DP79))&gt;ABS(MIN(DP45:DP79))),IF(MAX(DP45:DP79)&lt;&gt;0,INDEX($A45:$A79,MATCH(MAX(DP45:DP79),DP45:DP79,0)),""),"")</f>
        <v/>
      </c>
      <c r="DQ80" s="42" t="str">
        <f>IF(AND(DQ44&gt;0,ABS(MAX(DQ45:DQ79))&gt;ABS(MIN(DQ45:DQ79))),IF(MAX(DQ45:DQ79)&lt;&gt;0,INDEX($A45:$A79,MATCH(MAX(DQ45:DQ79),DQ45:DQ79,0)),""),"")</f>
        <v/>
      </c>
      <c r="DR80" s="42" t="str">
        <f ca="1">IF(AND(DR44&gt;0,ABS(MAX(DR45:DR79))&gt;ABS(MIN(DR45:DR79))),IF(MAX(DR45:DR79)&lt;&gt;0,INDEX($A45:$A79,MATCH(MAX(DR45:DR79),DR45:DR79,0)),""),"")</f>
        <v/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103">
        <f>IFERROR(IF(MAX(ED45:ED79)&lt;&gt;0,INDEX($A45:$A79,MATCH(MAX(ED45:ED79),ED45:ED79,0)),""),"")</f>
        <v>524</v>
      </c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7">
        <v>593.75</v>
      </c>
      <c r="EV80" s="67" t="s">
        <v>660</v>
      </c>
      <c r="EW80" s="67">
        <v>520.41</v>
      </c>
      <c r="EX80" s="67" t="s">
        <v>661</v>
      </c>
      <c r="EY80" s="67">
        <v>5947.5</v>
      </c>
      <c r="EZ80" s="67" t="s">
        <v>662</v>
      </c>
      <c r="FA80" s="67">
        <v>21359.75</v>
      </c>
      <c r="FB80" s="67" t="s">
        <v>663</v>
      </c>
      <c r="FC80" s="67" t="s">
        <v>664</v>
      </c>
      <c r="FD80" s="67" t="s">
        <v>665</v>
      </c>
      <c r="FE80" s="68" t="s">
        <v>666</v>
      </c>
      <c r="FF80" s="68" t="s">
        <v>667</v>
      </c>
    </row>
    <row r="81" spans="1:162" ht="13.5" thickBot="1" x14ac:dyDescent="0.25">
      <c r="A81" s="49">
        <v>10</v>
      </c>
      <c r="D81" s="50">
        <f>+F84-20</f>
        <v>5935.25</v>
      </c>
      <c r="E81" s="82">
        <v>5850</v>
      </c>
      <c r="BP81" s="64">
        <f ca="1">INDEX(BQ81:BU81,MATCH(MIN(BQ44:BU44),BQ44:BU44,0))</f>
        <v>510</v>
      </c>
      <c r="BQ81" s="1" t="str">
        <f ca="1">IF(AND(BQ44&lt;0,ABS(MIN(BQ45:BQ79))&gt;ABS(MAX(BQ45:BQ79))),IF(MIN(BQ45:BQ79)&lt;&gt;0,INDEX($A45:$A79,MATCH(MIN(BQ45:BQ79),BQ45:BQ79,0)),""),"")</f>
        <v/>
      </c>
      <c r="BS81" s="1">
        <f ca="1">IF(AND(BS44&lt;0,ABS(MIN(BS45:BS79))&gt;ABS(MAX(BS45:BS79))),IF(MIN(BS45:BS79)&lt;&gt;0,INDEX($A45:$A79,MATCH(MIN(BS45:BS79),BS45:BS79,0)),""),"")</f>
        <v>510</v>
      </c>
      <c r="BU81" s="1" t="str">
        <f ca="1">IF(AND(BU44&lt;0,ABS(MIN(BU45:BU79))&gt;ABS(MAX(BU45:BU79))),IF(MIN(BU45:BU79)&lt;&gt;0,INDEX($A45:$A79,MATCH(MIN(BU45:BU79),BU45:BU79,0)),""),"")</f>
        <v/>
      </c>
      <c r="BW81" s="64">
        <f ca="1">INDEX(BX81:CB81,MATCH(MIN(BX44:CB44),BX44:CB44,0))</f>
        <v>515</v>
      </c>
      <c r="BX81" s="1" t="str">
        <f ca="1">IF(AND(BX44&lt;0,ABS(MIN(BX45:BX79))&gt;ABS(MAX(BX45:BX79))),IF(MIN(BX45:BX79)&lt;&gt;0,INDEX($A45:$A79,MATCH(MIN(BX45:BX79),BX45:BX79,0)),""),"")</f>
        <v/>
      </c>
      <c r="BY81" s="1">
        <f ca="1">INDEX($A$45:$A$79,MATCH("Cruce -",BY45:BY79,)-1)</f>
        <v>520</v>
      </c>
      <c r="BZ81" s="1">
        <f ca="1">IF(AND(BZ44&lt;0,ABS(MIN(BZ45:BZ79))&gt;ABS(MAX(BZ45:BZ79))),IF(MIN(BZ45:BZ79)&lt;&gt;0,INDEX($A45:$A79,MATCH(MIN(BZ45:BZ79),BZ45:BZ79,0)),""),"")</f>
        <v>515</v>
      </c>
      <c r="CB81" s="1" t="str">
        <f ca="1">IF(AND(CB44&lt;0,ABS(MIN(CB45:CB79))&gt;ABS(MAX(CB45:CB79))),IF(MIN(CB45:CB79)&lt;&gt;0,INDEX($A45:$A79,MATCH(MIN(CB45:CB79),CB45:CB79,0)),""),"")</f>
        <v/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str">
        <f ca="1">IF(ABS(MIN(CW45:CW79))&gt;ABS(MAX(CW45:CW79)),IF(MIN(CW45:CW79)&lt;&gt;0,INDEX($A45:$A79,MATCH(MIN(CW45:CW79),CW45:CW79,0)),""),"")</f>
        <v/>
      </c>
      <c r="CY81" s="1" t="str">
        <f ca="1">IF(ABS(MIN(CY45:CY79))&gt;ABS(MAX(CY45:CY79)),IF(MIN(CY45:CY79)&lt;&gt;0,INDEX($A45:$A79,MATCH(MIN(CY45:CY79),CY45:CY79,0)),""),"")</f>
        <v/>
      </c>
      <c r="DH81" s="1" t="str">
        <f t="shared" ref="DH81:DM81" si="243">IF(AND(DH44&lt;0,ABS(MIN(DH45:DH79))&gt;ABS(MAX(DH45:DH79))),IF(MIN(DH45:DH79)&lt;&gt;0,INDEX($A45:$A79,MATCH(MIN(DH45:DH79),DH45:DH79,0)),""),"")</f>
        <v/>
      </c>
      <c r="DI81" s="1" t="str">
        <f t="shared" si="243"/>
        <v/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 t="str">
        <f t="shared" si="243"/>
        <v/>
      </c>
      <c r="DM81" s="1" t="str">
        <f t="shared" si="243"/>
        <v/>
      </c>
      <c r="DN81" s="64" t="str">
        <f ca="1">BI42&amp;","&amp;BI80&amp;","&amp;ED80&amp;","&amp;ED81</f>
        <v>521,518,524,520</v>
      </c>
      <c r="DP81" s="1" t="str">
        <f>IF(AND(DP44&lt;0,ABS(MIN(DP45:DP79))&gt;ABS(MAX(DP45:DP79))),IF(MIN(DP45:DP79)&lt;&gt;0,INDEX($A45:$A79,MATCH(MIN(DP45:DP79),DP45:DP79,0)),""),"")</f>
        <v/>
      </c>
      <c r="DQ81" s="1" t="str">
        <f>IF(AND(DQ44&lt;0,ABS(MIN(DQ45:DQ79))&gt;ABS(MAX(DQ45:DQ79))),IF(MIN(DQ45:DQ79)&lt;&gt;0,INDEX($A45:$A79,MATCH(MIN(DQ45:DQ79),DQ45:DQ79,0)),""),"")</f>
        <v/>
      </c>
      <c r="DR81" s="1" t="str">
        <f ca="1">IF(AND(DR44&lt;0,ABS(MIN(DR45:DR79))&gt;ABS(MAX(DR45:DR79))),IF(MIN(DR45:DR79)&lt;&gt;0,INDEX($A45:$A79,MATCH(MIN(DR45:DR79),DR45:DR79,0)),""),"")</f>
        <v/>
      </c>
      <c r="ED81" s="103">
        <f>IFERROR(IF(MIN(ED45:ED79)&lt;&gt;0,INDEX($A45:$A79,MATCH(MIN(ED45:ED79),ED45:ED79,0)),""),)</f>
        <v>520</v>
      </c>
      <c r="EU81" s="67">
        <v>593.70000000000005</v>
      </c>
      <c r="EV81" s="67" t="s">
        <v>668</v>
      </c>
      <c r="EW81" s="67">
        <v>520.35</v>
      </c>
      <c r="EX81" s="67" t="s">
        <v>669</v>
      </c>
      <c r="EY81" s="67">
        <v>5947.25</v>
      </c>
      <c r="EZ81" s="67" t="s">
        <v>670</v>
      </c>
      <c r="FA81" s="67">
        <v>21358</v>
      </c>
      <c r="FB81" s="67" t="s">
        <v>671</v>
      </c>
      <c r="FC81" s="67" t="s">
        <v>672</v>
      </c>
      <c r="FD81" s="67" t="s">
        <v>673</v>
      </c>
      <c r="FE81" s="68" t="s">
        <v>674</v>
      </c>
      <c r="FF81" s="68" t="s">
        <v>675</v>
      </c>
    </row>
    <row r="82" spans="1:162" ht="13.5" thickBot="1" x14ac:dyDescent="0.25">
      <c r="A82" s="20" t="s">
        <v>9</v>
      </c>
      <c r="B82" s="45" t="s">
        <v>10</v>
      </c>
      <c r="C82" s="45" t="str">
        <f>+B82</f>
        <v>SPXW</v>
      </c>
      <c r="D82" s="45" t="s">
        <v>9</v>
      </c>
      <c r="E82" s="20">
        <f>RTD("tos.rtd", ,"MARK", A83)</f>
        <v>5940.46</v>
      </c>
      <c r="F82" s="20">
        <f>+[3]Sheet1!$AD$2</f>
        <v>5822.2879135898766</v>
      </c>
      <c r="AP82" s="1">
        <v>250520</v>
      </c>
      <c r="AQ82" s="1">
        <v>250520</v>
      </c>
      <c r="AS82" s="22" t="str">
        <f>+B83</f>
        <v>250520</v>
      </c>
      <c r="AT82" s="22"/>
      <c r="AU82" s="22" t="str">
        <f>+C83</f>
        <v>250523</v>
      </c>
      <c r="AV82" s="22"/>
      <c r="AW82" s="22" t="str">
        <f>+D83</f>
        <v>250620</v>
      </c>
      <c r="AX82" s="22"/>
      <c r="BA82" s="22" t="str">
        <f>+BA1</f>
        <v>250520</v>
      </c>
      <c r="BB82" s="22" t="str">
        <f>+BA82</f>
        <v>250520</v>
      </c>
      <c r="BC82" s="22" t="str">
        <f>+BC1</f>
        <v>250523</v>
      </c>
      <c r="BD82" s="22" t="str">
        <f>+BC82</f>
        <v>250523</v>
      </c>
      <c r="BE82" s="22" t="str">
        <f>+BE1</f>
        <v>250620</v>
      </c>
      <c r="BF82" s="22" t="str">
        <f>+BE82</f>
        <v>250620</v>
      </c>
      <c r="BG82" s="96"/>
      <c r="BH82" s="1">
        <f ca="1">MAX(BH85:BH130)</f>
        <v>90167</v>
      </c>
      <c r="BI82" s="1">
        <f ca="1">IFERROR(IF(MAX(BH85:BH130)&lt;&gt;0,INDEX(A85:A130,MATCH(MAX(BH85:BH130),BH85:BH130,0)),""),"")</f>
        <v>5950</v>
      </c>
      <c r="BJ82" s="22"/>
      <c r="BK82" s="22"/>
      <c r="BL82" s="22"/>
      <c r="BM82" s="22"/>
      <c r="BN82" s="22"/>
      <c r="BO82" s="22"/>
      <c r="BQ82" s="22">
        <f ca="1">IF(BR82&gt;BS82,IF(MAX(BQ85:BQ130)&lt;&gt;0,INDEX(A85:A130,MATCH(MAX(BQ85:BQ130),BQ85:BQ130,0)),A84),IF(MIN(BQ85:BQ130)&lt;&gt;0,INDEX(A85:A130,MATCH(MIN(BQ85:BQ130),BQ85:BQ130,0))))</f>
        <v>5930</v>
      </c>
      <c r="BR82" s="22">
        <f ca="1">+MAX(BQ85:BQ130)</f>
        <v>2631656.4021769352</v>
      </c>
      <c r="BS82" s="22">
        <f ca="1">ABS(MIN(BQ85:BQ130))</f>
        <v>23124681.9482655</v>
      </c>
      <c r="BT82" s="22"/>
      <c r="BU82" s="22"/>
      <c r="BV82" s="22"/>
      <c r="BX82" s="22">
        <f ca="1">IF(BY82&gt;BZ82,IF(MAX(BX85:BX130)&lt;&gt;0,INDEX(G85:G130,MATCH(MAX(BX85:BX130),BX85:BX130,0)),G84),IF(MIN(BX85:BX130)&lt;&gt;0,INDEX(G85:G130,MATCH(MIN(BX85:BX130),BX85:BX130,0))))</f>
        <v>591.88598626848068</v>
      </c>
      <c r="BY82" s="22">
        <f ca="1">+MAX(BX85:BX130)</f>
        <v>84561597.140308037</v>
      </c>
      <c r="BZ82" s="22">
        <f ca="1">ABS(MIN(BX85:BX130))</f>
        <v>618427009.17356706</v>
      </c>
      <c r="CA82" s="22"/>
      <c r="CB82" s="22"/>
      <c r="CC82" s="22">
        <f ca="1">+AVERAGE(BY131:BY132,CA131:CA132,CC131:CC132)</f>
        <v>5940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978580279</v>
      </c>
      <c r="CM82" s="22">
        <f>ABS(MIN(CK85:CK130))</f>
        <v>1272582887.75</v>
      </c>
      <c r="CN82" s="22"/>
      <c r="CO82" s="22"/>
      <c r="CP82" s="22"/>
      <c r="CQ82" s="22">
        <f>IF(CR82&gt;CS82,IF(MAX(CQ85:CQ130)&lt;&gt;0,INDEX(G85:G130,MATCH(MAX(CQ85:CQ130),CQ85:CQ130,0)),G84),IF(MIN(CQ85:CQ130)&lt;&gt;0,INDEX(G85:G130,MATCH(MIN(CQ85:CQ130),CQ85:CQ130,0))))</f>
        <v>588.89162208837024</v>
      </c>
      <c r="CR82" s="22">
        <f>+MAX(CQ85:CQ130)</f>
        <v>83693</v>
      </c>
      <c r="CS82" s="22">
        <f>ABS(MIN(CQ85:CQ130))</f>
        <v>93105</v>
      </c>
      <c r="CT82" s="22"/>
      <c r="CU82" s="22"/>
      <c r="CV82" s="22"/>
      <c r="CW82" s="22">
        <f ca="1">IF(CX82&gt;CY82,IF(MAX(CW85:CW130)&lt;&gt;0,INDEX(M85:M130,MATCH(MAX(CW85:CW130),CW85:CW130,0)),M84),IF(MIN(CW85:CW130)&lt;&gt;0,INDEX(M85:M130,MATCH(MIN(CW85:CW130),CW85:CW130,0))))</f>
        <v>0</v>
      </c>
      <c r="CX82" s="61">
        <f ca="1">+MAX(CW85:CW130)</f>
        <v>28325007.820394412</v>
      </c>
      <c r="CY82" s="22">
        <f ca="1">ABS(MIN(CW85:CW130))</f>
        <v>22918248.62775686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593.67999999999995</v>
      </c>
      <c r="EV82" s="67" t="s">
        <v>676</v>
      </c>
      <c r="EW82" s="67">
        <v>520.29999999999995</v>
      </c>
      <c r="EX82" s="67" t="s">
        <v>677</v>
      </c>
      <c r="EY82" s="67">
        <v>5946.75</v>
      </c>
      <c r="EZ82" s="67" t="s">
        <v>678</v>
      </c>
      <c r="FA82" s="67">
        <v>21356</v>
      </c>
      <c r="FB82" s="67" t="s">
        <v>679</v>
      </c>
      <c r="FC82" s="67" t="s">
        <v>680</v>
      </c>
      <c r="FD82" s="67" t="s">
        <v>681</v>
      </c>
      <c r="FE82" s="68" t="s">
        <v>682</v>
      </c>
      <c r="FF82" s="68" t="s">
        <v>683</v>
      </c>
    </row>
    <row r="83" spans="1:162" s="63" customFormat="1" ht="13.5" thickBot="1" x14ac:dyDescent="0.25">
      <c r="A83" s="45" t="s">
        <v>9</v>
      </c>
      <c r="B83" s="45" t="str">
        <f>+B2</f>
        <v>250520</v>
      </c>
      <c r="C83" s="45" t="str">
        <f>+C2</f>
        <v>250523</v>
      </c>
      <c r="D83" s="45" t="str">
        <f>+D43</f>
        <v>250620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350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593.72</v>
      </c>
      <c r="EV83" s="67" t="s">
        <v>684</v>
      </c>
      <c r="EW83" s="67">
        <v>520.34</v>
      </c>
      <c r="EX83" s="67" t="s">
        <v>685</v>
      </c>
      <c r="EY83" s="67">
        <v>5947</v>
      </c>
      <c r="EZ83" s="67" t="s">
        <v>686</v>
      </c>
      <c r="FA83" s="67">
        <v>21358</v>
      </c>
      <c r="FB83" s="67" t="s">
        <v>687</v>
      </c>
      <c r="FC83" s="67" t="s">
        <v>688</v>
      </c>
      <c r="FD83" s="67" t="s">
        <v>689</v>
      </c>
      <c r="FE83" s="68" t="s">
        <v>690</v>
      </c>
      <c r="FF83" s="68" t="s">
        <v>691</v>
      </c>
    </row>
    <row r="84" spans="1:162" s="63" customFormat="1" ht="13.5" thickBot="1" x14ac:dyDescent="0.25">
      <c r="A84" s="46">
        <f>+D81</f>
        <v>5935.25</v>
      </c>
      <c r="B84" s="27">
        <f>+AS84/AT84</f>
        <v>-0.67639403738465176</v>
      </c>
      <c r="C84" s="27">
        <f>+AU84/AV84</f>
        <v>-0.76738281539991982</v>
      </c>
      <c r="D84" s="27">
        <f>+AW84/AX84</f>
        <v>-1.0539130513406683</v>
      </c>
      <c r="E84" s="28">
        <v>0</v>
      </c>
      <c r="F84" s="47">
        <f>RTD("tos.rtd", ,"MARK", F83)</f>
        <v>5955.25</v>
      </c>
      <c r="G84" s="47">
        <f>RTD("tos.rtd", ,"MARK", G83)</f>
        <v>592.41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606300</v>
      </c>
      <c r="AQ84" s="20">
        <v>-613419</v>
      </c>
      <c r="AR84" s="20"/>
      <c r="AS84" s="52">
        <f t="shared" ref="AS84:AX84" si="244">SUM(AS85:AS130)</f>
        <v>34304</v>
      </c>
      <c r="AT84" s="53">
        <f t="shared" si="244"/>
        <v>-50716</v>
      </c>
      <c r="AU84" s="52">
        <f t="shared" si="244"/>
        <v>51684</v>
      </c>
      <c r="AV84" s="53">
        <f t="shared" si="244"/>
        <v>-67351</v>
      </c>
      <c r="AW84" s="52">
        <f t="shared" si="244"/>
        <v>699363</v>
      </c>
      <c r="AX84" s="53">
        <f t="shared" si="244"/>
        <v>-663587</v>
      </c>
      <c r="AY84" s="53">
        <f>SUM(AY85:AY130)</f>
        <v>3697</v>
      </c>
      <c r="AZ84" s="20">
        <v>0</v>
      </c>
      <c r="BA84" s="52">
        <f t="shared" ref="BA84:BF84" si="245">SUM(BA85:BA130)</f>
        <v>606300</v>
      </c>
      <c r="BB84" s="53">
        <f t="shared" si="245"/>
        <v>-613419</v>
      </c>
      <c r="BC84" s="52">
        <f t="shared" si="245"/>
        <v>21003</v>
      </c>
      <c r="BD84" s="53">
        <f t="shared" si="245"/>
        <v>-25094</v>
      </c>
      <c r="BE84" s="52">
        <f t="shared" si="245"/>
        <v>25167</v>
      </c>
      <c r="BF84" s="53">
        <f t="shared" si="245"/>
        <v>-33566</v>
      </c>
      <c r="BG84" s="53"/>
      <c r="BH84" s="53">
        <f ca="1">SUM(BH85:BH130)</f>
        <v>-35989</v>
      </c>
      <c r="BI84" s="20"/>
      <c r="BJ84" s="73">
        <f t="shared" ref="BJ84:BO84" ca="1" si="246">SUM(BJ85:BJ130)</f>
        <v>8.4382256459693272E-2</v>
      </c>
      <c r="BK84" s="74">
        <f t="shared" ca="1" si="246"/>
        <v>-0.20236468084165085</v>
      </c>
      <c r="BL84" s="73">
        <f t="shared" ca="1" si="246"/>
        <v>9.7197317297787938E-2</v>
      </c>
      <c r="BM84" s="74">
        <f t="shared" ca="1" si="246"/>
        <v>-9.4682642917837762E-2</v>
      </c>
      <c r="BN84" s="73">
        <f t="shared" ca="1" si="246"/>
        <v>9.5733415809739056E-2</v>
      </c>
      <c r="BO84" s="74">
        <f t="shared" ca="1" si="246"/>
        <v>-9.4560201772001584E-2</v>
      </c>
      <c r="BQ84" s="73">
        <f ca="1">SUM(BQ85:BQ130)</f>
        <v>-56400254.903989442</v>
      </c>
      <c r="BR84" s="74"/>
      <c r="BS84" s="73">
        <f ca="1">SUM(BS85:BS130)</f>
        <v>-4876158.4451030698</v>
      </c>
      <c r="BT84" s="74"/>
      <c r="BU84" s="73">
        <f ca="1">SUM(BU85:BU130)</f>
        <v>45453441.815446094</v>
      </c>
      <c r="BV84" s="74"/>
      <c r="BX84" s="73">
        <f ca="1">SUM(BX85:BX130)</f>
        <v>-1586666369.0463343</v>
      </c>
      <c r="BY84" s="74"/>
      <c r="BZ84" s="73">
        <f ca="1">SUM(BZ85:BZ130)</f>
        <v>2519021.5517224898</v>
      </c>
      <c r="CA84" s="74"/>
      <c r="CB84" s="73">
        <f ca="1">SUM(CB85:CB130)</f>
        <v>-1687745.2540397367</v>
      </c>
      <c r="CC84" s="74"/>
      <c r="CD84" s="73">
        <f t="shared" ref="CD84:CI84" si="247">SUM(CD85:CD130)</f>
        <v>32.74</v>
      </c>
      <c r="CE84" s="74">
        <f t="shared" si="247"/>
        <v>12.76</v>
      </c>
      <c r="CF84" s="73">
        <f t="shared" si="247"/>
        <v>28.590000000000003</v>
      </c>
      <c r="CG84" s="74">
        <f t="shared" si="247"/>
        <v>13.739999999999993</v>
      </c>
      <c r="CH84" s="73">
        <f t="shared" si="247"/>
        <v>29.800000000000004</v>
      </c>
      <c r="CI84" s="74">
        <f t="shared" si="247"/>
        <v>16.63</v>
      </c>
      <c r="CK84" s="73">
        <f>SUM(CK85:CK130)</f>
        <v>3040444582.25</v>
      </c>
      <c r="CL84" s="74"/>
      <c r="CM84" s="73">
        <f>SUM(CM85:CM130)</f>
        <v>9840597018</v>
      </c>
      <c r="CN84" s="74"/>
      <c r="CO84" s="73">
        <f>SUM(CO85:CO130)</f>
        <v>119766650038</v>
      </c>
      <c r="CP84" s="74"/>
      <c r="CQ84" s="73">
        <f>SUM(CQ85:CQ130)</f>
        <v>-7119</v>
      </c>
      <c r="CR84" s="74"/>
      <c r="CS84" s="73">
        <f>SUM(CS85:CS130)</f>
        <v>-4091</v>
      </c>
      <c r="CT84" s="74">
        <f>SUM(CT85:CT130)</f>
        <v>0</v>
      </c>
      <c r="CU84" s="73">
        <f>SUM(CU85:CU130)</f>
        <v>-8399</v>
      </c>
      <c r="CV84" s="74"/>
      <c r="CW84" s="74">
        <f ca="1">SUM(CW85:CW130)</f>
        <v>-15822971.533646407</v>
      </c>
      <c r="CY84" s="74">
        <f ca="1">SUM(CY85:CY130)</f>
        <v>-1585835092.748652</v>
      </c>
      <c r="DA84" s="73">
        <f t="shared" ref="DA84:DF84" si="248">SUM(DA85:DA130)</f>
        <v>5080.1799999999994</v>
      </c>
      <c r="DB84" s="74">
        <f t="shared" si="248"/>
        <v>1005.7199999999989</v>
      </c>
      <c r="DC84" s="73">
        <f t="shared" si="248"/>
        <v>5303.2499999999982</v>
      </c>
      <c r="DD84" s="74">
        <f t="shared" si="248"/>
        <v>927.44999999999823</v>
      </c>
      <c r="DE84" s="73">
        <f t="shared" si="248"/>
        <v>5241.6499999999987</v>
      </c>
      <c r="DF84" s="73">
        <f t="shared" si="248"/>
        <v>901.19999999999959</v>
      </c>
      <c r="DH84" s="73">
        <f t="shared" ref="DH84:DM84" si="249">SUM(DH85:DH130)</f>
        <v>0</v>
      </c>
      <c r="DI84" s="74">
        <f t="shared" si="249"/>
        <v>0</v>
      </c>
      <c r="DJ84" s="73">
        <f t="shared" si="249"/>
        <v>0</v>
      </c>
      <c r="DK84" s="74">
        <f t="shared" si="249"/>
        <v>0</v>
      </c>
      <c r="DL84" s="73">
        <f t="shared" si="249"/>
        <v>0</v>
      </c>
      <c r="DM84" s="73">
        <f t="shared" si="249"/>
        <v>0</v>
      </c>
      <c r="DP84" s="73">
        <f>SUM(DP85:DP130)</f>
        <v>0</v>
      </c>
      <c r="DQ84" s="74">
        <f>SUM(DQ85:DQ130)</f>
        <v>0</v>
      </c>
      <c r="DR84" s="73">
        <f ca="1">SUM(DR85:DR130)</f>
        <v>0</v>
      </c>
      <c r="DS84" s="74">
        <f>SUM(DS85:DS130)</f>
        <v>0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:EQ84" si="250">SUM(EE85:EE130)</f>
        <v>15.266099999999998</v>
      </c>
      <c r="EF84" s="74">
        <f t="shared" si="250"/>
        <v>51.699399999999983</v>
      </c>
      <c r="EG84" s="73">
        <f t="shared" si="250"/>
        <v>8.6456</v>
      </c>
      <c r="EH84" s="74">
        <f t="shared" si="250"/>
        <v>8.9611000000000001</v>
      </c>
      <c r="EI84" s="73">
        <f t="shared" si="250"/>
        <v>7.2795999999999985</v>
      </c>
      <c r="EJ84" s="73">
        <f t="shared" si="250"/>
        <v>7.9216000000000015</v>
      </c>
      <c r="EK84" s="63">
        <f t="shared" ca="1" si="250"/>
        <v>-637410305.60089803</v>
      </c>
      <c r="EL84" s="73">
        <f t="shared" si="250"/>
        <v>0</v>
      </c>
      <c r="EM84" s="74">
        <f t="shared" si="250"/>
        <v>0</v>
      </c>
      <c r="EN84" s="73">
        <f t="shared" si="250"/>
        <v>0</v>
      </c>
      <c r="EO84" s="74">
        <f t="shared" si="250"/>
        <v>0</v>
      </c>
      <c r="EP84" s="73">
        <f t="shared" si="250"/>
        <v>0</v>
      </c>
      <c r="EQ84" s="73">
        <f t="shared" si="250"/>
        <v>0</v>
      </c>
      <c r="EU84" s="67">
        <v>593.72</v>
      </c>
      <c r="EV84" s="67" t="s">
        <v>692</v>
      </c>
      <c r="EW84" s="67">
        <v>520.38</v>
      </c>
      <c r="EX84" s="67" t="s">
        <v>693</v>
      </c>
      <c r="EY84" s="67">
        <v>5947.25</v>
      </c>
      <c r="EZ84" s="67" t="s">
        <v>694</v>
      </c>
      <c r="FA84" s="67">
        <v>21359</v>
      </c>
      <c r="FB84" s="67" t="s">
        <v>695</v>
      </c>
      <c r="FC84" s="67" t="s">
        <v>696</v>
      </c>
      <c r="FD84" s="67" t="s">
        <v>697</v>
      </c>
      <c r="FE84" s="68" t="s">
        <v>698</v>
      </c>
      <c r="FF84" s="68" t="s">
        <v>699</v>
      </c>
    </row>
    <row r="85" spans="1:162" s="63" customFormat="1" ht="12" customHeight="1" thickBot="1" x14ac:dyDescent="0.25">
      <c r="A85" s="2">
        <f>ROUND(E81/A81,0)*A81+22*A81</f>
        <v>6070</v>
      </c>
      <c r="B85" s="3">
        <f t="shared" ref="B85:B130" si="251">+IF($A$1="ABS",AS85-AT85,AS85+AT85)</f>
        <v>576</v>
      </c>
      <c r="C85" s="3">
        <f t="shared" ref="C85:C130" si="252">+IF($A$1="ABS",AU85-AV85,AU85+AV85)</f>
        <v>568</v>
      </c>
      <c r="D85" s="3">
        <f t="shared" ref="D85:D130" si="253">+IF($A$1="ABS",AW85-AX85,AW85+AX85)</f>
        <v>594</v>
      </c>
      <c r="E85" s="3">
        <f t="shared" ref="E85:E96" si="254">SUM(B85:D85)</f>
        <v>1738</v>
      </c>
      <c r="F85" s="4">
        <f>+$F$84/$A$84*A85</f>
        <v>6090.4540668042628</v>
      </c>
      <c r="G85" s="4">
        <f>+$G$84/$A$84*A85</f>
        <v>605.85968577566234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164</v>
      </c>
      <c r="AN85" s="20">
        <v>1</v>
      </c>
      <c r="AO85" s="20">
        <v>6070</v>
      </c>
      <c r="AP85" s="20">
        <v>2909</v>
      </c>
      <c r="AQ85" s="20">
        <v>-3</v>
      </c>
      <c r="AR85" s="20"/>
      <c r="AS85" s="73">
        <f>IF(RTD("tos.rtd",,AS$83,"."&amp;$B$82&amp;$AS$82&amp;"C"&amp;$A85)="N/A",0,RTD("tos.rtd",,AS$83,"."&amp;$B$82&amp;$AS$82&amp;"C"&amp;$A85))</f>
        <v>574</v>
      </c>
      <c r="AT85" s="28">
        <f>-IF(RTD("tos.rtd",,AT$83,"."&amp;$B$82&amp;$AS$82&amp;"P"&amp;$A85)="N/A",0,RTD("tos.rtd",,AT$83,"."&amp;$B$82&amp;$AS$82&amp;"P"&amp;$A85))</f>
        <v>-2</v>
      </c>
      <c r="AU85" s="73">
        <f>IF(RTD("tos.rtd",,AU$83,"."&amp;$C$82&amp;$AU$82&amp;"C"&amp;$A85)="N/A",0,RTD("tos.rtd",,AU$83,"."&amp;$C$82&amp;$AU$82&amp;"C"&amp;$A85))</f>
        <v>553</v>
      </c>
      <c r="AV85" s="28">
        <f>-IF(RTD("tos.rtd",,AV$83,"."&amp;$C$82&amp;$AU$82&amp;"P"&amp;$A85)="N/A",0,RTD("tos.rtd",,AV$83,"."&amp;$C$82&amp;$AU$82&amp;"P"&amp;$A85))</f>
        <v>-15</v>
      </c>
      <c r="AW85" s="73">
        <f>IF(RTD("tos.rtd",,AW$83,"."&amp;$D$82&amp;$AW$82&amp;"C"&amp;$A85)="N/A",0,RTD("tos.rtd",,AW$83,"."&amp;$D$82&amp;$AW$82&amp;"C"&amp;$A85))</f>
        <v>441</v>
      </c>
      <c r="AX85" s="28">
        <f>-IF(RTD("tos.rtd",,AX$83,"."&amp;$D$82&amp;$AW$82&amp;"P"&amp;$A85)="N/A",0,RTD("tos.rtd",,AX$83,"."&amp;$D$82&amp;$AW$82&amp;"P"&amp;$A85))</f>
        <v>-153</v>
      </c>
      <c r="AY85" s="78">
        <f>SUM(AS85:AX85)</f>
        <v>1398</v>
      </c>
      <c r="AZ85" s="8">
        <f t="shared" ref="AZ85:AZ130" si="255">+A85</f>
        <v>6070</v>
      </c>
      <c r="BA85" s="73">
        <f>IF(RTD("tos.rtd",,BA$83,"."&amp;$B$82&amp;$AS$82&amp;"C"&amp;$A85)="N/A",0,RTD("tos.rtd",,BA$83,"."&amp;$B$82&amp;$AS$82&amp;"C"&amp;$A85))</f>
        <v>2909</v>
      </c>
      <c r="BB85" s="28">
        <f>-IF(RTD("tos.rtd",,BB$83,"."&amp;$B$82&amp;$AS$82&amp;"P"&amp;$A85)="N/A",0,RTD("tos.rtd",,BB$83,"."&amp;$B$82&amp;$AS$82&amp;"P"&amp;$A85))</f>
        <v>-3</v>
      </c>
      <c r="BC85" s="73">
        <f>IF(RTD("tos.rtd",,BC$83,"."&amp;$C$82&amp;$AU$82&amp;"C"&amp;$A85)="N/A",0,RTD("tos.rtd",,BC$83,"."&amp;$C$82&amp;$AU$82&amp;"C"&amp;$A85))</f>
        <v>312</v>
      </c>
      <c r="BD85" s="28">
        <f>-IF(RTD("tos.rtd",,BD$83,"."&amp;$C$82&amp;$AU$82&amp;"P"&amp;$A85)="N/A",0,RTD("tos.rtd",,BD$83,"."&amp;$C$82&amp;$AU$82&amp;"P"&amp;$A85))</f>
        <v>-4</v>
      </c>
      <c r="BE85" s="73">
        <f>IF(RTD("tos.rtd",,BE$83,"."&amp;$D$82&amp;$AW$82&amp;"C"&amp;$A85)="N/A",0,RTD("tos.rtd",,BE$83,"."&amp;$D$82&amp;$AW$82&amp;"C"&amp;$A85))</f>
        <v>39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1158</v>
      </c>
      <c r="BH85" s="74">
        <f>SUM(BA85:BF85)</f>
        <v>3253</v>
      </c>
      <c r="BI85" s="1"/>
      <c r="BJ85" s="3">
        <f ca="1">IF($BP$1=1,DX85,IF(RTD("tos.rtd",,BJ$83,"."&amp;$B$82&amp;$AS$82&amp;"C"&amp;$A85)="N/A",0,RTD("tos.rtd",,BJ$83,"."&amp;$B$82&amp;$AS$82&amp;"C"&amp;$A85)))</f>
        <v>9.5435621518200856E-4</v>
      </c>
      <c r="BK85" s="3">
        <f ca="1">IF($BP$1=1,DY85,-IF(RTD("tos.rtd",,BK$83,"."&amp;$B$82&amp;$AS$82&amp;"P"&amp;$A85)="N/A",0,RTD("tos.rtd",,BK$83,"."&amp;$B$82&amp;$AS$82&amp;"P"&amp;$A85)))</f>
        <v>-1.7434971965085578E-3</v>
      </c>
      <c r="BL85" s="3">
        <f ca="1">IF($BP$1=1,DZ85,IF(RTD("tos.rtd",,BL$83,"."&amp;$C$82&amp;$AU$82&amp;"C"&amp;$A85)="N/A",0,RTD("tos.rtd",,BL$83,"."&amp;$C$82&amp;$AU$82&amp;"C"&amp;$A85)))</f>
        <v>1.5516268156669662E-3</v>
      </c>
      <c r="BM85" s="3">
        <f ca="1">IF($BP$1=1,EA85,-IF(RTD("tos.rtd",,BM$83,"."&amp;$C$82&amp;$AU$82&amp;"P"&amp;$A85)="N/A",0,RTD("tos.rtd",,BM$83,"."&amp;$C$82&amp;$AU$82&amp;"P"&amp;$A85)))</f>
        <v>-1.8150471228120166E-3</v>
      </c>
      <c r="BN85" s="3">
        <f ca="1">IF($BP$1=1,EB85,IF(RTD("tos.rtd",,BN$83,"."&amp;$D$82&amp;$AW$82&amp;"C"&amp;$A85)="N/A",0,RTD("tos.rtd",,BN$83,"."&amp;$D$82&amp;$AW$82&amp;"C"&amp;$A85)))</f>
        <v>1.4352530421750612E-3</v>
      </c>
      <c r="BO85" s="3">
        <f ca="1">IF($BP$1=1,EC85,-IF(RTD("tos.rtd",,BO$83,"."&amp;$D$82&amp;$AW$82&amp;"P"&amp;$A85)="N/A",0,RTD("tos.rtd",,BO$83,"."&amp;$D$82&amp;$AW$82&amp;"P"&amp;$A85)))</f>
        <v>-1.6018581964245074E-3</v>
      </c>
      <c r="BQ85" s="3">
        <f t="shared" ref="BQ85:BQ130" ca="1" si="256">+$A$44*$A$44*AS85*BJ85-$A$44*$A$44*AT85*BK85</f>
        <v>146972.98582409899</v>
      </c>
      <c r="BR85" s="3"/>
      <c r="BS85" s="3">
        <f t="shared" ref="BS85:BS130" ca="1" si="257">+$A$44*$A$44*AU85*BL85-$A$44*$A$44*AV85*BM85</f>
        <v>224335.20126325879</v>
      </c>
      <c r="BT85" s="3"/>
      <c r="BU85" s="3">
        <f t="shared" ref="BU85:BU130" ca="1" si="258">+$A$44*$A$44*AW85*BN85-$A$44*$A$44*AX85*BO85</f>
        <v>104728.76624260603</v>
      </c>
      <c r="BV85" s="3"/>
      <c r="BX85" s="3">
        <f t="shared" ref="BX85:BX130" ca="1" si="259">+$A$44*$A$44*BA85*BJ85-$A$44*$A$44*BB85*BK85</f>
        <v>748210.26778442529</v>
      </c>
      <c r="BY85" s="3"/>
      <c r="BZ85" s="3">
        <f t="shared" ref="BZ85:BZ130" ca="1" si="260">+$A$44*$A$44*BC85*BL85-$A$44*$A$44*BD85*BM85</f>
        <v>128756.10541969986</v>
      </c>
      <c r="CA85" s="3"/>
      <c r="CB85" s="3">
        <f t="shared" ref="CB85:CB130" ca="1" si="261">+$A$44*$A$44*BE85*BN85-$A$44*$A$44*BF85*BO85</f>
        <v>15114.073015066315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0.97</v>
      </c>
      <c r="CF85" s="3">
        <f>IF(RTD("tos.rtd",,CF$83,"."&amp;$C$82&amp;$AU$82&amp;"C"&amp;$A85)="N/A",0,RTD("tos.rtd",,CF$83,"."&amp;$C$82&amp;$AU$82&amp;"C"&amp;$A85))</f>
        <v>0.05</v>
      </c>
      <c r="CG85" s="3">
        <f>-IF(RTD("tos.rtd",,CG$83,"."&amp;$C$82&amp;$AU$82&amp;"P"&amp;$A85)="N/A",0,RTD("tos.rtd",,CG$83,"."&amp;$C$82&amp;$AU$82&amp;"P"&amp;$A85))</f>
        <v>0.91</v>
      </c>
      <c r="CH85" s="3">
        <f>IF(RTD("tos.rtd",,CH$83,"."&amp;$D$82&amp;$AW$82&amp;"C"&amp;$A85)="N/A",0,RTD("tos.rtd",,CH$83,"."&amp;$D$82&amp;$AW$82&amp;"C"&amp;$A85))</f>
        <v>0.33</v>
      </c>
      <c r="CI85" s="3">
        <f>-IF(RTD("tos.rtd",,CI$83,"."&amp;$D$82&amp;$AW$82&amp;"P"&amp;$A85)="N/A",0,RTD("tos.rtd",,CI$83,"."&amp;$D$82&amp;$AW$82&amp;"P"&amp;$A85))</f>
        <v>0.66</v>
      </c>
      <c r="CK85" s="3">
        <f>+AS85*CD85*100*$A$84+AT85*CE85*100*$A$84</f>
        <v>-1151438.5</v>
      </c>
      <c r="CL85" s="3"/>
      <c r="CM85" s="3">
        <f>+AU85*CF85*100*$A$84+AV85*CG85*100*$A$84</f>
        <v>8309350</v>
      </c>
      <c r="CN85" s="3"/>
      <c r="CO85" s="3">
        <f>+AW85*CH85*100*$A$84+AX85*CI85*100*$A$84</f>
        <v>26441538.75</v>
      </c>
      <c r="CP85" s="3">
        <f t="shared" ref="CP85:CP130" si="262">+CK85+CM85+CO85</f>
        <v>33599450.25</v>
      </c>
      <c r="CQ85" s="3">
        <f t="shared" ref="CQ85:CQ130" si="263">+BA85+BB85</f>
        <v>2906</v>
      </c>
      <c r="CR85" s="3"/>
      <c r="CS85" s="3">
        <f t="shared" ref="CS85:CS130" si="264">+BC85+BD85</f>
        <v>308</v>
      </c>
      <c r="CT85" s="3"/>
      <c r="CU85" s="3">
        <f t="shared" ref="CU85:CU130" si="265">+BE85+BF85</f>
        <v>39</v>
      </c>
      <c r="CV85" s="3"/>
      <c r="CW85" s="3">
        <f ca="1">+BQ85+BS85+BU85</f>
        <v>476036.95332996378</v>
      </c>
      <c r="CY85" s="3">
        <f t="shared" ref="CY85:CY130" ca="1" si="266">+BX85+BZ85+CB85</f>
        <v>892080.44621919142</v>
      </c>
      <c r="CZ85" s="70"/>
      <c r="DA85" s="3">
        <f>IF(RTD("tos.rtd",,DA$83,"."&amp;$B$82&amp;$AS$82&amp;"C"&amp;$A85)="N/A",0,RTD("tos.rtd",,DA$83,"."&amp;$B$82&amp;$AS$82&amp;"C"&amp;$A85))</f>
        <v>0.03</v>
      </c>
      <c r="DB85" s="3">
        <f>IF(RTD("tos.rtd",,DB$83,"."&amp;$B$82&amp;$AS$82&amp;"P"&amp;$A85)="N/A",0,RTD("tos.rtd",,DB$83,"."&amp;$B$82&amp;$AS$82&amp;"P"&amp;$A85))</f>
        <v>149.49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131.30000000000001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129.30000000000001</v>
      </c>
      <c r="DG85" s="86">
        <f>+$A85-$A$84</f>
        <v>134.75</v>
      </c>
      <c r="DH85" s="3">
        <f t="shared" ref="DH85:DH130" si="267">IFERROR(((DA85-DE85)/(DC85-DE85))*(BA85-AP85),0)</f>
        <v>0</v>
      </c>
      <c r="DI85" s="3">
        <f t="shared" ref="DI85:DI130" si="268">IFERROR(((DB85-DF85)/(DD85-DF85))*(BB85-AQ85),0)</f>
        <v>0</v>
      </c>
      <c r="DJ85" s="3">
        <f t="shared" ref="DJ85:DJ130" si="269">IF(DA85&gt;=(DE85+(DC85-DE85)*0.6),(BA85-AP85),IF(DA85&lt;=(DE85+(DC85-DE85)*0.4),-(BA85-AP85),0))</f>
        <v>0</v>
      </c>
      <c r="DK85" s="3">
        <f t="shared" ref="DK85:DK130" si="270">IF(DB85&lt;=(DF85+(DD85-DF85)*0.4),-(BB85-AQ85),IF(DB85&gt;=(DF85+(DD85-DF85)*0.6),(BB85-AQ85),0))</f>
        <v>0</v>
      </c>
      <c r="DL85" s="3">
        <f t="shared" ref="DL85:DL130" si="271">IFERROR(DH85+DI85,0)</f>
        <v>0</v>
      </c>
      <c r="DM85" s="3">
        <f t="shared" ref="DM85:DM130" si="272">IFERROR(DJ85+DK85,0)</f>
        <v>0</v>
      </c>
      <c r="DN85" s="64" t="str">
        <f t="shared" ref="DN85:DN130" si="273">IF(AND(DA85&gt;=(DE85+(DC85-DE85)*0.6),BA85&gt;AP85),"BUY",IF(AND(DA85&lt;=(DE85+(DC85-DE85)*0.4),BA85&gt;AP85),"SELL","UNKNOWN"))</f>
        <v>UNKNOWN</v>
      </c>
      <c r="DO85" s="64" t="str">
        <f t="shared" ref="DO85:DO130" si="274">IF(AND(DB85&gt;=(DF85+(DD85-DF85)*0.6),ABS(BB85)&gt;ABS(AQ85)),"BUY",IF(AND(DB85&lt;=(DF85+(DD85-DF85)*0.4),ABS(BB85)&gt;ABS(AQ85)),"SELL","UNKNOWN"))</f>
        <v>UNKNOWN</v>
      </c>
      <c r="DP85" s="3">
        <f t="shared" ref="DP85:DP130" si="275">+DH85*DA85+DI85*DB85</f>
        <v>0</v>
      </c>
      <c r="DQ85" s="3">
        <f t="shared" ref="DQ85:DQ130" si="276">+DA85*DJ85+DB85*DK85</f>
        <v>0</v>
      </c>
      <c r="DR85" s="3">
        <f t="shared" ref="DR85:DR130" ca="1" si="277">+BJ85*DJ85+BK85*DK85</f>
        <v>0</v>
      </c>
      <c r="DS85" s="3">
        <f t="shared" ref="DS85:DS130" si="278">+CD85*DJ85+CE85*DK85</f>
        <v>0</v>
      </c>
      <c r="DT85" s="3">
        <f>BA85-VLOOKUP(AZ85,$AO$85:$AQ$130,2,FALSE)</f>
        <v>0</v>
      </c>
      <c r="DU85" s="3">
        <f>BB85-VLOOKUP(AZ85,$AO$85:$AQ$130,3,FALSE)</f>
        <v>0</v>
      </c>
      <c r="DV85" s="3">
        <f>AM85+IF(DN85="BUY",DT85,IF(DN85="SELL",-DT85,0))</f>
        <v>164</v>
      </c>
      <c r="DW85" s="3">
        <f>AN85+IF(DO85="BUY",DU85,IF(DO85="SELL",-DU85,0))</f>
        <v>1</v>
      </c>
      <c r="DX85" s="3">
        <f ca="1">(EXP(-POWER((LN($A$84/$A85)+($EC$1+POWER($EE85,2)/2)*($EM$1/$DY$1))/($EE85*SQRT($EM$1/$DY$1)),2)/2)/SQRT(2*PI())/($A$84*$EE85*SQRT($EM$1/$DY$1)))</f>
        <v>9.5435621518200856E-4</v>
      </c>
      <c r="DY85" s="3">
        <f t="shared" ref="DY85:DY130" ca="1" si="279">-(EXP(-POWER((LN($A$84/$A85)+($EC$1+POWER($EF85,2)/2)*($EM$1/$DY$1))/($EF85*SQRT($EM$1/$DY$1)),2)/2)/SQRT(2*PI())/($A$84*$EF85*SQRT($EM$1/$DY$1)))</f>
        <v>-1.7434971965085578E-3</v>
      </c>
      <c r="DZ85" s="3">
        <f ca="1">(EXP(-POWER((LN($A$84/$A85)+($EC$1+POWER($EG85,2)/2)*($EO$1/$DY$1))/($EG85*SQRT($EO$1/$DY$1)),2)/2)/SQRT(2*PI())/($A$84*$EG85*SQRT($EO$1/$DY$1)))</f>
        <v>1.5516268156669662E-3</v>
      </c>
      <c r="EA85" s="3">
        <f ca="1">-(EXP(-POWER((LN($A$84/$A85)+($EC$1+POWER($EH85,2)/2)*($EO$1/$DY$1))/($EH85*SQRT($EO$1/$DY$1)),2)/2)/SQRT(2*PI())/($A$84*$EH85*SQRT($EO$1/$DY$1)))</f>
        <v>-1.8150471228120166E-3</v>
      </c>
      <c r="EB85" s="3">
        <f t="shared" ref="EB85:EB130" ca="1" si="280">(EXP(-POWER((LN($A$84/$A85)+($EC$1+POWER($EI85,2)/2)*($EO$1/$DY$1))/($EI85*SQRT($EO$1/$DY$1)),2)/2)/SQRT(2*PI())/($A$84*$EI85*SQRT($EO$1/$DY$1)))</f>
        <v>1.4352530421750612E-3</v>
      </c>
      <c r="EC85" s="3">
        <f t="shared" ref="EC85:EC130" ca="1" si="281">-(EXP(-POWER((LN($A$84/$A85)+($EC$1+POWER($EJ85,2)/2)*($EO$1/$DY$1))/($EJ85*SQRT($EO$1/$DY$1)),2)/2)/SQRT(2*PI())/($A$84*$EJ85*SQRT($EO$1/$DY$1)))</f>
        <v>-1.6018581964245074E-3</v>
      </c>
      <c r="ED85" s="63">
        <f>+DV85+DW85</f>
        <v>165</v>
      </c>
      <c r="EE85" s="59">
        <f t="shared" ref="EE85:EE130" si="282">IFERROR(VALUE(IF(OR(EL85="--",EL85="0.00%"),$EE$1,EL85)),$EE$1)</f>
        <v>0.98619999999999997</v>
      </c>
      <c r="EF85" s="59">
        <f t="shared" ref="EF85:EF130" si="283">IFERROR(VALUE(IF(OR(EM85="--",EM85="0.00%"),$EE$1,EM85)),$EE$1)</f>
        <v>1.5105</v>
      </c>
      <c r="EG85" s="59">
        <f t="shared" ref="EG85:EG130" si="284">IFERROR(VALUE(IF(OR(EN85="--",EN85="0.00%"),$EE$1,EN85)),$EE$1)</f>
        <v>0.14019999999999999</v>
      </c>
      <c r="EH85" s="59">
        <f t="shared" ref="EH85:EH130" si="285">IFERROR(VALUE(IF(OR(EO85="--",EO85="0.00%"),$EE$1,EO85)),$EE$1)</f>
        <v>0.17280000000000001</v>
      </c>
      <c r="EI85" s="59">
        <f t="shared" ref="EI85:EI130" si="286">IFERROR(VALUE(IF(OR(EP85="--",EP85="0.00%"),$EE$1,EP85)),$EE$1)</f>
        <v>0.13189999999999999</v>
      </c>
      <c r="EJ85" s="59">
        <f t="shared" ref="EJ85:EJ130" si="287">IFERROR(VALUE(IF(OR(EQ85="--",EQ85="0.00%"),$EE$1,EQ85)),$EE$1)</f>
        <v>0.1444</v>
      </c>
      <c r="EK85" s="63">
        <f ca="1">+DV85*DX85*$A$84*$A$84+DW85*DY85*$A$84*$A$84</f>
        <v>5452145.0756578036</v>
      </c>
      <c r="EL85" s="3" t="str">
        <f>RTD("tos.rtd",,EL$83,"."&amp;$B$82&amp;$AS$82&amp;"C"&amp;$A85)</f>
        <v>98.62%</v>
      </c>
      <c r="EM85" s="3" t="str">
        <f>RTD("tos.rtd",,EM$83,"."&amp;$B$82&amp;$AS$82&amp;"P"&amp;$A85)</f>
        <v>151.05%</v>
      </c>
      <c r="EN85" s="3" t="str">
        <f>RTD("tos.rtd",,EN$83,"."&amp;$C$82&amp;$AU$82&amp;"C"&amp;$A85)</f>
        <v>14.02%</v>
      </c>
      <c r="EO85" s="3" t="str">
        <f>RTD("tos.rtd",,EO$83,"."&amp;$C$82&amp;$AU$82&amp;"P"&amp;$A85)</f>
        <v>17.28%</v>
      </c>
      <c r="EP85" s="3" t="str">
        <f>RTD("tos.rtd",,EP$83,"."&amp;$D$82&amp;$AW$82&amp;"C"&amp;$A85)</f>
        <v>13.19%</v>
      </c>
      <c r="EQ85" s="3" t="str">
        <f>RTD("tos.rtd",,EQ$83,"."&amp;$D$82&amp;$AW$82&amp;"P"&amp;$A85)</f>
        <v>14.44%</v>
      </c>
      <c r="ES85" s="63" t="str">
        <f t="shared" ref="ES85:ES130" si="288">IFERROR(
    A85 &amp; "," &amp; TEXT(IF(ISNUMBER(DV85+DW85), DV85+DW85, 0), "00.00"),    "Error"
)</f>
        <v>6070,165.00</v>
      </c>
      <c r="ET85" s="63" t="str">
        <f t="shared" ref="ET85:ET130" ca="1" si="289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IF(ISNUMBER(EK85), (EK85),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IF(ISNUMBER(EK85), (EK85), 0)
        )))),
    "00.00")
)</f>
        <v>6070,892.08</v>
      </c>
      <c r="EU85" s="67">
        <v>593.77</v>
      </c>
      <c r="EV85" s="67" t="s">
        <v>700</v>
      </c>
      <c r="EW85" s="67">
        <v>520.41999999999996</v>
      </c>
      <c r="EX85" s="67" t="s">
        <v>701</v>
      </c>
      <c r="EY85" s="67">
        <v>5947.75</v>
      </c>
      <c r="EZ85" s="67" t="s">
        <v>702</v>
      </c>
      <c r="FA85" s="67">
        <v>21361</v>
      </c>
      <c r="FB85" s="67" t="s">
        <v>703</v>
      </c>
      <c r="FC85" s="67" t="s">
        <v>704</v>
      </c>
      <c r="FD85" s="67" t="s">
        <v>705</v>
      </c>
      <c r="FE85" s="68" t="s">
        <v>706</v>
      </c>
      <c r="FF85" s="68" t="s">
        <v>707</v>
      </c>
    </row>
    <row r="86" spans="1:162" s="63" customFormat="1" ht="12" customHeight="1" thickBot="1" x14ac:dyDescent="0.25">
      <c r="A86" s="2">
        <f>+A85-$A$81</f>
        <v>6060</v>
      </c>
      <c r="B86" s="3">
        <f t="shared" si="251"/>
        <v>835</v>
      </c>
      <c r="C86" s="3">
        <f t="shared" si="252"/>
        <v>445</v>
      </c>
      <c r="D86" s="3">
        <f t="shared" si="253"/>
        <v>1028</v>
      </c>
      <c r="E86" s="3">
        <f t="shared" si="254"/>
        <v>2308</v>
      </c>
      <c r="F86" s="4">
        <f>+$F$84/$A$84*A86</f>
        <v>6080.4203698243546</v>
      </c>
      <c r="G86" s="4">
        <f t="shared" ref="G86:G98" si="290">+$G$84/$A$84*A86</f>
        <v>604.86156438229216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556</v>
      </c>
      <c r="AN86" s="20">
        <v>0</v>
      </c>
      <c r="AO86" s="20">
        <v>6060</v>
      </c>
      <c r="AP86" s="20">
        <v>3969</v>
      </c>
      <c r="AQ86" s="20">
        <v>-1</v>
      </c>
      <c r="AR86" s="20"/>
      <c r="AS86" s="54">
        <f>IF(RTD("tos.rtd",,AS$83,"."&amp;$B$82&amp;$AS$82&amp;"C"&amp;$A86)="N/A",0,RTD("tos.rtd",,AS$83,"."&amp;$B$82&amp;$AS$82&amp;"C"&amp;$A86))</f>
        <v>829</v>
      </c>
      <c r="AT86" s="3">
        <f>-IF(RTD("tos.rtd",,AT$83,"."&amp;$B$82&amp;$AS$82&amp;"P"&amp;$A86)="N/A",0,RTD("tos.rtd",,AT$83,"."&amp;$B$82&amp;$AS$82&amp;"P"&amp;$A86))</f>
        <v>-6</v>
      </c>
      <c r="AU86" s="54">
        <f>IF(RTD("tos.rtd",,AU$83,"."&amp;$C$82&amp;$AU$82&amp;"C"&amp;$A86)="N/A",0,RTD("tos.rtd",,AU$83,"."&amp;$C$82&amp;$AU$82&amp;"C"&amp;$A86))</f>
        <v>443</v>
      </c>
      <c r="AV86" s="3">
        <f>-IF(RTD("tos.rtd",,AV$83,"."&amp;$C$82&amp;$AU$82&amp;"P"&amp;$A86)="N/A",0,RTD("tos.rtd",,AV$83,"."&amp;$C$82&amp;$AU$82&amp;"P"&amp;$A86))</f>
        <v>-2</v>
      </c>
      <c r="AW86" s="54">
        <f>IF(RTD("tos.rtd",,AW$83,"."&amp;$D$82&amp;$AW$82&amp;"C"&amp;$A86)="N/A",0,RTD("tos.rtd",,AW$83,"."&amp;$D$82&amp;$AW$82&amp;"C"&amp;$A86))</f>
        <v>828</v>
      </c>
      <c r="AX86" s="3">
        <f>-IF(RTD("tos.rtd",,AX$83,"."&amp;$D$82&amp;$AW$82&amp;"P"&amp;$A86)="N/A",0,RTD("tos.rtd",,AX$83,"."&amp;$D$82&amp;$AW$82&amp;"P"&amp;$A86))</f>
        <v>-200</v>
      </c>
      <c r="AY86" s="79">
        <f t="shared" ref="AY86:AY98" si="291">SUM(AS86:AX86)</f>
        <v>1892</v>
      </c>
      <c r="AZ86" s="8">
        <f t="shared" si="255"/>
        <v>6060</v>
      </c>
      <c r="BA86" s="54">
        <f>IF(RTD("tos.rtd",,BA$83,"."&amp;$B$82&amp;$AS$82&amp;"C"&amp;$A86)="N/A",0,RTD("tos.rtd",,BA$83,"."&amp;$B$82&amp;$AS$82&amp;"C"&amp;$A86))</f>
        <v>3969</v>
      </c>
      <c r="BB86" s="3">
        <f>-IF(RTD("tos.rtd",,BB$83,"."&amp;$B$82&amp;$AS$82&amp;"P"&amp;$A86)="N/A",0,RTD("tos.rtd",,BB$83,"."&amp;$B$82&amp;$AS$82&amp;"P"&amp;$A86))</f>
        <v>-1</v>
      </c>
      <c r="BC86" s="54">
        <f>IF(RTD("tos.rtd",,BC$83,"."&amp;$C$82&amp;$AU$82&amp;"C"&amp;$A86)="N/A",0,RTD("tos.rtd",,BC$83,"."&amp;$C$82&amp;$AU$82&amp;"C"&amp;$A86))</f>
        <v>621</v>
      </c>
      <c r="BD86" s="3">
        <f>-IF(RTD("tos.rtd",,BD$83,"."&amp;$C$82&amp;$AU$82&amp;"P"&amp;$A86)="N/A",0,RTD("tos.rtd",,BD$83,"."&amp;$C$82&amp;$AU$82&amp;"P"&amp;$A86))</f>
        <v>-1</v>
      </c>
      <c r="BE86" s="54">
        <f>IF(RTD("tos.rtd",,BE$83,"."&amp;$D$82&amp;$AW$82&amp;"C"&amp;$A86)="N/A",0,RTD("tos.rtd",,BE$83,"."&amp;$D$82&amp;$AW$82&amp;"C"&amp;$A86))</f>
        <v>22</v>
      </c>
      <c r="BF86" s="3">
        <f>-IF(RTD("tos.rtd",,BF$83,"."&amp;$D$82&amp;$AW$82&amp;"P"&amp;$A86)="N/A",0,RTD("tos.rtd",,BF$83,"."&amp;$D$82&amp;$AW$82&amp;"P"&amp;$A86))</f>
        <v>0</v>
      </c>
      <c r="BG86" s="3">
        <f ca="1">+Hoja2!Y87</f>
        <v>1670</v>
      </c>
      <c r="BH86" s="55">
        <f t="shared" ref="BH86:BH130" ca="1" si="292">SUM(BA86:BG86)</f>
        <v>6280</v>
      </c>
      <c r="BI86" s="32"/>
      <c r="BJ86" s="3">
        <f ca="1">IF($BP$1=1,DX86,IF(RTD("tos.rtd",,BJ$83,"."&amp;$B$82&amp;$AS$82&amp;"C"&amp;$A86)="N/A",0,RTD("tos.rtd",,BJ$83,"."&amp;$B$82&amp;$AS$82&amp;"C"&amp;$A86)))</f>
        <v>1.0406641393818725E-3</v>
      </c>
      <c r="BK86" s="3">
        <f ca="1">IF($BP$1=1,DY86,-IF(RTD("tos.rtd",,BK$83,"."&amp;$B$82&amp;$AS$82&amp;"P"&amp;$A86)="N/A",0,RTD("tos.rtd",,BK$83,"."&amp;$B$82&amp;$AS$82&amp;"P"&amp;$A86)))</f>
        <v>-1.8904190754059909E-3</v>
      </c>
      <c r="BL86" s="3">
        <f ca="1">IF($BP$1=1,DZ86,IF(RTD("tos.rtd",,BL$83,"."&amp;$C$82&amp;$AU$82&amp;"C"&amp;$A86)="N/A",0,RTD("tos.rtd",,BL$83,"."&amp;$C$82&amp;$AU$82&amp;"C"&amp;$A86)))</f>
        <v>1.8118619262620466E-3</v>
      </c>
      <c r="BM86" s="3">
        <f ca="1">IF($BP$1=1,EA86,-IF(RTD("tos.rtd",,BM$83,"."&amp;$C$82&amp;$AU$82&amp;"P"&amp;$A86)="N/A",0,RTD("tos.rtd",,BM$83,"."&amp;$C$82&amp;$AU$82&amp;"P"&amp;$A86)))</f>
        <v>-1.997882818420775E-3</v>
      </c>
      <c r="BN86" s="3">
        <f ca="1">IF($BP$1=1,EB86,IF(RTD("tos.rtd",,BN$83,"."&amp;$D$82&amp;$AW$82&amp;"C"&amp;$A86)="N/A",0,RTD("tos.rtd",,BN$83,"."&amp;$D$82&amp;$AW$82&amp;"C"&amp;$A86)))</f>
        <v>1.718900273815122E-3</v>
      </c>
      <c r="BO86" s="3">
        <f ca="1">IF($BP$1=1,EC86,-IF(RTD("tos.rtd",,BO$83,"."&amp;$D$82&amp;$AW$82&amp;"P"&amp;$A86)="N/A",0,RTD("tos.rtd",,BO$83,"."&amp;$D$82&amp;$AW$82&amp;"P"&amp;$A86)))</f>
        <v>-1.8573484790443506E-3</v>
      </c>
      <c r="BQ86" s="3">
        <f t="shared" ca="1" si="256"/>
        <v>229882.43276244169</v>
      </c>
      <c r="BR86" s="3" t="str">
        <f t="shared" ref="BR86:BV130" ca="1" si="293">IF(AND(BQ86&lt;0,BQ85&gt;0), "Cruce -", IF(AND(BQ86&gt;0,BQ85&lt;0),"Cruce +", ""))</f>
        <v/>
      </c>
      <c r="BS86" s="3">
        <f t="shared" ca="1" si="257"/>
        <v>215650.19723251153</v>
      </c>
      <c r="BT86" s="3" t="str">
        <f t="shared" ca="1" si="293"/>
        <v/>
      </c>
      <c r="BU86" s="3">
        <f t="shared" ca="1" si="258"/>
        <v>283996.65838626877</v>
      </c>
      <c r="BV86" s="3" t="str">
        <f t="shared" ca="1" si="293"/>
        <v/>
      </c>
      <c r="BX86" s="3">
        <f t="shared" ca="1" si="259"/>
        <v>1114759.8170122083</v>
      </c>
      <c r="BY86" s="3" t="str">
        <f ca="1">IF(AND(BX86&lt;0,BX85&gt;0), "Cruce -", IF(AND(BX86&gt;0,BX85&lt;0),"Cruce +", ""))</f>
        <v/>
      </c>
      <c r="BZ86" s="3">
        <f t="shared" ca="1" si="260"/>
        <v>303272.68673640955</v>
      </c>
      <c r="CA86" s="3" t="str">
        <f ca="1">IF(AND(BZ86&lt;0,BZ85&gt;0), "Cruce -", IF(AND(BZ86&gt;0,BZ85&lt;0),"Cruce +", ""))</f>
        <v/>
      </c>
      <c r="CB86" s="3">
        <f t="shared" ca="1" si="261"/>
        <v>10210.847603697233</v>
      </c>
      <c r="CC86" s="3" t="str">
        <f ca="1">IF(AND(CB86&lt;0,CB85&gt;0), "Cruce -", IF(AND(CB86&gt;0,CB85&lt;0),"Cruce +", ""))</f>
        <v/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0.97</v>
      </c>
      <c r="CF86" s="3">
        <f>IF(RTD("tos.rtd",,CF$83,"."&amp;$C$82&amp;$AU$82&amp;"C"&amp;$A86)="N/A",0,RTD("tos.rtd",,CF$83,"."&amp;$C$82&amp;$AU$82&amp;"C"&amp;$A86))</f>
        <v>0.06</v>
      </c>
      <c r="CG86" s="3">
        <f>-IF(RTD("tos.rtd",,CG$83,"."&amp;$C$82&amp;$AU$82&amp;"P"&amp;$A86)="N/A",0,RTD("tos.rtd",,CG$83,"."&amp;$C$82&amp;$AU$82&amp;"P"&amp;$A86))</f>
        <v>0.9</v>
      </c>
      <c r="CH86" s="3">
        <f>IF(RTD("tos.rtd",,CH$83,"."&amp;$D$82&amp;$AW$82&amp;"C"&amp;$A86)="N/A",0,RTD("tos.rtd",,CH$83,"."&amp;$D$82&amp;$AW$82&amp;"C"&amp;$A86))</f>
        <v>0.34</v>
      </c>
      <c r="CI86" s="3">
        <f>-IF(RTD("tos.rtd",,CI$83,"."&amp;$D$82&amp;$AW$82&amp;"P"&amp;$A86)="N/A",0,RTD("tos.rtd",,CI$83,"."&amp;$D$82&amp;$AW$82&amp;"P"&amp;$A86))</f>
        <v>0.64</v>
      </c>
      <c r="CK86" s="3">
        <f t="shared" ref="CK86:CK130" si="294">+AS86*CD86*100*$A$84+AT86*CE86*100*$A$84</f>
        <v>-3454315.5</v>
      </c>
      <c r="CL86" s="3"/>
      <c r="CM86" s="3">
        <f t="shared" ref="CM86:CM130" si="295">+AU86*CF86*100*$A$84+AV86*CG86*100*$A$84</f>
        <v>14707549.5</v>
      </c>
      <c r="CN86" s="3"/>
      <c r="CO86" s="3">
        <f t="shared" ref="CO86:CO130" si="296">+AW86*CH86*100*$A$84+AX86*CI86*100*$A$84</f>
        <v>91117958.00000003</v>
      </c>
      <c r="CP86" s="3">
        <f t="shared" si="262"/>
        <v>102371192.00000003</v>
      </c>
      <c r="CQ86" s="3">
        <f t="shared" si="263"/>
        <v>3968</v>
      </c>
      <c r="CR86" s="3"/>
      <c r="CS86" s="3">
        <f t="shared" si="264"/>
        <v>620</v>
      </c>
      <c r="CT86" s="3"/>
      <c r="CU86" s="3">
        <f t="shared" si="265"/>
        <v>22</v>
      </c>
      <c r="CV86" s="3"/>
      <c r="CW86" s="3">
        <f t="shared" ref="CW86:CW98" ca="1" si="297">+BQ86+BS86+BU86</f>
        <v>729529.28838122194</v>
      </c>
      <c r="CY86" s="3">
        <f t="shared" ca="1" si="266"/>
        <v>1428243.3513523152</v>
      </c>
      <c r="CZ86" s="70" t="str">
        <f ca="1">IF(AND(CY86&lt;0,CY85&gt;0), "Cruce -", IF(AND(CY86&gt;0,CY85&lt;0),"Cruce +", ""))</f>
        <v/>
      </c>
      <c r="DA86" s="3">
        <f>IF(RTD("tos.rtd",,DA$83,"."&amp;$B$82&amp;$AS$82&amp;"C"&amp;$A86)="N/A",0,RTD("tos.rtd",,DA$83,"."&amp;$B$82&amp;$AS$82&amp;"C"&amp;$A86))</f>
        <v>0.02</v>
      </c>
      <c r="DB86" s="3">
        <f>IF(RTD("tos.rtd",,DB$83,"."&amp;$B$82&amp;$AS$82&amp;"P"&amp;$A86)="N/A",0,RTD("tos.rtd",,DB$83,"."&amp;$B$82&amp;$AS$82&amp;"P"&amp;$A86))</f>
        <v>115.99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121.3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119.3</v>
      </c>
      <c r="DG86" s="86">
        <f t="shared" ref="DG86:DG130" si="298">+$A86-$A$84</f>
        <v>124.75</v>
      </c>
      <c r="DH86" s="3">
        <f t="shared" si="267"/>
        <v>0</v>
      </c>
      <c r="DI86" s="3">
        <f t="shared" si="268"/>
        <v>0</v>
      </c>
      <c r="DJ86" s="3">
        <f t="shared" si="269"/>
        <v>0</v>
      </c>
      <c r="DK86" s="3">
        <f t="shared" si="270"/>
        <v>0</v>
      </c>
      <c r="DL86" s="3">
        <f t="shared" si="271"/>
        <v>0</v>
      </c>
      <c r="DM86" s="3">
        <f t="shared" si="272"/>
        <v>0</v>
      </c>
      <c r="DN86" s="64" t="str">
        <f t="shared" si="273"/>
        <v>UNKNOWN</v>
      </c>
      <c r="DO86" s="64" t="str">
        <f t="shared" si="274"/>
        <v>UNKNOWN</v>
      </c>
      <c r="DP86" s="3">
        <f t="shared" si="275"/>
        <v>0</v>
      </c>
      <c r="DQ86" s="3">
        <f t="shared" si="276"/>
        <v>0</v>
      </c>
      <c r="DR86" s="3">
        <f t="shared" ca="1" si="277"/>
        <v>0</v>
      </c>
      <c r="DS86" s="3">
        <f t="shared" si="278"/>
        <v>0</v>
      </c>
      <c r="DT86" s="3">
        <f t="shared" ref="DT86:DT130" si="299">BA86-VLOOKUP(AZ86,$AO$85:$AQ$130,2,FALSE)</f>
        <v>0</v>
      </c>
      <c r="DU86" s="3">
        <f t="shared" ref="DU86:DU130" si="300">BB86-VLOOKUP(AZ86,$AO$85:$AQ$130,3,FALSE)</f>
        <v>0</v>
      </c>
      <c r="DV86" s="3">
        <f t="shared" ref="DV86:DV130" si="301">AM86+IF(DN86="BUY",DT86,IF(DN86="SELL",-DT86,0))</f>
        <v>556</v>
      </c>
      <c r="DW86" s="3">
        <f t="shared" ref="DW86:DW130" si="302">AN86+IF(DO86="BUY",DU86,IF(DO86="SELL",-DU86,0))</f>
        <v>0</v>
      </c>
      <c r="DX86" s="3">
        <f ca="1">(EXP(-POWER((LN($A$84/$A86)+($EC$1+POWER($EE86,2)/2)*($EM$1/$DY$1))/($EE86*SQRT($EM$1/$DY$1)),2)/2)/SQRT(2*PI())/($A$84*$EE86*SQRT($EM$1/$DY$1)))</f>
        <v>1.0406641393818725E-3</v>
      </c>
      <c r="DY86" s="3">
        <f t="shared" ca="1" si="279"/>
        <v>-1.8904190754059909E-3</v>
      </c>
      <c r="DZ86" s="3">
        <f t="shared" ref="DZ86:DZ130" ca="1" si="303">(EXP(-POWER((LN($A$84/$A86)+($EC$1+POWER($EG86,2)/2)*($EO$1/$DY$1))/($EG86*SQRT($EO$1/$DY$1)),2)/2)/SQRT(2*PI())/($A$84*$EG86*SQRT($EO$1/$DY$1)))</f>
        <v>1.8118619262620466E-3</v>
      </c>
      <c r="EA86" s="3">
        <f t="shared" ref="EA86:EA130" ca="1" si="304">-(EXP(-POWER((LN($A$84/$A86)+($EC$1+POWER($EH86,2)/2)*($EO$1/$DY$1))/($EH86*SQRT($EO$1/$DY$1)),2)/2)/SQRT(2*PI())/($A$84*$EH86*SQRT($EO$1/$DY$1)))</f>
        <v>-1.997882818420775E-3</v>
      </c>
      <c r="EB86" s="3">
        <f t="shared" ca="1" si="280"/>
        <v>1.718900273815122E-3</v>
      </c>
      <c r="EC86" s="3">
        <f t="shared" ca="1" si="281"/>
        <v>-1.8573484790443506E-3</v>
      </c>
      <c r="ED86" s="63">
        <f t="shared" ref="ED86:ED130" si="305">+DV86+DW86</f>
        <v>556</v>
      </c>
      <c r="EE86" s="59">
        <f t="shared" si="282"/>
        <v>0.91769999999999996</v>
      </c>
      <c r="EF86" s="59">
        <f t="shared" si="283"/>
        <v>1.4144000000000001</v>
      </c>
      <c r="EG86" s="59">
        <f t="shared" si="284"/>
        <v>0.1404</v>
      </c>
      <c r="EH86" s="59">
        <f t="shared" si="285"/>
        <v>0.1691</v>
      </c>
      <c r="EI86" s="59">
        <f t="shared" si="286"/>
        <v>0.13270000000000001</v>
      </c>
      <c r="EJ86" s="59">
        <f t="shared" si="287"/>
        <v>0.14499999999999999</v>
      </c>
      <c r="EK86" s="63">
        <f t="shared" ref="EK86:EK130" ca="1" si="306">+DV86*DX86*$A$84*$A$84+DW86*DY86*$A$84*$A$84</f>
        <v>20382779.873176821</v>
      </c>
      <c r="EL86" s="3" t="str">
        <f>RTD("tos.rtd",,EL$83,"."&amp;$B$82&amp;$AS$82&amp;"C"&amp;$A86)</f>
        <v>91.77%</v>
      </c>
      <c r="EM86" s="3" t="str">
        <f>RTD("tos.rtd",,EM$83,"."&amp;$B$82&amp;$AS$82&amp;"P"&amp;$A86)</f>
        <v>141.44%</v>
      </c>
      <c r="EN86" s="3" t="str">
        <f>RTD("tos.rtd",,EN$83,"."&amp;$C$82&amp;$AU$82&amp;"C"&amp;$A86)</f>
        <v>14.04%</v>
      </c>
      <c r="EO86" s="3" t="str">
        <f>RTD("tos.rtd",,EO$83,"."&amp;$C$82&amp;$AU$82&amp;"P"&amp;$A86)</f>
        <v>16.91%</v>
      </c>
      <c r="EP86" s="3" t="str">
        <f>RTD("tos.rtd",,EP$83,"."&amp;$D$82&amp;$AW$82&amp;"C"&amp;$A86)</f>
        <v>13.27%</v>
      </c>
      <c r="EQ86" s="3" t="str">
        <f>RTD("tos.rtd",,EQ$83,"."&amp;$D$82&amp;$AW$82&amp;"P"&amp;$A86)</f>
        <v>14.50%</v>
      </c>
      <c r="ES86" s="63" t="str">
        <f t="shared" si="288"/>
        <v>6060,556.00</v>
      </c>
      <c r="ET86" s="63" t="str">
        <f t="shared" ca="1" si="289"/>
        <v>6060,1428.24</v>
      </c>
      <c r="EU86" s="67">
        <v>593.77</v>
      </c>
      <c r="EV86" s="67" t="s">
        <v>708</v>
      </c>
      <c r="EW86" s="67">
        <v>520.42999999999995</v>
      </c>
      <c r="EX86" s="67" t="s">
        <v>709</v>
      </c>
      <c r="EY86" s="67">
        <v>5948</v>
      </c>
      <c r="EZ86" s="67" t="s">
        <v>710</v>
      </c>
      <c r="FA86" s="67">
        <v>21361.5</v>
      </c>
      <c r="FB86" s="67" t="s">
        <v>711</v>
      </c>
      <c r="FC86" s="67" t="s">
        <v>712</v>
      </c>
      <c r="FD86" s="67" t="s">
        <v>713</v>
      </c>
      <c r="FE86" s="68" t="s">
        <v>714</v>
      </c>
      <c r="FF86" s="68" t="s">
        <v>715</v>
      </c>
    </row>
    <row r="87" spans="1:162" s="63" customFormat="1" ht="12" customHeight="1" thickBot="1" x14ac:dyDescent="0.25">
      <c r="A87" s="2">
        <f t="shared" ref="A87:A130" si="307">+A86-$A$81</f>
        <v>6050</v>
      </c>
      <c r="B87" s="3">
        <f t="shared" si="251"/>
        <v>2922</v>
      </c>
      <c r="C87" s="3">
        <f t="shared" si="252"/>
        <v>3509</v>
      </c>
      <c r="D87" s="3">
        <f t="shared" si="253"/>
        <v>27237</v>
      </c>
      <c r="E87" s="3">
        <f t="shared" si="254"/>
        <v>33668</v>
      </c>
      <c r="F87" s="4">
        <f t="shared" ref="F87:F92" si="308">+$F$84/$A$84*A87</f>
        <v>6070.3866728444464</v>
      </c>
      <c r="G87" s="4">
        <f t="shared" si="290"/>
        <v>603.86344298892209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5019</v>
      </c>
      <c r="AN87" s="20">
        <v>7</v>
      </c>
      <c r="AO87" s="20">
        <v>6050</v>
      </c>
      <c r="AP87" s="20">
        <v>9526</v>
      </c>
      <c r="AQ87" s="20">
        <v>-35</v>
      </c>
      <c r="AR87" s="20"/>
      <c r="AS87" s="54">
        <f>IF(RTD("tos.rtd",,AS$83,"."&amp;$B$82&amp;$AS$82&amp;"C"&amp;$A87)="N/A",0,RTD("tos.rtd",,AS$83,"."&amp;$B$82&amp;$AS$82&amp;"C"&amp;$A87))</f>
        <v>2711</v>
      </c>
      <c r="AT87" s="3">
        <f>-IF(RTD("tos.rtd",,AT$83,"."&amp;$B$82&amp;$AS$82&amp;"P"&amp;$A87)="N/A",0,RTD("tos.rtd",,AT$83,"."&amp;$B$82&amp;$AS$82&amp;"P"&amp;$A87))</f>
        <v>-211</v>
      </c>
      <c r="AU87" s="54">
        <f>IF(RTD("tos.rtd",,AU$83,"."&amp;$C$82&amp;$AU$82&amp;"C"&amp;$A87)="N/A",0,RTD("tos.rtd",,AU$83,"."&amp;$C$82&amp;$AU$82&amp;"C"&amp;$A87))</f>
        <v>3469</v>
      </c>
      <c r="AV87" s="3">
        <f>-IF(RTD("tos.rtd",,AV$83,"."&amp;$C$82&amp;$AU$82&amp;"P"&amp;$A87)="N/A",0,RTD("tos.rtd",,AV$83,"."&amp;$C$82&amp;$AU$82&amp;"P"&amp;$A87))</f>
        <v>-40</v>
      </c>
      <c r="AW87" s="54">
        <f>IF(RTD("tos.rtd",,AW$83,"."&amp;$D$82&amp;$AW$82&amp;"C"&amp;$A87)="N/A",0,RTD("tos.rtd",,AW$83,"."&amp;$D$82&amp;$AW$82&amp;"C"&amp;$A87))</f>
        <v>18273</v>
      </c>
      <c r="AX87" s="3">
        <f>-IF(RTD("tos.rtd",,AX$83,"."&amp;$D$82&amp;$AW$82&amp;"P"&amp;$A87)="N/A",0,RTD("tos.rtd",,AX$83,"."&amp;$D$82&amp;$AW$82&amp;"P"&amp;$A87))</f>
        <v>-8964</v>
      </c>
      <c r="AY87" s="79">
        <f t="shared" si="291"/>
        <v>15238</v>
      </c>
      <c r="AZ87" s="8">
        <f t="shared" si="255"/>
        <v>6050</v>
      </c>
      <c r="BA87" s="54">
        <f>IF(RTD("tos.rtd",,BA$83,"."&amp;$B$82&amp;$AS$82&amp;"C"&amp;$A87)="N/A",0,RTD("tos.rtd",,BA$83,"."&amp;$B$82&amp;$AS$82&amp;"C"&amp;$A87))</f>
        <v>9526</v>
      </c>
      <c r="BB87" s="3">
        <f>-IF(RTD("tos.rtd",,BB$83,"."&amp;$B$82&amp;$AS$82&amp;"P"&amp;$A87)="N/A",0,RTD("tos.rtd",,BB$83,"."&amp;$B$82&amp;$AS$82&amp;"P"&amp;$A87))</f>
        <v>-35</v>
      </c>
      <c r="BC87" s="54">
        <f>IF(RTD("tos.rtd",,BC$83,"."&amp;$C$82&amp;$AU$82&amp;"C"&amp;$A87)="N/A",0,RTD("tos.rtd",,BC$83,"."&amp;$C$82&amp;$AU$82&amp;"C"&amp;$A87))</f>
        <v>4029</v>
      </c>
      <c r="BD87" s="3">
        <f>-IF(RTD("tos.rtd",,BD$83,"."&amp;$C$82&amp;$AU$82&amp;"P"&amp;$A87)="N/A",0,RTD("tos.rtd",,BD$83,"."&amp;$C$82&amp;$AU$82&amp;"P"&amp;$A87))</f>
        <v>-157</v>
      </c>
      <c r="BE87" s="54">
        <f>IF(RTD("tos.rtd",,BE$83,"."&amp;$D$82&amp;$AW$82&amp;"C"&amp;$A87)="N/A",0,RTD("tos.rtd",,BE$83,"."&amp;$D$82&amp;$AW$82&amp;"C"&amp;$A87))</f>
        <v>838</v>
      </c>
      <c r="BF87" s="3">
        <f>-IF(RTD("tos.rtd",,BF$83,"."&amp;$D$82&amp;$AW$82&amp;"P"&amp;$A87)="N/A",0,RTD("tos.rtd",,BF$83,"."&amp;$D$82&amp;$AW$82&amp;"P"&amp;$A87))</f>
        <v>-122</v>
      </c>
      <c r="BG87" s="3">
        <f ca="1">+Hoja2!Y88</f>
        <v>6192</v>
      </c>
      <c r="BH87" s="55">
        <f t="shared" ca="1" si="292"/>
        <v>20271</v>
      </c>
      <c r="BI87" s="32" t="str">
        <f ca="1">IF(AND(BH87&lt;0,BH86&gt;0), "Cruce -", IF(AND(BH87&gt;0,BH86&lt;0),"Cruce +", ""))</f>
        <v/>
      </c>
      <c r="BJ87" s="3">
        <f ca="1">IF($BP$1=1,DX87,IF(RTD("tos.rtd",,BJ$83,"."&amp;$B$82&amp;$AS$82&amp;"C"&amp;$A87)="N/A",0,RTD("tos.rtd",,BJ$83,"."&amp;$B$82&amp;$AS$82&amp;"C"&amp;$A87)))</f>
        <v>1.1427532158794248E-3</v>
      </c>
      <c r="BK87" s="3">
        <f ca="1">IF($BP$1=1,DY87,-IF(RTD("tos.rtd",,BK$83,"."&amp;$B$82&amp;$AS$82&amp;"P"&amp;$A87)="N/A",0,RTD("tos.rtd",,BK$83,"."&amp;$B$82&amp;$AS$82&amp;"P"&amp;$A87)))</f>
        <v>-2.0630904497056968E-3</v>
      </c>
      <c r="BL87" s="3">
        <f ca="1">IF($BP$1=1,DZ87,IF(RTD("tos.rtd",,BL$83,"."&amp;$C$82&amp;$AU$82&amp;"C"&amp;$A87)="N/A",0,RTD("tos.rtd",,BL$83,"."&amp;$C$82&amp;$AU$82&amp;"C"&amp;$A87)))</f>
        <v>2.0899239232789624E-3</v>
      </c>
      <c r="BM87" s="3">
        <f ca="1">IF($BP$1=1,EA87,-IF(RTD("tos.rtd",,BM$83,"."&amp;$C$82&amp;$AU$82&amp;"P"&amp;$A87)="N/A",0,RTD("tos.rtd",,BM$83,"."&amp;$C$82&amp;$AU$82&amp;"P"&amp;$A87)))</f>
        <v>-2.197987691328891E-3</v>
      </c>
      <c r="BN87" s="3">
        <f ca="1">IF($BP$1=1,EB87,IF(RTD("tos.rtd",,BN$83,"."&amp;$D$82&amp;$AW$82&amp;"C"&amp;$A87)="N/A",0,RTD("tos.rtd",,BN$83,"."&amp;$D$82&amp;$AW$82&amp;"C"&amp;$A87)))</f>
        <v>2.0241453749283329E-3</v>
      </c>
      <c r="BO87" s="3">
        <f ca="1">IF($BP$1=1,EC87,-IF(RTD("tos.rtd",,BO$83,"."&amp;$D$82&amp;$AW$82&amp;"P"&amp;$A87)="N/A",0,RTD("tos.rtd",,BO$83,"."&amp;$D$82&amp;$AW$82&amp;"P"&amp;$A87)))</f>
        <v>-2.1254652428392903E-3</v>
      </c>
      <c r="BQ87" s="3">
        <f t="shared" ca="1" si="256"/>
        <v>718967.64594667486</v>
      </c>
      <c r="BR87" s="3" t="str">
        <f t="shared" ca="1" si="293"/>
        <v/>
      </c>
      <c r="BS87" s="3">
        <f t="shared" ca="1" si="257"/>
        <v>1933857.020479911</v>
      </c>
      <c r="BT87" s="3" t="str">
        <f t="shared" ca="1" si="293"/>
        <v/>
      </c>
      <c r="BU87" s="3">
        <f t="shared" ca="1" si="258"/>
        <v>4842600.3200144283</v>
      </c>
      <c r="BV87" s="3" t="str">
        <f t="shared" ca="1" si="293"/>
        <v/>
      </c>
      <c r="BX87" s="3">
        <f t="shared" ca="1" si="259"/>
        <v>2919853.7695627171</v>
      </c>
      <c r="BY87" s="3" t="str">
        <f t="shared" ref="BY87:CC130" ca="1" si="309">IF(AND(BX87&lt;0,BX86&gt;0), "Cruce -", IF(AND(BX87&gt;0,BX86&lt;0),"Cruce +", ""))</f>
        <v/>
      </c>
      <c r="BZ87" s="3">
        <f t="shared" ca="1" si="260"/>
        <v>2180433.0920578348</v>
      </c>
      <c r="CA87" s="3" t="str">
        <f t="shared" ca="1" si="309"/>
        <v/>
      </c>
      <c r="CB87" s="3">
        <f t="shared" ca="1" si="261"/>
        <v>387992.34543885489</v>
      </c>
      <c r="CC87" s="3" t="str">
        <f t="shared" ca="1" si="309"/>
        <v/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0.97</v>
      </c>
      <c r="CF87" s="3">
        <f>IF(RTD("tos.rtd",,CF$83,"."&amp;$C$82&amp;$AU$82&amp;"C"&amp;$A87)="N/A",0,RTD("tos.rtd",,CF$83,"."&amp;$C$82&amp;$AU$82&amp;"C"&amp;$A87))</f>
        <v>0.08</v>
      </c>
      <c r="CG87" s="3">
        <f>-IF(RTD("tos.rtd",,CG$83,"."&amp;$C$82&amp;$AU$82&amp;"P"&amp;$A87)="N/A",0,RTD("tos.rtd",,CG$83,"."&amp;$C$82&amp;$AU$82&amp;"P"&amp;$A87))</f>
        <v>0.88</v>
      </c>
      <c r="CH87" s="3">
        <f>IF(RTD("tos.rtd",,CH$83,"."&amp;$D$82&amp;$AW$82&amp;"C"&amp;$A87)="N/A",0,RTD("tos.rtd",,CH$83,"."&amp;$D$82&amp;$AW$82&amp;"C"&amp;$A87))</f>
        <v>0.36</v>
      </c>
      <c r="CI87" s="3">
        <f>-IF(RTD("tos.rtd",,CI$83,"."&amp;$D$82&amp;$AW$82&amp;"P"&amp;$A87)="N/A",0,RTD("tos.rtd",,CI$83,"."&amp;$D$82&amp;$AW$82&amp;"P"&amp;$A87))</f>
        <v>0.63</v>
      </c>
      <c r="CK87" s="3">
        <f t="shared" si="294"/>
        <v>-121476761.75</v>
      </c>
      <c r="CL87" s="3"/>
      <c r="CM87" s="3">
        <f t="shared" si="295"/>
        <v>143822978</v>
      </c>
      <c r="CN87" s="3"/>
      <c r="CO87" s="3">
        <f t="shared" si="296"/>
        <v>552548034</v>
      </c>
      <c r="CP87" s="3">
        <f t="shared" si="262"/>
        <v>574894250.25</v>
      </c>
      <c r="CQ87" s="3">
        <f t="shared" si="263"/>
        <v>9491</v>
      </c>
      <c r="CR87" s="3"/>
      <c r="CS87" s="3">
        <f t="shared" si="264"/>
        <v>3872</v>
      </c>
      <c r="CT87" s="3"/>
      <c r="CU87" s="3">
        <f t="shared" si="265"/>
        <v>716</v>
      </c>
      <c r="CV87" s="3"/>
      <c r="CW87" s="3">
        <f t="shared" ca="1" si="297"/>
        <v>7495424.9864410143</v>
      </c>
      <c r="CY87" s="3">
        <f t="shared" ca="1" si="266"/>
        <v>5488279.2070594067</v>
      </c>
      <c r="CZ87" s="70" t="str">
        <f t="shared" ref="CZ87:CZ130" ca="1" si="310">IF(AND(CY87&lt;0,CY86&gt;0), "Cruce -", IF(AND(CY87&gt;0,CY86&lt;0),"Cruce +", ""))</f>
        <v/>
      </c>
      <c r="DA87" s="3">
        <f>IF(RTD("tos.rtd",,DA$83,"."&amp;$B$82&amp;$AS$82&amp;"C"&amp;$A87)="N/A",0,RTD("tos.rtd",,DA$83,"."&amp;$B$82&amp;$AS$82&amp;"C"&amp;$A87))</f>
        <v>0.03</v>
      </c>
      <c r="DB87" s="3">
        <f>IF(RTD("tos.rtd",,DB$83,"."&amp;$B$82&amp;$AS$82&amp;"P"&amp;$A87)="N/A",0,RTD("tos.rtd",,DB$83,"."&amp;$B$82&amp;$AS$82&amp;"P"&amp;$A87))</f>
        <v>130.55000000000001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111.3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109.3</v>
      </c>
      <c r="DG87" s="86">
        <f t="shared" si="298"/>
        <v>114.75</v>
      </c>
      <c r="DH87" s="3">
        <f t="shared" si="267"/>
        <v>0</v>
      </c>
      <c r="DI87" s="3">
        <f t="shared" si="268"/>
        <v>0</v>
      </c>
      <c r="DJ87" s="3">
        <f t="shared" si="269"/>
        <v>0</v>
      </c>
      <c r="DK87" s="3">
        <f t="shared" si="270"/>
        <v>0</v>
      </c>
      <c r="DL87" s="3">
        <f t="shared" si="271"/>
        <v>0</v>
      </c>
      <c r="DM87" s="3">
        <f t="shared" si="272"/>
        <v>0</v>
      </c>
      <c r="DN87" s="64" t="str">
        <f t="shared" si="273"/>
        <v>UNKNOWN</v>
      </c>
      <c r="DO87" s="64" t="str">
        <f t="shared" si="274"/>
        <v>UNKNOWN</v>
      </c>
      <c r="DP87" s="3">
        <f t="shared" si="275"/>
        <v>0</v>
      </c>
      <c r="DQ87" s="3">
        <f t="shared" si="276"/>
        <v>0</v>
      </c>
      <c r="DR87" s="3">
        <f t="shared" ca="1" si="277"/>
        <v>0</v>
      </c>
      <c r="DS87" s="3">
        <f t="shared" si="278"/>
        <v>0</v>
      </c>
      <c r="DT87" s="3">
        <f t="shared" si="299"/>
        <v>0</v>
      </c>
      <c r="DU87" s="3">
        <f t="shared" si="300"/>
        <v>0</v>
      </c>
      <c r="DV87" s="3">
        <f t="shared" si="301"/>
        <v>5019</v>
      </c>
      <c r="DW87" s="3">
        <f t="shared" si="302"/>
        <v>7</v>
      </c>
      <c r="DX87" s="3">
        <f t="shared" ref="DX87:DX130" ca="1" si="311">(EXP(-POWER((LN($A$84/$A87)+($EC$1+POWER($EE87,2)/2)*($EM$1/$DY$1))/($EE87*SQRT($EM$1/$DY$1)),2)/2)/SQRT(2*PI())/($A$84*$EE87*SQRT($EM$1/$DY$1)))</f>
        <v>1.1427532158794248E-3</v>
      </c>
      <c r="DY87" s="3">
        <f t="shared" ca="1" si="279"/>
        <v>-2.0630904497056968E-3</v>
      </c>
      <c r="DZ87" s="3">
        <f t="shared" ca="1" si="303"/>
        <v>2.0899239232789624E-3</v>
      </c>
      <c r="EA87" s="3">
        <f t="shared" ca="1" si="304"/>
        <v>-2.197987691328891E-3</v>
      </c>
      <c r="EB87" s="3">
        <f t="shared" ca="1" si="280"/>
        <v>2.0241453749283329E-3</v>
      </c>
      <c r="EC87" s="3">
        <f t="shared" ca="1" si="281"/>
        <v>-2.1254652428392903E-3</v>
      </c>
      <c r="ED87" s="63">
        <f t="shared" si="305"/>
        <v>5026</v>
      </c>
      <c r="EE87" s="59">
        <f t="shared" si="282"/>
        <v>0.84870000000000001</v>
      </c>
      <c r="EF87" s="59">
        <f t="shared" si="283"/>
        <v>1.3169999999999999</v>
      </c>
      <c r="EG87" s="59">
        <f t="shared" si="284"/>
        <v>0.14069999999999999</v>
      </c>
      <c r="EH87" s="59">
        <f t="shared" si="285"/>
        <v>0.16539999999999999</v>
      </c>
      <c r="EI87" s="59">
        <f t="shared" si="286"/>
        <v>0.1336</v>
      </c>
      <c r="EJ87" s="59">
        <f t="shared" si="287"/>
        <v>0.1457</v>
      </c>
      <c r="EK87" s="63">
        <f t="shared" ca="1" si="306"/>
        <v>201536063.50834048</v>
      </c>
      <c r="EL87" s="3" t="str">
        <f>RTD("tos.rtd",,EL$83,"."&amp;$B$82&amp;$AS$82&amp;"C"&amp;$A87)</f>
        <v>84.87%</v>
      </c>
      <c r="EM87" s="3" t="str">
        <f>RTD("tos.rtd",,EM$83,"."&amp;$B$82&amp;$AS$82&amp;"P"&amp;$A87)</f>
        <v>131.70%</v>
      </c>
      <c r="EN87" s="3" t="str">
        <f>RTD("tos.rtd",,EN$83,"."&amp;$C$82&amp;$AU$82&amp;"C"&amp;$A87)</f>
        <v>14.07%</v>
      </c>
      <c r="EO87" s="3" t="str">
        <f>RTD("tos.rtd",,EO$83,"."&amp;$C$82&amp;$AU$82&amp;"P"&amp;$A87)</f>
        <v>16.54%</v>
      </c>
      <c r="EP87" s="3" t="str">
        <f>RTD("tos.rtd",,EP$83,"."&amp;$D$82&amp;$AW$82&amp;"C"&amp;$A87)</f>
        <v>13.36%</v>
      </c>
      <c r="EQ87" s="3" t="str">
        <f>RTD("tos.rtd",,EQ$83,"."&amp;$D$82&amp;$AW$82&amp;"P"&amp;$A87)</f>
        <v>14.57%</v>
      </c>
      <c r="ES87" s="63" t="str">
        <f t="shared" si="288"/>
        <v>6050,5026.00</v>
      </c>
      <c r="ET87" s="63" t="str">
        <f t="shared" ca="1" si="289"/>
        <v>6050,5488.28</v>
      </c>
      <c r="EU87" s="67">
        <v>593.79999999999995</v>
      </c>
      <c r="EV87" s="67" t="s">
        <v>716</v>
      </c>
      <c r="EW87" s="67">
        <v>520.54999999999995</v>
      </c>
      <c r="EX87" s="67" t="s">
        <v>717</v>
      </c>
      <c r="EY87" s="67">
        <v>5948.75</v>
      </c>
      <c r="EZ87" s="67" t="s">
        <v>718</v>
      </c>
      <c r="FA87" s="67">
        <v>21366.75</v>
      </c>
      <c r="FB87" s="67" t="s">
        <v>719</v>
      </c>
      <c r="FC87" s="67" t="s">
        <v>720</v>
      </c>
      <c r="FD87" s="67" t="s">
        <v>721</v>
      </c>
      <c r="FE87" s="68" t="s">
        <v>722</v>
      </c>
      <c r="FF87" s="68" t="s">
        <v>723</v>
      </c>
    </row>
    <row r="88" spans="1:162" s="63" customFormat="1" ht="12" customHeight="1" thickBot="1" x14ac:dyDescent="0.25">
      <c r="A88" s="2">
        <f t="shared" si="307"/>
        <v>6040</v>
      </c>
      <c r="B88" s="3">
        <f t="shared" si="251"/>
        <v>1500</v>
      </c>
      <c r="C88" s="3">
        <f t="shared" si="252"/>
        <v>724</v>
      </c>
      <c r="D88" s="3">
        <f t="shared" si="253"/>
        <v>701</v>
      </c>
      <c r="E88" s="3">
        <f t="shared" si="254"/>
        <v>2925</v>
      </c>
      <c r="F88" s="4">
        <f t="shared" si="308"/>
        <v>6060.3529758645382</v>
      </c>
      <c r="G88" s="4">
        <f t="shared" si="290"/>
        <v>602.8653215955519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-4044</v>
      </c>
      <c r="AN88" s="20">
        <v>5</v>
      </c>
      <c r="AO88" s="20">
        <v>6040</v>
      </c>
      <c r="AP88" s="20">
        <v>10258</v>
      </c>
      <c r="AQ88" s="20">
        <v>-59</v>
      </c>
      <c r="AR88" s="20"/>
      <c r="AS88" s="54">
        <f>IF(RTD("tos.rtd",,AS$83,"."&amp;$B$82&amp;$AS$82&amp;"C"&amp;$A88)="N/A",0,RTD("tos.rtd",,AS$83,"."&amp;$B$82&amp;$AS$82&amp;"C"&amp;$A88))</f>
        <v>1299</v>
      </c>
      <c r="AT88" s="3">
        <f>-IF(RTD("tos.rtd",,AT$83,"."&amp;$B$82&amp;$AS$82&amp;"P"&amp;$A88)="N/A",0,RTD("tos.rtd",,AT$83,"."&amp;$B$82&amp;$AS$82&amp;"P"&amp;$A88))</f>
        <v>-201</v>
      </c>
      <c r="AU88" s="54">
        <f>IF(RTD("tos.rtd",,AU$83,"."&amp;$C$82&amp;$AU$82&amp;"C"&amp;$A88)="N/A",0,RTD("tos.rtd",,AU$83,"."&amp;$C$82&amp;$AU$82&amp;"C"&amp;$A88))</f>
        <v>688</v>
      </c>
      <c r="AV88" s="3">
        <f>-IF(RTD("tos.rtd",,AV$83,"."&amp;$C$82&amp;$AU$82&amp;"P"&amp;$A88)="N/A",0,RTD("tos.rtd",,AV$83,"."&amp;$C$82&amp;$AU$82&amp;"P"&amp;$A88))</f>
        <v>-36</v>
      </c>
      <c r="AW88" s="54">
        <f>IF(RTD("tos.rtd",,AW$83,"."&amp;$D$82&amp;$AW$82&amp;"C"&amp;$A88)="N/A",0,RTD("tos.rtd",,AW$83,"."&amp;$D$82&amp;$AW$82&amp;"C"&amp;$A88))</f>
        <v>462</v>
      </c>
      <c r="AX88" s="3">
        <f>-IF(RTD("tos.rtd",,AX$83,"."&amp;$D$82&amp;$AW$82&amp;"P"&amp;$A88)="N/A",0,RTD("tos.rtd",,AX$83,"."&amp;$D$82&amp;$AW$82&amp;"P"&amp;$A88))</f>
        <v>-239</v>
      </c>
      <c r="AY88" s="79">
        <f t="shared" si="291"/>
        <v>1973</v>
      </c>
      <c r="AZ88" s="8">
        <f t="shared" si="255"/>
        <v>6040</v>
      </c>
      <c r="BA88" s="54">
        <f>IF(RTD("tos.rtd",,BA$83,"."&amp;$B$82&amp;$AS$82&amp;"C"&amp;$A88)="N/A",0,RTD("tos.rtd",,BA$83,"."&amp;$B$82&amp;$AS$82&amp;"C"&amp;$A88))</f>
        <v>10258</v>
      </c>
      <c r="BB88" s="3">
        <f>-IF(RTD("tos.rtd",,BB$83,"."&amp;$B$82&amp;$AS$82&amp;"P"&amp;$A88)="N/A",0,RTD("tos.rtd",,BB$83,"."&amp;$B$82&amp;$AS$82&amp;"P"&amp;$A88))</f>
        <v>-59</v>
      </c>
      <c r="BC88" s="54">
        <f>IF(RTD("tos.rtd",,BC$83,"."&amp;$C$82&amp;$AU$82&amp;"C"&amp;$A88)="N/A",0,RTD("tos.rtd",,BC$83,"."&amp;$C$82&amp;$AU$82&amp;"C"&amp;$A88))</f>
        <v>611</v>
      </c>
      <c r="BD88" s="3">
        <f>-IF(RTD("tos.rtd",,BD$83,"."&amp;$C$82&amp;$AU$82&amp;"P"&amp;$A88)="N/A",0,RTD("tos.rtd",,BD$83,"."&amp;$C$82&amp;$AU$82&amp;"P"&amp;$A88))</f>
        <v>-1</v>
      </c>
      <c r="BE88" s="54">
        <f>IF(RTD("tos.rtd",,BE$83,"."&amp;$D$82&amp;$AW$82&amp;"C"&amp;$A88)="N/A",0,RTD("tos.rtd",,BE$83,"."&amp;$D$82&amp;$AW$82&amp;"C"&amp;$A88))</f>
        <v>26</v>
      </c>
      <c r="BF88" s="3">
        <f>-IF(RTD("tos.rtd",,BF$83,"."&amp;$D$82&amp;$AW$82&amp;"P"&amp;$A88)="N/A",0,RTD("tos.rtd",,BF$83,"."&amp;$D$82&amp;$AW$82&amp;"P"&amp;$A88))</f>
        <v>-1</v>
      </c>
      <c r="BG88" s="3">
        <f ca="1">+Hoja2!Y89</f>
        <v>4067</v>
      </c>
      <c r="BH88" s="55">
        <f t="shared" ca="1" si="292"/>
        <v>14901</v>
      </c>
      <c r="BI88" s="32" t="str">
        <f t="shared" ref="BI88:BI130" ca="1" si="312">IF(AND(BH88&lt;0,BH87&gt;0), "Cruce -", IF(AND(BH88&gt;0,BH87&lt;0),"Cruce +", ""))</f>
        <v/>
      </c>
      <c r="BJ88" s="3">
        <f ca="1">IF($BP$1=1,DX88,IF(RTD("tos.rtd",,BJ$83,"."&amp;$B$82&amp;$AS$82&amp;"C"&amp;$A88)="N/A",0,RTD("tos.rtd",,BJ$83,"."&amp;$B$82&amp;$AS$82&amp;"C"&amp;$A88)))</f>
        <v>1.2641767598085851E-3</v>
      </c>
      <c r="BK88" s="3">
        <f ca="1">IF($BP$1=1,DY88,-IF(RTD("tos.rtd",,BK$83,"."&amp;$B$82&amp;$AS$82&amp;"P"&amp;$A88)="N/A",0,RTD("tos.rtd",,BK$83,"."&amp;$B$82&amp;$AS$82&amp;"P"&amp;$A88)))</f>
        <v>-2.2689514757387769E-3</v>
      </c>
      <c r="BL88" s="3">
        <f ca="1">IF($BP$1=1,DZ88,IF(RTD("tos.rtd",,BL$83,"."&amp;$C$82&amp;$AU$82&amp;"C"&amp;$A88)="N/A",0,RTD("tos.rtd",,BL$83,"."&amp;$C$82&amp;$AU$82&amp;"C"&amp;$A88)))</f>
        <v>2.3800018300437239E-3</v>
      </c>
      <c r="BM88" s="3">
        <f ca="1">IF($BP$1=1,EA88,-IF(RTD("tos.rtd",,BM$83,"."&amp;$C$82&amp;$AU$82&amp;"P"&amp;$A88)="N/A",0,RTD("tos.rtd",,BM$83,"."&amp;$C$82&amp;$AU$82&amp;"P"&amp;$A88)))</f>
        <v>-2.4149433177723671E-3</v>
      </c>
      <c r="BN88" s="3">
        <f ca="1">IF($BP$1=1,EB88,IF(RTD("tos.rtd",,BN$83,"."&amp;$D$82&amp;$AW$82&amp;"C"&amp;$A88)="N/A",0,RTD("tos.rtd",,BN$83,"."&amp;$D$82&amp;$AW$82&amp;"C"&amp;$A88)))</f>
        <v>2.3432754906782057E-3</v>
      </c>
      <c r="BO88" s="3">
        <f ca="1">IF($BP$1=1,EC88,-IF(RTD("tos.rtd",,BO$83,"."&amp;$D$82&amp;$AW$82&amp;"P"&amp;$A88)="N/A",0,RTD("tos.rtd",,BO$83,"."&amp;$D$82&amp;$AW$82&amp;"P"&amp;$A88)))</f>
        <v>-2.3998887122293022E-3</v>
      </c>
      <c r="BQ88" s="3">
        <f t="shared" ca="1" si="256"/>
        <v>320266.90957402129</v>
      </c>
      <c r="BR88" s="3" t="str">
        <f t="shared" ca="1" si="293"/>
        <v/>
      </c>
      <c r="BS88" s="3">
        <f t="shared" ca="1" si="257"/>
        <v>418659.67081423086</v>
      </c>
      <c r="BT88" s="3" t="str">
        <f t="shared" ca="1" si="293"/>
        <v/>
      </c>
      <c r="BU88" s="3">
        <f t="shared" ca="1" si="258"/>
        <v>137443.17289395528</v>
      </c>
      <c r="BV88" s="3" t="str">
        <f t="shared" ca="1" si="293"/>
        <v/>
      </c>
      <c r="BX88" s="3">
        <f t="shared" ca="1" si="259"/>
        <v>3465392.2422127281</v>
      </c>
      <c r="BY88" s="3" t="str">
        <f t="shared" ca="1" si="309"/>
        <v/>
      </c>
      <c r="BZ88" s="3">
        <f t="shared" ca="1" si="260"/>
        <v>391999.13279916148</v>
      </c>
      <c r="CA88" s="3" t="str">
        <f t="shared" ca="1" si="309"/>
        <v/>
      </c>
      <c r="CB88" s="3">
        <f t="shared" ca="1" si="261"/>
        <v>15802.721588534601</v>
      </c>
      <c r="CC88" s="3" t="str">
        <f t="shared" ca="1" si="309"/>
        <v/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0.96</v>
      </c>
      <c r="CF88" s="3">
        <f>IF(RTD("tos.rtd",,CF$83,"."&amp;$C$82&amp;$AU$82&amp;"C"&amp;$A88)="N/A",0,RTD("tos.rtd",,CF$83,"."&amp;$C$82&amp;$AU$82&amp;"C"&amp;$A88))</f>
        <v>0.1</v>
      </c>
      <c r="CG88" s="3">
        <f>-IF(RTD("tos.rtd",,CG$83,"."&amp;$C$82&amp;$AU$82&amp;"P"&amp;$A88)="N/A",0,RTD("tos.rtd",,CG$83,"."&amp;$C$82&amp;$AU$82&amp;"P"&amp;$A88))</f>
        <v>0.86</v>
      </c>
      <c r="CH88" s="3">
        <f>IF(RTD("tos.rtd",,CH$83,"."&amp;$D$82&amp;$AW$82&amp;"C"&amp;$A88)="N/A",0,RTD("tos.rtd",,CH$83,"."&amp;$D$82&amp;$AW$82&amp;"C"&amp;$A88))</f>
        <v>0.38</v>
      </c>
      <c r="CI88" s="3">
        <f>-IF(RTD("tos.rtd",,CI$83,"."&amp;$D$82&amp;$AW$82&amp;"P"&amp;$A88)="N/A",0,RTD("tos.rtd",,CI$83,"."&amp;$D$82&amp;$AW$82&amp;"P"&amp;$A88))</f>
        <v>0.61</v>
      </c>
      <c r="CK88" s="3">
        <f t="shared" si="294"/>
        <v>-114526583.99999999</v>
      </c>
      <c r="CL88" s="3"/>
      <c r="CM88" s="3">
        <f t="shared" si="295"/>
        <v>22458986</v>
      </c>
      <c r="CN88" s="3"/>
      <c r="CO88" s="3">
        <f t="shared" si="296"/>
        <v>17669239.25</v>
      </c>
      <c r="CP88" s="3">
        <f t="shared" si="262"/>
        <v>-74398358.749999985</v>
      </c>
      <c r="CQ88" s="3">
        <f t="shared" si="263"/>
        <v>10199</v>
      </c>
      <c r="CR88" s="3"/>
      <c r="CS88" s="3">
        <f t="shared" si="264"/>
        <v>610</v>
      </c>
      <c r="CT88" s="3"/>
      <c r="CU88" s="3">
        <f t="shared" si="265"/>
        <v>25</v>
      </c>
      <c r="CV88" s="3"/>
      <c r="CW88" s="3">
        <f t="shared" ca="1" si="297"/>
        <v>876369.75328220741</v>
      </c>
      <c r="CY88" s="3">
        <f t="shared" ca="1" si="266"/>
        <v>3873194.0966004245</v>
      </c>
      <c r="CZ88" s="70" t="str">
        <f t="shared" ca="1" si="310"/>
        <v/>
      </c>
      <c r="DA88" s="3">
        <f>IF(RTD("tos.rtd",,DA$83,"."&amp;$B$82&amp;$AS$82&amp;"C"&amp;$A88)="N/A",0,RTD("tos.rtd",,DA$83,"."&amp;$B$82&amp;$AS$82&amp;"C"&amp;$A88))</f>
        <v>0.02</v>
      </c>
      <c r="DB88" s="3">
        <f>IF(RTD("tos.rtd",,DB$83,"."&amp;$B$82&amp;$AS$82&amp;"P"&amp;$A88)="N/A",0,RTD("tos.rtd",,DB$83,"."&amp;$B$82&amp;$AS$82&amp;"P"&amp;$A88))</f>
        <v>117.6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101.3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99.3</v>
      </c>
      <c r="DG88" s="86">
        <f t="shared" si="298"/>
        <v>104.75</v>
      </c>
      <c r="DH88" s="3">
        <f t="shared" si="267"/>
        <v>0</v>
      </c>
      <c r="DI88" s="3">
        <f t="shared" si="268"/>
        <v>0</v>
      </c>
      <c r="DJ88" s="3">
        <f t="shared" si="269"/>
        <v>0</v>
      </c>
      <c r="DK88" s="3">
        <f t="shared" si="270"/>
        <v>0</v>
      </c>
      <c r="DL88" s="3">
        <f t="shared" si="271"/>
        <v>0</v>
      </c>
      <c r="DM88" s="3">
        <f t="shared" si="272"/>
        <v>0</v>
      </c>
      <c r="DN88" s="64" t="str">
        <f t="shared" si="273"/>
        <v>UNKNOWN</v>
      </c>
      <c r="DO88" s="64" t="str">
        <f t="shared" si="274"/>
        <v>UNKNOWN</v>
      </c>
      <c r="DP88" s="3">
        <f t="shared" si="275"/>
        <v>0</v>
      </c>
      <c r="DQ88" s="3">
        <f t="shared" si="276"/>
        <v>0</v>
      </c>
      <c r="DR88" s="3">
        <f t="shared" ca="1" si="277"/>
        <v>0</v>
      </c>
      <c r="DS88" s="3">
        <f t="shared" si="278"/>
        <v>0</v>
      </c>
      <c r="DT88" s="3">
        <f t="shared" si="299"/>
        <v>0</v>
      </c>
      <c r="DU88" s="3">
        <f t="shared" si="300"/>
        <v>0</v>
      </c>
      <c r="DV88" s="3">
        <f t="shared" si="301"/>
        <v>-4044</v>
      </c>
      <c r="DW88" s="3">
        <f t="shared" si="302"/>
        <v>5</v>
      </c>
      <c r="DX88" s="3">
        <f t="shared" ca="1" si="311"/>
        <v>1.2641767598085851E-3</v>
      </c>
      <c r="DY88" s="3">
        <f t="shared" ca="1" si="279"/>
        <v>-2.2689514757387769E-3</v>
      </c>
      <c r="DZ88" s="3">
        <f t="shared" ca="1" si="303"/>
        <v>2.3800018300437239E-3</v>
      </c>
      <c r="EA88" s="3">
        <f t="shared" ca="1" si="304"/>
        <v>-2.4149433177723671E-3</v>
      </c>
      <c r="EB88" s="3">
        <f t="shared" ca="1" si="280"/>
        <v>2.3432754906782057E-3</v>
      </c>
      <c r="EC88" s="3">
        <f t="shared" ca="1" si="281"/>
        <v>-2.3998887122293022E-3</v>
      </c>
      <c r="ED88" s="63">
        <f t="shared" si="305"/>
        <v>-4039</v>
      </c>
      <c r="EE88" s="59">
        <f t="shared" si="282"/>
        <v>0.77890000000000004</v>
      </c>
      <c r="EF88" s="59">
        <f t="shared" si="283"/>
        <v>1.2182999999999999</v>
      </c>
      <c r="EG88" s="59">
        <f t="shared" si="284"/>
        <v>0.1411</v>
      </c>
      <c r="EH88" s="59">
        <f t="shared" si="285"/>
        <v>0.16320000000000001</v>
      </c>
      <c r="EI88" s="59">
        <f t="shared" si="286"/>
        <v>0.1346</v>
      </c>
      <c r="EJ88" s="59">
        <f t="shared" si="287"/>
        <v>0.14649999999999999</v>
      </c>
      <c r="EK88" s="63">
        <f t="shared" ca="1" si="306"/>
        <v>-180492706.07464728</v>
      </c>
      <c r="EL88" s="3" t="str">
        <f>RTD("tos.rtd",,EL$83,"."&amp;$B$82&amp;$AS$82&amp;"C"&amp;$A88)</f>
        <v>77.89%</v>
      </c>
      <c r="EM88" s="3" t="str">
        <f>RTD("tos.rtd",,EM$83,"."&amp;$B$82&amp;$AS$82&amp;"P"&amp;$A88)</f>
        <v>121.83%</v>
      </c>
      <c r="EN88" s="3" t="str">
        <f>RTD("tos.rtd",,EN$83,"."&amp;$C$82&amp;$AU$82&amp;"C"&amp;$A88)</f>
        <v>14.11%</v>
      </c>
      <c r="EO88" s="3" t="str">
        <f>RTD("tos.rtd",,EO$83,"."&amp;$C$82&amp;$AU$82&amp;"P"&amp;$A88)</f>
        <v>16.32%</v>
      </c>
      <c r="EP88" s="3" t="str">
        <f>RTD("tos.rtd",,EP$83,"."&amp;$D$82&amp;$AW$82&amp;"C"&amp;$A88)</f>
        <v>13.46%</v>
      </c>
      <c r="EQ88" s="3" t="str">
        <f>RTD("tos.rtd",,EQ$83,"."&amp;$D$82&amp;$AW$82&amp;"P"&amp;$A88)</f>
        <v>14.65%</v>
      </c>
      <c r="ES88" s="63" t="str">
        <f t="shared" si="288"/>
        <v>6040,-4039.00</v>
      </c>
      <c r="ET88" s="63" t="str">
        <f t="shared" ca="1" si="289"/>
        <v>6040,3873.19</v>
      </c>
      <c r="EU88" s="67">
        <v>593.88</v>
      </c>
      <c r="EV88" s="67" t="s">
        <v>724</v>
      </c>
      <c r="EW88" s="67">
        <v>520.55999999999995</v>
      </c>
      <c r="EX88" s="67" t="s">
        <v>725</v>
      </c>
      <c r="EY88" s="67">
        <v>5948.75</v>
      </c>
      <c r="EZ88" s="67" t="s">
        <v>726</v>
      </c>
      <c r="FA88" s="67">
        <v>21367</v>
      </c>
      <c r="FB88" s="67" t="s">
        <v>727</v>
      </c>
      <c r="FC88" s="67" t="s">
        <v>728</v>
      </c>
      <c r="FD88" s="67" t="s">
        <v>729</v>
      </c>
      <c r="FE88" s="68" t="s">
        <v>730</v>
      </c>
      <c r="FF88" s="68" t="s">
        <v>731</v>
      </c>
    </row>
    <row r="89" spans="1:162" s="63" customFormat="1" ht="12" customHeight="1" thickBot="1" x14ac:dyDescent="0.25">
      <c r="A89" s="2">
        <f t="shared" si="307"/>
        <v>6030</v>
      </c>
      <c r="B89" s="3">
        <f t="shared" si="251"/>
        <v>1386</v>
      </c>
      <c r="C89" s="3">
        <f t="shared" si="252"/>
        <v>1194</v>
      </c>
      <c r="D89" s="3">
        <f t="shared" si="253"/>
        <v>802</v>
      </c>
      <c r="E89" s="3">
        <f t="shared" si="254"/>
        <v>3382</v>
      </c>
      <c r="F89" s="4">
        <f t="shared" si="308"/>
        <v>6050.31927888463</v>
      </c>
      <c r="G89" s="4">
        <f t="shared" si="290"/>
        <v>601.86720020218183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-510</v>
      </c>
      <c r="AN89" s="20">
        <v>-183</v>
      </c>
      <c r="AO89" s="20">
        <v>6030</v>
      </c>
      <c r="AP89" s="20">
        <v>5630</v>
      </c>
      <c r="AQ89" s="20">
        <v>-467</v>
      </c>
      <c r="AR89" s="20"/>
      <c r="AS89" s="54">
        <f>IF(RTD("tos.rtd",,AS$83,"."&amp;$B$82&amp;$AS$82&amp;"C"&amp;$A89)="N/A",0,RTD("tos.rtd",,AS$83,"."&amp;$B$82&amp;$AS$82&amp;"C"&amp;$A89))</f>
        <v>1315</v>
      </c>
      <c r="AT89" s="3">
        <f>-IF(RTD("tos.rtd",,AT$83,"."&amp;$B$82&amp;$AS$82&amp;"P"&amp;$A89)="N/A",0,RTD("tos.rtd",,AT$83,"."&amp;$B$82&amp;$AS$82&amp;"P"&amp;$A89))</f>
        <v>-71</v>
      </c>
      <c r="AU89" s="54">
        <f>IF(RTD("tos.rtd",,AU$83,"."&amp;$C$82&amp;$AU$82&amp;"C"&amp;$A89)="N/A",0,RTD("tos.rtd",,AU$83,"."&amp;$C$82&amp;$AU$82&amp;"C"&amp;$A89))</f>
        <v>1174</v>
      </c>
      <c r="AV89" s="3">
        <f>-IF(RTD("tos.rtd",,AV$83,"."&amp;$C$82&amp;$AU$82&amp;"P"&amp;$A89)="N/A",0,RTD("tos.rtd",,AV$83,"."&amp;$C$82&amp;$AU$82&amp;"P"&amp;$A89))</f>
        <v>-20</v>
      </c>
      <c r="AW89" s="54">
        <f>IF(RTD("tos.rtd",,AW$83,"."&amp;$D$82&amp;$AW$82&amp;"C"&amp;$A89)="N/A",0,RTD("tos.rtd",,AW$83,"."&amp;$D$82&amp;$AW$82&amp;"C"&amp;$A89))</f>
        <v>584</v>
      </c>
      <c r="AX89" s="3">
        <f>-IF(RTD("tos.rtd",,AX$83,"."&amp;$D$82&amp;$AW$82&amp;"P"&amp;$A89)="N/A",0,RTD("tos.rtd",,AX$83,"."&amp;$D$82&amp;$AW$82&amp;"P"&amp;$A89))</f>
        <v>-218</v>
      </c>
      <c r="AY89" s="79">
        <f t="shared" si="291"/>
        <v>2764</v>
      </c>
      <c r="AZ89" s="8">
        <f t="shared" si="255"/>
        <v>6030</v>
      </c>
      <c r="BA89" s="54">
        <f>IF(RTD("tos.rtd",,BA$83,"."&amp;$B$82&amp;$AS$82&amp;"C"&amp;$A89)="N/A",0,RTD("tos.rtd",,BA$83,"."&amp;$B$82&amp;$AS$82&amp;"C"&amp;$A89))</f>
        <v>5630</v>
      </c>
      <c r="BB89" s="3">
        <f>-IF(RTD("tos.rtd",,BB$83,"."&amp;$B$82&amp;$AS$82&amp;"P"&amp;$A89)="N/A",0,RTD("tos.rtd",,BB$83,"."&amp;$B$82&amp;$AS$82&amp;"P"&amp;$A89))</f>
        <v>-467</v>
      </c>
      <c r="BC89" s="54">
        <f>IF(RTD("tos.rtd",,BC$83,"."&amp;$C$82&amp;$AU$82&amp;"C"&amp;$A89)="N/A",0,RTD("tos.rtd",,BC$83,"."&amp;$C$82&amp;$AU$82&amp;"C"&amp;$A89))</f>
        <v>1194</v>
      </c>
      <c r="BD89" s="3">
        <f>-IF(RTD("tos.rtd",,BD$83,"."&amp;$C$82&amp;$AU$82&amp;"P"&amp;$A89)="N/A",0,RTD("tos.rtd",,BD$83,"."&amp;$C$82&amp;$AU$82&amp;"P"&amp;$A89))</f>
        <v>-6</v>
      </c>
      <c r="BE89" s="54">
        <f>IF(RTD("tos.rtd",,BE$83,"."&amp;$D$82&amp;$AW$82&amp;"C"&amp;$A89)="N/A",0,RTD("tos.rtd",,BE$83,"."&amp;$D$82&amp;$AW$82&amp;"C"&amp;$A89))</f>
        <v>18</v>
      </c>
      <c r="BF89" s="3">
        <f>-IF(RTD("tos.rtd",,BF$83,"."&amp;$D$82&amp;$AW$82&amp;"P"&amp;$A89)="N/A",0,RTD("tos.rtd",,BF$83,"."&amp;$D$82&amp;$AW$82&amp;"P"&amp;$A89))</f>
        <v>0</v>
      </c>
      <c r="BG89" s="3">
        <f ca="1">+Hoja2!Y90</f>
        <v>6327</v>
      </c>
      <c r="BH89" s="55">
        <f t="shared" ca="1" si="292"/>
        <v>12696</v>
      </c>
      <c r="BI89" s="32" t="str">
        <f t="shared" ca="1" si="312"/>
        <v/>
      </c>
      <c r="BJ89" s="3">
        <f ca="1">IF($BP$1=1,DX89,IF(RTD("tos.rtd",,BJ$83,"."&amp;$B$82&amp;$AS$82&amp;"C"&amp;$A89)="N/A",0,RTD("tos.rtd",,BJ$83,"."&amp;$B$82&amp;$AS$82&amp;"C"&amp;$A89)))</f>
        <v>1.4154642692669832E-3</v>
      </c>
      <c r="BK89" s="3">
        <f ca="1">IF($BP$1=1,DY89,-IF(RTD("tos.rtd",,BK$83,"."&amp;$B$82&amp;$AS$82&amp;"P"&amp;$A89)="N/A",0,RTD("tos.rtd",,BK$83,"."&amp;$B$82&amp;$AS$82&amp;"P"&amp;$A89)))</f>
        <v>-2.5184955066074877E-3</v>
      </c>
      <c r="BL89" s="3">
        <f ca="1">IF($BP$1=1,DZ89,IF(RTD("tos.rtd",,BL$83,"."&amp;$C$82&amp;$AU$82&amp;"C"&amp;$A89)="N/A",0,RTD("tos.rtd",,BL$83,"."&amp;$C$82&amp;$AU$82&amp;"C"&amp;$A89)))</f>
        <v>2.6748237429142607E-3</v>
      </c>
      <c r="BM89" s="3">
        <f ca="1">IF($BP$1=1,EA89,-IF(RTD("tos.rtd",,BM$83,"."&amp;$C$82&amp;$AU$82&amp;"P"&amp;$A89)="N/A",0,RTD("tos.rtd",,BM$83,"."&amp;$C$82&amp;$AU$82&amp;"P"&amp;$A89)))</f>
        <v>-2.6415393105610153E-3</v>
      </c>
      <c r="BN89" s="3">
        <f ca="1">IF($BP$1=1,EB89,IF(RTD("tos.rtd",,BN$83,"."&amp;$D$82&amp;$AW$82&amp;"C"&amp;$A89)="N/A",0,RTD("tos.rtd",,BN$83,"."&amp;$D$82&amp;$AW$82&amp;"C"&amp;$A89)))</f>
        <v>2.6662759354045603E-3</v>
      </c>
      <c r="BO89" s="3">
        <f ca="1">IF($BP$1=1,EC89,-IF(RTD("tos.rtd",,BO$83,"."&amp;$D$82&amp;$AW$82&amp;"P"&amp;$A89)="N/A",0,RTD("tos.rtd",,BO$83,"."&amp;$D$82&amp;$AW$82&amp;"P"&amp;$A89)))</f>
        <v>-2.6732365826184694E-3</v>
      </c>
      <c r="BQ89" s="3">
        <f t="shared" ca="1" si="256"/>
        <v>454306.83461834758</v>
      </c>
      <c r="BR89" s="3" t="str">
        <f t="shared" ca="1" si="293"/>
        <v/>
      </c>
      <c r="BS89" s="3">
        <f t="shared" ca="1" si="257"/>
        <v>833648.66908545233</v>
      </c>
      <c r="BT89" s="3" t="str">
        <f t="shared" ca="1" si="293"/>
        <v/>
      </c>
      <c r="BU89" s="3">
        <f t="shared" ca="1" si="258"/>
        <v>263086.62759023847</v>
      </c>
      <c r="BV89" s="3" t="str">
        <f t="shared" ca="1" si="293"/>
        <v/>
      </c>
      <c r="BX89" s="3">
        <f t="shared" ca="1" si="259"/>
        <v>1834194.3197180347</v>
      </c>
      <c r="BY89" s="3" t="str">
        <f t="shared" ca="1" si="309"/>
        <v/>
      </c>
      <c r="BZ89" s="3">
        <f t="shared" ca="1" si="260"/>
        <v>858079.12354353478</v>
      </c>
      <c r="CA89" s="3" t="str">
        <f t="shared" ca="1" si="309"/>
        <v/>
      </c>
      <c r="CB89" s="3">
        <f t="shared" ca="1" si="261"/>
        <v>12958.83710939925</v>
      </c>
      <c r="CC89" s="3" t="str">
        <f t="shared" ca="1" si="309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0.96</v>
      </c>
      <c r="CF89" s="3">
        <f>IF(RTD("tos.rtd",,CF$83,"."&amp;$C$82&amp;$AU$82&amp;"C"&amp;$A89)="N/A",0,RTD("tos.rtd",,CF$83,"."&amp;$C$82&amp;$AU$82&amp;"C"&amp;$A89))</f>
        <v>0.13</v>
      </c>
      <c r="CG89" s="3">
        <f>-IF(RTD("tos.rtd",,CG$83,"."&amp;$C$82&amp;$AU$82&amp;"P"&amp;$A89)="N/A",0,RTD("tos.rtd",,CG$83,"."&amp;$C$82&amp;$AU$82&amp;"P"&amp;$A89))</f>
        <v>0.84</v>
      </c>
      <c r="CH89" s="3">
        <f>IF(RTD("tos.rtd",,CH$83,"."&amp;$D$82&amp;$AW$82&amp;"C"&amp;$A89)="N/A",0,RTD("tos.rtd",,CH$83,"."&amp;$D$82&amp;$AW$82&amp;"C"&amp;$A89))</f>
        <v>0.4</v>
      </c>
      <c r="CI89" s="3">
        <f>-IF(RTD("tos.rtd",,CI$83,"."&amp;$D$82&amp;$AW$82&amp;"P"&amp;$A89)="N/A",0,RTD("tos.rtd",,CI$83,"."&amp;$D$82&amp;$AW$82&amp;"P"&amp;$A89))</f>
        <v>0.59</v>
      </c>
      <c r="CK89" s="3">
        <f t="shared" si="294"/>
        <v>-40454664</v>
      </c>
      <c r="CL89" s="3"/>
      <c r="CM89" s="3">
        <f t="shared" si="295"/>
        <v>80612565.5</v>
      </c>
      <c r="CN89" s="3"/>
      <c r="CO89" s="3">
        <f t="shared" si="296"/>
        <v>62308254.50000003</v>
      </c>
      <c r="CP89" s="3">
        <f t="shared" si="262"/>
        <v>102466156.00000003</v>
      </c>
      <c r="CQ89" s="3">
        <f t="shared" si="263"/>
        <v>5163</v>
      </c>
      <c r="CR89" s="3"/>
      <c r="CS89" s="3">
        <f t="shared" si="264"/>
        <v>1188</v>
      </c>
      <c r="CT89" s="3"/>
      <c r="CU89" s="3">
        <f t="shared" si="265"/>
        <v>18</v>
      </c>
      <c r="CV89" s="3"/>
      <c r="CW89" s="3">
        <f t="shared" ca="1" si="297"/>
        <v>1551042.1312940386</v>
      </c>
      <c r="CY89" s="3">
        <f t="shared" ca="1" si="266"/>
        <v>2705232.2803709684</v>
      </c>
      <c r="CZ89" s="70" t="str">
        <f t="shared" ca="1" si="310"/>
        <v/>
      </c>
      <c r="DA89" s="3">
        <f>IF(RTD("tos.rtd",,DA$83,"."&amp;$B$82&amp;$AS$82&amp;"C"&amp;$A89)="N/A",0,RTD("tos.rtd",,DA$83,"."&amp;$B$82&amp;$AS$82&amp;"C"&amp;$A89))</f>
        <v>0.03</v>
      </c>
      <c r="DB89" s="3">
        <f>IF(RTD("tos.rtd",,DB$83,"."&amp;$B$82&amp;$AS$82&amp;"P"&amp;$A89)="N/A",0,RTD("tos.rtd",,DB$83,"."&amp;$B$82&amp;$AS$82&amp;"P"&amp;$A89))</f>
        <v>95.8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91.3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89.3</v>
      </c>
      <c r="DG89" s="86">
        <f t="shared" si="298"/>
        <v>94.75</v>
      </c>
      <c r="DH89" s="3">
        <f t="shared" si="267"/>
        <v>0</v>
      </c>
      <c r="DI89" s="3">
        <f t="shared" si="268"/>
        <v>0</v>
      </c>
      <c r="DJ89" s="3">
        <f t="shared" si="269"/>
        <v>0</v>
      </c>
      <c r="DK89" s="3">
        <f t="shared" si="270"/>
        <v>0</v>
      </c>
      <c r="DL89" s="3">
        <f t="shared" si="271"/>
        <v>0</v>
      </c>
      <c r="DM89" s="3">
        <f t="shared" si="272"/>
        <v>0</v>
      </c>
      <c r="DN89" s="64" t="str">
        <f t="shared" si="273"/>
        <v>UNKNOWN</v>
      </c>
      <c r="DO89" s="64" t="str">
        <f t="shared" si="274"/>
        <v>UNKNOWN</v>
      </c>
      <c r="DP89" s="3">
        <f t="shared" si="275"/>
        <v>0</v>
      </c>
      <c r="DQ89" s="3">
        <f t="shared" si="276"/>
        <v>0</v>
      </c>
      <c r="DR89" s="3">
        <f t="shared" ca="1" si="277"/>
        <v>0</v>
      </c>
      <c r="DS89" s="3">
        <f t="shared" si="278"/>
        <v>0</v>
      </c>
      <c r="DT89" s="3">
        <f t="shared" si="299"/>
        <v>0</v>
      </c>
      <c r="DU89" s="3">
        <f t="shared" si="300"/>
        <v>0</v>
      </c>
      <c r="DV89" s="3">
        <f t="shared" si="301"/>
        <v>-510</v>
      </c>
      <c r="DW89" s="3">
        <f t="shared" si="302"/>
        <v>-183</v>
      </c>
      <c r="DX89" s="3">
        <f t="shared" ca="1" si="311"/>
        <v>1.4154642692669832E-3</v>
      </c>
      <c r="DY89" s="3">
        <f t="shared" ca="1" si="279"/>
        <v>-2.5184955066074877E-3</v>
      </c>
      <c r="DZ89" s="3">
        <f t="shared" ca="1" si="303"/>
        <v>2.6748237429142607E-3</v>
      </c>
      <c r="EA89" s="3">
        <f t="shared" ca="1" si="304"/>
        <v>-2.6415393105610153E-3</v>
      </c>
      <c r="EB89" s="3">
        <f t="shared" ca="1" si="280"/>
        <v>2.6662759354045603E-3</v>
      </c>
      <c r="EC89" s="3">
        <f t="shared" ca="1" si="281"/>
        <v>-2.6732365826184694E-3</v>
      </c>
      <c r="ED89" s="63">
        <f t="shared" si="305"/>
        <v>-693</v>
      </c>
      <c r="EE89" s="59">
        <f t="shared" si="282"/>
        <v>0.70920000000000005</v>
      </c>
      <c r="EF89" s="59">
        <f t="shared" si="283"/>
        <v>1.1182000000000001</v>
      </c>
      <c r="EG89" s="59">
        <f t="shared" si="284"/>
        <v>0.14169999999999999</v>
      </c>
      <c r="EH89" s="59">
        <f t="shared" si="285"/>
        <v>0.16120000000000001</v>
      </c>
      <c r="EI89" s="59">
        <f t="shared" si="286"/>
        <v>0.13550000000000001</v>
      </c>
      <c r="EJ89" s="59">
        <f t="shared" si="287"/>
        <v>0.1474</v>
      </c>
      <c r="EK89" s="63">
        <f t="shared" ca="1" si="306"/>
        <v>-9194371.2224245574</v>
      </c>
      <c r="EL89" s="3" t="str">
        <f>RTD("tos.rtd",,EL$83,"."&amp;$B$82&amp;$AS$82&amp;"C"&amp;$A89)</f>
        <v>70.92%</v>
      </c>
      <c r="EM89" s="3" t="str">
        <f>RTD("tos.rtd",,EM$83,"."&amp;$B$82&amp;$AS$82&amp;"P"&amp;$A89)</f>
        <v>111.82%</v>
      </c>
      <c r="EN89" s="3" t="str">
        <f>RTD("tos.rtd",,EN$83,"."&amp;$C$82&amp;$AU$82&amp;"C"&amp;$A89)</f>
        <v>14.17%</v>
      </c>
      <c r="EO89" s="3" t="str">
        <f>RTD("tos.rtd",,EO$83,"."&amp;$C$82&amp;$AU$82&amp;"P"&amp;$A89)</f>
        <v>16.12%</v>
      </c>
      <c r="EP89" s="3" t="str">
        <f>RTD("tos.rtd",,EP$83,"."&amp;$D$82&amp;$AW$82&amp;"C"&amp;$A89)</f>
        <v>13.55%</v>
      </c>
      <c r="EQ89" s="3" t="str">
        <f>RTD("tos.rtd",,EQ$83,"."&amp;$D$82&amp;$AW$82&amp;"P"&amp;$A89)</f>
        <v>14.74%</v>
      </c>
      <c r="ES89" s="63" t="str">
        <f t="shared" si="288"/>
        <v>6030,-693.00</v>
      </c>
      <c r="ET89" s="63" t="str">
        <f t="shared" ca="1" si="289"/>
        <v>6030,2705.23</v>
      </c>
      <c r="EU89" s="67">
        <v>593.85</v>
      </c>
      <c r="EV89" s="67" t="s">
        <v>732</v>
      </c>
      <c r="EW89" s="67">
        <v>520.53</v>
      </c>
      <c r="EX89" s="67" t="s">
        <v>733</v>
      </c>
      <c r="EY89" s="67">
        <v>5948.75</v>
      </c>
      <c r="EZ89" s="67" t="s">
        <v>734</v>
      </c>
      <c r="FA89" s="67">
        <v>21365</v>
      </c>
      <c r="FB89" s="67" t="s">
        <v>735</v>
      </c>
      <c r="FC89" s="67" t="s">
        <v>736</v>
      </c>
      <c r="FD89" s="67" t="s">
        <v>737</v>
      </c>
      <c r="FE89" s="68" t="s">
        <v>738</v>
      </c>
      <c r="FF89" s="68" t="s">
        <v>739</v>
      </c>
    </row>
    <row r="90" spans="1:162" s="63" customFormat="1" ht="12" customHeight="1" thickBot="1" x14ac:dyDescent="0.25">
      <c r="A90" s="2">
        <f t="shared" si="307"/>
        <v>6020</v>
      </c>
      <c r="B90" s="3">
        <f t="shared" si="251"/>
        <v>3140</v>
      </c>
      <c r="C90" s="3">
        <f t="shared" si="252"/>
        <v>845</v>
      </c>
      <c r="D90" s="3">
        <f t="shared" si="253"/>
        <v>2069</v>
      </c>
      <c r="E90" s="3">
        <f t="shared" si="254"/>
        <v>6054</v>
      </c>
      <c r="F90" s="4">
        <f t="shared" si="308"/>
        <v>6040.2855819047218</v>
      </c>
      <c r="G90" s="4">
        <f t="shared" si="290"/>
        <v>600.86907880881176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-1930</v>
      </c>
      <c r="AN90" s="20">
        <v>96</v>
      </c>
      <c r="AO90" s="20">
        <v>6020</v>
      </c>
      <c r="AP90" s="20">
        <v>8768</v>
      </c>
      <c r="AQ90" s="20">
        <v>-849</v>
      </c>
      <c r="AR90" s="20"/>
      <c r="AS90" s="54">
        <f>IF(RTD("tos.rtd",,AS$83,"."&amp;$B$82&amp;$AS$82&amp;"C"&amp;$A90)="N/A",0,RTD("tos.rtd",,AS$83,"."&amp;$B$82&amp;$AS$82&amp;"C"&amp;$A90))</f>
        <v>3118</v>
      </c>
      <c r="AT90" s="3">
        <f>-IF(RTD("tos.rtd",,AT$83,"."&amp;$B$82&amp;$AS$82&amp;"P"&amp;$A90)="N/A",0,RTD("tos.rtd",,AT$83,"."&amp;$B$82&amp;$AS$82&amp;"P"&amp;$A90))</f>
        <v>-22</v>
      </c>
      <c r="AU90" s="54">
        <f>IF(RTD("tos.rtd",,AU$83,"."&amp;$C$82&amp;$AU$82&amp;"C"&amp;$A90)="N/A",0,RTD("tos.rtd",,AU$83,"."&amp;$C$82&amp;$AU$82&amp;"C"&amp;$A90))</f>
        <v>832</v>
      </c>
      <c r="AV90" s="3">
        <f>-IF(RTD("tos.rtd",,AV$83,"."&amp;$C$82&amp;$AU$82&amp;"P"&amp;$A90)="N/A",0,RTD("tos.rtd",,AV$83,"."&amp;$C$82&amp;$AU$82&amp;"P"&amp;$A90))</f>
        <v>-13</v>
      </c>
      <c r="AW90" s="54">
        <f>IF(RTD("tos.rtd",,AW$83,"."&amp;$D$82&amp;$AW$82&amp;"C"&amp;$A90)="N/A",0,RTD("tos.rtd",,AW$83,"."&amp;$D$82&amp;$AW$82&amp;"C"&amp;$A90))</f>
        <v>1652</v>
      </c>
      <c r="AX90" s="3">
        <f>-IF(RTD("tos.rtd",,AX$83,"."&amp;$D$82&amp;$AW$82&amp;"P"&amp;$A90)="N/A",0,RTD("tos.rtd",,AX$83,"."&amp;$D$82&amp;$AW$82&amp;"P"&amp;$A90))</f>
        <v>-417</v>
      </c>
      <c r="AY90" s="79">
        <f t="shared" si="291"/>
        <v>5150</v>
      </c>
      <c r="AZ90" s="8">
        <f t="shared" si="255"/>
        <v>6020</v>
      </c>
      <c r="BA90" s="54">
        <f>IF(RTD("tos.rtd",,BA$83,"."&amp;$B$82&amp;$AS$82&amp;"C"&amp;$A90)="N/A",0,RTD("tos.rtd",,BA$83,"."&amp;$B$82&amp;$AS$82&amp;"C"&amp;$A90))</f>
        <v>8768</v>
      </c>
      <c r="BB90" s="3">
        <f>-IF(RTD("tos.rtd",,BB$83,"."&amp;$B$82&amp;$AS$82&amp;"P"&amp;$A90)="N/A",0,RTD("tos.rtd",,BB$83,"."&amp;$B$82&amp;$AS$82&amp;"P"&amp;$A90))</f>
        <v>-849</v>
      </c>
      <c r="BC90" s="54">
        <f>IF(RTD("tos.rtd",,BC$83,"."&amp;$C$82&amp;$AU$82&amp;"C"&amp;$A90)="N/A",0,RTD("tos.rtd",,BC$83,"."&amp;$C$82&amp;$AU$82&amp;"C"&amp;$A90))</f>
        <v>737</v>
      </c>
      <c r="BD90" s="3">
        <f>-IF(RTD("tos.rtd",,BD$83,"."&amp;$C$82&amp;$AU$82&amp;"P"&amp;$A90)="N/A",0,RTD("tos.rtd",,BD$83,"."&amp;$C$82&amp;$AU$82&amp;"P"&amp;$A90))</f>
        <v>-8</v>
      </c>
      <c r="BE90" s="54">
        <f>IF(RTD("tos.rtd",,BE$83,"."&amp;$D$82&amp;$AW$82&amp;"C"&amp;$A90)="N/A",0,RTD("tos.rtd",,BE$83,"."&amp;$D$82&amp;$AW$82&amp;"C"&amp;$A90))</f>
        <v>25</v>
      </c>
      <c r="BF90" s="3">
        <f>-IF(RTD("tos.rtd",,BF$83,"."&amp;$D$82&amp;$AW$82&amp;"P"&amp;$A90)="N/A",0,RTD("tos.rtd",,BF$83,"."&amp;$D$82&amp;$AW$82&amp;"P"&amp;$A90))</f>
        <v>0</v>
      </c>
      <c r="BG90" s="3">
        <f ca="1">+Hoja2!Y91</f>
        <v>8072</v>
      </c>
      <c r="BH90" s="55">
        <f t="shared" ca="1" si="292"/>
        <v>16745</v>
      </c>
      <c r="BI90" s="32" t="str">
        <f t="shared" ca="1" si="312"/>
        <v/>
      </c>
      <c r="BJ90" s="3">
        <f ca="1">IF($BP$1=1,DX90,IF(RTD("tos.rtd",,BJ$83,"."&amp;$B$82&amp;$AS$82&amp;"C"&amp;$A90)="N/A",0,RTD("tos.rtd",,BJ$83,"."&amp;$B$82&amp;$AS$82&amp;"C"&amp;$A90)))</f>
        <v>1.6039225702500902E-3</v>
      </c>
      <c r="BK90" s="3">
        <f ca="1">IF($BP$1=1,DY90,-IF(RTD("tos.rtd",,BK$83,"."&amp;$B$82&amp;$AS$82&amp;"P"&amp;$A90)="N/A",0,RTD("tos.rtd",,BK$83,"."&amp;$B$82&amp;$AS$82&amp;"P"&amp;$A90)))</f>
        <v>-2.8269644280797001E-3</v>
      </c>
      <c r="BL90" s="3">
        <f ca="1">IF($BP$1=1,DZ90,IF(RTD("tos.rtd",,BL$83,"."&amp;$C$82&amp;$AU$82&amp;"C"&amp;$A90)="N/A",0,RTD("tos.rtd",,BL$83,"."&amp;$C$82&amp;$AU$82&amp;"C"&amp;$A90)))</f>
        <v>2.9633083306049891E-3</v>
      </c>
      <c r="BM90" s="3">
        <f ca="1">IF($BP$1=1,EA90,-IF(RTD("tos.rtd",,BM$83,"."&amp;$C$82&amp;$AU$82&amp;"P"&amp;$A90)="N/A",0,RTD("tos.rtd",,BM$83,"."&amp;$C$82&amp;$AU$82&amp;"P"&amp;$A90)))</f>
        <v>-2.8715912269181095E-3</v>
      </c>
      <c r="BN90" s="3">
        <f ca="1">IF($BP$1=1,EB90,IF(RTD("tos.rtd",,BN$83,"."&amp;$D$82&amp;$AW$82&amp;"C"&amp;$A90)="N/A",0,RTD("tos.rtd",,BN$83,"."&amp;$D$82&amp;$AW$82&amp;"C"&amp;$A90)))</f>
        <v>2.984824795109131E-3</v>
      </c>
      <c r="BO90" s="3">
        <f ca="1">IF($BP$1=1,EC90,-IF(RTD("tos.rtd",,BO$83,"."&amp;$D$82&amp;$AW$82&amp;"P"&amp;$A90)="N/A",0,RTD("tos.rtd",,BO$83,"."&amp;$D$82&amp;$AW$82&amp;"P"&amp;$A90)))</f>
        <v>-2.9379686628140706E-3</v>
      </c>
      <c r="BQ90" s="3">
        <f t="shared" ca="1" si="256"/>
        <v>1333561.8327426023</v>
      </c>
      <c r="BR90" s="3" t="str">
        <f t="shared" ca="1" si="293"/>
        <v/>
      </c>
      <c r="BS90" s="3">
        <f t="shared" ca="1" si="257"/>
        <v>655635.53834928654</v>
      </c>
      <c r="BT90" s="3" t="str">
        <f t="shared" ca="1" si="293"/>
        <v/>
      </c>
      <c r="BU90" s="3">
        <f t="shared" ca="1" si="258"/>
        <v>1000622.1953118988</v>
      </c>
      <c r="BV90" s="3" t="str">
        <f t="shared" ca="1" si="293"/>
        <v/>
      </c>
      <c r="BX90" s="3">
        <f t="shared" ca="1" si="259"/>
        <v>3149215.9558614818</v>
      </c>
      <c r="BY90" s="3" t="str">
        <f t="shared" ca="1" si="309"/>
        <v/>
      </c>
      <c r="BZ90" s="3">
        <f t="shared" ca="1" si="260"/>
        <v>583499.23047560954</v>
      </c>
      <c r="CA90" s="3" t="str">
        <f t="shared" ca="1" si="309"/>
        <v/>
      </c>
      <c r="CB90" s="3">
        <f t="shared" ca="1" si="261"/>
        <v>20148.711815971634</v>
      </c>
      <c r="CC90" s="3" t="str">
        <f t="shared" ca="1" si="309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0.96</v>
      </c>
      <c r="CF90" s="3">
        <f>IF(RTD("tos.rtd",,CF$83,"."&amp;$C$82&amp;$AU$82&amp;"C"&amp;$A90)="N/A",0,RTD("tos.rtd",,CF$83,"."&amp;$C$82&amp;$AU$82&amp;"C"&amp;$A90))</f>
        <v>0.16</v>
      </c>
      <c r="CG90" s="3">
        <f>-IF(RTD("tos.rtd",,CG$83,"."&amp;$C$82&amp;$AU$82&amp;"P"&amp;$A90)="N/A",0,RTD("tos.rtd",,CG$83,"."&amp;$C$82&amp;$AU$82&amp;"P"&amp;$A90))</f>
        <v>0.81</v>
      </c>
      <c r="CH90" s="3">
        <f>IF(RTD("tos.rtd",,CH$83,"."&amp;$D$82&amp;$AW$82&amp;"C"&amp;$A90)="N/A",0,RTD("tos.rtd",,CH$83,"."&amp;$D$82&amp;$AW$82&amp;"C"&amp;$A90))</f>
        <v>0.41</v>
      </c>
      <c r="CI90" s="3">
        <f>-IF(RTD("tos.rtd",,CI$83,"."&amp;$D$82&amp;$AW$82&amp;"P"&amp;$A90)="N/A",0,RTD("tos.rtd",,CI$83,"."&amp;$D$82&amp;$AW$82&amp;"P"&amp;$A90))</f>
        <v>0.57999999999999996</v>
      </c>
      <c r="CK90" s="3">
        <f t="shared" si="294"/>
        <v>-12535247.999999998</v>
      </c>
      <c r="CL90" s="3"/>
      <c r="CM90" s="3">
        <f t="shared" si="295"/>
        <v>72760229.75</v>
      </c>
      <c r="CN90" s="3"/>
      <c r="CO90" s="3">
        <f t="shared" si="296"/>
        <v>258456396.5</v>
      </c>
      <c r="CP90" s="3">
        <f t="shared" si="262"/>
        <v>318681378.25</v>
      </c>
      <c r="CQ90" s="3">
        <f t="shared" si="263"/>
        <v>7919</v>
      </c>
      <c r="CR90" s="3"/>
      <c r="CS90" s="3">
        <f t="shared" si="264"/>
        <v>729</v>
      </c>
      <c r="CT90" s="3"/>
      <c r="CU90" s="3">
        <f t="shared" si="265"/>
        <v>25</v>
      </c>
      <c r="CV90" s="3"/>
      <c r="CW90" s="3">
        <f t="shared" ca="1" si="297"/>
        <v>2989819.5664037876</v>
      </c>
      <c r="CY90" s="3">
        <f t="shared" ca="1" si="266"/>
        <v>3752863.8981530629</v>
      </c>
      <c r="CZ90" s="70" t="str">
        <f t="shared" ca="1" si="310"/>
        <v/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94.55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81.3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79.3</v>
      </c>
      <c r="DG90" s="86">
        <f t="shared" si="298"/>
        <v>84.75</v>
      </c>
      <c r="DH90" s="3">
        <f t="shared" si="267"/>
        <v>0</v>
      </c>
      <c r="DI90" s="3">
        <f t="shared" si="268"/>
        <v>0</v>
      </c>
      <c r="DJ90" s="3">
        <f t="shared" si="269"/>
        <v>0</v>
      </c>
      <c r="DK90" s="3">
        <f t="shared" si="270"/>
        <v>0</v>
      </c>
      <c r="DL90" s="3">
        <f t="shared" si="271"/>
        <v>0</v>
      </c>
      <c r="DM90" s="3">
        <f t="shared" si="272"/>
        <v>0</v>
      </c>
      <c r="DN90" s="64" t="str">
        <f t="shared" si="273"/>
        <v>UNKNOWN</v>
      </c>
      <c r="DO90" s="64" t="str">
        <f t="shared" si="274"/>
        <v>UNKNOWN</v>
      </c>
      <c r="DP90" s="3">
        <f t="shared" si="275"/>
        <v>0</v>
      </c>
      <c r="DQ90" s="3">
        <f t="shared" si="276"/>
        <v>0</v>
      </c>
      <c r="DR90" s="3">
        <f t="shared" ca="1" si="277"/>
        <v>0</v>
      </c>
      <c r="DS90" s="3">
        <f t="shared" si="278"/>
        <v>0</v>
      </c>
      <c r="DT90" s="3">
        <f t="shared" si="299"/>
        <v>0</v>
      </c>
      <c r="DU90" s="3">
        <f t="shared" si="300"/>
        <v>0</v>
      </c>
      <c r="DV90" s="3">
        <f t="shared" si="301"/>
        <v>-1930</v>
      </c>
      <c r="DW90" s="3">
        <f t="shared" si="302"/>
        <v>96</v>
      </c>
      <c r="DX90" s="3">
        <f t="shared" ca="1" si="311"/>
        <v>1.6039225702500902E-3</v>
      </c>
      <c r="DY90" s="3">
        <f t="shared" ca="1" si="279"/>
        <v>-2.8269644280797001E-3</v>
      </c>
      <c r="DZ90" s="3">
        <f t="shared" ca="1" si="303"/>
        <v>2.9633083306049891E-3</v>
      </c>
      <c r="EA90" s="3">
        <f t="shared" ca="1" si="304"/>
        <v>-2.8715912269181095E-3</v>
      </c>
      <c r="EB90" s="3">
        <f t="shared" ca="1" si="280"/>
        <v>2.984824795109131E-3</v>
      </c>
      <c r="EC90" s="3">
        <f t="shared" ca="1" si="281"/>
        <v>-2.9379686628140706E-3</v>
      </c>
      <c r="ED90" s="63">
        <f t="shared" si="305"/>
        <v>-1834</v>
      </c>
      <c r="EE90" s="59">
        <f t="shared" si="282"/>
        <v>0.63880000000000003</v>
      </c>
      <c r="EF90" s="59">
        <f t="shared" si="283"/>
        <v>1.0164</v>
      </c>
      <c r="EG90" s="59">
        <f t="shared" si="284"/>
        <v>0.14280000000000001</v>
      </c>
      <c r="EH90" s="59">
        <f t="shared" si="285"/>
        <v>0.15970000000000001</v>
      </c>
      <c r="EI90" s="59">
        <f t="shared" si="286"/>
        <v>0.13650000000000001</v>
      </c>
      <c r="EJ90" s="59">
        <f t="shared" si="287"/>
        <v>0.14829999999999999</v>
      </c>
      <c r="EK90" s="63">
        <f t="shared" ca="1" si="306"/>
        <v>-118608518.17488086</v>
      </c>
      <c r="EL90" s="3" t="str">
        <f>RTD("tos.rtd",,EL$83,"."&amp;$B$82&amp;$AS$82&amp;"C"&amp;$A90)</f>
        <v>63.88%</v>
      </c>
      <c r="EM90" s="3" t="str">
        <f>RTD("tos.rtd",,EM$83,"."&amp;$B$82&amp;$AS$82&amp;"P"&amp;$A90)</f>
        <v>101.64%</v>
      </c>
      <c r="EN90" s="3" t="str">
        <f>RTD("tos.rtd",,EN$83,"."&amp;$C$82&amp;$AU$82&amp;"C"&amp;$A90)</f>
        <v>14.28%</v>
      </c>
      <c r="EO90" s="3" t="str">
        <f>RTD("tos.rtd",,EO$83,"."&amp;$C$82&amp;$AU$82&amp;"P"&amp;$A90)</f>
        <v>15.97%</v>
      </c>
      <c r="EP90" s="3" t="str">
        <f>RTD("tos.rtd",,EP$83,"."&amp;$D$82&amp;$AW$82&amp;"C"&amp;$A90)</f>
        <v>13.65%</v>
      </c>
      <c r="EQ90" s="3" t="str">
        <f>RTD("tos.rtd",,EQ$83,"."&amp;$D$82&amp;$AW$82&amp;"P"&amp;$A90)</f>
        <v>14.83%</v>
      </c>
      <c r="ES90" s="63" t="str">
        <f t="shared" si="288"/>
        <v>6020,-1834.00</v>
      </c>
      <c r="ET90" s="63" t="str">
        <f t="shared" ca="1" si="289"/>
        <v>6020,3752.86</v>
      </c>
      <c r="EU90" s="67">
        <v>593.85</v>
      </c>
      <c r="EV90" s="67" t="s">
        <v>740</v>
      </c>
      <c r="EW90" s="67">
        <v>520.54</v>
      </c>
      <c r="EX90" s="67" t="s">
        <v>741</v>
      </c>
      <c r="EY90" s="67">
        <v>5948.75</v>
      </c>
      <c r="EZ90" s="67" t="s">
        <v>742</v>
      </c>
      <c r="FA90" s="67">
        <v>21366</v>
      </c>
      <c r="FB90" s="67" t="s">
        <v>743</v>
      </c>
      <c r="FC90" s="67" t="s">
        <v>744</v>
      </c>
      <c r="FD90" s="67" t="s">
        <v>745</v>
      </c>
      <c r="FE90" s="68" t="s">
        <v>746</v>
      </c>
      <c r="FF90" s="68" t="s">
        <v>747</v>
      </c>
    </row>
    <row r="91" spans="1:162" s="63" customFormat="1" ht="12" customHeight="1" thickBot="1" x14ac:dyDescent="0.25">
      <c r="A91" s="2">
        <f t="shared" si="307"/>
        <v>6010</v>
      </c>
      <c r="B91" s="3">
        <f t="shared" si="251"/>
        <v>2514</v>
      </c>
      <c r="C91" s="3">
        <f t="shared" si="252"/>
        <v>681</v>
      </c>
      <c r="D91" s="3">
        <f t="shared" si="253"/>
        <v>1005</v>
      </c>
      <c r="E91" s="3">
        <f t="shared" si="254"/>
        <v>4200</v>
      </c>
      <c r="F91" s="4">
        <f t="shared" si="308"/>
        <v>6030.2518849248136</v>
      </c>
      <c r="G91" s="4">
        <f t="shared" si="290"/>
        <v>599.87095741544158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-556</v>
      </c>
      <c r="AN91" s="20">
        <v>-393</v>
      </c>
      <c r="AO91" s="20">
        <v>6010</v>
      </c>
      <c r="AP91" s="20">
        <v>15679</v>
      </c>
      <c r="AQ91" s="20">
        <v>-425</v>
      </c>
      <c r="AR91" s="20"/>
      <c r="AS91" s="54">
        <f>IF(RTD("tos.rtd",,AS$83,"."&amp;$B$82&amp;$AS$82&amp;"C"&amp;$A91)="N/A",0,RTD("tos.rtd",,AS$83,"."&amp;$B$82&amp;$AS$82&amp;"C"&amp;$A91))</f>
        <v>2483</v>
      </c>
      <c r="AT91" s="3">
        <f>-IF(RTD("tos.rtd",,AT$83,"."&amp;$B$82&amp;$AS$82&amp;"P"&amp;$A91)="N/A",0,RTD("tos.rtd",,AT$83,"."&amp;$B$82&amp;$AS$82&amp;"P"&amp;$A91))</f>
        <v>-31</v>
      </c>
      <c r="AU91" s="54">
        <f>IF(RTD("tos.rtd",,AU$83,"."&amp;$C$82&amp;$AU$82&amp;"C"&amp;$A91)="N/A",0,RTD("tos.rtd",,AU$83,"."&amp;$C$82&amp;$AU$82&amp;"C"&amp;$A91))</f>
        <v>653</v>
      </c>
      <c r="AV91" s="3">
        <f>-IF(RTD("tos.rtd",,AV$83,"."&amp;$C$82&amp;$AU$82&amp;"P"&amp;$A91)="N/A",0,RTD("tos.rtd",,AV$83,"."&amp;$C$82&amp;$AU$82&amp;"P"&amp;$A91))</f>
        <v>-28</v>
      </c>
      <c r="AW91" s="54">
        <f>IF(RTD("tos.rtd",,AW$83,"."&amp;$D$82&amp;$AW$82&amp;"C"&amp;$A91)="N/A",0,RTD("tos.rtd",,AW$83,"."&amp;$D$82&amp;$AW$82&amp;"C"&amp;$A91))</f>
        <v>753</v>
      </c>
      <c r="AX91" s="3">
        <f>-IF(RTD("tos.rtd",,AX$83,"."&amp;$D$82&amp;$AW$82&amp;"P"&amp;$A91)="N/A",0,RTD("tos.rtd",,AX$83,"."&amp;$D$82&amp;$AW$82&amp;"P"&amp;$A91))</f>
        <v>-252</v>
      </c>
      <c r="AY91" s="79">
        <f t="shared" si="291"/>
        <v>3578</v>
      </c>
      <c r="AZ91" s="8">
        <f t="shared" si="255"/>
        <v>6010</v>
      </c>
      <c r="BA91" s="54">
        <f>IF(RTD("tos.rtd",,BA$83,"."&amp;$B$82&amp;$AS$82&amp;"C"&amp;$A91)="N/A",0,RTD("tos.rtd",,BA$83,"."&amp;$B$82&amp;$AS$82&amp;"C"&amp;$A91))</f>
        <v>15679</v>
      </c>
      <c r="BB91" s="3">
        <f>-IF(RTD("tos.rtd",,BB$83,"."&amp;$B$82&amp;$AS$82&amp;"P"&amp;$A91)="N/A",0,RTD("tos.rtd",,BB$83,"."&amp;$B$82&amp;$AS$82&amp;"P"&amp;$A91))</f>
        <v>-425</v>
      </c>
      <c r="BC91" s="54">
        <f>IF(RTD("tos.rtd",,BC$83,"."&amp;$C$82&amp;$AU$82&amp;"C"&amp;$A91)="N/A",0,RTD("tos.rtd",,BC$83,"."&amp;$C$82&amp;$AU$82&amp;"C"&amp;$A91))</f>
        <v>448</v>
      </c>
      <c r="BD91" s="3">
        <f>-IF(RTD("tos.rtd",,BD$83,"."&amp;$C$82&amp;$AU$82&amp;"P"&amp;$A91)="N/A",0,RTD("tos.rtd",,BD$83,"."&amp;$C$82&amp;$AU$82&amp;"P"&amp;$A91))</f>
        <v>-6</v>
      </c>
      <c r="BE91" s="54">
        <f>IF(RTD("tos.rtd",,BE$83,"."&amp;$D$82&amp;$AW$82&amp;"C"&amp;$A91)="N/A",0,RTD("tos.rtd",,BE$83,"."&amp;$D$82&amp;$AW$82&amp;"C"&amp;$A91))</f>
        <v>5</v>
      </c>
      <c r="BF91" s="3">
        <f>-IF(RTD("tos.rtd",,BF$83,"."&amp;$D$82&amp;$AW$82&amp;"P"&amp;$A91)="N/A",0,RTD("tos.rtd",,BF$83,"."&amp;$D$82&amp;$AW$82&amp;"P"&amp;$A91))</f>
        <v>-4</v>
      </c>
      <c r="BG91" s="3">
        <f ca="1">+Hoja2!Y92</f>
        <v>4423</v>
      </c>
      <c r="BH91" s="55">
        <f t="shared" ca="1" si="292"/>
        <v>20120</v>
      </c>
      <c r="BI91" s="32" t="str">
        <f t="shared" ca="1" si="312"/>
        <v/>
      </c>
      <c r="BJ91" s="3">
        <f ca="1">IF($BP$1=1,DX91,IF(RTD("tos.rtd",,BJ$83,"."&amp;$B$82&amp;$AS$82&amp;"C"&amp;$A91)="N/A",0,RTD("tos.rtd",,BJ$83,"."&amp;$B$82&amp;$AS$82&amp;"C"&amp;$A91)))</f>
        <v>1.8321075261811468E-3</v>
      </c>
      <c r="BK91" s="3">
        <f ca="1">IF($BP$1=1,DY91,-IF(RTD("tos.rtd",,BK$83,"."&amp;$B$82&amp;$AS$82&amp;"P"&amp;$A91)="N/A",0,RTD("tos.rtd",,BK$83,"."&amp;$B$82&amp;$AS$82&amp;"P"&amp;$A91)))</f>
        <v>-3.2178461057686316E-3</v>
      </c>
      <c r="BL91" s="3">
        <f ca="1">IF($BP$1=1,DZ91,IF(RTD("tos.rtd",,BL$83,"."&amp;$C$82&amp;$AU$82&amp;"C"&amp;$A91)="N/A",0,RTD("tos.rtd",,BL$83,"."&amp;$C$82&amp;$AU$82&amp;"C"&amp;$A91)))</f>
        <v>3.2375414387384059E-3</v>
      </c>
      <c r="BM91" s="3">
        <f ca="1">IF($BP$1=1,EA91,-IF(RTD("tos.rtd",,BM$83,"."&amp;$C$82&amp;$AU$82&amp;"P"&amp;$A91)="N/A",0,RTD("tos.rtd",,BM$83,"."&amp;$C$82&amp;$AU$82&amp;"P"&amp;$A91)))</f>
        <v>-3.0927945754575491E-3</v>
      </c>
      <c r="BN91" s="3">
        <f ca="1">IF($BP$1=1,EB91,IF(RTD("tos.rtd",,BN$83,"."&amp;$D$82&amp;$AW$82&amp;"C"&amp;$A91)="N/A",0,RTD("tos.rtd",,BN$83,"."&amp;$D$82&amp;$AW$82&amp;"C"&amp;$A91)))</f>
        <v>3.2877562212885042E-3</v>
      </c>
      <c r="BO91" s="3">
        <f ca="1">IF($BP$1=1,EC91,-IF(RTD("tos.rtd",,BO$83,"."&amp;$D$82&amp;$AW$82&amp;"P"&amp;$A91)="N/A",0,RTD("tos.rtd",,BO$83,"."&amp;$D$82&amp;$AW$82&amp;"P"&amp;$A91)))</f>
        <v>-3.1880360666738188E-3</v>
      </c>
      <c r="BQ91" s="3">
        <f t="shared" ca="1" si="256"/>
        <v>1201398.0742608642</v>
      </c>
      <c r="BR91" s="3" t="str">
        <f t="shared" ca="1" si="293"/>
        <v/>
      </c>
      <c r="BS91" s="3">
        <f t="shared" ca="1" si="257"/>
        <v>547460.49988842523</v>
      </c>
      <c r="BT91" s="3" t="str">
        <f t="shared" ca="1" si="293"/>
        <v/>
      </c>
      <c r="BU91" s="3">
        <f t="shared" ca="1" si="258"/>
        <v>451545.39120016852</v>
      </c>
      <c r="BV91" s="3" t="str">
        <f t="shared" ca="1" si="293"/>
        <v/>
      </c>
      <c r="BX91" s="3">
        <f t="shared" ca="1" si="259"/>
        <v>7387087.500531178</v>
      </c>
      <c r="BY91" s="3" t="str">
        <f t="shared" ca="1" si="309"/>
        <v/>
      </c>
      <c r="BZ91" s="3">
        <f t="shared" ca="1" si="260"/>
        <v>386624.64553875232</v>
      </c>
      <c r="CA91" s="3" t="str">
        <f t="shared" ca="1" si="309"/>
        <v/>
      </c>
      <c r="CB91" s="3">
        <f t="shared" ca="1" si="261"/>
        <v>995.44848831230411</v>
      </c>
      <c r="CC91" s="3" t="str">
        <f t="shared" ca="1" si="309"/>
        <v/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0.95</v>
      </c>
      <c r="CF91" s="3">
        <f>IF(RTD("tos.rtd",,CF$83,"."&amp;$C$82&amp;$AU$82&amp;"C"&amp;$A91)="N/A",0,RTD("tos.rtd",,CF$83,"."&amp;$C$82&amp;$AU$82&amp;"C"&amp;$A91))</f>
        <v>0.19</v>
      </c>
      <c r="CG91" s="3">
        <f>-IF(RTD("tos.rtd",,CG$83,"."&amp;$C$82&amp;$AU$82&amp;"P"&amp;$A91)="N/A",0,RTD("tos.rtd",,CG$83,"."&amp;$C$82&amp;$AU$82&amp;"P"&amp;$A91))</f>
        <v>0.78</v>
      </c>
      <c r="CH91" s="3">
        <f>IF(RTD("tos.rtd",,CH$83,"."&amp;$D$82&amp;$AW$82&amp;"C"&amp;$A91)="N/A",0,RTD("tos.rtd",,CH$83,"."&amp;$D$82&amp;$AW$82&amp;"C"&amp;$A91))</f>
        <v>0.43</v>
      </c>
      <c r="CI91" s="3">
        <f>-IF(RTD("tos.rtd",,CI$83,"."&amp;$D$82&amp;$AW$82&amp;"P"&amp;$A91)="N/A",0,RTD("tos.rtd",,CI$83,"."&amp;$D$82&amp;$AW$82&amp;"P"&amp;$A91))</f>
        <v>0.56000000000000005</v>
      </c>
      <c r="CK91" s="3">
        <f t="shared" si="294"/>
        <v>-17479311.25</v>
      </c>
      <c r="CL91" s="3"/>
      <c r="CM91" s="3">
        <f t="shared" si="295"/>
        <v>60676060.75</v>
      </c>
      <c r="CN91" s="3"/>
      <c r="CO91" s="3">
        <f t="shared" si="296"/>
        <v>108419211.75000003</v>
      </c>
      <c r="CP91" s="3">
        <f t="shared" si="262"/>
        <v>151615961.25000003</v>
      </c>
      <c r="CQ91" s="3">
        <f t="shared" si="263"/>
        <v>15254</v>
      </c>
      <c r="CR91" s="3"/>
      <c r="CS91" s="3">
        <f t="shared" si="264"/>
        <v>442</v>
      </c>
      <c r="CT91" s="3"/>
      <c r="CU91" s="3">
        <f t="shared" si="265"/>
        <v>1</v>
      </c>
      <c r="CV91" s="3"/>
      <c r="CW91" s="3">
        <f t="shared" ca="1" si="297"/>
        <v>2200403.9653494582</v>
      </c>
      <c r="CY91" s="3">
        <f t="shared" ca="1" si="266"/>
        <v>7774707.5945582418</v>
      </c>
      <c r="CZ91" s="70" t="str">
        <f t="shared" ca="1" si="310"/>
        <v/>
      </c>
      <c r="DA91" s="3">
        <f>IF(RTD("tos.rtd",,DA$83,"."&amp;$B$82&amp;$AS$82&amp;"C"&amp;$A91)="N/A",0,RTD("tos.rtd",,DA$83,"."&amp;$B$82&amp;$AS$82&amp;"C"&amp;$A91))</f>
        <v>0.03</v>
      </c>
      <c r="DB91" s="3">
        <f>IF(RTD("tos.rtd",,DB$83,"."&amp;$B$82&amp;$AS$82&amp;"P"&amp;$A91)="N/A",0,RTD("tos.rtd",,DB$83,"."&amp;$B$82&amp;$AS$82&amp;"P"&amp;$A91))</f>
        <v>75.849999999999994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71.3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69.3</v>
      </c>
      <c r="DG91" s="86">
        <f t="shared" si="298"/>
        <v>74.75</v>
      </c>
      <c r="DH91" s="3">
        <f t="shared" si="267"/>
        <v>0</v>
      </c>
      <c r="DI91" s="3">
        <f t="shared" si="268"/>
        <v>0</v>
      </c>
      <c r="DJ91" s="3">
        <f t="shared" si="269"/>
        <v>0</v>
      </c>
      <c r="DK91" s="3">
        <f t="shared" si="270"/>
        <v>0</v>
      </c>
      <c r="DL91" s="3">
        <f t="shared" si="271"/>
        <v>0</v>
      </c>
      <c r="DM91" s="3">
        <f t="shared" si="272"/>
        <v>0</v>
      </c>
      <c r="DN91" s="64" t="str">
        <f t="shared" si="273"/>
        <v>UNKNOWN</v>
      </c>
      <c r="DO91" s="64" t="str">
        <f t="shared" si="274"/>
        <v>UNKNOWN</v>
      </c>
      <c r="DP91" s="3">
        <f t="shared" si="275"/>
        <v>0</v>
      </c>
      <c r="DQ91" s="3">
        <f t="shared" si="276"/>
        <v>0</v>
      </c>
      <c r="DR91" s="3">
        <f t="shared" ca="1" si="277"/>
        <v>0</v>
      </c>
      <c r="DS91" s="3">
        <f t="shared" si="278"/>
        <v>0</v>
      </c>
      <c r="DT91" s="3">
        <f t="shared" si="299"/>
        <v>0</v>
      </c>
      <c r="DU91" s="3">
        <f t="shared" si="300"/>
        <v>0</v>
      </c>
      <c r="DV91" s="3">
        <f t="shared" si="301"/>
        <v>-556</v>
      </c>
      <c r="DW91" s="3">
        <f t="shared" si="302"/>
        <v>-393</v>
      </c>
      <c r="DX91" s="3">
        <f t="shared" ca="1" si="311"/>
        <v>1.8321075261811468E-3</v>
      </c>
      <c r="DY91" s="3">
        <f t="shared" ca="1" si="279"/>
        <v>-3.2178461057686316E-3</v>
      </c>
      <c r="DZ91" s="3">
        <f t="shared" ca="1" si="303"/>
        <v>3.2375414387384059E-3</v>
      </c>
      <c r="EA91" s="3">
        <f t="shared" ca="1" si="304"/>
        <v>-3.0927945754575491E-3</v>
      </c>
      <c r="EB91" s="3">
        <f t="shared" ca="1" si="280"/>
        <v>3.2877562212885042E-3</v>
      </c>
      <c r="EC91" s="3">
        <f t="shared" ca="1" si="281"/>
        <v>-3.1880360666738188E-3</v>
      </c>
      <c r="ED91" s="63">
        <f t="shared" si="305"/>
        <v>-949</v>
      </c>
      <c r="EE91" s="59">
        <f t="shared" si="282"/>
        <v>0.56599999999999995</v>
      </c>
      <c r="EF91" s="59">
        <f t="shared" si="283"/>
        <v>0.91269999999999996</v>
      </c>
      <c r="EG91" s="59">
        <f t="shared" si="284"/>
        <v>0.14360000000000001</v>
      </c>
      <c r="EH91" s="59">
        <f t="shared" si="285"/>
        <v>0.15909999999999999</v>
      </c>
      <c r="EI91" s="59">
        <f t="shared" si="286"/>
        <v>0.1376</v>
      </c>
      <c r="EJ91" s="59">
        <f t="shared" si="287"/>
        <v>0.14910000000000001</v>
      </c>
      <c r="EK91" s="63">
        <f t="shared" ca="1" si="306"/>
        <v>8664541.40221636</v>
      </c>
      <c r="EL91" s="3" t="str">
        <f>RTD("tos.rtd",,EL$83,"."&amp;$B$82&amp;$AS$82&amp;"C"&amp;$A91)</f>
        <v>56.60%</v>
      </c>
      <c r="EM91" s="3" t="str">
        <f>RTD("tos.rtd",,EM$83,"."&amp;$B$82&amp;$AS$82&amp;"P"&amp;$A91)</f>
        <v>91.27%</v>
      </c>
      <c r="EN91" s="3" t="str">
        <f>RTD("tos.rtd",,EN$83,"."&amp;$C$82&amp;$AU$82&amp;"C"&amp;$A91)</f>
        <v>14.36%</v>
      </c>
      <c r="EO91" s="3" t="str">
        <f>RTD("tos.rtd",,EO$83,"."&amp;$C$82&amp;$AU$82&amp;"P"&amp;$A91)</f>
        <v>15.91%</v>
      </c>
      <c r="EP91" s="3" t="str">
        <f>RTD("tos.rtd",,EP$83,"."&amp;$D$82&amp;$AW$82&amp;"C"&amp;$A91)</f>
        <v>13.76%</v>
      </c>
      <c r="EQ91" s="3" t="str">
        <f>RTD("tos.rtd",,EQ$83,"."&amp;$D$82&amp;$AW$82&amp;"P"&amp;$A91)</f>
        <v>14.91%</v>
      </c>
      <c r="ES91" s="63" t="str">
        <f t="shared" si="288"/>
        <v>6010,-949.00</v>
      </c>
      <c r="ET91" s="63" t="str">
        <f t="shared" ca="1" si="289"/>
        <v>6010,7774.71</v>
      </c>
      <c r="EU91" s="67">
        <v>593.92999999999995</v>
      </c>
      <c r="EV91" s="67" t="s">
        <v>748</v>
      </c>
      <c r="EW91" s="67">
        <v>520.61</v>
      </c>
      <c r="EX91" s="67" t="s">
        <v>749</v>
      </c>
      <c r="EY91" s="67">
        <v>5949.25</v>
      </c>
      <c r="EZ91" s="67" t="s">
        <v>750</v>
      </c>
      <c r="FA91" s="67">
        <v>21369</v>
      </c>
      <c r="FB91" s="67" t="s">
        <v>751</v>
      </c>
      <c r="FC91" s="67" t="s">
        <v>752</v>
      </c>
      <c r="FD91" s="67" t="s">
        <v>753</v>
      </c>
      <c r="FE91" s="68" t="s">
        <v>754</v>
      </c>
      <c r="FF91" s="68" t="s">
        <v>755</v>
      </c>
    </row>
    <row r="92" spans="1:162" s="63" customFormat="1" ht="12" customHeight="1" thickBot="1" x14ac:dyDescent="0.25">
      <c r="A92" s="2">
        <f t="shared" si="307"/>
        <v>6000</v>
      </c>
      <c r="B92" s="3">
        <f t="shared" si="251"/>
        <v>4800</v>
      </c>
      <c r="C92" s="3">
        <f t="shared" si="252"/>
        <v>4684</v>
      </c>
      <c r="D92" s="3">
        <f t="shared" si="253"/>
        <v>436624</v>
      </c>
      <c r="E92" s="3">
        <f t="shared" si="254"/>
        <v>446108</v>
      </c>
      <c r="F92" s="4">
        <f t="shared" si="308"/>
        <v>6020.2181879449054</v>
      </c>
      <c r="G92" s="4">
        <f t="shared" si="290"/>
        <v>598.87283602207151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-6924</v>
      </c>
      <c r="AN92" s="20">
        <v>-784</v>
      </c>
      <c r="AO92" s="20">
        <v>6000</v>
      </c>
      <c r="AP92" s="20">
        <v>42648</v>
      </c>
      <c r="AQ92" s="20">
        <v>-1369</v>
      </c>
      <c r="AR92" s="20"/>
      <c r="AS92" s="54">
        <f>IF(RTD("tos.rtd",,AS$83,"."&amp;$B$82&amp;$AS$82&amp;"C"&amp;$A92)="N/A",0,RTD("tos.rtd",,AS$83,"."&amp;$B$82&amp;$AS$82&amp;"C"&amp;$A92))</f>
        <v>4718</v>
      </c>
      <c r="AT92" s="3">
        <f>-IF(RTD("tos.rtd",,AT$83,"."&amp;$B$82&amp;$AS$82&amp;"P"&amp;$A92)="N/A",0,RTD("tos.rtd",,AT$83,"."&amp;$B$82&amp;$AS$82&amp;"P"&amp;$A92))</f>
        <v>-82</v>
      </c>
      <c r="AU92" s="54">
        <f>IF(RTD("tos.rtd",,AU$83,"."&amp;$C$82&amp;$AU$82&amp;"C"&amp;$A92)="N/A",0,RTD("tos.rtd",,AU$83,"."&amp;$C$82&amp;$AU$82&amp;"C"&amp;$A92))</f>
        <v>3650</v>
      </c>
      <c r="AV92" s="3">
        <f>-IF(RTD("tos.rtd",,AV$83,"."&amp;$C$82&amp;$AU$82&amp;"P"&amp;$A92)="N/A",0,RTD("tos.rtd",,AV$83,"."&amp;$C$82&amp;$AU$82&amp;"P"&amp;$A92))</f>
        <v>-1034</v>
      </c>
      <c r="AW92" s="54">
        <f>IF(RTD("tos.rtd",,AW$83,"."&amp;$D$82&amp;$AW$82&amp;"C"&amp;$A92)="N/A",0,RTD("tos.rtd",,AW$83,"."&amp;$D$82&amp;$AW$82&amp;"C"&amp;$A92))</f>
        <v>225796</v>
      </c>
      <c r="AX92" s="3">
        <f>-IF(RTD("tos.rtd",,AX$83,"."&amp;$D$82&amp;$AW$82&amp;"P"&amp;$A92)="N/A",0,RTD("tos.rtd",,AX$83,"."&amp;$D$82&amp;$AW$82&amp;"P"&amp;$A92))</f>
        <v>-210828</v>
      </c>
      <c r="AY92" s="79">
        <f t="shared" si="291"/>
        <v>22220</v>
      </c>
      <c r="AZ92" s="8">
        <f t="shared" si="255"/>
        <v>6000</v>
      </c>
      <c r="BA92" s="54">
        <f>IF(RTD("tos.rtd",,BA$83,"."&amp;$B$82&amp;$AS$82&amp;"C"&amp;$A92)="N/A",0,RTD("tos.rtd",,BA$83,"."&amp;$B$82&amp;$AS$82&amp;"C"&amp;$A92))</f>
        <v>42648</v>
      </c>
      <c r="BB92" s="3">
        <f>-IF(RTD("tos.rtd",,BB$83,"."&amp;$B$82&amp;$AS$82&amp;"P"&amp;$A92)="N/A",0,RTD("tos.rtd",,BB$83,"."&amp;$B$82&amp;$AS$82&amp;"P"&amp;$A92))</f>
        <v>-1369</v>
      </c>
      <c r="BC92" s="54">
        <f>IF(RTD("tos.rtd",,BC$83,"."&amp;$C$82&amp;$AU$82&amp;"C"&amp;$A92)="N/A",0,RTD("tos.rtd",,BC$83,"."&amp;$C$82&amp;$AU$82&amp;"C"&amp;$A92))</f>
        <v>2908</v>
      </c>
      <c r="BD92" s="3">
        <f>-IF(RTD("tos.rtd",,BD$83,"."&amp;$C$82&amp;$AU$82&amp;"P"&amp;$A92)="N/A",0,RTD("tos.rtd",,BD$83,"."&amp;$C$82&amp;$AU$82&amp;"P"&amp;$A92))</f>
        <v>-195</v>
      </c>
      <c r="BE92" s="54">
        <f>IF(RTD("tos.rtd",,BE$83,"."&amp;$D$82&amp;$AW$82&amp;"C"&amp;$A92)="N/A",0,RTD("tos.rtd",,BE$83,"."&amp;$D$82&amp;$AW$82&amp;"C"&amp;$A92))</f>
        <v>13033</v>
      </c>
      <c r="BF92" s="3">
        <f>-IF(RTD("tos.rtd",,BF$83,"."&amp;$D$82&amp;$AW$82&amp;"P"&amp;$A92)="N/A",0,RTD("tos.rtd",,BF$83,"."&amp;$D$82&amp;$AW$82&amp;"P"&amp;$A92))</f>
        <v>-11816</v>
      </c>
      <c r="BG92" s="3">
        <f ca="1">+Hoja2!Y93</f>
        <v>13106</v>
      </c>
      <c r="BH92" s="55">
        <f t="shared" ca="1" si="292"/>
        <v>58315</v>
      </c>
      <c r="BI92" s="32" t="str">
        <f t="shared" ca="1" si="312"/>
        <v/>
      </c>
      <c r="BJ92" s="3">
        <f ca="1">IF($BP$1=1,DX92,IF(RTD("tos.rtd",,BJ$83,"."&amp;$B$82&amp;$AS$82&amp;"C"&amp;$A92)="N/A",0,RTD("tos.rtd",,BJ$83,"."&amp;$B$82&amp;$AS$82&amp;"C"&amp;$A92)))</f>
        <v>2.1305821465150755E-3</v>
      </c>
      <c r="BK92" s="3">
        <f ca="1">IF($BP$1=1,DY92,-IF(RTD("tos.rtd",,BK$83,"."&amp;$B$82&amp;$AS$82&amp;"P"&amp;$A92)="N/A",0,RTD("tos.rtd",,BK$83,"."&amp;$B$82&amp;$AS$82&amp;"P"&amp;$A92)))</f>
        <v>-3.728836917241238E-3</v>
      </c>
      <c r="BL92" s="3">
        <f ca="1">IF($BP$1=1,DZ92,IF(RTD("tos.rtd",,BL$83,"."&amp;$C$82&amp;$AU$82&amp;"C"&amp;$A92)="N/A",0,RTD("tos.rtd",,BL$83,"."&amp;$C$82&amp;$AU$82&amp;"C"&amp;$A92)))</f>
        <v>3.4831236686135346E-3</v>
      </c>
      <c r="BM92" s="3">
        <f ca="1">IF($BP$1=1,EA92,-IF(RTD("tos.rtd",,BM$83,"."&amp;$C$82&amp;$AU$82&amp;"P"&amp;$A92)="N/A",0,RTD("tos.rtd",,BM$83,"."&amp;$C$82&amp;$AU$82&amp;"P"&amp;$A92)))</f>
        <v>-3.2979748675254802E-3</v>
      </c>
      <c r="BN92" s="3">
        <f ca="1">IF($BP$1=1,EB92,IF(RTD("tos.rtd",,BN$83,"."&amp;$D$82&amp;$AW$82&amp;"C"&amp;$A92)="N/A",0,RTD("tos.rtd",,BN$83,"."&amp;$D$82&amp;$AW$82&amp;"C"&amp;$A92)))</f>
        <v>3.5666310309836425E-3</v>
      </c>
      <c r="BO92" s="3">
        <f ca="1">IF($BP$1=1,EC92,-IF(RTD("tos.rtd",,BO$83,"."&amp;$D$82&amp;$AW$82&amp;"P"&amp;$A92)="N/A",0,RTD("tos.rtd",,BO$83,"."&amp;$D$82&amp;$AW$82&amp;"P"&amp;$A92)))</f>
        <v>-3.4126357029010102E-3</v>
      </c>
      <c r="BQ92" s="3">
        <f t="shared" ca="1" si="256"/>
        <v>2631656.4021769352</v>
      </c>
      <c r="BR92" s="3" t="str">
        <f t="shared" ca="1" si="293"/>
        <v/>
      </c>
      <c r="BS92" s="3">
        <f t="shared" ca="1" si="257"/>
        <v>2512032.4356137486</v>
      </c>
      <c r="BT92" s="3" t="str">
        <f t="shared" ca="1" si="293"/>
        <v/>
      </c>
      <c r="BU92" s="3">
        <f t="shared" ca="1" si="258"/>
        <v>23181318.982603729</v>
      </c>
      <c r="BV92" s="3" t="str">
        <f t="shared" ca="1" si="293"/>
        <v/>
      </c>
      <c r="BX92" s="3">
        <f t="shared" ca="1" si="259"/>
        <v>23156593.501101609</v>
      </c>
      <c r="BY92" s="3" t="str">
        <f t="shared" ca="1" si="309"/>
        <v/>
      </c>
      <c r="BZ92" s="3">
        <f t="shared" ca="1" si="260"/>
        <v>2561316.4859235864</v>
      </c>
      <c r="CA92" s="3" t="str">
        <f t="shared" ca="1" si="309"/>
        <v/>
      </c>
      <c r="CB92" s="3">
        <f t="shared" ca="1" si="261"/>
        <v>1663348.1439118814</v>
      </c>
      <c r="CC92" s="3" t="str">
        <f t="shared" ca="1" si="309"/>
        <v/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0.95</v>
      </c>
      <c r="CF92" s="3">
        <f>IF(RTD("tos.rtd",,CF$83,"."&amp;$C$82&amp;$AU$82&amp;"C"&amp;$A92)="N/A",0,RTD("tos.rtd",,CF$83,"."&amp;$C$82&amp;$AU$82&amp;"C"&amp;$A92))</f>
        <v>0.23</v>
      </c>
      <c r="CG92" s="3">
        <f>-IF(RTD("tos.rtd",,CG$83,"."&amp;$C$82&amp;$AU$82&amp;"P"&amp;$A92)="N/A",0,RTD("tos.rtd",,CG$83,"."&amp;$C$82&amp;$AU$82&amp;"P"&amp;$A92))</f>
        <v>0.75</v>
      </c>
      <c r="CH92" s="3">
        <f>IF(RTD("tos.rtd",,CH$83,"."&amp;$D$82&amp;$AW$82&amp;"C"&amp;$A92)="N/A",0,RTD("tos.rtd",,CH$83,"."&amp;$D$82&amp;$AW$82&amp;"C"&amp;$A92))</f>
        <v>0.45</v>
      </c>
      <c r="CI92" s="3">
        <f>-IF(RTD("tos.rtd",,CI$83,"."&amp;$D$82&amp;$AW$82&amp;"P"&amp;$A92)="N/A",0,RTD("tos.rtd",,CI$83,"."&amp;$D$82&amp;$AW$82&amp;"P"&amp;$A92))</f>
        <v>0.55000000000000004</v>
      </c>
      <c r="CK92" s="3">
        <f t="shared" si="294"/>
        <v>-46235597.499999993</v>
      </c>
      <c r="CL92" s="3"/>
      <c r="CM92" s="3">
        <f t="shared" si="295"/>
        <v>37985600</v>
      </c>
      <c r="CN92" s="3"/>
      <c r="CO92" s="3">
        <f t="shared" si="296"/>
        <v>-8515421880</v>
      </c>
      <c r="CP92" s="3">
        <f t="shared" si="262"/>
        <v>-8523671877.5</v>
      </c>
      <c r="CQ92" s="3">
        <f t="shared" si="263"/>
        <v>41279</v>
      </c>
      <c r="CR92" s="3"/>
      <c r="CS92" s="3">
        <f t="shared" si="264"/>
        <v>2713</v>
      </c>
      <c r="CT92" s="3"/>
      <c r="CU92" s="3">
        <f t="shared" si="265"/>
        <v>1217</v>
      </c>
      <c r="CV92" s="3"/>
      <c r="CW92" s="3">
        <f t="shared" ca="1" si="297"/>
        <v>28325007.820394412</v>
      </c>
      <c r="CY92" s="3">
        <f t="shared" ca="1" si="266"/>
        <v>27381258.130937077</v>
      </c>
      <c r="CZ92" s="70" t="str">
        <f t="shared" ca="1" si="310"/>
        <v/>
      </c>
      <c r="DA92" s="3">
        <f>IF(RTD("tos.rtd",,DA$83,"."&amp;$B$82&amp;$AS$82&amp;"C"&amp;$A92)="N/A",0,RTD("tos.rtd",,DA$83,"."&amp;$B$82&amp;$AS$82&amp;"C"&amp;$A92))</f>
        <v>0.05</v>
      </c>
      <c r="DB92" s="3">
        <f>IF(RTD("tos.rtd",,DB$83,"."&amp;$B$82&amp;$AS$82&amp;"P"&amp;$A92)="N/A",0,RTD("tos.rtd",,DB$83,"."&amp;$B$82&amp;$AS$82&amp;"P"&amp;$A92))</f>
        <v>61.6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61.3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59.3</v>
      </c>
      <c r="DG92" s="86">
        <f t="shared" si="298"/>
        <v>64.75</v>
      </c>
      <c r="DH92" s="3">
        <f t="shared" si="267"/>
        <v>0</v>
      </c>
      <c r="DI92" s="3">
        <f t="shared" si="268"/>
        <v>0</v>
      </c>
      <c r="DJ92" s="3">
        <f t="shared" si="269"/>
        <v>0</v>
      </c>
      <c r="DK92" s="3">
        <f t="shared" si="270"/>
        <v>0</v>
      </c>
      <c r="DL92" s="3">
        <f t="shared" si="271"/>
        <v>0</v>
      </c>
      <c r="DM92" s="3">
        <f t="shared" si="272"/>
        <v>0</v>
      </c>
      <c r="DN92" s="64" t="str">
        <f t="shared" si="273"/>
        <v>UNKNOWN</v>
      </c>
      <c r="DO92" s="64" t="str">
        <f t="shared" si="274"/>
        <v>UNKNOWN</v>
      </c>
      <c r="DP92" s="3">
        <f t="shared" si="275"/>
        <v>0</v>
      </c>
      <c r="DQ92" s="3">
        <f t="shared" si="276"/>
        <v>0</v>
      </c>
      <c r="DR92" s="3">
        <f t="shared" ca="1" si="277"/>
        <v>0</v>
      </c>
      <c r="DS92" s="3">
        <f t="shared" si="278"/>
        <v>0</v>
      </c>
      <c r="DT92" s="3">
        <f t="shared" si="299"/>
        <v>0</v>
      </c>
      <c r="DU92" s="3">
        <f t="shared" si="300"/>
        <v>0</v>
      </c>
      <c r="DV92" s="3">
        <f t="shared" si="301"/>
        <v>-6924</v>
      </c>
      <c r="DW92" s="3">
        <f t="shared" si="302"/>
        <v>-784</v>
      </c>
      <c r="DX92" s="3">
        <f t="shared" ca="1" si="311"/>
        <v>2.1305821465150755E-3</v>
      </c>
      <c r="DY92" s="3">
        <f t="shared" ca="1" si="279"/>
        <v>-3.728836917241238E-3</v>
      </c>
      <c r="DZ92" s="3">
        <f t="shared" ca="1" si="303"/>
        <v>3.4831236686135346E-3</v>
      </c>
      <c r="EA92" s="3">
        <f t="shared" ca="1" si="304"/>
        <v>-3.2979748675254802E-3</v>
      </c>
      <c r="EB92" s="3">
        <f t="shared" ca="1" si="280"/>
        <v>3.5666310309836425E-3</v>
      </c>
      <c r="EC92" s="3">
        <f t="shared" ca="1" si="281"/>
        <v>-3.4126357029010102E-3</v>
      </c>
      <c r="ED92" s="63">
        <f t="shared" si="305"/>
        <v>-7708</v>
      </c>
      <c r="EE92" s="59">
        <f t="shared" si="282"/>
        <v>0.49249999999999999</v>
      </c>
      <c r="EF92" s="59">
        <f t="shared" si="283"/>
        <v>0.80669999999999997</v>
      </c>
      <c r="EG92" s="59">
        <f t="shared" si="284"/>
        <v>0.1449</v>
      </c>
      <c r="EH92" s="59">
        <f t="shared" si="285"/>
        <v>0.15890000000000001</v>
      </c>
      <c r="EI92" s="59">
        <f t="shared" si="286"/>
        <v>0.1386</v>
      </c>
      <c r="EJ92" s="59">
        <f t="shared" si="287"/>
        <v>0.1502</v>
      </c>
      <c r="EK92" s="63">
        <f t="shared" ca="1" si="306"/>
        <v>-416693394.72875148</v>
      </c>
      <c r="EL92" s="3" t="str">
        <f>RTD("tos.rtd",,EL$83,"."&amp;$B$82&amp;$AS$82&amp;"C"&amp;$A92)</f>
        <v>49.25%</v>
      </c>
      <c r="EM92" s="3" t="str">
        <f>RTD("tos.rtd",,EM$83,"."&amp;$B$82&amp;$AS$82&amp;"P"&amp;$A92)</f>
        <v>80.67%</v>
      </c>
      <c r="EN92" s="3" t="str">
        <f>RTD("tos.rtd",,EN$83,"."&amp;$C$82&amp;$AU$82&amp;"C"&amp;$A92)</f>
        <v>14.49%</v>
      </c>
      <c r="EO92" s="3" t="str">
        <f>RTD("tos.rtd",,EO$83,"."&amp;$C$82&amp;$AU$82&amp;"P"&amp;$A92)</f>
        <v>15.89%</v>
      </c>
      <c r="EP92" s="3" t="str">
        <f>RTD("tos.rtd",,EP$83,"."&amp;$D$82&amp;$AW$82&amp;"C"&amp;$A92)</f>
        <v>13.86%</v>
      </c>
      <c r="EQ92" s="3" t="str">
        <f>RTD("tos.rtd",,EQ$83,"."&amp;$D$82&amp;$AW$82&amp;"P"&amp;$A92)</f>
        <v>15.02%</v>
      </c>
      <c r="ES92" s="63" t="str">
        <f t="shared" si="288"/>
        <v>6000,-7708.00</v>
      </c>
      <c r="ET92" s="63" t="str">
        <f t="shared" ca="1" si="289"/>
        <v>6000,27381.26</v>
      </c>
      <c r="EU92" s="67">
        <v>593.86</v>
      </c>
      <c r="EV92" s="67" t="s">
        <v>756</v>
      </c>
      <c r="EW92" s="67">
        <v>520.66999999999996</v>
      </c>
      <c r="EX92" s="67" t="s">
        <v>757</v>
      </c>
      <c r="EY92" s="67">
        <v>5949.5</v>
      </c>
      <c r="EZ92" s="67" t="s">
        <v>758</v>
      </c>
      <c r="FA92" s="67">
        <v>21371.25</v>
      </c>
      <c r="FB92" s="67" t="s">
        <v>759</v>
      </c>
      <c r="FC92" s="67" t="s">
        <v>760</v>
      </c>
      <c r="FD92" s="67" t="s">
        <v>761</v>
      </c>
      <c r="FE92" s="68" t="s">
        <v>762</v>
      </c>
      <c r="FF92" s="68" t="s">
        <v>763</v>
      </c>
    </row>
    <row r="93" spans="1:162" s="63" customFormat="1" ht="12" customHeight="1" thickBot="1" x14ac:dyDescent="0.25">
      <c r="A93" s="2">
        <f t="shared" si="307"/>
        <v>5990</v>
      </c>
      <c r="B93" s="3">
        <f t="shared" si="251"/>
        <v>1727</v>
      </c>
      <c r="C93" s="3">
        <f t="shared" si="252"/>
        <v>1085</v>
      </c>
      <c r="D93" s="3">
        <f t="shared" si="253"/>
        <v>915</v>
      </c>
      <c r="E93" s="3">
        <f t="shared" si="254"/>
        <v>3727</v>
      </c>
      <c r="F93" s="4">
        <f t="shared" ref="F93:F99" si="313">+$F$84/$A$84*A93</f>
        <v>6010.1844909649972</v>
      </c>
      <c r="G93" s="4">
        <f t="shared" si="290"/>
        <v>597.87471462870133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-12806</v>
      </c>
      <c r="AN93" s="20">
        <v>-25</v>
      </c>
      <c r="AO93" s="20">
        <v>5990</v>
      </c>
      <c r="AP93" s="20">
        <v>34910</v>
      </c>
      <c r="AQ93" s="20">
        <v>-284</v>
      </c>
      <c r="AR93" s="20"/>
      <c r="AS93" s="54">
        <f>IF(RTD("tos.rtd",,AS$83,"."&amp;$B$82&amp;$AS$82&amp;"C"&amp;$A93)="N/A",0,RTD("tos.rtd",,AS$83,"."&amp;$B$82&amp;$AS$82&amp;"C"&amp;$A93))</f>
        <v>1662</v>
      </c>
      <c r="AT93" s="3">
        <f>-IF(RTD("tos.rtd",,AT$83,"."&amp;$B$82&amp;$AS$82&amp;"P"&amp;$A93)="N/A",0,RTD("tos.rtd",,AT$83,"."&amp;$B$82&amp;$AS$82&amp;"P"&amp;$A93))</f>
        <v>-65</v>
      </c>
      <c r="AU93" s="54">
        <f>IF(RTD("tos.rtd",,AU$83,"."&amp;$C$82&amp;$AU$82&amp;"C"&amp;$A93)="N/A",0,RTD("tos.rtd",,AU$83,"."&amp;$C$82&amp;$AU$82&amp;"C"&amp;$A93))</f>
        <v>1014</v>
      </c>
      <c r="AV93" s="3">
        <f>-IF(RTD("tos.rtd",,AV$83,"."&amp;$C$82&amp;$AU$82&amp;"P"&amp;$A93)="N/A",0,RTD("tos.rtd",,AV$83,"."&amp;$C$82&amp;$AU$82&amp;"P"&amp;$A93))</f>
        <v>-71</v>
      </c>
      <c r="AW93" s="54">
        <f>IF(RTD("tos.rtd",,AW$83,"."&amp;$D$82&amp;$AW$82&amp;"C"&amp;$A93)="N/A",0,RTD("tos.rtd",,AW$83,"."&amp;$D$82&amp;$AW$82&amp;"C"&amp;$A93))</f>
        <v>620</v>
      </c>
      <c r="AX93" s="3">
        <f>-IF(RTD("tos.rtd",,AX$83,"."&amp;$D$82&amp;$AW$82&amp;"P"&amp;$A93)="N/A",0,RTD("tos.rtd",,AX$83,"."&amp;$D$82&amp;$AW$82&amp;"P"&amp;$A93))</f>
        <v>-295</v>
      </c>
      <c r="AY93" s="79">
        <f t="shared" si="291"/>
        <v>2865</v>
      </c>
      <c r="AZ93" s="8">
        <f t="shared" si="255"/>
        <v>5990</v>
      </c>
      <c r="BA93" s="54">
        <f>IF(RTD("tos.rtd",,BA$83,"."&amp;$B$82&amp;$AS$82&amp;"C"&amp;$A93)="N/A",0,RTD("tos.rtd",,BA$83,"."&amp;$B$82&amp;$AS$82&amp;"C"&amp;$A93))</f>
        <v>34910</v>
      </c>
      <c r="BB93" s="3">
        <f>-IF(RTD("tos.rtd",,BB$83,"."&amp;$B$82&amp;$AS$82&amp;"P"&amp;$A93)="N/A",0,RTD("tos.rtd",,BB$83,"."&amp;$B$82&amp;$AS$82&amp;"P"&amp;$A93))</f>
        <v>-284</v>
      </c>
      <c r="BC93" s="54">
        <f>IF(RTD("tos.rtd",,BC$83,"."&amp;$C$82&amp;$AU$82&amp;"C"&amp;$A93)="N/A",0,RTD("tos.rtd",,BC$83,"."&amp;$C$82&amp;$AU$82&amp;"C"&amp;$A93))</f>
        <v>432</v>
      </c>
      <c r="BD93" s="3">
        <f>-IF(RTD("tos.rtd",,BD$83,"."&amp;$C$82&amp;$AU$82&amp;"P"&amp;$A93)="N/A",0,RTD("tos.rtd",,BD$83,"."&amp;$C$82&amp;$AU$82&amp;"P"&amp;$A93))</f>
        <v>-25</v>
      </c>
      <c r="BE93" s="54">
        <f>IF(RTD("tos.rtd",,BE$83,"."&amp;$D$82&amp;$AW$82&amp;"C"&amp;$A93)="N/A",0,RTD("tos.rtd",,BE$83,"."&amp;$D$82&amp;$AW$82&amp;"C"&amp;$A93))</f>
        <v>60</v>
      </c>
      <c r="BF93" s="3">
        <f>-IF(RTD("tos.rtd",,BF$83,"."&amp;$D$82&amp;$AW$82&amp;"P"&amp;$A93)="N/A",0,RTD("tos.rtd",,BF$83,"."&amp;$D$82&amp;$AW$82&amp;"P"&amp;$A93))</f>
        <v>0</v>
      </c>
      <c r="BG93" s="3">
        <f ca="1">+Hoja2!Y94</f>
        <v>3122</v>
      </c>
      <c r="BH93" s="55">
        <f t="shared" ca="1" si="292"/>
        <v>38215</v>
      </c>
      <c r="BI93" s="32" t="str">
        <f t="shared" ca="1" si="312"/>
        <v/>
      </c>
      <c r="BJ93" s="3">
        <f ca="1">IF($BP$1=1,DX93,IF(RTD("tos.rtd",,BJ$83,"."&amp;$B$82&amp;$AS$82&amp;"C"&amp;$A93)="N/A",0,RTD("tos.rtd",,BJ$83,"."&amp;$B$82&amp;$AS$82&amp;"C"&amp;$A93)))</f>
        <v>2.5322066736048281E-3</v>
      </c>
      <c r="BK93" s="3">
        <f ca="1">IF($BP$1=1,DY93,-IF(RTD("tos.rtd",,BK$83,"."&amp;$B$82&amp;$AS$82&amp;"P"&amp;$A93)="N/A",0,RTD("tos.rtd",,BK$83,"."&amp;$B$82&amp;$AS$82&amp;"P"&amp;$A93)))</f>
        <v>-4.4250547907615529E-3</v>
      </c>
      <c r="BL93" s="3">
        <f ca="1">IF($BP$1=1,DZ93,IF(RTD("tos.rtd",,BL$83,"."&amp;$C$82&amp;$AU$82&amp;"C"&amp;$A93)="N/A",0,RTD("tos.rtd",,BL$83,"."&amp;$C$82&amp;$AU$82&amp;"C"&amp;$A93)))</f>
        <v>3.6986308126230175E-3</v>
      </c>
      <c r="BM93" s="3">
        <f ca="1">IF($BP$1=1,EA93,-IF(RTD("tos.rtd",,BM$83,"."&amp;$C$82&amp;$AU$82&amp;"P"&amp;$A93)="N/A",0,RTD("tos.rtd",,BM$83,"."&amp;$C$82&amp;$AU$82&amp;"P"&amp;$A93)))</f>
        <v>-3.4797150619218379E-3</v>
      </c>
      <c r="BN93" s="3">
        <f ca="1">IF($BP$1=1,EB93,IF(RTD("tos.rtd",,BN$83,"."&amp;$D$82&amp;$AW$82&amp;"C"&amp;$A93)="N/A",0,RTD("tos.rtd",,BN$83,"."&amp;$D$82&amp;$AW$82&amp;"C"&amp;$A93)))</f>
        <v>3.8106146434578954E-3</v>
      </c>
      <c r="BO93" s="3">
        <f ca="1">IF($BP$1=1,EC93,-IF(RTD("tos.rtd",,BO$83,"."&amp;$D$82&amp;$AW$82&amp;"P"&amp;$A93)="N/A",0,RTD("tos.rtd",,BO$83,"."&amp;$D$82&amp;$AW$82&amp;"P"&amp;$A93)))</f>
        <v>-3.6073131718390556E-3</v>
      </c>
      <c r="BQ93" s="3">
        <f t="shared" ca="1" si="256"/>
        <v>1058702.8455703668</v>
      </c>
      <c r="BR93" s="3" t="str">
        <f t="shared" ca="1" si="293"/>
        <v/>
      </c>
      <c r="BS93" s="3">
        <f t="shared" ca="1" si="257"/>
        <v>945958.73670025356</v>
      </c>
      <c r="BT93" s="3" t="str">
        <f t="shared" ca="1" si="293"/>
        <v/>
      </c>
      <c r="BU93" s="3">
        <f t="shared" ca="1" si="258"/>
        <v>350594.31097221194</v>
      </c>
      <c r="BV93" s="3" t="str">
        <f t="shared" ca="1" si="293"/>
        <v/>
      </c>
      <c r="BX93" s="3">
        <f t="shared" ca="1" si="259"/>
        <v>23529843.739681136</v>
      </c>
      <c r="BY93" s="3" t="str">
        <f t="shared" ca="1" si="309"/>
        <v/>
      </c>
      <c r="BZ93" s="3">
        <f t="shared" ca="1" si="260"/>
        <v>407943.39254468121</v>
      </c>
      <c r="CA93" s="3" t="str">
        <f t="shared" ca="1" si="309"/>
        <v/>
      </c>
      <c r="CB93" s="3">
        <f t="shared" ca="1" si="261"/>
        <v>61735.463804961422</v>
      </c>
      <c r="CC93" s="3" t="str">
        <f t="shared" ca="1" si="309"/>
        <v/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0.94</v>
      </c>
      <c r="CF93" s="3">
        <f>IF(RTD("tos.rtd",,CF$83,"."&amp;$C$82&amp;$AU$82&amp;"C"&amp;$A93)="N/A",0,RTD("tos.rtd",,CF$83,"."&amp;$C$82&amp;$AU$82&amp;"C"&amp;$A93))</f>
        <v>0.28000000000000003</v>
      </c>
      <c r="CG93" s="3">
        <f>-IF(RTD("tos.rtd",,CG$83,"."&amp;$C$82&amp;$AU$82&amp;"P"&amp;$A93)="N/A",0,RTD("tos.rtd",,CG$83,"."&amp;$C$82&amp;$AU$82&amp;"P"&amp;$A93))</f>
        <v>0.71</v>
      </c>
      <c r="CH93" s="3">
        <f>IF(RTD("tos.rtd",,CH$83,"."&amp;$D$82&amp;$AW$82&amp;"C"&amp;$A93)="N/A",0,RTD("tos.rtd",,CH$83,"."&amp;$D$82&amp;$AW$82&amp;"C"&amp;$A93))</f>
        <v>0.46</v>
      </c>
      <c r="CI93" s="3">
        <f>-IF(RTD("tos.rtd",,CI$83,"."&amp;$D$82&amp;$AW$82&amp;"P"&amp;$A93)="N/A",0,RTD("tos.rtd",,CI$83,"."&amp;$D$82&amp;$AW$82&amp;"P"&amp;$A93))</f>
        <v>0.53</v>
      </c>
      <c r="CK93" s="3">
        <f t="shared" si="294"/>
        <v>-36264377.499999993</v>
      </c>
      <c r="CL93" s="3"/>
      <c r="CM93" s="3">
        <f t="shared" si="295"/>
        <v>138594022.75</v>
      </c>
      <c r="CN93" s="3"/>
      <c r="CO93" s="3">
        <f t="shared" si="296"/>
        <v>76475696.25</v>
      </c>
      <c r="CP93" s="3">
        <f t="shared" si="262"/>
        <v>178805341.5</v>
      </c>
      <c r="CQ93" s="3">
        <f t="shared" si="263"/>
        <v>34626</v>
      </c>
      <c r="CR93" s="3"/>
      <c r="CS93" s="3">
        <f t="shared" si="264"/>
        <v>407</v>
      </c>
      <c r="CT93" s="3"/>
      <c r="CU93" s="3">
        <f t="shared" si="265"/>
        <v>60</v>
      </c>
      <c r="CV93" s="3"/>
      <c r="CW93" s="3">
        <f t="shared" ca="1" si="297"/>
        <v>2355255.8932428323</v>
      </c>
      <c r="CY93" s="3">
        <f t="shared" ca="1" si="266"/>
        <v>23999522.596030779</v>
      </c>
      <c r="CZ93" s="70" t="str">
        <f t="shared" ca="1" si="310"/>
        <v/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60.13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51.3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49.3</v>
      </c>
      <c r="DG93" s="86">
        <f t="shared" si="298"/>
        <v>54.75</v>
      </c>
      <c r="DH93" s="3">
        <f t="shared" si="267"/>
        <v>0</v>
      </c>
      <c r="DI93" s="3">
        <f t="shared" si="268"/>
        <v>0</v>
      </c>
      <c r="DJ93" s="3">
        <f t="shared" si="269"/>
        <v>0</v>
      </c>
      <c r="DK93" s="3">
        <f t="shared" si="270"/>
        <v>0</v>
      </c>
      <c r="DL93" s="3">
        <f t="shared" si="271"/>
        <v>0</v>
      </c>
      <c r="DM93" s="3">
        <f t="shared" si="272"/>
        <v>0</v>
      </c>
      <c r="DN93" s="64" t="str">
        <f t="shared" si="273"/>
        <v>UNKNOWN</v>
      </c>
      <c r="DO93" s="64" t="str">
        <f t="shared" si="274"/>
        <v>UNKNOWN</v>
      </c>
      <c r="DP93" s="3">
        <f t="shared" si="275"/>
        <v>0</v>
      </c>
      <c r="DQ93" s="3">
        <f t="shared" si="276"/>
        <v>0</v>
      </c>
      <c r="DR93" s="3">
        <f t="shared" ca="1" si="277"/>
        <v>0</v>
      </c>
      <c r="DS93" s="3">
        <f t="shared" si="278"/>
        <v>0</v>
      </c>
      <c r="DT93" s="3">
        <f t="shared" si="299"/>
        <v>0</v>
      </c>
      <c r="DU93" s="3">
        <f t="shared" si="300"/>
        <v>0</v>
      </c>
      <c r="DV93" s="3">
        <f t="shared" si="301"/>
        <v>-12806</v>
      </c>
      <c r="DW93" s="3">
        <f t="shared" si="302"/>
        <v>-25</v>
      </c>
      <c r="DX93" s="3">
        <f t="shared" ca="1" si="311"/>
        <v>2.5322066736048281E-3</v>
      </c>
      <c r="DY93" s="3">
        <f t="shared" ca="1" si="279"/>
        <v>-4.4250547907615529E-3</v>
      </c>
      <c r="DZ93" s="3">
        <f t="shared" ca="1" si="303"/>
        <v>3.6986308126230175E-3</v>
      </c>
      <c r="EA93" s="3">
        <f t="shared" ca="1" si="304"/>
        <v>-3.4797150619218379E-3</v>
      </c>
      <c r="EB93" s="3">
        <f t="shared" ca="1" si="280"/>
        <v>3.8106146434578954E-3</v>
      </c>
      <c r="EC93" s="3">
        <f t="shared" ca="1" si="281"/>
        <v>-3.6073131718390556E-3</v>
      </c>
      <c r="ED93" s="63">
        <f t="shared" si="305"/>
        <v>-12831</v>
      </c>
      <c r="EE93" s="59">
        <f t="shared" si="282"/>
        <v>0.41789999999999999</v>
      </c>
      <c r="EF93" s="59">
        <f t="shared" si="283"/>
        <v>0.69799999999999995</v>
      </c>
      <c r="EG93" s="59">
        <f t="shared" si="284"/>
        <v>0.14599999999999999</v>
      </c>
      <c r="EH93" s="59">
        <f t="shared" si="285"/>
        <v>0.159</v>
      </c>
      <c r="EI93" s="59">
        <f t="shared" si="286"/>
        <v>0.13969999999999999</v>
      </c>
      <c r="EJ93" s="59">
        <f t="shared" si="287"/>
        <v>0.15129999999999999</v>
      </c>
      <c r="EK93" s="63">
        <f t="shared" ca="1" si="306"/>
        <v>-1138430569.6310487</v>
      </c>
      <c r="EL93" s="3" t="str">
        <f>RTD("tos.rtd",,EL$83,"."&amp;$B$82&amp;$AS$82&amp;"C"&amp;$A93)</f>
        <v>41.79%</v>
      </c>
      <c r="EM93" s="3" t="str">
        <f>RTD("tos.rtd",,EM$83,"."&amp;$B$82&amp;$AS$82&amp;"P"&amp;$A93)</f>
        <v>69.80%</v>
      </c>
      <c r="EN93" s="3" t="str">
        <f>RTD("tos.rtd",,EN$83,"."&amp;$C$82&amp;$AU$82&amp;"C"&amp;$A93)</f>
        <v>14.60%</v>
      </c>
      <c r="EO93" s="3" t="str">
        <f>RTD("tos.rtd",,EO$83,"."&amp;$C$82&amp;$AU$82&amp;"P"&amp;$A93)</f>
        <v>15.90%</v>
      </c>
      <c r="EP93" s="3" t="str">
        <f>RTD("tos.rtd",,EP$83,"."&amp;$D$82&amp;$AW$82&amp;"C"&amp;$A93)</f>
        <v>13.97%</v>
      </c>
      <c r="EQ93" s="3" t="str">
        <f>RTD("tos.rtd",,EQ$83,"."&amp;$D$82&amp;$AW$82&amp;"P"&amp;$A93)</f>
        <v>15.13%</v>
      </c>
      <c r="ES93" s="63" t="str">
        <f t="shared" si="288"/>
        <v>5990,-12831.00</v>
      </c>
      <c r="ET93" s="63" t="str">
        <f t="shared" ca="1" si="289"/>
        <v>5990,23999.52</v>
      </c>
      <c r="EU93" s="67">
        <v>593.99</v>
      </c>
      <c r="EV93" s="67" t="s">
        <v>764</v>
      </c>
      <c r="EW93" s="67">
        <v>520.72</v>
      </c>
      <c r="EX93" s="67" t="s">
        <v>765</v>
      </c>
      <c r="EY93" s="67">
        <v>5950.25</v>
      </c>
      <c r="EZ93" s="67" t="s">
        <v>766</v>
      </c>
      <c r="FA93" s="67">
        <v>21372.75</v>
      </c>
      <c r="FB93" s="67" t="s">
        <v>767</v>
      </c>
      <c r="FC93" s="67" t="s">
        <v>768</v>
      </c>
      <c r="FD93" s="67" t="s">
        <v>769</v>
      </c>
      <c r="FE93" s="68" t="s">
        <v>770</v>
      </c>
      <c r="FF93" s="68" t="s">
        <v>771</v>
      </c>
    </row>
    <row r="94" spans="1:162" s="63" customFormat="1" ht="12" customHeight="1" thickBot="1" x14ac:dyDescent="0.25">
      <c r="A94" s="2">
        <f t="shared" si="307"/>
        <v>5980</v>
      </c>
      <c r="B94" s="3">
        <f t="shared" si="251"/>
        <v>1053</v>
      </c>
      <c r="C94" s="3">
        <f t="shared" si="252"/>
        <v>2155</v>
      </c>
      <c r="D94" s="3">
        <f t="shared" si="253"/>
        <v>1919</v>
      </c>
      <c r="E94" s="3">
        <f t="shared" si="254"/>
        <v>5127</v>
      </c>
      <c r="F94" s="4">
        <f t="shared" si="313"/>
        <v>6000.150793985089</v>
      </c>
      <c r="G94" s="4">
        <f t="shared" si="290"/>
        <v>596.87659323533126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-4144</v>
      </c>
      <c r="AN94" s="20">
        <v>-367</v>
      </c>
      <c r="AO94" s="20">
        <v>5980</v>
      </c>
      <c r="AP94" s="20">
        <v>40830</v>
      </c>
      <c r="AQ94" s="20">
        <v>-1025</v>
      </c>
      <c r="AR94" s="20"/>
      <c r="AS94" s="54">
        <f>IF(RTD("tos.rtd",,AS$83,"."&amp;$B$82&amp;$AS$82&amp;"C"&amp;$A94)="N/A",0,RTD("tos.rtd",,AS$83,"."&amp;$B$82&amp;$AS$82&amp;"C"&amp;$A94))</f>
        <v>836</v>
      </c>
      <c r="AT94" s="3">
        <f>-IF(RTD("tos.rtd",,AT$83,"."&amp;$B$82&amp;$AS$82&amp;"P"&amp;$A94)="N/A",0,RTD("tos.rtd",,AT$83,"."&amp;$B$82&amp;$AS$82&amp;"P"&amp;$A94))</f>
        <v>-217</v>
      </c>
      <c r="AU94" s="54">
        <f>IF(RTD("tos.rtd",,AU$83,"."&amp;$C$82&amp;$AU$82&amp;"C"&amp;$A94)="N/A",0,RTD("tos.rtd",,AU$83,"."&amp;$C$82&amp;$AU$82&amp;"C"&amp;$A94))</f>
        <v>2055</v>
      </c>
      <c r="AV94" s="3">
        <f>-IF(RTD("tos.rtd",,AV$83,"."&amp;$C$82&amp;$AU$82&amp;"P"&amp;$A94)="N/A",0,RTD("tos.rtd",,AV$83,"."&amp;$C$82&amp;$AU$82&amp;"P"&amp;$A94))</f>
        <v>-100</v>
      </c>
      <c r="AW94" s="54">
        <f>IF(RTD("tos.rtd",,AW$83,"."&amp;$D$82&amp;$AW$82&amp;"C"&amp;$A94)="N/A",0,RTD("tos.rtd",,AW$83,"."&amp;$D$82&amp;$AW$82&amp;"C"&amp;$A94))</f>
        <v>998</v>
      </c>
      <c r="AX94" s="3">
        <f>-IF(RTD("tos.rtd",,AX$83,"."&amp;$D$82&amp;$AW$82&amp;"P"&amp;$A94)="N/A",0,RTD("tos.rtd",,AX$83,"."&amp;$D$82&amp;$AW$82&amp;"P"&amp;$A94))</f>
        <v>-921</v>
      </c>
      <c r="AY94" s="79">
        <f t="shared" si="291"/>
        <v>2651</v>
      </c>
      <c r="AZ94" s="8">
        <f t="shared" si="255"/>
        <v>5980</v>
      </c>
      <c r="BA94" s="54">
        <f>IF(RTD("tos.rtd",,BA$83,"."&amp;$B$82&amp;$AS$82&amp;"C"&amp;$A94)="N/A",0,RTD("tos.rtd",,BA$83,"."&amp;$B$82&amp;$AS$82&amp;"C"&amp;$A94))</f>
        <v>40830</v>
      </c>
      <c r="BB94" s="3">
        <f>-IF(RTD("tos.rtd",,BB$83,"."&amp;$B$82&amp;$AS$82&amp;"P"&amp;$A94)="N/A",0,RTD("tos.rtd",,BB$83,"."&amp;$B$82&amp;$AS$82&amp;"P"&amp;$A94))</f>
        <v>-1025</v>
      </c>
      <c r="BC94" s="54">
        <f>IF(RTD("tos.rtd",,BC$83,"."&amp;$C$82&amp;$AU$82&amp;"C"&amp;$A94)="N/A",0,RTD("tos.rtd",,BC$83,"."&amp;$C$82&amp;$AU$82&amp;"C"&amp;$A94))</f>
        <v>527</v>
      </c>
      <c r="BD94" s="3">
        <f>-IF(RTD("tos.rtd",,BD$83,"."&amp;$C$82&amp;$AU$82&amp;"P"&amp;$A94)="N/A",0,RTD("tos.rtd",,BD$83,"."&amp;$C$82&amp;$AU$82&amp;"P"&amp;$A94))</f>
        <v>-148</v>
      </c>
      <c r="BE94" s="54">
        <f>IF(RTD("tos.rtd",,BE$83,"."&amp;$D$82&amp;$AW$82&amp;"C"&amp;$A94)="N/A",0,RTD("tos.rtd",,BE$83,"."&amp;$D$82&amp;$AW$82&amp;"C"&amp;$A94))</f>
        <v>23</v>
      </c>
      <c r="BF94" s="3">
        <f>-IF(RTD("tos.rtd",,BF$83,"."&amp;$D$82&amp;$AW$82&amp;"P"&amp;$A94)="N/A",0,RTD("tos.rtd",,BF$83,"."&amp;$D$82&amp;$AW$82&amp;"P"&amp;$A94))</f>
        <v>-8</v>
      </c>
      <c r="BG94" s="3">
        <f ca="1">+Hoja2!Y95</f>
        <v>5291</v>
      </c>
      <c r="BH94" s="55">
        <f t="shared" ca="1" si="292"/>
        <v>45490</v>
      </c>
      <c r="BI94" s="32" t="str">
        <f t="shared" ca="1" si="312"/>
        <v/>
      </c>
      <c r="BJ94" s="3">
        <f ca="1">IF($BP$1=1,DX94,IF(RTD("tos.rtd",,BJ$83,"."&amp;$B$82&amp;$AS$82&amp;"C"&amp;$A94)="N/A",0,RTD("tos.rtd",,BJ$83,"."&amp;$B$82&amp;$AS$82&amp;"C"&amp;$A94)))</f>
        <v>3.097432600871372E-3</v>
      </c>
      <c r="BK94" s="3">
        <f ca="1">IF($BP$1=1,DY94,-IF(RTD("tos.rtd",,BK$83,"."&amp;$B$82&amp;$AS$82&amp;"P"&amp;$A94)="N/A",0,RTD("tos.rtd",,BK$83,"."&amp;$B$82&amp;$AS$82&amp;"P"&amp;$A94)))</f>
        <v>-5.4290435325018184E-3</v>
      </c>
      <c r="BL94" s="3">
        <f ca="1">IF($BP$1=1,DZ94,IF(RTD("tos.rtd",,BL$83,"."&amp;$C$82&amp;$AU$82&amp;"C"&amp;$A94)="N/A",0,RTD("tos.rtd",,BL$83,"."&amp;$C$82&amp;$AU$82&amp;"C"&amp;$A94)))</f>
        <v>3.8700526106923449E-3</v>
      </c>
      <c r="BM94" s="3">
        <f ca="1">IF($BP$1=1,EA94,-IF(RTD("tos.rtd",,BM$83,"."&amp;$C$82&amp;$AU$82&amp;"P"&amp;$A94)="N/A",0,RTD("tos.rtd",,BM$83,"."&amp;$C$82&amp;$AU$82&amp;"P"&amp;$A94)))</f>
        <v>-3.6286051116455032E-3</v>
      </c>
      <c r="BN94" s="3">
        <f ca="1">IF($BP$1=1,EB94,IF(RTD("tos.rtd",,BN$83,"."&amp;$D$82&amp;$AW$82&amp;"C"&amp;$A94)="N/A",0,RTD("tos.rtd",,BN$83,"."&amp;$D$82&amp;$AW$82&amp;"C"&amp;$A94)))</f>
        <v>4.0130952654767772E-3</v>
      </c>
      <c r="BO94" s="3">
        <f ca="1">IF($BP$1=1,EC94,-IF(RTD("tos.rtd",,BO$83,"."&amp;$D$82&amp;$AW$82&amp;"P"&amp;$A94)="N/A",0,RTD("tos.rtd",,BO$83,"."&amp;$D$82&amp;$AW$82&amp;"P"&amp;$A94)))</f>
        <v>-3.7711449584541877E-3</v>
      </c>
      <c r="BQ94" s="3">
        <f t="shared" ca="1" si="256"/>
        <v>381086.47185174306</v>
      </c>
      <c r="BR94" s="3" t="str">
        <f t="shared" ca="1" si="293"/>
        <v/>
      </c>
      <c r="BS94" s="3">
        <f t="shared" ca="1" si="257"/>
        <v>2049442.7615961588</v>
      </c>
      <c r="BT94" s="3" t="str">
        <f t="shared" ca="1" si="293"/>
        <v/>
      </c>
      <c r="BU94" s="3">
        <f t="shared" ca="1" si="258"/>
        <v>143606.19026352768</v>
      </c>
      <c r="BV94" s="3" t="str">
        <f t="shared" ca="1" si="293"/>
        <v/>
      </c>
      <c r="BX94" s="3">
        <f t="shared" ca="1" si="259"/>
        <v>32645773.221054934</v>
      </c>
      <c r="BY94" s="3" t="str">
        <f t="shared" ca="1" si="309"/>
        <v/>
      </c>
      <c r="BZ94" s="3">
        <f t="shared" ca="1" si="260"/>
        <v>405693.76916351577</v>
      </c>
      <c r="CA94" s="3" t="str">
        <f t="shared" ca="1" si="309"/>
        <v/>
      </c>
      <c r="CB94" s="3">
        <f t="shared" ca="1" si="261"/>
        <v>16776.601401102707</v>
      </c>
      <c r="CC94" s="3" t="str">
        <f t="shared" ca="1" si="309"/>
        <v/>
      </c>
      <c r="CD94" s="3">
        <f>IF(RTD("tos.rtd",,CD$83,"."&amp;$B$82&amp;$AS$82&amp;"C"&amp;$A94)="N/A",0,RTD("tos.rtd",,CD$83,"."&amp;$B$82&amp;$AS$82&amp;"C"&amp;$A94))</f>
        <v>0.01</v>
      </c>
      <c r="CE94" s="3">
        <f>-IF(RTD("tos.rtd",,CE$83,"."&amp;$B$82&amp;$AS$82&amp;"P"&amp;$A94)="N/A",0,RTD("tos.rtd",,CE$83,"."&amp;$B$82&amp;$AS$82&amp;"P"&amp;$A94))</f>
        <v>0.93</v>
      </c>
      <c r="CF94" s="3">
        <f>IF(RTD("tos.rtd",,CF$83,"."&amp;$C$82&amp;$AU$82&amp;"C"&amp;$A94)="N/A",0,RTD("tos.rtd",,CF$83,"."&amp;$C$82&amp;$AU$82&amp;"C"&amp;$A94))</f>
        <v>0.32</v>
      </c>
      <c r="CG94" s="3">
        <f>-IF(RTD("tos.rtd",,CG$83,"."&amp;$C$82&amp;$AU$82&amp;"P"&amp;$A94)="N/A",0,RTD("tos.rtd",,CG$83,"."&amp;$C$82&amp;$AU$82&amp;"P"&amp;$A94))</f>
        <v>0.67</v>
      </c>
      <c r="CH94" s="3">
        <f>IF(RTD("tos.rtd",,CH$83,"."&amp;$D$82&amp;$AW$82&amp;"C"&amp;$A94)="N/A",0,RTD("tos.rtd",,CH$83,"."&amp;$D$82&amp;$AW$82&amp;"C"&amp;$A94))</f>
        <v>0.48</v>
      </c>
      <c r="CI94" s="3">
        <f>-IF(RTD("tos.rtd",,CI$83,"."&amp;$D$82&amp;$AW$82&amp;"P"&amp;$A94)="N/A",0,RTD("tos.rtd",,CI$83,"."&amp;$D$82&amp;$AW$82&amp;"P"&amp;$A94))</f>
        <v>0.52</v>
      </c>
      <c r="CK94" s="3">
        <f t="shared" si="294"/>
        <v>-114817411.25</v>
      </c>
      <c r="CL94" s="3"/>
      <c r="CM94" s="3">
        <f t="shared" si="295"/>
        <v>350535865</v>
      </c>
      <c r="CN94" s="3"/>
      <c r="CO94" s="3">
        <f t="shared" si="296"/>
        <v>71223</v>
      </c>
      <c r="CP94" s="3">
        <f t="shared" si="262"/>
        <v>235789676.75</v>
      </c>
      <c r="CQ94" s="3">
        <f t="shared" si="263"/>
        <v>39805</v>
      </c>
      <c r="CR94" s="3"/>
      <c r="CS94" s="3">
        <f t="shared" si="264"/>
        <v>379</v>
      </c>
      <c r="CT94" s="3"/>
      <c r="CU94" s="3">
        <f t="shared" si="265"/>
        <v>15</v>
      </c>
      <c r="CV94" s="3"/>
      <c r="CW94" s="3">
        <f t="shared" ca="1" si="297"/>
        <v>2574135.4237114294</v>
      </c>
      <c r="CY94" s="3">
        <f t="shared" ca="1" si="266"/>
        <v>33068243.591619551</v>
      </c>
      <c r="CZ94" s="70" t="str">
        <f t="shared" ca="1" si="310"/>
        <v/>
      </c>
      <c r="DA94" s="3">
        <f>IF(RTD("tos.rtd",,DA$83,"."&amp;$B$82&amp;$AS$82&amp;"C"&amp;$A94)="N/A",0,RTD("tos.rtd",,DA$83,"."&amp;$B$82&amp;$AS$82&amp;"C"&amp;$A94))</f>
        <v>0.03</v>
      </c>
      <c r="DB94" s="3">
        <f>IF(RTD("tos.rtd",,DB$83,"."&amp;$B$82&amp;$AS$82&amp;"P"&amp;$A94)="N/A",0,RTD("tos.rtd",,DB$83,"."&amp;$B$82&amp;$AS$82&amp;"P"&amp;$A94))</f>
        <v>38.700000000000003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41.3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39.299999999999997</v>
      </c>
      <c r="DG94" s="86">
        <f t="shared" si="298"/>
        <v>44.75</v>
      </c>
      <c r="DH94" s="3">
        <f t="shared" si="267"/>
        <v>0</v>
      </c>
      <c r="DI94" s="3">
        <f t="shared" si="268"/>
        <v>0</v>
      </c>
      <c r="DJ94" s="3">
        <f t="shared" si="269"/>
        <v>0</v>
      </c>
      <c r="DK94" s="3">
        <f t="shared" si="270"/>
        <v>0</v>
      </c>
      <c r="DL94" s="3">
        <f t="shared" si="271"/>
        <v>0</v>
      </c>
      <c r="DM94" s="3">
        <f t="shared" si="272"/>
        <v>0</v>
      </c>
      <c r="DN94" s="64" t="str">
        <f t="shared" si="273"/>
        <v>UNKNOWN</v>
      </c>
      <c r="DO94" s="64" t="str">
        <f t="shared" si="274"/>
        <v>UNKNOWN</v>
      </c>
      <c r="DP94" s="3">
        <f t="shared" si="275"/>
        <v>0</v>
      </c>
      <c r="DQ94" s="3">
        <f t="shared" si="276"/>
        <v>0</v>
      </c>
      <c r="DR94" s="3">
        <f t="shared" ca="1" si="277"/>
        <v>0</v>
      </c>
      <c r="DS94" s="3">
        <f t="shared" si="278"/>
        <v>0</v>
      </c>
      <c r="DT94" s="3">
        <f t="shared" si="299"/>
        <v>0</v>
      </c>
      <c r="DU94" s="3">
        <f t="shared" si="300"/>
        <v>0</v>
      </c>
      <c r="DV94" s="3">
        <f t="shared" si="301"/>
        <v>-4144</v>
      </c>
      <c r="DW94" s="3">
        <f t="shared" si="302"/>
        <v>-367</v>
      </c>
      <c r="DX94" s="3">
        <f t="shared" ca="1" si="311"/>
        <v>3.097432600871372E-3</v>
      </c>
      <c r="DY94" s="3">
        <f t="shared" ca="1" si="279"/>
        <v>-5.4290435325018184E-3</v>
      </c>
      <c r="DZ94" s="3">
        <f t="shared" ca="1" si="303"/>
        <v>3.8700526106923449E-3</v>
      </c>
      <c r="EA94" s="3">
        <f t="shared" ca="1" si="304"/>
        <v>-3.6286051116455032E-3</v>
      </c>
      <c r="EB94" s="3">
        <f t="shared" ca="1" si="280"/>
        <v>4.0130952654767772E-3</v>
      </c>
      <c r="EC94" s="3">
        <f t="shared" ca="1" si="281"/>
        <v>-3.7711449584541877E-3</v>
      </c>
      <c r="ED94" s="63">
        <f t="shared" si="305"/>
        <v>-4511</v>
      </c>
      <c r="EE94" s="59">
        <f t="shared" si="282"/>
        <v>0.34200000000000003</v>
      </c>
      <c r="EF94" s="59">
        <f t="shared" si="283"/>
        <v>0.58589999999999998</v>
      </c>
      <c r="EG94" s="59">
        <f t="shared" si="284"/>
        <v>0.1474</v>
      </c>
      <c r="EH94" s="59">
        <f t="shared" si="285"/>
        <v>0.1595</v>
      </c>
      <c r="EI94" s="59">
        <f t="shared" si="286"/>
        <v>0.14080000000000001</v>
      </c>
      <c r="EJ94" s="59">
        <f t="shared" si="287"/>
        <v>0.1522</v>
      </c>
      <c r="EK94" s="63">
        <f t="shared" ca="1" si="306"/>
        <v>-381979077.75948501</v>
      </c>
      <c r="EL94" s="3" t="str">
        <f>RTD("tos.rtd",,EL$83,"."&amp;$B$82&amp;$AS$82&amp;"C"&amp;$A94)</f>
        <v>34.20%</v>
      </c>
      <c r="EM94" s="3" t="str">
        <f>RTD("tos.rtd",,EM$83,"."&amp;$B$82&amp;$AS$82&amp;"P"&amp;$A94)</f>
        <v>58.59%</v>
      </c>
      <c r="EN94" s="3" t="str">
        <f>RTD("tos.rtd",,EN$83,"."&amp;$C$82&amp;$AU$82&amp;"C"&amp;$A94)</f>
        <v>14.74%</v>
      </c>
      <c r="EO94" s="3" t="str">
        <f>RTD("tos.rtd",,EO$83,"."&amp;$C$82&amp;$AU$82&amp;"P"&amp;$A94)</f>
        <v>15.95%</v>
      </c>
      <c r="EP94" s="3" t="str">
        <f>RTD("tos.rtd",,EP$83,"."&amp;$D$82&amp;$AW$82&amp;"C"&amp;$A94)</f>
        <v>14.08%</v>
      </c>
      <c r="EQ94" s="3" t="str">
        <f>RTD("tos.rtd",,EQ$83,"."&amp;$D$82&amp;$AW$82&amp;"P"&amp;$A94)</f>
        <v>15.22%</v>
      </c>
      <c r="ES94" s="63" t="str">
        <f t="shared" si="288"/>
        <v>5980,-4511.00</v>
      </c>
      <c r="ET94" s="63" t="str">
        <f t="shared" ca="1" si="289"/>
        <v>5980,33068.24</v>
      </c>
      <c r="EU94" s="67">
        <v>594.08000000000004</v>
      </c>
      <c r="EV94" s="67" t="s">
        <v>772</v>
      </c>
      <c r="EW94" s="67">
        <v>520.83000000000004</v>
      </c>
      <c r="EX94" s="67" t="s">
        <v>773</v>
      </c>
      <c r="EY94" s="67">
        <v>5951</v>
      </c>
      <c r="EZ94" s="67" t="s">
        <v>774</v>
      </c>
      <c r="FA94" s="67">
        <v>21378</v>
      </c>
      <c r="FB94" s="67" t="s">
        <v>775</v>
      </c>
      <c r="FC94" s="67" t="s">
        <v>776</v>
      </c>
      <c r="FD94" s="67" t="s">
        <v>777</v>
      </c>
      <c r="FE94" s="68" t="s">
        <v>778</v>
      </c>
      <c r="FF94" s="68" t="s">
        <v>779</v>
      </c>
    </row>
    <row r="95" spans="1:162" s="63" customFormat="1" ht="12" customHeight="1" thickBot="1" x14ac:dyDescent="0.25">
      <c r="A95" s="2">
        <f t="shared" si="307"/>
        <v>5970</v>
      </c>
      <c r="B95" s="3">
        <f t="shared" si="251"/>
        <v>1030</v>
      </c>
      <c r="C95" s="3">
        <f t="shared" si="252"/>
        <v>1249</v>
      </c>
      <c r="D95" s="3">
        <f t="shared" si="253"/>
        <v>8559</v>
      </c>
      <c r="E95" s="3">
        <f t="shared" si="254"/>
        <v>10838</v>
      </c>
      <c r="F95" s="4">
        <f t="shared" si="313"/>
        <v>5990.1170970051808</v>
      </c>
      <c r="G95" s="4">
        <f t="shared" si="290"/>
        <v>595.87847184196107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-6173</v>
      </c>
      <c r="AN95" s="20">
        <v>-153</v>
      </c>
      <c r="AO95" s="20">
        <v>5970</v>
      </c>
      <c r="AP95" s="20">
        <v>57706</v>
      </c>
      <c r="AQ95" s="20">
        <v>-1477</v>
      </c>
      <c r="AR95" s="20"/>
      <c r="AS95" s="54">
        <f>IF(RTD("tos.rtd",,AS$83,"."&amp;$B$82&amp;$AS$82&amp;"C"&amp;$A95)="N/A",0,RTD("tos.rtd",,AS$83,"."&amp;$B$82&amp;$AS$82&amp;"C"&amp;$A95))</f>
        <v>798</v>
      </c>
      <c r="AT95" s="3">
        <f>-IF(RTD("tos.rtd",,AT$83,"."&amp;$B$82&amp;$AS$82&amp;"P"&amp;$A95)="N/A",0,RTD("tos.rtd",,AT$83,"."&amp;$B$82&amp;$AS$82&amp;"P"&amp;$A95))</f>
        <v>-232</v>
      </c>
      <c r="AU95" s="54">
        <f>IF(RTD("tos.rtd",,AU$83,"."&amp;$C$82&amp;$AU$82&amp;"C"&amp;$A95)="N/A",0,RTD("tos.rtd",,AU$83,"."&amp;$C$82&amp;$AU$82&amp;"C"&amp;$A95))</f>
        <v>1150</v>
      </c>
      <c r="AV95" s="3">
        <f>-IF(RTD("tos.rtd",,AV$83,"."&amp;$C$82&amp;$AU$82&amp;"P"&amp;$A95)="N/A",0,RTD("tos.rtd",,AV$83,"."&amp;$C$82&amp;$AU$82&amp;"P"&amp;$A95))</f>
        <v>-99</v>
      </c>
      <c r="AW95" s="54">
        <f>IF(RTD("tos.rtd",,AW$83,"."&amp;$D$82&amp;$AW$82&amp;"C"&amp;$A95)="N/A",0,RTD("tos.rtd",,AW$83,"."&amp;$D$82&amp;$AW$82&amp;"C"&amp;$A95))</f>
        <v>4461</v>
      </c>
      <c r="AX95" s="3">
        <f>-IF(RTD("tos.rtd",,AX$83,"."&amp;$D$82&amp;$AW$82&amp;"P"&amp;$A95)="N/A",0,RTD("tos.rtd",,AX$83,"."&amp;$D$82&amp;$AW$82&amp;"P"&amp;$A95))</f>
        <v>-4098</v>
      </c>
      <c r="AY95" s="79">
        <f t="shared" si="291"/>
        <v>1980</v>
      </c>
      <c r="AZ95" s="8">
        <f t="shared" si="255"/>
        <v>5970</v>
      </c>
      <c r="BA95" s="54">
        <f>IF(RTD("tos.rtd",,BA$83,"."&amp;$B$82&amp;$AS$82&amp;"C"&amp;$A95)="N/A",0,RTD("tos.rtd",,BA$83,"."&amp;$B$82&amp;$AS$82&amp;"C"&amp;$A95))</f>
        <v>57706</v>
      </c>
      <c r="BB95" s="3">
        <f>-IF(RTD("tos.rtd",,BB$83,"."&amp;$B$82&amp;$AS$82&amp;"P"&amp;$A95)="N/A",0,RTD("tos.rtd",,BB$83,"."&amp;$B$82&amp;$AS$82&amp;"P"&amp;$A95))</f>
        <v>-1477</v>
      </c>
      <c r="BC95" s="54">
        <f>IF(RTD("tos.rtd",,BC$83,"."&amp;$C$82&amp;$AU$82&amp;"C"&amp;$A95)="N/A",0,RTD("tos.rtd",,BC$83,"."&amp;$C$82&amp;$AU$82&amp;"C"&amp;$A95))</f>
        <v>1744</v>
      </c>
      <c r="BD95" s="3">
        <f>-IF(RTD("tos.rtd",,BD$83,"."&amp;$C$82&amp;$AU$82&amp;"P"&amp;$A95)="N/A",0,RTD("tos.rtd",,BD$83,"."&amp;$C$82&amp;$AU$82&amp;"P"&amp;$A95))</f>
        <v>-294</v>
      </c>
      <c r="BE95" s="54">
        <f>IF(RTD("tos.rtd",,BE$83,"."&amp;$D$82&amp;$AW$82&amp;"C"&amp;$A95)="N/A",0,RTD("tos.rtd",,BE$83,"."&amp;$D$82&amp;$AW$82&amp;"C"&amp;$A95))</f>
        <v>731</v>
      </c>
      <c r="BF95" s="3">
        <f>-IF(RTD("tos.rtd",,BF$83,"."&amp;$D$82&amp;$AW$82&amp;"P"&amp;$A95)="N/A",0,RTD("tos.rtd",,BF$83,"."&amp;$D$82&amp;$AW$82&amp;"P"&amp;$A95))</f>
        <v>-706</v>
      </c>
      <c r="BG95" s="3">
        <f ca="1">+Hoja2!Y96</f>
        <v>3835</v>
      </c>
      <c r="BH95" s="55">
        <f t="shared" ca="1" si="292"/>
        <v>61539</v>
      </c>
      <c r="BI95" s="32" t="str">
        <f t="shared" ca="1" si="312"/>
        <v/>
      </c>
      <c r="BJ95" s="3">
        <f ca="1">IF($BP$1=1,DX95,IF(RTD("tos.rtd",,BJ$83,"."&amp;$B$82&amp;$AS$82&amp;"C"&amp;$A95)="N/A",0,RTD("tos.rtd",,BJ$83,"."&amp;$B$82&amp;$AS$82&amp;"C"&amp;$A95)))</f>
        <v>3.9148707743869625E-3</v>
      </c>
      <c r="BK95" s="3">
        <f ca="1">IF($BP$1=1,DY95,-IF(RTD("tos.rtd",,BK$83,"."&amp;$B$82&amp;$AS$82&amp;"P"&amp;$A95)="N/A",0,RTD("tos.rtd",,BK$83,"."&amp;$B$82&amp;$AS$82&amp;"P"&amp;$A95)))</f>
        <v>-7.0030101359304826E-3</v>
      </c>
      <c r="BL95" s="3">
        <f ca="1">IF($BP$1=1,DZ95,IF(RTD("tos.rtd",,BL$83,"."&amp;$C$82&amp;$AU$82&amp;"C"&amp;$A95)="N/A",0,RTD("tos.rtd",,BL$83,"."&amp;$C$82&amp;$AU$82&amp;"C"&amp;$A95)))</f>
        <v>3.990348494716257E-3</v>
      </c>
      <c r="BM95" s="3">
        <f ca="1">IF($BP$1=1,EA95,-IF(RTD("tos.rtd",,BM$83,"."&amp;$C$82&amp;$AU$82&amp;"P"&amp;$A95)="N/A",0,RTD("tos.rtd",,BM$83,"."&amp;$C$82&amp;$AU$82&amp;"P"&amp;$A95)))</f>
        <v>-3.735597589748675E-3</v>
      </c>
      <c r="BN95" s="3">
        <f ca="1">IF($BP$1=1,EB95,IF(RTD("tos.rtd",,BN$83,"."&amp;$D$82&amp;$AW$82&amp;"C"&amp;$A95)="N/A",0,RTD("tos.rtd",,BN$83,"."&amp;$D$82&amp;$AW$82&amp;"C"&amp;$A95)))</f>
        <v>4.1657776710079739E-3</v>
      </c>
      <c r="BO95" s="3">
        <f ca="1">IF($BP$1=1,EC95,-IF(RTD("tos.rtd",,BO$83,"."&amp;$D$82&amp;$AW$82&amp;"P"&amp;$A95)="N/A",0,RTD("tos.rtd",,BO$83,"."&amp;$D$82&amp;$AW$82&amp;"P"&amp;$A95)))</f>
        <v>-3.8883058959562795E-3</v>
      </c>
      <c r="BQ95" s="3">
        <f t="shared" ca="1" si="256"/>
        <v>404852.49779988237</v>
      </c>
      <c r="BR95" s="3" t="str">
        <f t="shared" ca="1" si="293"/>
        <v/>
      </c>
      <c r="BS95" s="3">
        <f t="shared" ca="1" si="257"/>
        <v>1139215.3915914379</v>
      </c>
      <c r="BT95" s="3" t="str">
        <f t="shared" ca="1" si="293"/>
        <v/>
      </c>
      <c r="BU95" s="3">
        <f t="shared" ca="1" si="258"/>
        <v>715339.9211431779</v>
      </c>
      <c r="BV95" s="3" t="str">
        <f t="shared" ca="1" si="293"/>
        <v/>
      </c>
      <c r="BX95" s="3">
        <f t="shared" ca="1" si="259"/>
        <v>58206689.618913807</v>
      </c>
      <c r="BY95" s="3" t="str">
        <f t="shared" ca="1" si="309"/>
        <v/>
      </c>
      <c r="BZ95" s="3">
        <f t="shared" ca="1" si="260"/>
        <v>1582533.4505869043</v>
      </c>
      <c r="CA95" s="3" t="str">
        <f t="shared" ca="1" si="309"/>
        <v/>
      </c>
      <c r="CB95" s="3">
        <f t="shared" ca="1" si="261"/>
        <v>81015.270715694875</v>
      </c>
      <c r="CC95" s="3" t="str">
        <f t="shared" ca="1" si="309"/>
        <v/>
      </c>
      <c r="CD95" s="3">
        <f>IF(RTD("tos.rtd",,CD$83,"."&amp;$B$82&amp;$AS$82&amp;"C"&amp;$A95)="N/A",0,RTD("tos.rtd",,CD$83,"."&amp;$B$82&amp;$AS$82&amp;"C"&amp;$A95))</f>
        <v>0.01</v>
      </c>
      <c r="CE95" s="3">
        <f>-IF(RTD("tos.rtd",,CE$83,"."&amp;$B$82&amp;$AS$82&amp;"P"&amp;$A95)="N/A",0,RTD("tos.rtd",,CE$83,"."&amp;$B$82&amp;$AS$82&amp;"P"&amp;$A95))</f>
        <v>0.92</v>
      </c>
      <c r="CF95" s="3">
        <f>IF(RTD("tos.rtd",,CF$83,"."&amp;$C$82&amp;$AU$82&amp;"C"&amp;$A95)="N/A",0,RTD("tos.rtd",,CF$83,"."&amp;$C$82&amp;$AU$82&amp;"C"&amp;$A95))</f>
        <v>0.37</v>
      </c>
      <c r="CG95" s="3">
        <f>-IF(RTD("tos.rtd",,CG$83,"."&amp;$C$82&amp;$AU$82&amp;"P"&amp;$A95)="N/A",0,RTD("tos.rtd",,CG$83,"."&amp;$C$82&amp;$AU$82&amp;"P"&amp;$A95))</f>
        <v>0.62</v>
      </c>
      <c r="CH95" s="3">
        <f>IF(RTD("tos.rtd",,CH$83,"."&amp;$D$82&amp;$AW$82&amp;"C"&amp;$A95)="N/A",0,RTD("tos.rtd",,CH$83,"."&amp;$D$82&amp;$AW$82&amp;"C"&amp;$A95))</f>
        <v>0.5</v>
      </c>
      <c r="CI95" s="3">
        <f>-IF(RTD("tos.rtd",,CI$83,"."&amp;$D$82&amp;$AW$82&amp;"P"&amp;$A95)="N/A",0,RTD("tos.rtd",,CI$83,"."&amp;$D$82&amp;$AW$82&amp;"P"&amp;$A95))</f>
        <v>0.5</v>
      </c>
      <c r="CK95" s="3">
        <f t="shared" si="294"/>
        <v>-121945646.5</v>
      </c>
      <c r="CL95" s="3"/>
      <c r="CM95" s="3">
        <f t="shared" si="295"/>
        <v>216114323</v>
      </c>
      <c r="CN95" s="3"/>
      <c r="CO95" s="3">
        <f t="shared" si="296"/>
        <v>107724787.5</v>
      </c>
      <c r="CP95" s="3">
        <f t="shared" si="262"/>
        <v>201893464</v>
      </c>
      <c r="CQ95" s="3">
        <f t="shared" si="263"/>
        <v>56229</v>
      </c>
      <c r="CR95" s="3"/>
      <c r="CS95" s="3">
        <f t="shared" si="264"/>
        <v>1450</v>
      </c>
      <c r="CT95" s="3"/>
      <c r="CU95" s="3">
        <f t="shared" si="265"/>
        <v>25</v>
      </c>
      <c r="CV95" s="3"/>
      <c r="CW95" s="3">
        <f t="shared" ca="1" si="297"/>
        <v>2259407.8105344982</v>
      </c>
      <c r="CY95" s="3">
        <f t="shared" ca="1" si="266"/>
        <v>59870238.340216413</v>
      </c>
      <c r="CZ95" s="70" t="str">
        <f t="shared" ca="1" si="310"/>
        <v/>
      </c>
      <c r="DA95" s="3">
        <f>IF(RTD("tos.rtd",,DA$83,"."&amp;$B$82&amp;$AS$82&amp;"C"&amp;$A95)="N/A",0,RTD("tos.rtd",,DA$83,"."&amp;$B$82&amp;$AS$82&amp;"C"&amp;$A95))</f>
        <v>0.03</v>
      </c>
      <c r="DB95" s="3">
        <f>IF(RTD("tos.rtd",,DB$83,"."&amp;$B$82&amp;$AS$82&amp;"P"&amp;$A95)="N/A",0,RTD("tos.rtd",,DB$83,"."&amp;$B$82&amp;$AS$82&amp;"P"&amp;$A95))</f>
        <v>33.4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31.3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29.3</v>
      </c>
      <c r="DG95" s="86">
        <f t="shared" si="298"/>
        <v>34.75</v>
      </c>
      <c r="DH95" s="3">
        <f t="shared" si="267"/>
        <v>0</v>
      </c>
      <c r="DI95" s="3">
        <f t="shared" si="268"/>
        <v>0</v>
      </c>
      <c r="DJ95" s="3">
        <f t="shared" si="269"/>
        <v>0</v>
      </c>
      <c r="DK95" s="3">
        <f t="shared" si="270"/>
        <v>0</v>
      </c>
      <c r="DL95" s="3">
        <f t="shared" si="271"/>
        <v>0</v>
      </c>
      <c r="DM95" s="3">
        <f t="shared" si="272"/>
        <v>0</v>
      </c>
      <c r="DN95" s="64" t="str">
        <f t="shared" si="273"/>
        <v>UNKNOWN</v>
      </c>
      <c r="DO95" s="64" t="str">
        <f t="shared" si="274"/>
        <v>UNKNOWN</v>
      </c>
      <c r="DP95" s="3">
        <f t="shared" si="275"/>
        <v>0</v>
      </c>
      <c r="DQ95" s="3">
        <f t="shared" si="276"/>
        <v>0</v>
      </c>
      <c r="DR95" s="3">
        <f t="shared" ca="1" si="277"/>
        <v>0</v>
      </c>
      <c r="DS95" s="3">
        <f t="shared" si="278"/>
        <v>0</v>
      </c>
      <c r="DT95" s="3">
        <f t="shared" si="299"/>
        <v>0</v>
      </c>
      <c r="DU95" s="3">
        <f t="shared" si="300"/>
        <v>0</v>
      </c>
      <c r="DV95" s="3">
        <f t="shared" si="301"/>
        <v>-6173</v>
      </c>
      <c r="DW95" s="3">
        <f t="shared" si="302"/>
        <v>-153</v>
      </c>
      <c r="DX95" s="3">
        <f t="shared" ca="1" si="311"/>
        <v>3.9148707743869625E-3</v>
      </c>
      <c r="DY95" s="3">
        <f t="shared" ca="1" si="279"/>
        <v>-7.0030101359304826E-3</v>
      </c>
      <c r="DZ95" s="3">
        <f t="shared" ca="1" si="303"/>
        <v>3.990348494716257E-3</v>
      </c>
      <c r="EA95" s="3">
        <f t="shared" ca="1" si="304"/>
        <v>-3.735597589748675E-3</v>
      </c>
      <c r="EB95" s="3">
        <f t="shared" ca="1" si="280"/>
        <v>4.1657776710079739E-3</v>
      </c>
      <c r="EC95" s="3">
        <f t="shared" ca="1" si="281"/>
        <v>-3.8883058959562795E-3</v>
      </c>
      <c r="ED95" s="63">
        <f t="shared" si="305"/>
        <v>-6326</v>
      </c>
      <c r="EE95" s="59">
        <f t="shared" si="282"/>
        <v>0.26379999999999998</v>
      </c>
      <c r="EF95" s="59">
        <f t="shared" si="283"/>
        <v>0.46920000000000001</v>
      </c>
      <c r="EG95" s="59">
        <f t="shared" si="284"/>
        <v>0.14910000000000001</v>
      </c>
      <c r="EH95" s="59">
        <f t="shared" si="285"/>
        <v>0.1605</v>
      </c>
      <c r="EI95" s="59">
        <f t="shared" si="286"/>
        <v>0.14199999999999999</v>
      </c>
      <c r="EJ95" s="59">
        <f t="shared" si="287"/>
        <v>0.1535</v>
      </c>
      <c r="EK95" s="63">
        <f t="shared" ca="1" si="306"/>
        <v>-813573306.46014464</v>
      </c>
      <c r="EL95" s="3" t="str">
        <f>RTD("tos.rtd",,EL$83,"."&amp;$B$82&amp;$AS$82&amp;"C"&amp;$A95)</f>
        <v>26.38%</v>
      </c>
      <c r="EM95" s="3" t="str">
        <f>RTD("tos.rtd",,EM$83,"."&amp;$B$82&amp;$AS$82&amp;"P"&amp;$A95)</f>
        <v>46.92%</v>
      </c>
      <c r="EN95" s="3" t="str">
        <f>RTD("tos.rtd",,EN$83,"."&amp;$C$82&amp;$AU$82&amp;"C"&amp;$A95)</f>
        <v>14.91%</v>
      </c>
      <c r="EO95" s="3" t="str">
        <f>RTD("tos.rtd",,EO$83,"."&amp;$C$82&amp;$AU$82&amp;"P"&amp;$A95)</f>
        <v>16.05%</v>
      </c>
      <c r="EP95" s="3" t="str">
        <f>RTD("tos.rtd",,EP$83,"."&amp;$D$82&amp;$AW$82&amp;"C"&amp;$A95)</f>
        <v>14.20%</v>
      </c>
      <c r="EQ95" s="3" t="str">
        <f>RTD("tos.rtd",,EQ$83,"."&amp;$D$82&amp;$AW$82&amp;"P"&amp;$A95)</f>
        <v>15.35%</v>
      </c>
      <c r="ES95" s="63" t="str">
        <f t="shared" si="288"/>
        <v>5970,-6326.00</v>
      </c>
      <c r="ET95" s="63" t="str">
        <f t="shared" ca="1" si="289"/>
        <v>5970,59870.24</v>
      </c>
      <c r="EU95" s="67">
        <v>594.03</v>
      </c>
      <c r="EV95" s="67" t="s">
        <v>780</v>
      </c>
      <c r="EW95" s="67">
        <v>520.65</v>
      </c>
      <c r="EX95" s="67" t="s">
        <v>781</v>
      </c>
      <c r="EY95" s="67">
        <v>5950.5</v>
      </c>
      <c r="EZ95" s="67" t="s">
        <v>782</v>
      </c>
      <c r="FA95" s="67">
        <v>21374.25</v>
      </c>
      <c r="FB95" s="67" t="s">
        <v>783</v>
      </c>
      <c r="FC95" s="67" t="s">
        <v>784</v>
      </c>
      <c r="FD95" s="67" t="s">
        <v>785</v>
      </c>
      <c r="FE95" s="68" t="s">
        <v>786</v>
      </c>
      <c r="FF95" s="68" t="s">
        <v>787</v>
      </c>
    </row>
    <row r="96" spans="1:162" s="63" customFormat="1" ht="12" customHeight="1" thickBot="1" x14ac:dyDescent="0.25">
      <c r="A96" s="2">
        <f t="shared" si="307"/>
        <v>5960</v>
      </c>
      <c r="B96" s="3">
        <f t="shared" si="251"/>
        <v>2537</v>
      </c>
      <c r="C96" s="3">
        <f t="shared" si="252"/>
        <v>1898</v>
      </c>
      <c r="D96" s="3">
        <f t="shared" si="253"/>
        <v>5772</v>
      </c>
      <c r="E96" s="3">
        <f t="shared" si="254"/>
        <v>10207</v>
      </c>
      <c r="F96" s="4">
        <f t="shared" si="313"/>
        <v>5980.0834000252726</v>
      </c>
      <c r="G96" s="4">
        <f t="shared" si="290"/>
        <v>594.880350448591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1210</v>
      </c>
      <c r="AN96" s="20">
        <v>-606</v>
      </c>
      <c r="AO96" s="20">
        <v>5960</v>
      </c>
      <c r="AP96" s="20">
        <v>70010</v>
      </c>
      <c r="AQ96" s="20">
        <v>-5440</v>
      </c>
      <c r="AR96" s="20"/>
      <c r="AS96" s="54">
        <f>IF(RTD("tos.rtd",,AS$83,"."&amp;$B$82&amp;$AS$82&amp;"C"&amp;$A96)="N/A",0,RTD("tos.rtd",,AS$83,"."&amp;$B$82&amp;$AS$82&amp;"C"&amp;$A96))</f>
        <v>1685</v>
      </c>
      <c r="AT96" s="3">
        <f>-IF(RTD("tos.rtd",,AT$83,"."&amp;$B$82&amp;$AS$82&amp;"P"&amp;$A96)="N/A",0,RTD("tos.rtd",,AT$83,"."&amp;$B$82&amp;$AS$82&amp;"P"&amp;$A96))</f>
        <v>-852</v>
      </c>
      <c r="AU96" s="54">
        <f>IF(RTD("tos.rtd",,AU$83,"."&amp;$C$82&amp;$AU$82&amp;"C"&amp;$A96)="N/A",0,RTD("tos.rtd",,AU$83,"."&amp;$C$82&amp;$AU$82&amp;"C"&amp;$A96))</f>
        <v>1440</v>
      </c>
      <c r="AV96" s="3">
        <f>-IF(RTD("tos.rtd",,AV$83,"."&amp;$C$82&amp;$AU$82&amp;"P"&amp;$A96)="N/A",0,RTD("tos.rtd",,AV$83,"."&amp;$C$82&amp;$AU$82&amp;"P"&amp;$A96))</f>
        <v>-458</v>
      </c>
      <c r="AW96" s="54">
        <f>IF(RTD("tos.rtd",,AW$83,"."&amp;$D$82&amp;$AW$82&amp;"C"&amp;$A96)="N/A",0,RTD("tos.rtd",,AW$83,"."&amp;$D$82&amp;$AW$82&amp;"C"&amp;$A96))</f>
        <v>2959</v>
      </c>
      <c r="AX96" s="3">
        <f>-IF(RTD("tos.rtd",,AX$83,"."&amp;$D$82&amp;$AW$82&amp;"P"&amp;$A96)="N/A",0,RTD("tos.rtd",,AX$83,"."&amp;$D$82&amp;$AW$82&amp;"P"&amp;$A96))</f>
        <v>-2813</v>
      </c>
      <c r="AY96" s="79">
        <f t="shared" si="291"/>
        <v>1961</v>
      </c>
      <c r="AZ96" s="8">
        <f t="shared" si="255"/>
        <v>5960</v>
      </c>
      <c r="BA96" s="54">
        <f>IF(RTD("tos.rtd",,BA$83,"."&amp;$B$82&amp;$AS$82&amp;"C"&amp;$A96)="N/A",0,RTD("tos.rtd",,BA$83,"."&amp;$B$82&amp;$AS$82&amp;"C"&amp;$A96))</f>
        <v>70010</v>
      </c>
      <c r="BB96" s="3">
        <f>-IF(RTD("tos.rtd",,BB$83,"."&amp;$B$82&amp;$AS$82&amp;"P"&amp;$A96)="N/A",0,RTD("tos.rtd",,BB$83,"."&amp;$B$82&amp;$AS$82&amp;"P"&amp;$A96))</f>
        <v>-5440</v>
      </c>
      <c r="BC96" s="54">
        <f>IF(RTD("tos.rtd",,BC$83,"."&amp;$C$82&amp;$AU$82&amp;"C"&amp;$A96)="N/A",0,RTD("tos.rtd",,BC$83,"."&amp;$C$82&amp;$AU$82&amp;"C"&amp;$A96))</f>
        <v>756</v>
      </c>
      <c r="BD96" s="3">
        <f>-IF(RTD("tos.rtd",,BD$83,"."&amp;$C$82&amp;$AU$82&amp;"P"&amp;$A96)="N/A",0,RTD("tos.rtd",,BD$83,"."&amp;$C$82&amp;$AU$82&amp;"P"&amp;$A96))</f>
        <v>-548</v>
      </c>
      <c r="BE96" s="54">
        <f>IF(RTD("tos.rtd",,BE$83,"."&amp;$D$82&amp;$AW$82&amp;"C"&amp;$A96)="N/A",0,RTD("tos.rtd",,BE$83,"."&amp;$D$82&amp;$AW$82&amp;"C"&amp;$A96))</f>
        <v>5172</v>
      </c>
      <c r="BF96" s="3">
        <f>-IF(RTD("tos.rtd",,BF$83,"."&amp;$D$82&amp;$AW$82&amp;"P"&amp;$A96)="N/A",0,RTD("tos.rtd",,BF$83,"."&amp;$D$82&amp;$AW$82&amp;"P"&amp;$A96))</f>
        <v>-5159</v>
      </c>
      <c r="BG96" s="3">
        <f ca="1">+Hoja2!Y97</f>
        <v>5075</v>
      </c>
      <c r="BH96" s="55">
        <f t="shared" ca="1" si="292"/>
        <v>69866</v>
      </c>
      <c r="BI96" s="32" t="str">
        <f t="shared" ca="1" si="312"/>
        <v/>
      </c>
      <c r="BJ96" s="3">
        <f ca="1">IF($BP$1=1,DX96,IF(RTD("tos.rtd",,BJ$83,"."&amp;$B$82&amp;$AS$82&amp;"C"&amp;$A96)="N/A",0,RTD("tos.rtd",,BJ$83,"."&amp;$B$82&amp;$AS$82&amp;"C"&amp;$A96)))</f>
        <v>5.2094404886728523E-3</v>
      </c>
      <c r="BK96" s="3">
        <f ca="1">IF($BP$1=1,DY96,-IF(RTD("tos.rtd",,BK$83,"."&amp;$B$82&amp;$AS$82&amp;"P"&amp;$A96)="N/A",0,RTD("tos.rtd",,BK$83,"."&amp;$B$82&amp;$AS$82&amp;"P"&amp;$A96)))</f>
        <v>-9.4741943713816112E-3</v>
      </c>
      <c r="BL96" s="3">
        <f ca="1">IF($BP$1=1,DZ96,IF(RTD("tos.rtd",,BL$83,"."&amp;$C$82&amp;$AU$82&amp;"C"&amp;$A96)="N/A",0,RTD("tos.rtd",,BL$83,"."&amp;$C$82&amp;$AU$82&amp;"C"&amp;$A96)))</f>
        <v>4.0684943470524109E-3</v>
      </c>
      <c r="BM96" s="3">
        <f ca="1">IF($BP$1=1,EA96,-IF(RTD("tos.rtd",,BM$83,"."&amp;$C$82&amp;$AU$82&amp;"P"&amp;$A96)="N/A",0,RTD("tos.rtd",,BM$83,"."&amp;$C$82&amp;$AU$82&amp;"P"&amp;$A96)))</f>
        <v>-3.8045404805981146E-3</v>
      </c>
      <c r="BN96" s="3">
        <f ca="1">IF($BP$1=1,EB96,IF(RTD("tos.rtd",,BN$83,"."&amp;$D$82&amp;$AW$82&amp;"C"&amp;$A96)="N/A",0,RTD("tos.rtd",,BN$83,"."&amp;$D$82&amp;$AW$82&amp;"C"&amp;$A96)))</f>
        <v>4.2669559582118009E-3</v>
      </c>
      <c r="BO96" s="3">
        <f ca="1">IF($BP$1=1,EC96,-IF(RTD("tos.rtd",,BO$83,"."&amp;$D$82&amp;$AW$82&amp;"P"&amp;$A96)="N/A",0,RTD("tos.rtd",,BO$83,"."&amp;$D$82&amp;$AW$82&amp;"P"&amp;$A96)))</f>
        <v>-3.9660576673669476E-3</v>
      </c>
      <c r="BQ96" s="3">
        <f t="shared" ca="1" si="256"/>
        <v>190602.10334893316</v>
      </c>
      <c r="BR96" s="3" t="str">
        <f t="shared" ca="1" si="293"/>
        <v/>
      </c>
      <c r="BS96" s="3">
        <f t="shared" ca="1" si="257"/>
        <v>1111424.2553197255</v>
      </c>
      <c r="BT96" s="3" t="str">
        <f t="shared" ca="1" si="293"/>
        <v/>
      </c>
      <c r="BU96" s="3">
        <f t="shared" ca="1" si="258"/>
        <v>396761.20083090384</v>
      </c>
      <c r="BV96" s="3" t="str">
        <f t="shared" ca="1" si="293"/>
        <v/>
      </c>
      <c r="BX96" s="3">
        <f t="shared" ca="1" si="259"/>
        <v>84561597.140308037</v>
      </c>
      <c r="BY96" s="3" t="str">
        <f t="shared" ca="1" si="309"/>
        <v/>
      </c>
      <c r="BZ96" s="3">
        <f t="shared" ca="1" si="260"/>
        <v>267556.45384622074</v>
      </c>
      <c r="CA96" s="3" t="str">
        <f t="shared" ca="1" si="309"/>
        <v/>
      </c>
      <c r="CB96" s="3">
        <f t="shared" ca="1" si="261"/>
        <v>434131.93041990045</v>
      </c>
      <c r="CC96" s="3" t="str">
        <f t="shared" ca="1" si="309"/>
        <v/>
      </c>
      <c r="CD96" s="3">
        <f>IF(RTD("tos.rtd",,CD$83,"."&amp;$B$82&amp;$AS$82&amp;"C"&amp;$A96)="N/A",0,RTD("tos.rtd",,CD$83,"."&amp;$B$82&amp;$AS$82&amp;"C"&amp;$A96))</f>
        <v>0.01</v>
      </c>
      <c r="CE96" s="3">
        <f>-IF(RTD("tos.rtd",,CE$83,"."&amp;$B$82&amp;$AS$82&amp;"P"&amp;$A96)="N/A",0,RTD("tos.rtd",,CE$83,"."&amp;$B$82&amp;$AS$82&amp;"P"&amp;$A96))</f>
        <v>0.93</v>
      </c>
      <c r="CF96" s="3">
        <f>IF(RTD("tos.rtd",,CF$83,"."&amp;$C$82&amp;$AU$82&amp;"C"&amp;$A96)="N/A",0,RTD("tos.rtd",,CF$83,"."&amp;$C$82&amp;$AU$82&amp;"C"&amp;$A96))</f>
        <v>0.42</v>
      </c>
      <c r="CG96" s="3">
        <f>-IF(RTD("tos.rtd",,CG$83,"."&amp;$C$82&amp;$AU$82&amp;"P"&amp;$A96)="N/A",0,RTD("tos.rtd",,CG$83,"."&amp;$C$82&amp;$AU$82&amp;"P"&amp;$A96))</f>
        <v>0.57999999999999996</v>
      </c>
      <c r="CH96" s="3">
        <f>IF(RTD("tos.rtd",,CH$83,"."&amp;$D$82&amp;$AW$82&amp;"C"&amp;$A96)="N/A",0,RTD("tos.rtd",,CH$83,"."&amp;$D$82&amp;$AW$82&amp;"C"&amp;$A96))</f>
        <v>0.51</v>
      </c>
      <c r="CI96" s="3">
        <f>-IF(RTD("tos.rtd",,CI$83,"."&amp;$D$82&amp;$AW$82&amp;"P"&amp;$A96)="N/A",0,RTD("tos.rtd",,CI$83,"."&amp;$D$82&amp;$AW$82&amp;"P"&amp;$A96))</f>
        <v>0.49</v>
      </c>
      <c r="CK96" s="3">
        <f t="shared" si="294"/>
        <v>-460284572.75</v>
      </c>
      <c r="CL96" s="3"/>
      <c r="CM96" s="3">
        <f t="shared" si="295"/>
        <v>201299938.99999994</v>
      </c>
      <c r="CN96" s="3"/>
      <c r="CO96" s="3">
        <f t="shared" si="296"/>
        <v>77585588</v>
      </c>
      <c r="CP96" s="3">
        <f t="shared" si="262"/>
        <v>-181399045.75000006</v>
      </c>
      <c r="CQ96" s="3">
        <f t="shared" si="263"/>
        <v>64570</v>
      </c>
      <c r="CR96" s="3"/>
      <c r="CS96" s="3">
        <f t="shared" si="264"/>
        <v>208</v>
      </c>
      <c r="CT96" s="3"/>
      <c r="CU96" s="3">
        <f t="shared" si="265"/>
        <v>13</v>
      </c>
      <c r="CV96" s="3"/>
      <c r="CW96" s="3">
        <f t="shared" ca="1" si="297"/>
        <v>1698787.5594995625</v>
      </c>
      <c r="CY96" s="3">
        <f t="shared" ca="1" si="266"/>
        <v>85263285.524574161</v>
      </c>
      <c r="CZ96" s="70" t="str">
        <f t="shared" ca="1" si="310"/>
        <v/>
      </c>
      <c r="DA96" s="3">
        <f>IF(RTD("tos.rtd",,DA$83,"."&amp;$B$82&amp;$AS$82&amp;"C"&amp;$A96)="N/A",0,RTD("tos.rtd",,DA$83,"."&amp;$B$82&amp;$AS$82&amp;"C"&amp;$A96))</f>
        <v>0.03</v>
      </c>
      <c r="DB96" s="3">
        <f>IF(RTD("tos.rtd",,DB$83,"."&amp;$B$82&amp;$AS$82&amp;"P"&amp;$A96)="N/A",0,RTD("tos.rtd",,DB$83,"."&amp;$B$82&amp;$AS$82&amp;"P"&amp;$A96))</f>
        <v>20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20.5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19.3</v>
      </c>
      <c r="DG96" s="86">
        <f t="shared" si="298"/>
        <v>24.75</v>
      </c>
      <c r="DH96" s="3">
        <f t="shared" si="267"/>
        <v>0</v>
      </c>
      <c r="DI96" s="3">
        <f t="shared" si="268"/>
        <v>0</v>
      </c>
      <c r="DJ96" s="3">
        <f t="shared" si="269"/>
        <v>0</v>
      </c>
      <c r="DK96" s="3">
        <f t="shared" si="270"/>
        <v>0</v>
      </c>
      <c r="DL96" s="3">
        <f t="shared" si="271"/>
        <v>0</v>
      </c>
      <c r="DM96" s="3">
        <f t="shared" si="272"/>
        <v>0</v>
      </c>
      <c r="DN96" s="64" t="str">
        <f t="shared" si="273"/>
        <v>UNKNOWN</v>
      </c>
      <c r="DO96" s="64" t="str">
        <f t="shared" si="274"/>
        <v>UNKNOWN</v>
      </c>
      <c r="DP96" s="3">
        <f t="shared" si="275"/>
        <v>0</v>
      </c>
      <c r="DQ96" s="3">
        <f t="shared" si="276"/>
        <v>0</v>
      </c>
      <c r="DR96" s="3">
        <f t="shared" ca="1" si="277"/>
        <v>0</v>
      </c>
      <c r="DS96" s="3">
        <f t="shared" si="278"/>
        <v>0</v>
      </c>
      <c r="DT96" s="3">
        <f t="shared" si="299"/>
        <v>0</v>
      </c>
      <c r="DU96" s="3">
        <f t="shared" si="300"/>
        <v>0</v>
      </c>
      <c r="DV96" s="3">
        <f t="shared" si="301"/>
        <v>1210</v>
      </c>
      <c r="DW96" s="3">
        <f t="shared" si="302"/>
        <v>-606</v>
      </c>
      <c r="DX96" s="3">
        <f t="shared" ca="1" si="311"/>
        <v>5.2094404886728523E-3</v>
      </c>
      <c r="DY96" s="3">
        <f t="shared" ca="1" si="279"/>
        <v>-9.4741943713816112E-3</v>
      </c>
      <c r="DZ96" s="3">
        <f t="shared" ca="1" si="303"/>
        <v>4.0684943470524109E-3</v>
      </c>
      <c r="EA96" s="3">
        <f t="shared" ca="1" si="304"/>
        <v>-3.8045404805981146E-3</v>
      </c>
      <c r="EB96" s="3">
        <f t="shared" ca="1" si="280"/>
        <v>4.2669559582118009E-3</v>
      </c>
      <c r="EC96" s="3">
        <f t="shared" ca="1" si="281"/>
        <v>-3.9660576673669476E-3</v>
      </c>
      <c r="ED96" s="63">
        <f t="shared" si="305"/>
        <v>604</v>
      </c>
      <c r="EE96" s="59">
        <f t="shared" si="282"/>
        <v>0.184</v>
      </c>
      <c r="EF96" s="59">
        <f t="shared" si="283"/>
        <v>0.28860000000000002</v>
      </c>
      <c r="EG96" s="59">
        <f t="shared" si="284"/>
        <v>0.15060000000000001</v>
      </c>
      <c r="EH96" s="59">
        <f t="shared" si="285"/>
        <v>0.16159999999999999</v>
      </c>
      <c r="EI96" s="59">
        <f t="shared" si="286"/>
        <v>0.14319999999999999</v>
      </c>
      <c r="EJ96" s="59">
        <f t="shared" si="287"/>
        <v>0.1547</v>
      </c>
      <c r="EK96" s="63">
        <f t="shared" ca="1" si="306"/>
        <v>424303952.83130825</v>
      </c>
      <c r="EL96" s="3" t="str">
        <f>RTD("tos.rtd",,EL$83,"."&amp;$B$82&amp;$AS$82&amp;"C"&amp;$A96)</f>
        <v>18.40%</v>
      </c>
      <c r="EM96" s="3" t="str">
        <f>RTD("tos.rtd",,EM$83,"."&amp;$B$82&amp;$AS$82&amp;"P"&amp;$A96)</f>
        <v>28.86%</v>
      </c>
      <c r="EN96" s="3" t="str">
        <f>RTD("tos.rtd",,EN$83,"."&amp;$C$82&amp;$AU$82&amp;"C"&amp;$A96)</f>
        <v>15.06%</v>
      </c>
      <c r="EO96" s="3" t="str">
        <f>RTD("tos.rtd",,EO$83,"."&amp;$C$82&amp;$AU$82&amp;"P"&amp;$A96)</f>
        <v>16.16%</v>
      </c>
      <c r="EP96" s="3" t="str">
        <f>RTD("tos.rtd",,EP$83,"."&amp;$D$82&amp;$AW$82&amp;"C"&amp;$A96)</f>
        <v>14.32%</v>
      </c>
      <c r="EQ96" s="3" t="str">
        <f>RTD("tos.rtd",,EQ$83,"."&amp;$D$82&amp;$AW$82&amp;"P"&amp;$A96)</f>
        <v>15.47%</v>
      </c>
      <c r="ES96" s="63" t="str">
        <f t="shared" si="288"/>
        <v>5960,604.00</v>
      </c>
      <c r="ET96" s="63" t="str">
        <f t="shared" ca="1" si="289"/>
        <v>5960,85263.29</v>
      </c>
      <c r="EU96" s="67">
        <v>594.03</v>
      </c>
      <c r="EV96" s="67" t="s">
        <v>788</v>
      </c>
      <c r="EW96" s="67">
        <v>520.79</v>
      </c>
      <c r="EX96" s="67" t="s">
        <v>789</v>
      </c>
      <c r="EY96" s="67">
        <v>5950.25</v>
      </c>
      <c r="EZ96" s="67" t="s">
        <v>790</v>
      </c>
      <c r="FA96" s="67">
        <v>21375.75</v>
      </c>
      <c r="FB96" s="67" t="s">
        <v>791</v>
      </c>
      <c r="FC96" s="67" t="s">
        <v>792</v>
      </c>
      <c r="FD96" s="67" t="s">
        <v>793</v>
      </c>
      <c r="FE96" s="68" t="s">
        <v>794</v>
      </c>
      <c r="FF96" s="68" t="s">
        <v>795</v>
      </c>
    </row>
    <row r="97" spans="1:162" s="63" customFormat="1" ht="12" customHeight="1" thickBot="1" x14ac:dyDescent="0.25">
      <c r="A97" s="2">
        <f t="shared" si="307"/>
        <v>5950</v>
      </c>
      <c r="B97" s="3">
        <f t="shared" si="251"/>
        <v>4720</v>
      </c>
      <c r="C97" s="3">
        <f t="shared" si="252"/>
        <v>10998</v>
      </c>
      <c r="D97" s="3">
        <f t="shared" si="253"/>
        <v>33713</v>
      </c>
      <c r="E97" s="3">
        <f>SUM(B97:D97)</f>
        <v>49431</v>
      </c>
      <c r="F97" s="4">
        <f t="shared" si="313"/>
        <v>5970.0497030453644</v>
      </c>
      <c r="G97" s="4">
        <f t="shared" si="290"/>
        <v>593.88222905522093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-12289</v>
      </c>
      <c r="AN97" s="20">
        <v>-4122</v>
      </c>
      <c r="AO97" s="20">
        <v>5950</v>
      </c>
      <c r="AP97" s="20">
        <v>113803</v>
      </c>
      <c r="AQ97" s="20">
        <v>-30110</v>
      </c>
      <c r="AR97" s="20"/>
      <c r="AS97" s="54">
        <f>IF(RTD("tos.rtd",,AS$83,"."&amp;$B$82&amp;$AS$82&amp;"C"&amp;$A97)="N/A",0,RTD("tos.rtd",,AS$83,"."&amp;$B$82&amp;$AS$82&amp;"C"&amp;$A97))</f>
        <v>2313</v>
      </c>
      <c r="AT97" s="3">
        <f>-IF(RTD("tos.rtd",,AT$83,"."&amp;$B$82&amp;$AS$82&amp;"P"&amp;$A97)="N/A",0,RTD("tos.rtd",,AT$83,"."&amp;$B$82&amp;$AS$82&amp;"P"&amp;$A97))</f>
        <v>-2407</v>
      </c>
      <c r="AU97" s="54">
        <f>IF(RTD("tos.rtd",,AU$83,"."&amp;$C$82&amp;$AU$82&amp;"C"&amp;$A97)="N/A",0,RTD("tos.rtd",,AU$83,"."&amp;$C$82&amp;$AU$82&amp;"C"&amp;$A97))</f>
        <v>5979</v>
      </c>
      <c r="AV97" s="3">
        <f>-IF(RTD("tos.rtd",,AV$83,"."&amp;$C$82&amp;$AU$82&amp;"P"&amp;$A97)="N/A",0,RTD("tos.rtd",,AV$83,"."&amp;$C$82&amp;$AU$82&amp;"P"&amp;$A97))</f>
        <v>-5019</v>
      </c>
      <c r="AW97" s="54">
        <f>IF(RTD("tos.rtd",,AW$83,"."&amp;$D$82&amp;$AW$82&amp;"C"&amp;$A97)="N/A",0,RTD("tos.rtd",,AW$83,"."&amp;$D$82&amp;$AW$82&amp;"C"&amp;$A97))</f>
        <v>17617</v>
      </c>
      <c r="AX97" s="3">
        <f>-IF(RTD("tos.rtd",,AX$83,"."&amp;$D$82&amp;$AW$82&amp;"P"&amp;$A97)="N/A",0,RTD("tos.rtd",,AX$83,"."&amp;$D$82&amp;$AW$82&amp;"P"&amp;$A97))</f>
        <v>-16096</v>
      </c>
      <c r="AY97" s="79">
        <f t="shared" si="291"/>
        <v>2387</v>
      </c>
      <c r="AZ97" s="8">
        <f t="shared" si="255"/>
        <v>5950</v>
      </c>
      <c r="BA97" s="54">
        <f>IF(RTD("tos.rtd",,BA$83,"."&amp;$B$82&amp;$AS$82&amp;"C"&amp;$A97)="N/A",0,RTD("tos.rtd",,BA$83,"."&amp;$B$82&amp;$AS$82&amp;"C"&amp;$A97))</f>
        <v>113803</v>
      </c>
      <c r="BB97" s="3">
        <f>-IF(RTD("tos.rtd",,BB$83,"."&amp;$B$82&amp;$AS$82&amp;"P"&amp;$A97)="N/A",0,RTD("tos.rtd",,BB$83,"."&amp;$B$82&amp;$AS$82&amp;"P"&amp;$A97))</f>
        <v>-30110</v>
      </c>
      <c r="BC97" s="54">
        <f>IF(RTD("tos.rtd",,BC$83,"."&amp;$C$82&amp;$AU$82&amp;"C"&amp;$A97)="N/A",0,RTD("tos.rtd",,BC$83,"."&amp;$C$82&amp;$AU$82&amp;"C"&amp;$A97))</f>
        <v>2950</v>
      </c>
      <c r="BD97" s="3">
        <f>-IF(RTD("tos.rtd",,BD$83,"."&amp;$C$82&amp;$AU$82&amp;"P"&amp;$A97)="N/A",0,RTD("tos.rtd",,BD$83,"."&amp;$C$82&amp;$AU$82&amp;"P"&amp;$A97))</f>
        <v>-1027</v>
      </c>
      <c r="BE97" s="54">
        <f>IF(RTD("tos.rtd",,BE$83,"."&amp;$D$82&amp;$AW$82&amp;"C"&amp;$A97)="N/A",0,RTD("tos.rtd",,BE$83,"."&amp;$D$82&amp;$AW$82&amp;"C"&amp;$A97))</f>
        <v>3333</v>
      </c>
      <c r="BF97" s="3">
        <f>-IF(RTD("tos.rtd",,BF$83,"."&amp;$D$82&amp;$AW$82&amp;"P"&amp;$A97)="N/A",0,RTD("tos.rtd",,BF$83,"."&amp;$D$82&amp;$AW$82&amp;"P"&amp;$A97))</f>
        <v>-3854</v>
      </c>
      <c r="BG97" s="3">
        <f ca="1">+Hoja2!Y98</f>
        <v>5072</v>
      </c>
      <c r="BH97" s="55">
        <f t="shared" ca="1" si="292"/>
        <v>90167</v>
      </c>
      <c r="BI97" s="32" t="str">
        <f t="shared" ca="1" si="312"/>
        <v/>
      </c>
      <c r="BJ97" s="3">
        <f ca="1">IF($BP$1=1,DX97,IF(RTD("tos.rtd",,BJ$83,"."&amp;$B$82&amp;$AS$82&amp;"C"&amp;$A97)="N/A",0,RTD("tos.rtd",,BJ$83,"."&amp;$B$82&amp;$AS$82&amp;"C"&amp;$A97)))</f>
        <v>6.3752934005150003E-3</v>
      </c>
      <c r="BK97" s="3">
        <f ca="1">IF($BP$1=1,DY97,-IF(RTD("tos.rtd",,BK$83,"."&amp;$B$82&amp;$AS$82&amp;"P"&amp;$A97)="N/A",0,RTD("tos.rtd",,BK$83,"."&amp;$B$82&amp;$AS$82&amp;"P"&amp;$A97)))</f>
        <v>-1.4954951243684915E-2</v>
      </c>
      <c r="BL97" s="3">
        <f ca="1">IF($BP$1=1,DZ97,IF(RTD("tos.rtd",,BL$83,"."&amp;$C$82&amp;$AU$82&amp;"C"&amp;$A97)="N/A",0,RTD("tos.rtd",,BL$83,"."&amp;$C$82&amp;$AU$82&amp;"C"&amp;$A97)))</f>
        <v>4.0921616970315206E-3</v>
      </c>
      <c r="BM97" s="3">
        <f ca="1">IF($BP$1=1,EA97,-IF(RTD("tos.rtd",,BM$83,"."&amp;$C$82&amp;$AU$82&amp;"P"&amp;$A97)="N/A",0,RTD("tos.rtd",,BM$83,"."&amp;$C$82&amp;$AU$82&amp;"P"&amp;$A97)))</f>
        <v>-3.8203940130374105E-3</v>
      </c>
      <c r="BN97" s="3">
        <f ca="1">IF($BP$1=1,EB97,IF(RTD("tos.rtd",,BN$83,"."&amp;$D$82&amp;$AW$82&amp;"C"&amp;$A97)="N/A",0,RTD("tos.rtd",,BN$83,"."&amp;$D$82&amp;$AW$82&amp;"C"&amp;$A97)))</f>
        <v>4.3151947718283378E-3</v>
      </c>
      <c r="BO97" s="3">
        <f ca="1">IF($BP$1=1,EC97,-IF(RTD("tos.rtd",,BO$83,"."&amp;$D$82&amp;$AW$82&amp;"P"&amp;$A97)="N/A",0,RTD("tos.rtd",,BO$83,"."&amp;$D$82&amp;$AW$82&amp;"P"&amp;$A97)))</f>
        <v>-4.0041518164531187E-3</v>
      </c>
      <c r="BQ97" s="3">
        <f t="shared" ca="1" si="256"/>
        <v>-5737964.6992110591</v>
      </c>
      <c r="BR97" s="3" t="str">
        <f t="shared" ca="1" si="293"/>
        <v>Cruce -</v>
      </c>
      <c r="BS97" s="3">
        <f t="shared" ca="1" si="257"/>
        <v>1429050.0236756159</v>
      </c>
      <c r="BT97" s="3" t="str">
        <f t="shared" ca="1" si="293"/>
        <v/>
      </c>
      <c r="BU97" s="3">
        <f t="shared" ca="1" si="258"/>
        <v>3124066.2848699503</v>
      </c>
      <c r="BV97" s="3" t="str">
        <f t="shared" ca="1" si="293"/>
        <v/>
      </c>
      <c r="BX97" s="3">
        <f t="shared" ca="1" si="259"/>
        <v>74317383.121398717</v>
      </c>
      <c r="BY97" s="3" t="str">
        <f t="shared" ca="1" si="309"/>
        <v/>
      </c>
      <c r="BZ97" s="3">
        <f t="shared" ca="1" si="260"/>
        <v>2200174.7059689555</v>
      </c>
      <c r="CA97" s="3" t="str">
        <f t="shared" ca="1" si="309"/>
        <v/>
      </c>
      <c r="CB97" s="3">
        <f t="shared" ca="1" si="261"/>
        <v>-283369.46546467626</v>
      </c>
      <c r="CC97" s="3" t="str">
        <f t="shared" ca="1" si="309"/>
        <v>Cruce -</v>
      </c>
      <c r="CD97" s="3">
        <f>IF(RTD("tos.rtd",,CD$83,"."&amp;$B$82&amp;$AS$82&amp;"C"&amp;$A97)="N/A",0,RTD("tos.rtd",,CD$83,"."&amp;$B$82&amp;$AS$82&amp;"C"&amp;$A97))</f>
        <v>0.02</v>
      </c>
      <c r="CE97" s="3">
        <f>-IF(RTD("tos.rtd",,CE$83,"."&amp;$B$82&amp;$AS$82&amp;"P"&amp;$A97)="N/A",0,RTD("tos.rtd",,CE$83,"."&amp;$B$82&amp;$AS$82&amp;"P"&amp;$A97))</f>
        <v>0.91</v>
      </c>
      <c r="CF97" s="3">
        <f>IF(RTD("tos.rtd",,CF$83,"."&amp;$C$82&amp;$AU$82&amp;"C"&amp;$A97)="N/A",0,RTD("tos.rtd",,CF$83,"."&amp;$C$82&amp;$AU$82&amp;"C"&amp;$A97))</f>
        <v>0.47</v>
      </c>
      <c r="CG97" s="3">
        <f>-IF(RTD("tos.rtd",,CG$83,"."&amp;$C$82&amp;$AU$82&amp;"P"&amp;$A97)="N/A",0,RTD("tos.rtd",,CG$83,"."&amp;$C$82&amp;$AU$82&amp;"P"&amp;$A97))</f>
        <v>0.53</v>
      </c>
      <c r="CH97" s="3">
        <f>IF(RTD("tos.rtd",,CH$83,"."&amp;$D$82&amp;$AW$82&amp;"C"&amp;$A97)="N/A",0,RTD("tos.rtd",,CH$83,"."&amp;$D$82&amp;$AW$82&amp;"C"&amp;$A97))</f>
        <v>0.53</v>
      </c>
      <c r="CI97" s="3">
        <f>-IF(RTD("tos.rtd",,CI$83,"."&amp;$D$82&amp;$AW$82&amp;"P"&amp;$A97)="N/A",0,RTD("tos.rtd",,CI$83,"."&amp;$D$82&amp;$AW$82&amp;"P"&amp;$A97))</f>
        <v>0.47</v>
      </c>
      <c r="CK97" s="3">
        <f t="shared" si="294"/>
        <v>-1272582887.75</v>
      </c>
      <c r="CL97" s="3"/>
      <c r="CM97" s="3">
        <f t="shared" si="295"/>
        <v>89064361.499999762</v>
      </c>
      <c r="CN97" s="3"/>
      <c r="CO97" s="3">
        <f t="shared" si="296"/>
        <v>1051661012.25</v>
      </c>
      <c r="CP97" s="3">
        <f t="shared" si="262"/>
        <v>-131857514.00000024</v>
      </c>
      <c r="CQ97" s="3">
        <f t="shared" si="263"/>
        <v>83693</v>
      </c>
      <c r="CR97" s="3"/>
      <c r="CS97" s="3">
        <f t="shared" si="264"/>
        <v>1923</v>
      </c>
      <c r="CT97" s="3"/>
      <c r="CU97" s="3">
        <f t="shared" si="265"/>
        <v>-521</v>
      </c>
      <c r="CV97" s="3"/>
      <c r="CW97" s="3">
        <f t="shared" ca="1" si="297"/>
        <v>-1184848.390665493</v>
      </c>
      <c r="CY97" s="3">
        <f t="shared" ca="1" si="266"/>
        <v>76234188.361902997</v>
      </c>
      <c r="CZ97" s="70" t="str">
        <f t="shared" ca="1" si="310"/>
        <v/>
      </c>
      <c r="DA97" s="3">
        <f>IF(RTD("tos.rtd",,DA$83,"."&amp;$B$82&amp;$AS$82&amp;"C"&amp;$A97)="N/A",0,RTD("tos.rtd",,DA$83,"."&amp;$B$82&amp;$AS$82&amp;"C"&amp;$A97))</f>
        <v>0.03</v>
      </c>
      <c r="DB97" s="3">
        <f>IF(RTD("tos.rtd",,DB$83,"."&amp;$B$82&amp;$AS$82&amp;"P"&amp;$A97)="N/A",0,RTD("tos.rtd",,DB$83,"."&amp;$B$82&amp;$AS$82&amp;"P"&amp;$A97))</f>
        <v>10.4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10.3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9.3000000000000007</v>
      </c>
      <c r="DG97" s="86">
        <f t="shared" si="298"/>
        <v>14.75</v>
      </c>
      <c r="DH97" s="3">
        <f t="shared" si="267"/>
        <v>0</v>
      </c>
      <c r="DI97" s="3">
        <f t="shared" si="268"/>
        <v>0</v>
      </c>
      <c r="DJ97" s="3">
        <f t="shared" si="269"/>
        <v>0</v>
      </c>
      <c r="DK97" s="3">
        <f t="shared" si="270"/>
        <v>0</v>
      </c>
      <c r="DL97" s="3">
        <f t="shared" si="271"/>
        <v>0</v>
      </c>
      <c r="DM97" s="3">
        <f t="shared" si="272"/>
        <v>0</v>
      </c>
      <c r="DN97" s="64" t="str">
        <f t="shared" si="273"/>
        <v>UNKNOWN</v>
      </c>
      <c r="DO97" s="64" t="str">
        <f t="shared" si="274"/>
        <v>UNKNOWN</v>
      </c>
      <c r="DP97" s="3">
        <f t="shared" si="275"/>
        <v>0</v>
      </c>
      <c r="DQ97" s="3">
        <f t="shared" si="276"/>
        <v>0</v>
      </c>
      <c r="DR97" s="3">
        <f t="shared" ca="1" si="277"/>
        <v>0</v>
      </c>
      <c r="DS97" s="3">
        <f t="shared" si="278"/>
        <v>0</v>
      </c>
      <c r="DT97" s="3">
        <f t="shared" si="299"/>
        <v>0</v>
      </c>
      <c r="DU97" s="3">
        <f t="shared" si="300"/>
        <v>0</v>
      </c>
      <c r="DV97" s="3">
        <f t="shared" si="301"/>
        <v>-12289</v>
      </c>
      <c r="DW97" s="3">
        <f t="shared" si="302"/>
        <v>-4122</v>
      </c>
      <c r="DX97" s="3">
        <f t="shared" ca="1" si="311"/>
        <v>6.3752934005150003E-3</v>
      </c>
      <c r="DY97" s="3">
        <f t="shared" ca="1" si="279"/>
        <v>-1.4954951243684915E-2</v>
      </c>
      <c r="DZ97" s="3">
        <f t="shared" ca="1" si="303"/>
        <v>4.0921616970315206E-3</v>
      </c>
      <c r="EA97" s="3">
        <f t="shared" ca="1" si="304"/>
        <v>-3.8203940130374105E-3</v>
      </c>
      <c r="EB97" s="3">
        <f t="shared" ca="1" si="280"/>
        <v>4.3151947718283378E-3</v>
      </c>
      <c r="EC97" s="3">
        <f t="shared" ca="1" si="281"/>
        <v>-4.0041518164531187E-3</v>
      </c>
      <c r="ED97" s="63">
        <f t="shared" si="305"/>
        <v>-16411</v>
      </c>
      <c r="EE97" s="59">
        <f t="shared" si="282"/>
        <v>9.8500000000000004E-2</v>
      </c>
      <c r="EF97" s="59">
        <f t="shared" si="283"/>
        <v>0.15529999999999999</v>
      </c>
      <c r="EG97" s="59">
        <f t="shared" si="284"/>
        <v>0.15240000000000001</v>
      </c>
      <c r="EH97" s="59">
        <f t="shared" si="285"/>
        <v>0.16339999999999999</v>
      </c>
      <c r="EI97" s="59">
        <f t="shared" si="286"/>
        <v>0.1444</v>
      </c>
      <c r="EJ97" s="59">
        <f t="shared" si="287"/>
        <v>0.15579999999999999</v>
      </c>
      <c r="EK97" s="63">
        <f t="shared" ca="1" si="306"/>
        <v>-588353000.59866667</v>
      </c>
      <c r="EL97" s="3" t="str">
        <f>RTD("tos.rtd",,EL$83,"."&amp;$B$82&amp;$AS$82&amp;"C"&amp;$A97)</f>
        <v>9.85%</v>
      </c>
      <c r="EM97" s="3" t="str">
        <f>RTD("tos.rtd",,EM$83,"."&amp;$B$82&amp;$AS$82&amp;"P"&amp;$A97)</f>
        <v>15.53%</v>
      </c>
      <c r="EN97" s="3" t="str">
        <f>RTD("tos.rtd",,EN$83,"."&amp;$C$82&amp;$AU$82&amp;"C"&amp;$A97)</f>
        <v>15.24%</v>
      </c>
      <c r="EO97" s="3" t="str">
        <f>RTD("tos.rtd",,EO$83,"."&amp;$C$82&amp;$AU$82&amp;"P"&amp;$A97)</f>
        <v>16.34%</v>
      </c>
      <c r="EP97" s="3" t="str">
        <f>RTD("tos.rtd",,EP$83,"."&amp;$D$82&amp;$AW$82&amp;"C"&amp;$A97)</f>
        <v>14.44%</v>
      </c>
      <c r="EQ97" s="3" t="str">
        <f>RTD("tos.rtd",,EQ$83,"."&amp;$D$82&amp;$AW$82&amp;"P"&amp;$A97)</f>
        <v>15.58%</v>
      </c>
      <c r="ES97" s="63" t="str">
        <f t="shared" si="288"/>
        <v>5950,-16411.00</v>
      </c>
      <c r="ET97" s="63" t="str">
        <f t="shared" ca="1" si="289"/>
        <v>5950,76234.19</v>
      </c>
      <c r="EU97" s="67">
        <v>594.08000000000004</v>
      </c>
      <c r="EV97" s="67" t="s">
        <v>796</v>
      </c>
      <c r="EW97" s="67">
        <v>520.85</v>
      </c>
      <c r="EX97" s="67" t="s">
        <v>797</v>
      </c>
      <c r="EY97" s="67">
        <v>5951</v>
      </c>
      <c r="EZ97" s="67" t="s">
        <v>798</v>
      </c>
      <c r="FA97" s="67">
        <v>21378</v>
      </c>
      <c r="FB97" s="67" t="s">
        <v>799</v>
      </c>
      <c r="FC97" s="67" t="s">
        <v>800</v>
      </c>
      <c r="FD97" s="67" t="s">
        <v>801</v>
      </c>
      <c r="FE97" s="68" t="s">
        <v>802</v>
      </c>
      <c r="FF97" s="68" t="s">
        <v>803</v>
      </c>
    </row>
    <row r="98" spans="1:162" s="63" customFormat="1" ht="12" customHeight="1" thickBot="1" x14ac:dyDescent="0.25">
      <c r="A98" s="2">
        <f t="shared" si="307"/>
        <v>5940</v>
      </c>
      <c r="B98" s="3">
        <f t="shared" si="251"/>
        <v>2060</v>
      </c>
      <c r="C98" s="3">
        <f t="shared" si="252"/>
        <v>1255</v>
      </c>
      <c r="D98" s="3">
        <f t="shared" si="253"/>
        <v>11654</v>
      </c>
      <c r="E98" s="3">
        <f>SUM(B98:D98)</f>
        <v>14969</v>
      </c>
      <c r="F98" s="4">
        <f t="shared" si="313"/>
        <v>5960.0160060654562</v>
      </c>
      <c r="G98" s="4">
        <f t="shared" si="290"/>
        <v>592.88410766185075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7954</v>
      </c>
      <c r="AN98" s="20">
        <v>-3640</v>
      </c>
      <c r="AO98" s="20">
        <v>5940</v>
      </c>
      <c r="AP98" s="20">
        <v>107566</v>
      </c>
      <c r="AQ98" s="20">
        <v>-60582</v>
      </c>
      <c r="AR98" s="20"/>
      <c r="AS98" s="54">
        <f>IF(RTD("tos.rtd",,AS$83,"."&amp;$B$82&amp;$AS$82&amp;"C"&amp;$A98)="N/A",0,RTD("tos.rtd",,AS$83,"."&amp;$B$82&amp;$AS$82&amp;"C"&amp;$A98))</f>
        <v>627</v>
      </c>
      <c r="AT98" s="3">
        <f>-IF(RTD("tos.rtd",,AT$83,"."&amp;$B$82&amp;$AS$82&amp;"P"&amp;$A98)="N/A",0,RTD("tos.rtd",,AT$83,"."&amp;$B$82&amp;$AS$82&amp;"P"&amp;$A98))</f>
        <v>-1433</v>
      </c>
      <c r="AU98" s="54">
        <f>IF(RTD("tos.rtd",,AU$83,"."&amp;$C$82&amp;$AU$82&amp;"C"&amp;$A98)="N/A",0,RTD("tos.rtd",,AU$83,"."&amp;$C$82&amp;$AU$82&amp;"C"&amp;$A98))</f>
        <v>771</v>
      </c>
      <c r="AV98" s="3">
        <f>-IF(RTD("tos.rtd",,AV$83,"."&amp;$C$82&amp;$AU$82&amp;"P"&amp;$A98)="N/A",0,RTD("tos.rtd",,AV$83,"."&amp;$C$82&amp;$AU$82&amp;"P"&amp;$A98))</f>
        <v>-484</v>
      </c>
      <c r="AW98" s="54">
        <f>IF(RTD("tos.rtd",,AW$83,"."&amp;$D$82&amp;$AW$82&amp;"C"&amp;$A98)="N/A",0,RTD("tos.rtd",,AW$83,"."&amp;$D$82&amp;$AW$82&amp;"C"&amp;$A98))</f>
        <v>5685</v>
      </c>
      <c r="AX98" s="3">
        <f>-IF(RTD("tos.rtd",,AX$83,"."&amp;$D$82&amp;$AW$82&amp;"P"&amp;$A98)="N/A",0,RTD("tos.rtd",,AX$83,"."&amp;$D$82&amp;$AW$82&amp;"P"&amp;$A98))</f>
        <v>-5969</v>
      </c>
      <c r="AY98" s="79">
        <f t="shared" si="291"/>
        <v>-803</v>
      </c>
      <c r="AZ98" s="8">
        <f t="shared" si="255"/>
        <v>5940</v>
      </c>
      <c r="BA98" s="54">
        <f>IF(RTD("tos.rtd",,BA$83,"."&amp;$B$82&amp;$AS$82&amp;"C"&amp;$A98)="N/A",0,RTD("tos.rtd",,BA$83,"."&amp;$B$82&amp;$AS$82&amp;"C"&amp;$A98))</f>
        <v>107566</v>
      </c>
      <c r="BB98" s="3">
        <f>-IF(RTD("tos.rtd",,BB$83,"."&amp;$B$82&amp;$AS$82&amp;"P"&amp;$A98)="N/A",0,RTD("tos.rtd",,BB$83,"."&amp;$B$82&amp;$AS$82&amp;"P"&amp;$A98))</f>
        <v>-60582</v>
      </c>
      <c r="BC98" s="54">
        <f>IF(RTD("tos.rtd",,BC$83,"."&amp;$C$82&amp;$AU$82&amp;"C"&amp;$A98)="N/A",0,RTD("tos.rtd",,BC$83,"."&amp;$C$82&amp;$AU$82&amp;"C"&amp;$A98))</f>
        <v>889</v>
      </c>
      <c r="BD98" s="3">
        <f>-IF(RTD("tos.rtd",,BD$83,"."&amp;$C$82&amp;$AU$82&amp;"P"&amp;$A98)="N/A",0,RTD("tos.rtd",,BD$83,"."&amp;$C$82&amp;$AU$82&amp;"P"&amp;$A98))</f>
        <v>-567</v>
      </c>
      <c r="BE98" s="54">
        <f>IF(RTD("tos.rtd",,BE$83,"."&amp;$D$82&amp;$AW$82&amp;"C"&amp;$A98)="N/A",0,RTD("tos.rtd",,BE$83,"."&amp;$D$82&amp;$AW$82&amp;"C"&amp;$A98))</f>
        <v>981</v>
      </c>
      <c r="BF98" s="3">
        <f>-IF(RTD("tos.rtd",,BF$83,"."&amp;$D$82&amp;$AW$82&amp;"P"&amp;$A98)="N/A",0,RTD("tos.rtd",,BF$83,"."&amp;$D$82&amp;$AW$82&amp;"P"&amp;$A98))</f>
        <v>-836</v>
      </c>
      <c r="BG98" s="3">
        <f ca="1">+Hoja2!Y99</f>
        <v>1196</v>
      </c>
      <c r="BH98" s="55">
        <f t="shared" ca="1" si="292"/>
        <v>48647</v>
      </c>
      <c r="BI98" s="32" t="str">
        <f t="shared" ca="1" si="312"/>
        <v/>
      </c>
      <c r="BJ98" s="3">
        <f ca="1">IF($BP$1=1,DX98,IF(RTD("tos.rtd",,BJ$83,"."&amp;$B$82&amp;$AS$82&amp;"C"&amp;$A98)="N/A",0,RTD("tos.rtd",,BJ$83,"."&amp;$B$82&amp;$AS$82&amp;"C"&amp;$A98)))</f>
        <v>2.6972696428114742E-3</v>
      </c>
      <c r="BK98" s="3">
        <f ca="1">IF($BP$1=1,DY98,-IF(RTD("tos.rtd",,BK$83,"."&amp;$B$82&amp;$AS$82&amp;"P"&amp;$A98)="N/A",0,RTD("tos.rtd",,BK$83,"."&amp;$B$82&amp;$AS$82&amp;"P"&amp;$A98)))</f>
        <v>-3.7685370583778993E-2</v>
      </c>
      <c r="BL98" s="3">
        <f ca="1">IF($BP$1=1,DZ98,IF(RTD("tos.rtd",,BL$83,"."&amp;$C$82&amp;$AU$82&amp;"C"&amp;$A98)="N/A",0,RTD("tos.rtd",,BL$83,"."&amp;$C$82&amp;$AU$82&amp;"C"&amp;$A98)))</f>
        <v>4.0707140708558971E-3</v>
      </c>
      <c r="BM98" s="3">
        <f ca="1">IF($BP$1=1,EA98,-IF(RTD("tos.rtd",,BM$83,"."&amp;$C$82&amp;$AU$82&amp;"P"&amp;$A98)="N/A",0,RTD("tos.rtd",,BM$83,"."&amp;$C$82&amp;$AU$82&amp;"P"&amp;$A98)))</f>
        <v>-3.8043381328177832E-3</v>
      </c>
      <c r="BN98" s="3">
        <f ca="1">IF($BP$1=1,EB98,IF(RTD("tos.rtd",,BN$83,"."&amp;$D$82&amp;$AW$82&amp;"C"&amp;$A98)="N/A",0,RTD("tos.rtd",,BN$83,"."&amp;$D$82&amp;$AW$82&amp;"C"&amp;$A98)))</f>
        <v>4.3110730094115214E-3</v>
      </c>
      <c r="BO98" s="3">
        <f ca="1">IF($BP$1=1,EC98,-IF(RTD("tos.rtd",,BO$83,"."&amp;$D$82&amp;$AW$82&amp;"P"&amp;$A98)="N/A",0,RTD("tos.rtd",,BO$83,"."&amp;$D$82&amp;$AW$82&amp;"P"&amp;$A98)))</f>
        <v>-3.9930514178114279E-3</v>
      </c>
      <c r="BQ98" s="3">
        <f t="shared" ca="1" si="256"/>
        <v>-14125028.257853357</v>
      </c>
      <c r="BR98" s="3" t="str">
        <f t="shared" ca="1" si="293"/>
        <v/>
      </c>
      <c r="BS98" s="3">
        <f t="shared" ca="1" si="257"/>
        <v>350269.53628054797</v>
      </c>
      <c r="BT98" s="3" t="str">
        <f t="shared" ca="1" si="293"/>
        <v/>
      </c>
      <c r="BU98" s="3">
        <f t="shared" ca="1" si="258"/>
        <v>181970.39524668548</v>
      </c>
      <c r="BV98" s="3" t="str">
        <f t="shared" ca="1" si="293"/>
        <v/>
      </c>
      <c r="BX98" s="3">
        <f t="shared" ca="1" si="259"/>
        <v>-538119131.08728635</v>
      </c>
      <c r="BY98" s="3" t="str">
        <f t="shared" ca="1" si="309"/>
        <v>Cruce -</v>
      </c>
      <c r="BZ98" s="3">
        <f t="shared" ca="1" si="260"/>
        <v>394709.79323291581</v>
      </c>
      <c r="CA98" s="3" t="str">
        <f t="shared" ca="1" si="309"/>
        <v/>
      </c>
      <c r="CB98" s="3">
        <f t="shared" ca="1" si="261"/>
        <v>240576.00671733276</v>
      </c>
      <c r="CC98" s="3" t="str">
        <f t="shared" ca="1" si="309"/>
        <v>Cruce +</v>
      </c>
      <c r="CD98" s="3">
        <f>IF(RTD("tos.rtd",,CD$83,"."&amp;$B$82&amp;$AS$82&amp;"C"&amp;$A98)="N/A",0,RTD("tos.rtd",,CD$83,"."&amp;$B$82&amp;$AS$82&amp;"C"&amp;$A98))</f>
        <v>0.69</v>
      </c>
      <c r="CE98" s="3">
        <f>-IF(RTD("tos.rtd",,CE$83,"."&amp;$B$82&amp;$AS$82&amp;"P"&amp;$A98)="N/A",0,RTD("tos.rtd",,CE$83,"."&amp;$B$82&amp;$AS$82&amp;"P"&amp;$A98))</f>
        <v>0.4</v>
      </c>
      <c r="CF98" s="3">
        <f>IF(RTD("tos.rtd",,CF$83,"."&amp;$C$82&amp;$AU$82&amp;"C"&amp;$A98)="N/A",0,RTD("tos.rtd",,CF$83,"."&amp;$C$82&amp;$AU$82&amp;"C"&amp;$A98))</f>
        <v>0.52</v>
      </c>
      <c r="CG98" s="3">
        <f>-IF(RTD("tos.rtd",,CG$83,"."&amp;$C$82&amp;$AU$82&amp;"P"&amp;$A98)="N/A",0,RTD("tos.rtd",,CG$83,"."&amp;$C$82&amp;$AU$82&amp;"P"&amp;$A98))</f>
        <v>0.49</v>
      </c>
      <c r="CH98" s="3">
        <f>IF(RTD("tos.rtd",,CH$83,"."&amp;$D$82&amp;$AW$82&amp;"C"&amp;$A98)="N/A",0,RTD("tos.rtd",,CH$83,"."&amp;$D$82&amp;$AW$82&amp;"C"&amp;$A98))</f>
        <v>0.54</v>
      </c>
      <c r="CI98" s="3">
        <f>-IF(RTD("tos.rtd",,CI$83,"."&amp;$D$82&amp;$AW$82&amp;"P"&amp;$A98)="N/A",0,RTD("tos.rtd",,CI$83,"."&amp;$D$82&amp;$AW$82&amp;"P"&amp;$A98))</f>
        <v>0.46</v>
      </c>
      <c r="CK98" s="3">
        <f t="shared" si="294"/>
        <v>-83431809.250000089</v>
      </c>
      <c r="CL98" s="3"/>
      <c r="CM98" s="3">
        <f t="shared" si="295"/>
        <v>97195654</v>
      </c>
      <c r="CN98" s="3"/>
      <c r="CO98" s="3">
        <f t="shared" si="296"/>
        <v>192397064</v>
      </c>
      <c r="CP98" s="3">
        <f t="shared" si="262"/>
        <v>206160908.74999991</v>
      </c>
      <c r="CQ98" s="3">
        <f t="shared" si="263"/>
        <v>46984</v>
      </c>
      <c r="CR98" s="3"/>
      <c r="CS98" s="3">
        <f t="shared" si="264"/>
        <v>322</v>
      </c>
      <c r="CT98" s="3"/>
      <c r="CU98" s="3">
        <f t="shared" si="265"/>
        <v>145</v>
      </c>
      <c r="CV98" s="3"/>
      <c r="CW98" s="3">
        <f t="shared" ca="1" si="297"/>
        <v>-13592788.326326124</v>
      </c>
      <c r="CY98" s="3">
        <f t="shared" ca="1" si="266"/>
        <v>-537483845.28733611</v>
      </c>
      <c r="CZ98" s="70" t="str">
        <f t="shared" ca="1" si="310"/>
        <v>Cruce -</v>
      </c>
      <c r="DA98" s="3">
        <f>IF(RTD("tos.rtd",,DA$83,"."&amp;$B$82&amp;$AS$82&amp;"C"&amp;$A98)="N/A",0,RTD("tos.rtd",,DA$83,"."&amp;$B$82&amp;$AS$82&amp;"C"&amp;$A98))</f>
        <v>0.7</v>
      </c>
      <c r="DB98" s="3">
        <f>IF(RTD("tos.rtd",,DB$83,"."&amp;$B$82&amp;$AS$82&amp;"P"&amp;$A98)="N/A",0,RTD("tos.rtd",,DB$83,"."&amp;$B$82&amp;$AS$82&amp;"P"&amp;$A98))</f>
        <v>0.35</v>
      </c>
      <c r="DC98" s="3">
        <f>IF(RTD("tos.rtd",,DC$83,"."&amp;$B$82&amp;$AS$82&amp;"C"&amp;$A98)="N/A",0,RTD("tos.rtd",,DC$83,"."&amp;$B$82&amp;$AS$82&amp;"C"&amp;$A98))</f>
        <v>0.7</v>
      </c>
      <c r="DD98" s="3">
        <f>IF(RTD("tos.rtd",,DD$83,"."&amp;$B$82&amp;$AS$82&amp;"P"&amp;$A98)="N/A",0,RTD("tos.rtd",,DD$83,"."&amp;$B$82&amp;$AS$82&amp;"P"&amp;$A98))</f>
        <v>0.75</v>
      </c>
      <c r="DE98" s="3">
        <f>IF(RTD("tos.rtd",,DE$83,"."&amp;$B$82&amp;$AS$82&amp;"C"&amp;$A98)="N/A",0,RTD("tos.rtd",,DE$83,"."&amp;$B$82&amp;$AS$82&amp;"C"&amp;$A98))</f>
        <v>0.65</v>
      </c>
      <c r="DF98" s="3">
        <f>IF(RTD("tos.rtd",,DF$83,"."&amp;$B$82&amp;$AS$82&amp;"P"&amp;$A98)="N/A",0,RTD("tos.rtd",,DF$83,"."&amp;$B$82&amp;$AS$82&amp;"P"&amp;$A98))</f>
        <v>0.3</v>
      </c>
      <c r="DG98" s="86">
        <f t="shared" si="298"/>
        <v>4.75</v>
      </c>
      <c r="DH98" s="3">
        <f t="shared" si="267"/>
        <v>0</v>
      </c>
      <c r="DI98" s="3">
        <f t="shared" si="268"/>
        <v>0</v>
      </c>
      <c r="DJ98" s="3">
        <f t="shared" si="269"/>
        <v>0</v>
      </c>
      <c r="DK98" s="3">
        <f t="shared" si="270"/>
        <v>0</v>
      </c>
      <c r="DL98" s="3">
        <f t="shared" si="271"/>
        <v>0</v>
      </c>
      <c r="DM98" s="3">
        <f t="shared" si="272"/>
        <v>0</v>
      </c>
      <c r="DN98" s="64" t="str">
        <f t="shared" si="273"/>
        <v>UNKNOWN</v>
      </c>
      <c r="DO98" s="64" t="str">
        <f t="shared" si="274"/>
        <v>UNKNOWN</v>
      </c>
      <c r="DP98" s="3">
        <f t="shared" si="275"/>
        <v>0</v>
      </c>
      <c r="DQ98" s="3">
        <f t="shared" si="276"/>
        <v>0</v>
      </c>
      <c r="DR98" s="3">
        <f t="shared" ca="1" si="277"/>
        <v>0</v>
      </c>
      <c r="DS98" s="3">
        <f t="shared" si="278"/>
        <v>0</v>
      </c>
      <c r="DT98" s="3">
        <f t="shared" si="299"/>
        <v>0</v>
      </c>
      <c r="DU98" s="3">
        <f t="shared" si="300"/>
        <v>0</v>
      </c>
      <c r="DV98" s="3">
        <f>AM98+IF(DN98="BUY",DT98,IF(DN98="SELL",-DT98,0))</f>
        <v>7954</v>
      </c>
      <c r="DW98" s="3">
        <f t="shared" si="302"/>
        <v>-3640</v>
      </c>
      <c r="DX98" s="3">
        <f t="shared" ca="1" si="311"/>
        <v>2.6972696428114742E-3</v>
      </c>
      <c r="DY98" s="3">
        <f t="shared" ca="1" si="279"/>
        <v>-3.7685370583778993E-2</v>
      </c>
      <c r="DZ98" s="3">
        <f t="shared" ca="1" si="303"/>
        <v>4.0707140708558971E-3</v>
      </c>
      <c r="EA98" s="3">
        <f t="shared" ca="1" si="304"/>
        <v>-3.8043381328177832E-3</v>
      </c>
      <c r="EB98" s="3">
        <f t="shared" ca="1" si="280"/>
        <v>4.3110730094115214E-3</v>
      </c>
      <c r="EC98" s="3">
        <f t="shared" ca="1" si="281"/>
        <v>-3.9930514178114279E-3</v>
      </c>
      <c r="ED98" s="63">
        <f t="shared" si="305"/>
        <v>4314</v>
      </c>
      <c r="EE98" s="59">
        <f t="shared" si="282"/>
        <v>2.1899999999999999E-2</v>
      </c>
      <c r="EF98" s="59">
        <f t="shared" si="283"/>
        <v>4.1300000000000003E-2</v>
      </c>
      <c r="EG98" s="59">
        <f t="shared" si="284"/>
        <v>0.1542</v>
      </c>
      <c r="EH98" s="59">
        <f t="shared" si="285"/>
        <v>0.16500000000000001</v>
      </c>
      <c r="EI98" s="59">
        <f t="shared" si="286"/>
        <v>0.14560000000000001</v>
      </c>
      <c r="EJ98" s="59">
        <f t="shared" si="287"/>
        <v>0.15720000000000001</v>
      </c>
      <c r="EK98" s="63">
        <f t="shared" ca="1" si="306"/>
        <v>5588048398.9878283</v>
      </c>
      <c r="EL98" s="3" t="str">
        <f>RTD("tos.rtd",,EL$83,"."&amp;$B$82&amp;$AS$82&amp;"C"&amp;$A98)</f>
        <v>2.19%</v>
      </c>
      <c r="EM98" s="3" t="str">
        <f>RTD("tos.rtd",,EM$83,"."&amp;$B$82&amp;$AS$82&amp;"P"&amp;$A98)</f>
        <v>4.13%</v>
      </c>
      <c r="EN98" s="3" t="str">
        <f>RTD("tos.rtd",,EN$83,"."&amp;$C$82&amp;$AU$82&amp;"C"&amp;$A98)</f>
        <v>15.42%</v>
      </c>
      <c r="EO98" s="3" t="str">
        <f>RTD("tos.rtd",,EO$83,"."&amp;$C$82&amp;$AU$82&amp;"P"&amp;$A98)</f>
        <v>16.50%</v>
      </c>
      <c r="EP98" s="3" t="str">
        <f>RTD("tos.rtd",,EP$83,"."&amp;$D$82&amp;$AW$82&amp;"C"&amp;$A98)</f>
        <v>14.56%</v>
      </c>
      <c r="EQ98" s="3" t="str">
        <f>RTD("tos.rtd",,EQ$83,"."&amp;$D$82&amp;$AW$82&amp;"P"&amp;$A98)</f>
        <v>15.72%</v>
      </c>
      <c r="ES98" s="63" t="str">
        <f t="shared" si="288"/>
        <v>5940,4314.00</v>
      </c>
      <c r="ET98" s="63" t="str">
        <f t="shared" ca="1" si="289"/>
        <v>5940,-537483.85</v>
      </c>
      <c r="EU98" s="67">
        <v>594.29</v>
      </c>
      <c r="EV98" s="67" t="s">
        <v>804</v>
      </c>
      <c r="EW98" s="67">
        <v>521.04999999999995</v>
      </c>
      <c r="EX98" s="67" t="s">
        <v>805</v>
      </c>
      <c r="EY98" s="67">
        <v>5953</v>
      </c>
      <c r="EZ98" s="67" t="s">
        <v>806</v>
      </c>
      <c r="FA98" s="67">
        <v>21388.75</v>
      </c>
      <c r="FB98" s="67" t="s">
        <v>807</v>
      </c>
      <c r="FC98" s="67" t="s">
        <v>808</v>
      </c>
      <c r="FD98" s="67" t="s">
        <v>809</v>
      </c>
      <c r="FE98" s="68" t="s">
        <v>810</v>
      </c>
      <c r="FF98" s="68" t="s">
        <v>811</v>
      </c>
    </row>
    <row r="99" spans="1:162" s="63" customFormat="1" ht="12" customHeight="1" thickBot="1" x14ac:dyDescent="0.25">
      <c r="A99" s="2">
        <f t="shared" si="307"/>
        <v>5930</v>
      </c>
      <c r="B99" s="3">
        <f t="shared" si="251"/>
        <v>2581</v>
      </c>
      <c r="C99" s="3">
        <f t="shared" si="252"/>
        <v>1122</v>
      </c>
      <c r="D99" s="3">
        <f t="shared" si="253"/>
        <v>7986</v>
      </c>
      <c r="E99" s="3">
        <f t="shared" ref="E99:E129" si="314">SUM(B99:D99)</f>
        <v>11689</v>
      </c>
      <c r="F99" s="4">
        <f t="shared" si="313"/>
        <v>5949.982309085548</v>
      </c>
      <c r="G99" s="4">
        <f t="shared" ref="G99:G130" si="315">+$G$84/$A$84*A99</f>
        <v>591.88598626848068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838</v>
      </c>
      <c r="AN99" s="20">
        <v>2643</v>
      </c>
      <c r="AO99" s="20">
        <v>5930</v>
      </c>
      <c r="AP99" s="20">
        <v>44484</v>
      </c>
      <c r="AQ99" s="20">
        <v>-78890</v>
      </c>
      <c r="AR99" s="20"/>
      <c r="AS99" s="54">
        <f>IF(RTD("tos.rtd",,AS$83,"."&amp;$B$82&amp;$AS$82&amp;"C"&amp;$A99)="N/A",0,RTD("tos.rtd",,AS$83,"."&amp;$B$82&amp;$AS$82&amp;"C"&amp;$A99))</f>
        <v>327</v>
      </c>
      <c r="AT99" s="3">
        <f>-IF(RTD("tos.rtd",,AT$83,"."&amp;$B$82&amp;$AS$82&amp;"P"&amp;$A99)="N/A",0,RTD("tos.rtd",,AT$83,"."&amp;$B$82&amp;$AS$82&amp;"P"&amp;$A99))</f>
        <v>-2254</v>
      </c>
      <c r="AU99" s="54">
        <f>IF(RTD("tos.rtd",,AU$83,"."&amp;$C$82&amp;$AU$82&amp;"C"&amp;$A99)="N/A",0,RTD("tos.rtd",,AU$83,"."&amp;$C$82&amp;$AU$82&amp;"C"&amp;$A99))</f>
        <v>529</v>
      </c>
      <c r="AV99" s="3">
        <f>-IF(RTD("tos.rtd",,AV$83,"."&amp;$C$82&amp;$AU$82&amp;"P"&amp;$A99)="N/A",0,RTD("tos.rtd",,AV$83,"."&amp;$C$82&amp;$AU$82&amp;"P"&amp;$A99))</f>
        <v>-593</v>
      </c>
      <c r="AW99" s="54">
        <f>IF(RTD("tos.rtd",,AW$83,"."&amp;$D$82&amp;$AW$82&amp;"C"&amp;$A99)="N/A",0,RTD("tos.rtd",,AW$83,"."&amp;$D$82&amp;$AW$82&amp;"C"&amp;$A99))</f>
        <v>3949</v>
      </c>
      <c r="AX99" s="3">
        <f>-IF(RTD("tos.rtd",,AX$83,"."&amp;$D$82&amp;$AW$82&amp;"P"&amp;$A99)="N/A",0,RTD("tos.rtd",,AX$83,"."&amp;$D$82&amp;$AW$82&amp;"P"&amp;$A99))</f>
        <v>-4037</v>
      </c>
      <c r="AY99" s="79">
        <f t="shared" ref="AY99:AY130" si="316">SUM(AS99:AX99)</f>
        <v>-2079</v>
      </c>
      <c r="AZ99" s="8">
        <f t="shared" si="255"/>
        <v>5930</v>
      </c>
      <c r="BA99" s="54">
        <f>IF(RTD("tos.rtd",,BA$83,"."&amp;$B$82&amp;$AS$82&amp;"C"&amp;$A99)="N/A",0,RTD("tos.rtd",,BA$83,"."&amp;$B$82&amp;$AS$82&amp;"C"&amp;$A99))</f>
        <v>44484</v>
      </c>
      <c r="BB99" s="3">
        <f>-IF(RTD("tos.rtd",,BB$83,"."&amp;$B$82&amp;$AS$82&amp;"P"&amp;$A99)="N/A",0,RTD("tos.rtd",,BB$83,"."&amp;$B$82&amp;$AS$82&amp;"P"&amp;$A99))</f>
        <v>-78890</v>
      </c>
      <c r="BC99" s="54">
        <f>IF(RTD("tos.rtd",,BC$83,"."&amp;$C$82&amp;$AU$82&amp;"C"&amp;$A99)="N/A",0,RTD("tos.rtd",,BC$83,"."&amp;$C$82&amp;$AU$82&amp;"C"&amp;$A99))</f>
        <v>711</v>
      </c>
      <c r="BD99" s="3">
        <f>-IF(RTD("tos.rtd",,BD$83,"."&amp;$C$82&amp;$AU$82&amp;"P"&amp;$A99)="N/A",0,RTD("tos.rtd",,BD$83,"."&amp;$C$82&amp;$AU$82&amp;"P"&amp;$A99))</f>
        <v>-776</v>
      </c>
      <c r="BE99" s="54">
        <f>IF(RTD("tos.rtd",,BE$83,"."&amp;$D$82&amp;$AW$82&amp;"C"&amp;$A99)="N/A",0,RTD("tos.rtd",,BE$83,"."&amp;$D$82&amp;$AW$82&amp;"C"&amp;$A99))</f>
        <v>95</v>
      </c>
      <c r="BF99" s="3">
        <f>-IF(RTD("tos.rtd",,BF$83,"."&amp;$D$82&amp;$AW$82&amp;"P"&amp;$A99)="N/A",0,RTD("tos.rtd",,BF$83,"."&amp;$D$82&amp;$AW$82&amp;"P"&amp;$A99))</f>
        <v>-75</v>
      </c>
      <c r="BG99" s="3">
        <f ca="1">+Hoja2!Y100</f>
        <v>-1226</v>
      </c>
      <c r="BH99" s="55">
        <f t="shared" ca="1" si="292"/>
        <v>-35677</v>
      </c>
      <c r="BI99" s="32" t="str">
        <f t="shared" ca="1" si="312"/>
        <v>Cruce -</v>
      </c>
      <c r="BJ99" s="3">
        <f ca="1">IF($BP$1=1,DX99,IF(RTD("tos.rtd",,BJ$83,"."&amp;$B$82&amp;$AS$82&amp;"C"&amp;$A99)="N/A",0,RTD("tos.rtd",,BJ$83,"."&amp;$B$82&amp;$AS$82&amp;"C"&amp;$A99)))</f>
        <v>2.1402989932405671E-2</v>
      </c>
      <c r="BK99" s="3">
        <f ca="1">IF($BP$1=1,DY99,-IF(RTD("tos.rtd",,BK$83,"."&amp;$B$82&amp;$AS$82&amp;"P"&amp;$A99)="N/A",0,RTD("tos.rtd",,BK$83,"."&amp;$B$82&amp;$AS$82&amp;"P"&amp;$A99)))</f>
        <v>-4.1100657998933518E-2</v>
      </c>
      <c r="BL99" s="3">
        <f ca="1">IF($BP$1=1,DZ99,IF(RTD("tos.rtd",,BL$83,"."&amp;$C$82&amp;$AU$82&amp;"C"&amp;$A99)="N/A",0,RTD("tos.rtd",,BL$83,"."&amp;$C$82&amp;$AU$82&amp;"C"&amp;$A99)))</f>
        <v>4.0025702844838779E-3</v>
      </c>
      <c r="BM99" s="3">
        <f ca="1">IF($BP$1=1,EA99,-IF(RTD("tos.rtd",,BM$83,"."&amp;$C$82&amp;$AU$82&amp;"P"&amp;$A99)="N/A",0,RTD("tos.rtd",,BM$83,"."&amp;$C$82&amp;$AU$82&amp;"P"&amp;$A99)))</f>
        <v>-3.7385894904484363E-3</v>
      </c>
      <c r="BN99" s="3">
        <f ca="1">IF($BP$1=1,EB99,IF(RTD("tos.rtd",,BN$83,"."&amp;$D$82&amp;$AW$82&amp;"C"&amp;$A99)="N/A",0,RTD("tos.rtd",,BN$83,"."&amp;$D$82&amp;$AW$82&amp;"C"&amp;$A99)))</f>
        <v>4.2541286160571439E-3</v>
      </c>
      <c r="BO99" s="3">
        <f ca="1">IF($BP$1=1,EC99,-IF(RTD("tos.rtd",,BO$83,"."&amp;$D$82&amp;$AW$82&amp;"P"&amp;$A99)="N/A",0,RTD("tos.rtd",,BO$83,"."&amp;$D$82&amp;$AW$82&amp;"P"&amp;$A99)))</f>
        <v>-3.9473385165384742E-3</v>
      </c>
      <c r="BQ99" s="3">
        <f t="shared" ca="1" si="256"/>
        <v>-23124681.9482655</v>
      </c>
      <c r="BR99" s="3" t="str">
        <f t="shared" ca="1" si="293"/>
        <v/>
      </c>
      <c r="BS99" s="3">
        <f t="shared" ca="1" si="257"/>
        <v>-26899.977504464681</v>
      </c>
      <c r="BT99" s="3" t="str">
        <f t="shared" ca="1" si="293"/>
        <v>Cruce -</v>
      </c>
      <c r="BU99" s="3">
        <f t="shared" ca="1" si="258"/>
        <v>233333.29801310692</v>
      </c>
      <c r="BV99" s="3" t="str">
        <f t="shared" ca="1" si="293"/>
        <v/>
      </c>
      <c r="BX99" s="3">
        <f t="shared" ca="1" si="259"/>
        <v>-618427009.17356706</v>
      </c>
      <c r="BY99" s="3" t="str">
        <f t="shared" ca="1" si="309"/>
        <v/>
      </c>
      <c r="BZ99" s="3">
        <f t="shared" ca="1" si="260"/>
        <v>-14936.700932595879</v>
      </c>
      <c r="CA99" s="3" t="str">
        <f t="shared" ca="1" si="309"/>
        <v>Cruce -</v>
      </c>
      <c r="CB99" s="3">
        <f t="shared" ca="1" si="261"/>
        <v>29186.451835545871</v>
      </c>
      <c r="CC99" s="3" t="str">
        <f t="shared" ca="1" si="309"/>
        <v/>
      </c>
      <c r="CD99" s="3">
        <f>IF(RTD("tos.rtd",,CD$83,"."&amp;$B$82&amp;$AS$82&amp;"C"&amp;$A99)="N/A",0,RTD("tos.rtd",,CD$83,"."&amp;$B$82&amp;$AS$82&amp;"C"&amp;$A99))</f>
        <v>1</v>
      </c>
      <c r="CE99" s="3">
        <f>-IF(RTD("tos.rtd",,CE$83,"."&amp;$B$82&amp;$AS$82&amp;"P"&amp;$A99)="N/A",0,RTD("tos.rtd",,CE$83,"."&amp;$B$82&amp;$AS$82&amp;"P"&amp;$A99))</f>
        <v>0.01</v>
      </c>
      <c r="CF99" s="3">
        <f>IF(RTD("tos.rtd",,CF$83,"."&amp;$C$82&amp;$AU$82&amp;"C"&amp;$A99)="N/A",0,RTD("tos.rtd",,CF$83,"."&amp;$C$82&amp;$AU$82&amp;"C"&amp;$A99))</f>
        <v>0.56000000000000005</v>
      </c>
      <c r="CG99" s="3">
        <f>-IF(RTD("tos.rtd",,CG$83,"."&amp;$C$82&amp;$AU$82&amp;"P"&amp;$A99)="N/A",0,RTD("tos.rtd",,CG$83,"."&amp;$C$82&amp;$AU$82&amp;"P"&amp;$A99))</f>
        <v>0.44</v>
      </c>
      <c r="CH99" s="3">
        <f>IF(RTD("tos.rtd",,CH$83,"."&amp;$D$82&amp;$AW$82&amp;"C"&amp;$A99)="N/A",0,RTD("tos.rtd",,CH$83,"."&amp;$D$82&amp;$AW$82&amp;"C"&amp;$A99))</f>
        <v>0.56000000000000005</v>
      </c>
      <c r="CI99" s="3">
        <f>-IF(RTD("tos.rtd",,CI$83,"."&amp;$D$82&amp;$AW$82&amp;"P"&amp;$A99)="N/A",0,RTD("tos.rtd",,CI$83,"."&amp;$D$82&amp;$AW$82&amp;"P"&amp;$A99))</f>
        <v>0.44</v>
      </c>
      <c r="CK99" s="3">
        <f t="shared" si="294"/>
        <v>180704621.5</v>
      </c>
      <c r="CL99" s="3"/>
      <c r="CM99" s="3">
        <f t="shared" si="295"/>
        <v>20963303</v>
      </c>
      <c r="CN99" s="3"/>
      <c r="CO99" s="3">
        <f t="shared" si="296"/>
        <v>258278339</v>
      </c>
      <c r="CP99" s="3">
        <f t="shared" si="262"/>
        <v>459946263.5</v>
      </c>
      <c r="CQ99" s="3">
        <f t="shared" si="263"/>
        <v>-34406</v>
      </c>
      <c r="CR99" s="3"/>
      <c r="CS99" s="3">
        <f t="shared" si="264"/>
        <v>-65</v>
      </c>
      <c r="CT99" s="3"/>
      <c r="CU99" s="3">
        <f t="shared" si="265"/>
        <v>20</v>
      </c>
      <c r="CV99" s="3"/>
      <c r="CW99" s="3">
        <f t="shared" ref="CW99:CW111" ca="1" si="317">+BQ99+BS99+BU99</f>
        <v>-22918248.62775686</v>
      </c>
      <c r="CY99" s="3">
        <f t="shared" ca="1" si="266"/>
        <v>-618412759.42266417</v>
      </c>
      <c r="CZ99" s="70" t="str">
        <f t="shared" ca="1" si="310"/>
        <v/>
      </c>
      <c r="DA99" s="3">
        <f>IF(RTD("tos.rtd",,DA$83,"."&amp;$B$82&amp;$AS$82&amp;"C"&amp;$A99)="N/A",0,RTD("tos.rtd",,DA$83,"."&amp;$B$82&amp;$AS$82&amp;"C"&amp;$A99))</f>
        <v>9.9</v>
      </c>
      <c r="DB99" s="3">
        <f>IF(RTD("tos.rtd",,DB$83,"."&amp;$B$82&amp;$AS$82&amp;"P"&amp;$A99)="N/A",0,RTD("tos.rtd",,DB$83,"."&amp;$B$82&amp;$AS$82&amp;"P"&amp;$A99))</f>
        <v>0.03</v>
      </c>
      <c r="DC99" s="3">
        <f>IF(RTD("tos.rtd",,DC$83,"."&amp;$B$82&amp;$AS$82&amp;"C"&amp;$A99)="N/A",0,RTD("tos.rtd",,DC$83,"."&amp;$B$82&amp;$AS$82&amp;"C"&amp;$A99))</f>
        <v>10.199999999999999</v>
      </c>
      <c r="DD99" s="3">
        <f>IF(RTD("tos.rtd",,DD$83,"."&amp;$B$82&amp;$AS$82&amp;"P"&amp;$A99)="N/A",0,RTD("tos.rtd",,DD$83,"."&amp;$B$82&amp;$AS$82&amp;"P"&amp;$A99))</f>
        <v>0.05</v>
      </c>
      <c r="DE99" s="3">
        <f>IF(RTD("tos.rtd",,DE$83,"."&amp;$B$82&amp;$AS$82&amp;"C"&amp;$A99)="N/A",0,RTD("tos.rtd",,DE$83,"."&amp;$B$82&amp;$AS$82&amp;"C"&amp;$A99))</f>
        <v>10</v>
      </c>
      <c r="DF99" s="3">
        <f>IF(RTD("tos.rtd",,DF$83,"."&amp;$B$82&amp;$AS$82&amp;"P"&amp;$A99)="N/A",0,RTD("tos.rtd",,DF$83,"."&amp;$B$82&amp;$AS$82&amp;"P"&amp;$A99))</f>
        <v>0</v>
      </c>
      <c r="DG99" s="86">
        <f t="shared" si="298"/>
        <v>-5.25</v>
      </c>
      <c r="DH99" s="3">
        <f t="shared" si="267"/>
        <v>0</v>
      </c>
      <c r="DI99" s="3">
        <f t="shared" si="268"/>
        <v>0</v>
      </c>
      <c r="DJ99" s="3">
        <f t="shared" si="269"/>
        <v>0</v>
      </c>
      <c r="DK99" s="3">
        <f t="shared" si="270"/>
        <v>0</v>
      </c>
      <c r="DL99" s="3">
        <f t="shared" si="271"/>
        <v>0</v>
      </c>
      <c r="DM99" s="3">
        <f t="shared" si="272"/>
        <v>0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274"/>
        <v>UNKNOWN</v>
      </c>
      <c r="DP99" s="3">
        <f t="shared" si="275"/>
        <v>0</v>
      </c>
      <c r="DQ99" s="3">
        <f t="shared" si="276"/>
        <v>0</v>
      </c>
      <c r="DR99" s="3">
        <f t="shared" ca="1" si="277"/>
        <v>0</v>
      </c>
      <c r="DS99" s="3">
        <f t="shared" si="278"/>
        <v>0</v>
      </c>
      <c r="DT99" s="3">
        <f t="shared" si="299"/>
        <v>0</v>
      </c>
      <c r="DU99" s="3">
        <f t="shared" si="300"/>
        <v>0</v>
      </c>
      <c r="DV99" s="3">
        <f t="shared" si="301"/>
        <v>838</v>
      </c>
      <c r="DW99" s="3">
        <f t="shared" si="302"/>
        <v>2643</v>
      </c>
      <c r="DX99" s="3">
        <f t="shared" ca="1" si="311"/>
        <v>2.1402989932405671E-2</v>
      </c>
      <c r="DY99" s="3">
        <f t="shared" ca="1" si="279"/>
        <v>-4.1100657998933518E-2</v>
      </c>
      <c r="DZ99" s="3">
        <f t="shared" ca="1" si="303"/>
        <v>4.0025702844838779E-3</v>
      </c>
      <c r="EA99" s="3">
        <f t="shared" ca="1" si="304"/>
        <v>-3.7385894904484363E-3</v>
      </c>
      <c r="EB99" s="3">
        <f t="shared" ca="1" si="280"/>
        <v>4.2541286160571439E-3</v>
      </c>
      <c r="EC99" s="3">
        <f t="shared" ca="1" si="281"/>
        <v>-3.9473385165384742E-3</v>
      </c>
      <c r="ED99" s="63">
        <f t="shared" si="305"/>
        <v>3481</v>
      </c>
      <c r="EE99" s="59">
        <f t="shared" si="282"/>
        <v>0.25</v>
      </c>
      <c r="EF99" s="59">
        <f t="shared" si="283"/>
        <v>0.107</v>
      </c>
      <c r="EG99" s="59">
        <f t="shared" si="284"/>
        <v>0.15620000000000001</v>
      </c>
      <c r="EH99" s="59">
        <f t="shared" si="285"/>
        <v>0.1673</v>
      </c>
      <c r="EI99" s="59">
        <f t="shared" si="286"/>
        <v>0.1469</v>
      </c>
      <c r="EJ99" s="59">
        <f t="shared" si="287"/>
        <v>0.15840000000000001</v>
      </c>
      <c r="EK99" s="63">
        <f t="shared" ca="1" si="306"/>
        <v>-3194871524.3197403</v>
      </c>
      <c r="EL99" s="3" t="str">
        <f>RTD("tos.rtd",,EL$83,"."&amp;$B$82&amp;$AS$82&amp;"C"&amp;$A99)</f>
        <v>--</v>
      </c>
      <c r="EM99" s="3" t="str">
        <f>RTD("tos.rtd",,EM$83,"."&amp;$B$82&amp;$AS$82&amp;"P"&amp;$A99)</f>
        <v>10.70%</v>
      </c>
      <c r="EN99" s="3" t="str">
        <f>RTD("tos.rtd",,EN$83,"."&amp;$C$82&amp;$AU$82&amp;"C"&amp;$A99)</f>
        <v>15.62%</v>
      </c>
      <c r="EO99" s="3" t="str">
        <f>RTD("tos.rtd",,EO$83,"."&amp;$C$82&amp;$AU$82&amp;"P"&amp;$A99)</f>
        <v>16.73%</v>
      </c>
      <c r="EP99" s="3" t="str">
        <f>RTD("tos.rtd",,EP$83,"."&amp;$D$82&amp;$AW$82&amp;"C"&amp;$A99)</f>
        <v>14.69%</v>
      </c>
      <c r="EQ99" s="3" t="str">
        <f>RTD("tos.rtd",,EQ$83,"."&amp;$D$82&amp;$AW$82&amp;"P"&amp;$A99)</f>
        <v>15.84%</v>
      </c>
      <c r="ES99" s="63" t="str">
        <f t="shared" si="288"/>
        <v>5930,3481.00</v>
      </c>
      <c r="ET99" s="63" t="str">
        <f t="shared" ca="1" si="289"/>
        <v>5930,-618412.76</v>
      </c>
      <c r="EU99" s="67">
        <v>594.29</v>
      </c>
      <c r="EV99" s="67" t="s">
        <v>812</v>
      </c>
      <c r="EW99" s="67">
        <v>521.09</v>
      </c>
      <c r="EX99" s="67" t="s">
        <v>813</v>
      </c>
      <c r="EY99" s="67">
        <v>5953</v>
      </c>
      <c r="EZ99" s="67" t="s">
        <v>814</v>
      </c>
      <c r="FA99" s="67">
        <v>21388.5</v>
      </c>
      <c r="FB99" s="67" t="s">
        <v>815</v>
      </c>
      <c r="FC99" s="67" t="s">
        <v>816</v>
      </c>
      <c r="FD99" s="67" t="s">
        <v>817</v>
      </c>
      <c r="FE99" s="68" t="s">
        <v>818</v>
      </c>
      <c r="FF99" s="68" t="s">
        <v>819</v>
      </c>
    </row>
    <row r="100" spans="1:162" s="63" customFormat="1" ht="12" customHeight="1" thickBot="1" x14ac:dyDescent="0.25">
      <c r="A100" s="2">
        <f t="shared" si="307"/>
        <v>5920</v>
      </c>
      <c r="B100" s="3">
        <f t="shared" si="251"/>
        <v>1526</v>
      </c>
      <c r="C100" s="3">
        <f t="shared" si="252"/>
        <v>1686</v>
      </c>
      <c r="D100" s="3">
        <f t="shared" si="253"/>
        <v>16002</v>
      </c>
      <c r="E100" s="3">
        <f t="shared" si="314"/>
        <v>19214</v>
      </c>
      <c r="F100" s="4">
        <f t="shared" ref="F100:F129" si="318">+$F$84/$A$84*A100</f>
        <v>5939.9486121056398</v>
      </c>
      <c r="G100" s="4">
        <f t="shared" si="315"/>
        <v>590.88786487511049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-1202</v>
      </c>
      <c r="AN100" s="20">
        <v>-4869</v>
      </c>
      <c r="AO100" s="20">
        <v>5920</v>
      </c>
      <c r="AP100" s="20">
        <v>21053</v>
      </c>
      <c r="AQ100" s="20">
        <v>-91735</v>
      </c>
      <c r="AR100" s="20"/>
      <c r="AS100" s="54">
        <f>IF(RTD("tos.rtd",,AS$83,"."&amp;$B$82&amp;$AS$82&amp;"C"&amp;$A100)="N/A",0,RTD("tos.rtd",,AS$83,"."&amp;$B$82&amp;$AS$82&amp;"C"&amp;$A100))</f>
        <v>507</v>
      </c>
      <c r="AT100" s="3">
        <f>-IF(RTD("tos.rtd",,AT$83,"."&amp;$B$82&amp;$AS$82&amp;"P"&amp;$A100)="N/A",0,RTD("tos.rtd",,AT$83,"."&amp;$B$82&amp;$AS$82&amp;"P"&amp;$A100))</f>
        <v>-1019</v>
      </c>
      <c r="AU100" s="54">
        <f>IF(RTD("tos.rtd",,AU$83,"."&amp;$C$82&amp;$AU$82&amp;"C"&amp;$A100)="N/A",0,RTD("tos.rtd",,AU$83,"."&amp;$C$82&amp;$AU$82&amp;"C"&amp;$A100))</f>
        <v>628</v>
      </c>
      <c r="AV100" s="3">
        <f>-IF(RTD("tos.rtd",,AV$83,"."&amp;$C$82&amp;$AU$82&amp;"P"&amp;$A100)="N/A",0,RTD("tos.rtd",,AV$83,"."&amp;$C$82&amp;$AU$82&amp;"P"&amp;$A100))</f>
        <v>-1058</v>
      </c>
      <c r="AW100" s="54">
        <f>IF(RTD("tos.rtd",,AW$83,"."&amp;$D$82&amp;$AW$82&amp;"C"&amp;$A100)="N/A",0,RTD("tos.rtd",,AW$83,"."&amp;$D$82&amp;$AW$82&amp;"C"&amp;$A100))</f>
        <v>10966</v>
      </c>
      <c r="AX100" s="3">
        <f>-IF(RTD("tos.rtd",,AX$83,"."&amp;$D$82&amp;$AW$82&amp;"P"&amp;$A100)="N/A",0,RTD("tos.rtd",,AX$83,"."&amp;$D$82&amp;$AW$82&amp;"P"&amp;$A100))</f>
        <v>-5036</v>
      </c>
      <c r="AY100" s="79">
        <f t="shared" si="316"/>
        <v>4988</v>
      </c>
      <c r="AZ100" s="8">
        <f t="shared" si="255"/>
        <v>5920</v>
      </c>
      <c r="BA100" s="54">
        <f>IF(RTD("tos.rtd",,BA$83,"."&amp;$B$82&amp;$AS$82&amp;"C"&amp;$A100)="N/A",0,RTD("tos.rtd",,BA$83,"."&amp;$B$82&amp;$AS$82&amp;"C"&amp;$A100))</f>
        <v>21053</v>
      </c>
      <c r="BB100" s="3">
        <f>-IF(RTD("tos.rtd",,BB$83,"."&amp;$B$82&amp;$AS$82&amp;"P"&amp;$A100)="N/A",0,RTD("tos.rtd",,BB$83,"."&amp;$B$82&amp;$AS$82&amp;"P"&amp;$A100))</f>
        <v>-91735</v>
      </c>
      <c r="BC100" s="54">
        <f>IF(RTD("tos.rtd",,BC$83,"."&amp;$C$82&amp;$AU$82&amp;"C"&amp;$A100)="N/A",0,RTD("tos.rtd",,BC$83,"."&amp;$C$82&amp;$AU$82&amp;"C"&amp;$A100))</f>
        <v>245</v>
      </c>
      <c r="BD100" s="3">
        <f>-IF(RTD("tos.rtd",,BD$83,"."&amp;$C$82&amp;$AU$82&amp;"P"&amp;$A100)="N/A",0,RTD("tos.rtd",,BD$83,"."&amp;$C$82&amp;$AU$82&amp;"P"&amp;$A100))</f>
        <v>-880</v>
      </c>
      <c r="BE100" s="54">
        <f>IF(RTD("tos.rtd",,BE$83,"."&amp;$D$82&amp;$AW$82&amp;"C"&amp;$A100)="N/A",0,RTD("tos.rtd",,BE$83,"."&amp;$D$82&amp;$AW$82&amp;"C"&amp;$A100))</f>
        <v>72</v>
      </c>
      <c r="BF100" s="3">
        <f>-IF(RTD("tos.rtd",,BF$83,"."&amp;$D$82&amp;$AW$82&amp;"P"&amp;$A100)="N/A",0,RTD("tos.rtd",,BF$83,"."&amp;$D$82&amp;$AW$82&amp;"P"&amp;$A100))</f>
        <v>-140</v>
      </c>
      <c r="BG100" s="3">
        <f ca="1">+Hoja2!Y101</f>
        <v>-3467</v>
      </c>
      <c r="BH100" s="55">
        <f t="shared" ca="1" si="292"/>
        <v>-74852</v>
      </c>
      <c r="BI100" s="32" t="str">
        <f t="shared" ca="1" si="312"/>
        <v/>
      </c>
      <c r="BJ100" s="3">
        <f ca="1">IF($BP$1=1,DX100,IF(RTD("tos.rtd",,BJ$83,"."&amp;$B$82&amp;$AS$82&amp;"C"&amp;$A100)="N/A",0,RTD("tos.rtd",,BJ$83,"."&amp;$B$82&amp;$AS$82&amp;"C"&amp;$A100)))</f>
        <v>1.5459286394524959E-2</v>
      </c>
      <c r="BK100" s="3">
        <f ca="1">IF($BP$1=1,DY100,-IF(RTD("tos.rtd",,BK$83,"."&amp;$B$82&amp;$AS$82&amp;"P"&amp;$A100)="N/A",0,RTD("tos.rtd",,BK$83,"."&amp;$B$82&amp;$AS$82&amp;"P"&amp;$A100)))</f>
        <v>-1.5589199021982606E-2</v>
      </c>
      <c r="BL100" s="3">
        <f ca="1">IF($BP$1=1,DZ100,IF(RTD("tos.rtd",,BL$83,"."&amp;$C$82&amp;$AU$82&amp;"C"&amp;$A100)="N/A",0,RTD("tos.rtd",,BL$83,"."&amp;$C$82&amp;$AU$82&amp;"C"&amp;$A100)))</f>
        <v>3.9003395931900484E-3</v>
      </c>
      <c r="BM100" s="3">
        <f ca="1">IF($BP$1=1,EA100,-IF(RTD("tos.rtd",,BM$83,"."&amp;$C$82&amp;$AU$82&amp;"P"&amp;$A100)="N/A",0,RTD("tos.rtd",,BM$83,"."&amp;$C$82&amp;$AU$82&amp;"P"&amp;$A100)))</f>
        <v>-3.6477925376269052E-3</v>
      </c>
      <c r="BN100" s="3">
        <f ca="1">IF($BP$1=1,EB100,IF(RTD("tos.rtd",,BN$83,"."&amp;$D$82&amp;$AW$82&amp;"C"&amp;$A100)="N/A",0,RTD("tos.rtd",,BN$83,"."&amp;$D$82&amp;$AW$82&amp;"C"&amp;$A100)))</f>
        <v>4.1515672901286859E-3</v>
      </c>
      <c r="BO100" s="3">
        <f ca="1">IF($BP$1=1,EC100,-IF(RTD("tos.rtd",,BO$83,"."&amp;$D$82&amp;$AW$82&amp;"P"&amp;$A100)="N/A",0,RTD("tos.rtd",,BO$83,"."&amp;$D$82&amp;$AW$82&amp;"P"&amp;$A100)))</f>
        <v>-3.8601730137150141E-3</v>
      </c>
      <c r="BQ100" s="3">
        <f t="shared" ca="1" si="256"/>
        <v>-2172958.0366203184</v>
      </c>
      <c r="BR100" s="3" t="str">
        <f t="shared" ca="1" si="293"/>
        <v/>
      </c>
      <c r="BS100" s="3">
        <f t="shared" ca="1" si="257"/>
        <v>-380708.45915837423</v>
      </c>
      <c r="BT100" s="3" t="str">
        <f t="shared" ca="1" si="293"/>
        <v/>
      </c>
      <c r="BU100" s="3">
        <f t="shared" ca="1" si="258"/>
        <v>7043689.0960438475</v>
      </c>
      <c r="BV100" s="3" t="str">
        <f t="shared" ca="1" si="293"/>
        <v/>
      </c>
      <c r="BX100" s="3">
        <f t="shared" ca="1" si="259"/>
        <v>-298261861.57638401</v>
      </c>
      <c r="BY100" s="3" t="str">
        <f t="shared" ca="1" si="309"/>
        <v/>
      </c>
      <c r="BZ100" s="3">
        <f t="shared" ca="1" si="260"/>
        <v>-608742.61949649174</v>
      </c>
      <c r="CA100" s="3" t="str">
        <f t="shared" ca="1" si="309"/>
        <v/>
      </c>
      <c r="CB100" s="3">
        <f t="shared" ca="1" si="261"/>
        <v>-65211.775834164247</v>
      </c>
      <c r="CC100" s="3" t="str">
        <f t="shared" ca="1" si="309"/>
        <v>Cruce -</v>
      </c>
      <c r="CD100" s="3">
        <f>IF(RTD("tos.rtd",,CD$83,"."&amp;$B$82&amp;$AS$82&amp;"C"&amp;$A100)="N/A",0,RTD("tos.rtd",,CD$83,"."&amp;$B$82&amp;$AS$82&amp;"C"&amp;$A100))</f>
        <v>1</v>
      </c>
      <c r="CE100" s="3">
        <f>-IF(RTD("tos.rtd",,CE$83,"."&amp;$B$82&amp;$AS$82&amp;"P"&amp;$A100)="N/A",0,RTD("tos.rtd",,CE$83,"."&amp;$B$82&amp;$AS$82&amp;"P"&amp;$A100))</f>
        <v>0.01</v>
      </c>
      <c r="CF100" s="3">
        <f>IF(RTD("tos.rtd",,CF$83,"."&amp;$C$82&amp;$AU$82&amp;"C"&amp;$A100)="N/A",0,RTD("tos.rtd",,CF$83,"."&amp;$C$82&amp;$AU$82&amp;"C"&amp;$A100))</f>
        <v>0.61</v>
      </c>
      <c r="CG100" s="3">
        <f>-IF(RTD("tos.rtd",,CG$83,"."&amp;$C$82&amp;$AU$82&amp;"P"&amp;$A100)="N/A",0,RTD("tos.rtd",,CG$83,"."&amp;$C$82&amp;$AU$82&amp;"P"&amp;$A100))</f>
        <v>0.4</v>
      </c>
      <c r="CH100" s="3">
        <f>IF(RTD("tos.rtd",,CH$83,"."&amp;$D$82&amp;$AW$82&amp;"C"&amp;$A100)="N/A",0,RTD("tos.rtd",,CH$83,"."&amp;$D$82&amp;$AW$82&amp;"C"&amp;$A100))</f>
        <v>0.57999999999999996</v>
      </c>
      <c r="CI100" s="3">
        <f>-IF(RTD("tos.rtd",,CI$83,"."&amp;$D$82&amp;$AW$82&amp;"P"&amp;$A100)="N/A",0,RTD("tos.rtd",,CI$83,"."&amp;$D$82&amp;$AW$82&amp;"P"&amp;$A100))</f>
        <v>0.43</v>
      </c>
      <c r="CK100" s="3">
        <f t="shared" si="294"/>
        <v>294869155.25</v>
      </c>
      <c r="CL100" s="3"/>
      <c r="CM100" s="3">
        <f t="shared" si="295"/>
        <v>-23812223.00000003</v>
      </c>
      <c r="CN100" s="3"/>
      <c r="CO100" s="3">
        <f t="shared" si="296"/>
        <v>2489718670</v>
      </c>
      <c r="CP100" s="3">
        <f t="shared" si="262"/>
        <v>2760775602.25</v>
      </c>
      <c r="CQ100" s="3">
        <f t="shared" si="263"/>
        <v>-70682</v>
      </c>
      <c r="CR100" s="3"/>
      <c r="CS100" s="3">
        <f t="shared" si="264"/>
        <v>-635</v>
      </c>
      <c r="CT100" s="3"/>
      <c r="CU100" s="3">
        <f t="shared" si="265"/>
        <v>-68</v>
      </c>
      <c r="CV100" s="3"/>
      <c r="CW100" s="3">
        <f t="shared" ca="1" si="317"/>
        <v>4490022.6002651546</v>
      </c>
      <c r="CY100" s="3">
        <f t="shared" ca="1" si="266"/>
        <v>-298935815.97171462</v>
      </c>
      <c r="CZ100" s="70" t="str">
        <f t="shared" ca="1" si="310"/>
        <v/>
      </c>
      <c r="DA100" s="3">
        <f>IF(RTD("tos.rtd",,DA$83,"."&amp;$B$82&amp;$AS$82&amp;"C"&amp;$A100)="N/A",0,RTD("tos.rtd",,DA$83,"."&amp;$B$82&amp;$AS$82&amp;"C"&amp;$A100))</f>
        <v>19.899999999999999</v>
      </c>
      <c r="DB100" s="3">
        <f>IF(RTD("tos.rtd",,DB$83,"."&amp;$B$82&amp;$AS$82&amp;"P"&amp;$A100)="N/A",0,RTD("tos.rtd",,DB$83,"."&amp;$B$82&amp;$AS$82&amp;"P"&amp;$A100))</f>
        <v>0.03</v>
      </c>
      <c r="DC100" s="3">
        <f>IF(RTD("tos.rtd",,DC$83,"."&amp;$B$82&amp;$AS$82&amp;"C"&amp;$A100)="N/A",0,RTD("tos.rtd",,DC$83,"."&amp;$B$82&amp;$AS$82&amp;"C"&amp;$A100))</f>
        <v>20.7</v>
      </c>
      <c r="DD100" s="3">
        <f>IF(RTD("tos.rtd",,DD$83,"."&amp;$B$82&amp;$AS$82&amp;"P"&amp;$A100)="N/A",0,RTD("tos.rtd",,DD$83,"."&amp;$B$82&amp;$AS$82&amp;"P"&amp;$A100))</f>
        <v>0.05</v>
      </c>
      <c r="DE100" s="3">
        <f>IF(RTD("tos.rtd",,DE$83,"."&amp;$B$82&amp;$AS$82&amp;"C"&amp;$A100)="N/A",0,RTD("tos.rtd",,DE$83,"."&amp;$B$82&amp;$AS$82&amp;"C"&amp;$A100))</f>
        <v>20</v>
      </c>
      <c r="DF100" s="3">
        <f>IF(RTD("tos.rtd",,DF$83,"."&amp;$B$82&amp;$AS$82&amp;"P"&amp;$A100)="N/A",0,RTD("tos.rtd",,DF$83,"."&amp;$B$82&amp;$AS$82&amp;"P"&amp;$A100))</f>
        <v>0</v>
      </c>
      <c r="DG100" s="86">
        <f t="shared" si="298"/>
        <v>-15.25</v>
      </c>
      <c r="DH100" s="3">
        <f t="shared" si="267"/>
        <v>0</v>
      </c>
      <c r="DI100" s="3">
        <f t="shared" si="268"/>
        <v>0</v>
      </c>
      <c r="DJ100" s="3">
        <f t="shared" si="269"/>
        <v>0</v>
      </c>
      <c r="DK100" s="3">
        <f t="shared" si="270"/>
        <v>0</v>
      </c>
      <c r="DL100" s="3">
        <f t="shared" si="271"/>
        <v>0</v>
      </c>
      <c r="DM100" s="3">
        <f t="shared" si="272"/>
        <v>0</v>
      </c>
      <c r="DN100" s="64" t="str">
        <f t="shared" si="273"/>
        <v>UNKNOWN</v>
      </c>
      <c r="DO100" s="64" t="str">
        <f t="shared" si="274"/>
        <v>UNKNOWN</v>
      </c>
      <c r="DP100" s="3">
        <f t="shared" si="275"/>
        <v>0</v>
      </c>
      <c r="DQ100" s="3">
        <f t="shared" si="276"/>
        <v>0</v>
      </c>
      <c r="DR100" s="3">
        <f t="shared" ca="1" si="277"/>
        <v>0</v>
      </c>
      <c r="DS100" s="3">
        <f t="shared" si="278"/>
        <v>0</v>
      </c>
      <c r="DT100" s="3">
        <f t="shared" si="299"/>
        <v>0</v>
      </c>
      <c r="DU100" s="3">
        <f t="shared" si="300"/>
        <v>0</v>
      </c>
      <c r="DV100" s="3">
        <f t="shared" si="301"/>
        <v>-1202</v>
      </c>
      <c r="DW100" s="3">
        <f t="shared" si="302"/>
        <v>-4869</v>
      </c>
      <c r="DX100" s="3">
        <f t="shared" ca="1" si="311"/>
        <v>1.5459286394524959E-2</v>
      </c>
      <c r="DY100" s="3">
        <f t="shared" ca="1" si="279"/>
        <v>-1.5589199021982606E-2</v>
      </c>
      <c r="DZ100" s="3">
        <f t="shared" ca="1" si="303"/>
        <v>3.9003395931900484E-3</v>
      </c>
      <c r="EA100" s="3">
        <f t="shared" ca="1" si="304"/>
        <v>-3.6477925376269052E-3</v>
      </c>
      <c r="EB100" s="3">
        <f t="shared" ca="1" si="280"/>
        <v>4.1515672901286859E-3</v>
      </c>
      <c r="EC100" s="3">
        <f t="shared" ca="1" si="281"/>
        <v>-3.8601730137150141E-3</v>
      </c>
      <c r="ED100" s="63">
        <f t="shared" si="305"/>
        <v>-6071</v>
      </c>
      <c r="EE100" s="59">
        <f t="shared" si="282"/>
        <v>0.25</v>
      </c>
      <c r="EF100" s="59">
        <f t="shared" si="283"/>
        <v>0.1925</v>
      </c>
      <c r="EG100" s="59">
        <f t="shared" si="284"/>
        <v>0.15809999999999999</v>
      </c>
      <c r="EH100" s="59">
        <f t="shared" si="285"/>
        <v>0.1694</v>
      </c>
      <c r="EI100" s="59">
        <f t="shared" si="286"/>
        <v>0.1482</v>
      </c>
      <c r="EJ100" s="59">
        <f t="shared" si="287"/>
        <v>0.1598</v>
      </c>
      <c r="EK100" s="63">
        <f t="shared" ca="1" si="306"/>
        <v>2019284247.4813023</v>
      </c>
      <c r="EL100" s="3" t="str">
        <f>RTD("tos.rtd",,EL$83,"."&amp;$B$82&amp;$AS$82&amp;"C"&amp;$A100)</f>
        <v>--</v>
      </c>
      <c r="EM100" s="3" t="str">
        <f>RTD("tos.rtd",,EM$83,"."&amp;$B$82&amp;$AS$82&amp;"P"&amp;$A100)</f>
        <v>19.25%</v>
      </c>
      <c r="EN100" s="3" t="str">
        <f>RTD("tos.rtd",,EN$83,"."&amp;$C$82&amp;$AU$82&amp;"C"&amp;$A100)</f>
        <v>15.81%</v>
      </c>
      <c r="EO100" s="3" t="str">
        <f>RTD("tos.rtd",,EO$83,"."&amp;$C$82&amp;$AU$82&amp;"P"&amp;$A100)</f>
        <v>16.94%</v>
      </c>
      <c r="EP100" s="3" t="str">
        <f>RTD("tos.rtd",,EP$83,"."&amp;$D$82&amp;$AW$82&amp;"C"&amp;$A100)</f>
        <v>14.82%</v>
      </c>
      <c r="EQ100" s="3" t="str">
        <f>RTD("tos.rtd",,EQ$83,"."&amp;$D$82&amp;$AW$82&amp;"P"&amp;$A100)</f>
        <v>15.98%</v>
      </c>
      <c r="ES100" s="63" t="str">
        <f t="shared" si="288"/>
        <v>5920,-6071.00</v>
      </c>
      <c r="ET100" s="63" t="str">
        <f t="shared" ca="1" si="289"/>
        <v>5920,-298935.82</v>
      </c>
      <c r="EU100" s="67">
        <v>594.28</v>
      </c>
      <c r="EV100" s="67" t="s">
        <v>820</v>
      </c>
      <c r="EW100" s="67">
        <v>521.04999999999995</v>
      </c>
      <c r="EX100" s="67" t="s">
        <v>821</v>
      </c>
      <c r="EY100" s="67">
        <v>5953</v>
      </c>
      <c r="EZ100" s="67" t="s">
        <v>822</v>
      </c>
      <c r="FA100" s="67">
        <v>21387.25</v>
      </c>
      <c r="FB100" s="67" t="s">
        <v>823</v>
      </c>
      <c r="FC100" s="67" t="s">
        <v>824</v>
      </c>
      <c r="FD100" s="67" t="s">
        <v>825</v>
      </c>
      <c r="FE100" s="68" t="s">
        <v>826</v>
      </c>
      <c r="FF100" s="68" t="s">
        <v>827</v>
      </c>
    </row>
    <row r="101" spans="1:162" s="63" customFormat="1" ht="12" customHeight="1" thickBot="1" x14ac:dyDescent="0.25">
      <c r="A101" s="2">
        <f t="shared" si="307"/>
        <v>5910</v>
      </c>
      <c r="B101" s="3">
        <f t="shared" si="251"/>
        <v>2019</v>
      </c>
      <c r="C101" s="3">
        <f t="shared" si="252"/>
        <v>2851</v>
      </c>
      <c r="D101" s="3">
        <f t="shared" si="253"/>
        <v>16278</v>
      </c>
      <c r="E101" s="3">
        <f t="shared" si="314"/>
        <v>21148</v>
      </c>
      <c r="F101" s="4">
        <f t="shared" si="318"/>
        <v>5929.9149151257316</v>
      </c>
      <c r="G101" s="4">
        <f t="shared" si="315"/>
        <v>589.88974348174042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850</v>
      </c>
      <c r="AN101" s="20">
        <v>-4003</v>
      </c>
      <c r="AO101" s="20">
        <v>5910</v>
      </c>
      <c r="AP101" s="20">
        <v>5871</v>
      </c>
      <c r="AQ101" s="20">
        <v>-79168</v>
      </c>
      <c r="AR101" s="20"/>
      <c r="AS101" s="54">
        <f>IF(RTD("tos.rtd",,AS$83,"."&amp;$B$82&amp;$AS$82&amp;"C"&amp;$A101)="N/A",0,RTD("tos.rtd",,AS$83,"."&amp;$B$82&amp;$AS$82&amp;"C"&amp;$A101))</f>
        <v>307</v>
      </c>
      <c r="AT101" s="3">
        <f>-IF(RTD("tos.rtd",,AT$83,"."&amp;$B$82&amp;$AS$82&amp;"P"&amp;$A101)="N/A",0,RTD("tos.rtd",,AT$83,"."&amp;$B$82&amp;$AS$82&amp;"P"&amp;$A101))</f>
        <v>-1712</v>
      </c>
      <c r="AU101" s="54">
        <f>IF(RTD("tos.rtd",,AU$83,"."&amp;$C$82&amp;$AU$82&amp;"C"&amp;$A101)="N/A",0,RTD("tos.rtd",,AU$83,"."&amp;$C$82&amp;$AU$82&amp;"C"&amp;$A101))</f>
        <v>1312</v>
      </c>
      <c r="AV101" s="3">
        <f>-IF(RTD("tos.rtd",,AV$83,"."&amp;$C$82&amp;$AU$82&amp;"P"&amp;$A101)="N/A",0,RTD("tos.rtd",,AV$83,"."&amp;$C$82&amp;$AU$82&amp;"P"&amp;$A101))</f>
        <v>-1539</v>
      </c>
      <c r="AW101" s="54">
        <f>IF(RTD("tos.rtd",,AW$83,"."&amp;$D$82&amp;$AW$82&amp;"C"&amp;$A101)="N/A",0,RTD("tos.rtd",,AW$83,"."&amp;$D$82&amp;$AW$82&amp;"C"&amp;$A101))</f>
        <v>8322</v>
      </c>
      <c r="AX101" s="3">
        <f>-IF(RTD("tos.rtd",,AX$83,"."&amp;$D$82&amp;$AW$82&amp;"P"&amp;$A101)="N/A",0,RTD("tos.rtd",,AX$83,"."&amp;$D$82&amp;$AW$82&amp;"P"&amp;$A101))</f>
        <v>-7956</v>
      </c>
      <c r="AY101" s="79">
        <f t="shared" si="316"/>
        <v>-1266</v>
      </c>
      <c r="AZ101" s="8">
        <f t="shared" si="255"/>
        <v>5910</v>
      </c>
      <c r="BA101" s="54">
        <f>IF(RTD("tos.rtd",,BA$83,"."&amp;$B$82&amp;$AS$82&amp;"C"&amp;$A101)="N/A",0,RTD("tos.rtd",,BA$83,"."&amp;$B$82&amp;$AS$82&amp;"C"&amp;$A101))</f>
        <v>5871</v>
      </c>
      <c r="BB101" s="3">
        <f>-IF(RTD("tos.rtd",,BB$83,"."&amp;$B$82&amp;$AS$82&amp;"P"&amp;$A101)="N/A",0,RTD("tos.rtd",,BB$83,"."&amp;$B$82&amp;$AS$82&amp;"P"&amp;$A101))</f>
        <v>-79168</v>
      </c>
      <c r="BC101" s="54">
        <f>IF(RTD("tos.rtd",,BC$83,"."&amp;$C$82&amp;$AU$82&amp;"C"&amp;$A101)="N/A",0,RTD("tos.rtd",,BC$83,"."&amp;$C$82&amp;$AU$82&amp;"C"&amp;$A101))</f>
        <v>336</v>
      </c>
      <c r="BD101" s="3">
        <f>-IF(RTD("tos.rtd",,BD$83,"."&amp;$C$82&amp;$AU$82&amp;"P"&amp;$A101)="N/A",0,RTD("tos.rtd",,BD$83,"."&amp;$C$82&amp;$AU$82&amp;"P"&amp;$A101))</f>
        <v>-1332</v>
      </c>
      <c r="BE101" s="54">
        <f>IF(RTD("tos.rtd",,BE$83,"."&amp;$D$82&amp;$AW$82&amp;"C"&amp;$A101)="N/A",0,RTD("tos.rtd",,BE$83,"."&amp;$D$82&amp;$AW$82&amp;"C"&amp;$A101))</f>
        <v>10</v>
      </c>
      <c r="BF101" s="3">
        <f>-IF(RTD("tos.rtd",,BF$83,"."&amp;$D$82&amp;$AW$82&amp;"P"&amp;$A101)="N/A",0,RTD("tos.rtd",,BF$83,"."&amp;$D$82&amp;$AW$82&amp;"P"&amp;$A101))</f>
        <v>-27</v>
      </c>
      <c r="BG101" s="3">
        <f ca="1">+Hoja2!Y102</f>
        <v>-2645</v>
      </c>
      <c r="BH101" s="55">
        <f t="shared" ca="1" si="292"/>
        <v>-76955</v>
      </c>
      <c r="BI101" s="32" t="str">
        <f t="shared" ca="1" si="312"/>
        <v/>
      </c>
      <c r="BJ101" s="3">
        <f ca="1">IF($BP$1=1,DX101,IF(RTD("tos.rtd",,BJ$83,"."&amp;$B$82&amp;$AS$82&amp;"C"&amp;$A101)="N/A",0,RTD("tos.rtd",,BJ$83,"."&amp;$B$82&amp;$AS$82&amp;"C"&amp;$A101)))</f>
        <v>8.1325463919128312E-3</v>
      </c>
      <c r="BK101" s="3">
        <f ca="1">IF($BP$1=1,DY101,-IF(RTD("tos.rtd",,BK$83,"."&amp;$B$82&amp;$AS$82&amp;"P"&amp;$A101)="N/A",0,RTD("tos.rtd",,BK$83,"."&amp;$B$82&amp;$AS$82&amp;"P"&amp;$A101)))</f>
        <v>-8.7592033820241052E-3</v>
      </c>
      <c r="BL101" s="3">
        <f ca="1">IF($BP$1=1,DZ101,IF(RTD("tos.rtd",,BL$83,"."&amp;$C$82&amp;$AU$82&amp;"C"&amp;$A101)="N/A",0,RTD("tos.rtd",,BL$83,"."&amp;$C$82&amp;$AU$82&amp;"C"&amp;$A101)))</f>
        <v>3.7688552569200857E-3</v>
      </c>
      <c r="BM101" s="3">
        <f ca="1">IF($BP$1=1,EA101,-IF(RTD("tos.rtd",,BM$83,"."&amp;$C$82&amp;$AU$82&amp;"P"&amp;$A101)="N/A",0,RTD("tos.rtd",,BM$83,"."&amp;$C$82&amp;$AU$82&amp;"P"&amp;$A101)))</f>
        <v>-3.5296761793866924E-3</v>
      </c>
      <c r="BN101" s="3">
        <f ca="1">IF($BP$1=1,EB101,IF(RTD("tos.rtd",,BN$83,"."&amp;$D$82&amp;$AW$82&amp;"C"&amp;$A101)="N/A",0,RTD("tos.rtd",,BN$83,"."&amp;$D$82&amp;$AW$82&amp;"C"&amp;$A101)))</f>
        <v>4.0112781820647323E-3</v>
      </c>
      <c r="BO101" s="3">
        <f ca="1">IF($BP$1=1,EC101,-IF(RTD("tos.rtd",,BO$83,"."&amp;$D$82&amp;$AW$82&amp;"P"&amp;$A101)="N/A",0,RTD("tos.rtd",,BO$83,"."&amp;$D$82&amp;$AW$82&amp;"P"&amp;$A101)))</f>
        <v>-3.7429124375326496E-3</v>
      </c>
      <c r="BQ101" s="3">
        <f t="shared" ca="1" si="256"/>
        <v>-3374939.0977826957</v>
      </c>
      <c r="BR101" s="3" t="str">
        <f t="shared" ca="1" si="293"/>
        <v/>
      </c>
      <c r="BS101" s="3">
        <f t="shared" ca="1" si="257"/>
        <v>-131614.53232868668</v>
      </c>
      <c r="BT101" s="3" t="str">
        <f t="shared" ca="1" si="293"/>
        <v/>
      </c>
      <c r="BU101" s="3">
        <f t="shared" ca="1" si="258"/>
        <v>972931.59571453556</v>
      </c>
      <c r="BV101" s="3" t="str">
        <f t="shared" ca="1" si="293"/>
        <v/>
      </c>
      <c r="BX101" s="3">
        <f t="shared" ca="1" si="259"/>
        <v>-174349560.11356637</v>
      </c>
      <c r="BY101" s="3" t="str">
        <f t="shared" ca="1" si="309"/>
        <v/>
      </c>
      <c r="BZ101" s="3">
        <f t="shared" ca="1" si="260"/>
        <v>-927554.87746303366</v>
      </c>
      <c r="CA101" s="3" t="str">
        <f t="shared" ca="1" si="309"/>
        <v/>
      </c>
      <c r="CB101" s="3">
        <f t="shared" ca="1" si="261"/>
        <v>-16456.315298506339</v>
      </c>
      <c r="CC101" s="3" t="str">
        <f t="shared" ca="1" si="309"/>
        <v/>
      </c>
      <c r="CD101" s="3">
        <f>IF(RTD("tos.rtd",,CD$83,"."&amp;$B$82&amp;$AS$82&amp;"C"&amp;$A101)="N/A",0,RTD("tos.rtd",,CD$83,"."&amp;$B$82&amp;$AS$82&amp;"C"&amp;$A101))</f>
        <v>1</v>
      </c>
      <c r="CE101" s="3">
        <f>-IF(RTD("tos.rtd",,CE$83,"."&amp;$B$82&amp;$AS$82&amp;"P"&amp;$A101)="N/A",0,RTD("tos.rtd",,CE$83,"."&amp;$B$82&amp;$AS$82&amp;"P"&amp;$A101))</f>
        <v>0.01</v>
      </c>
      <c r="CF101" s="3">
        <f>IF(RTD("tos.rtd",,CF$83,"."&amp;$C$82&amp;$AU$82&amp;"C"&amp;$A101)="N/A",0,RTD("tos.rtd",,CF$83,"."&amp;$C$82&amp;$AU$82&amp;"C"&amp;$A101))</f>
        <v>0.65</v>
      </c>
      <c r="CG101" s="3">
        <f>-IF(RTD("tos.rtd",,CG$83,"."&amp;$C$82&amp;$AU$82&amp;"P"&amp;$A101)="N/A",0,RTD("tos.rtd",,CG$83,"."&amp;$C$82&amp;$AU$82&amp;"P"&amp;$A101))</f>
        <v>0.36</v>
      </c>
      <c r="CH101" s="3">
        <f>IF(RTD("tos.rtd",,CH$83,"."&amp;$D$82&amp;$AW$82&amp;"C"&amp;$A101)="N/A",0,RTD("tos.rtd",,CH$83,"."&amp;$D$82&amp;$AW$82&amp;"C"&amp;$A101))</f>
        <v>0.59</v>
      </c>
      <c r="CI101" s="3">
        <f>-IF(RTD("tos.rtd",,CI$83,"."&amp;$D$82&amp;$AW$82&amp;"P"&amp;$A101)="N/A",0,RTD("tos.rtd",,CI$83,"."&amp;$D$82&amp;$AW$82&amp;"P"&amp;$A101))</f>
        <v>0.42</v>
      </c>
      <c r="CK101" s="3">
        <f t="shared" si="294"/>
        <v>172051027</v>
      </c>
      <c r="CL101" s="3"/>
      <c r="CM101" s="3">
        <f t="shared" si="295"/>
        <v>177321529</v>
      </c>
      <c r="CN101" s="3"/>
      <c r="CO101" s="3">
        <f t="shared" si="296"/>
        <v>930920221.49999952</v>
      </c>
      <c r="CP101" s="3">
        <f t="shared" si="262"/>
        <v>1280292777.4999995</v>
      </c>
      <c r="CQ101" s="3">
        <f t="shared" si="263"/>
        <v>-73297</v>
      </c>
      <c r="CR101" s="3"/>
      <c r="CS101" s="3">
        <f t="shared" si="264"/>
        <v>-996</v>
      </c>
      <c r="CT101" s="3"/>
      <c r="CU101" s="3">
        <f t="shared" si="265"/>
        <v>-17</v>
      </c>
      <c r="CV101" s="3"/>
      <c r="CW101" s="3">
        <f t="shared" ca="1" si="317"/>
        <v>-2533622.0343968468</v>
      </c>
      <c r="CY101" s="3">
        <f t="shared" ca="1" si="266"/>
        <v>-175293571.30632791</v>
      </c>
      <c r="CZ101" s="70" t="str">
        <f t="shared" ca="1" si="310"/>
        <v/>
      </c>
      <c r="DA101" s="3">
        <f>IF(RTD("tos.rtd",,DA$83,"."&amp;$B$82&amp;$AS$82&amp;"C"&amp;$A101)="N/A",0,RTD("tos.rtd",,DA$83,"."&amp;$B$82&amp;$AS$82&amp;"C"&amp;$A101))</f>
        <v>30</v>
      </c>
      <c r="DB101" s="3">
        <f>IF(RTD("tos.rtd",,DB$83,"."&amp;$B$82&amp;$AS$82&amp;"P"&amp;$A101)="N/A",0,RTD("tos.rtd",,DB$83,"."&amp;$B$82&amp;$AS$82&amp;"P"&amp;$A101))</f>
        <v>0.05</v>
      </c>
      <c r="DC101" s="3">
        <f>IF(RTD("tos.rtd",,DC$83,"."&amp;$B$82&amp;$AS$82&amp;"C"&amp;$A101)="N/A",0,RTD("tos.rtd",,DC$83,"."&amp;$B$82&amp;$AS$82&amp;"C"&amp;$A101))</f>
        <v>30.7</v>
      </c>
      <c r="DD101" s="3">
        <f>IF(RTD("tos.rtd",,DD$83,"."&amp;$B$82&amp;$AS$82&amp;"P"&amp;$A101)="N/A",0,RTD("tos.rtd",,DD$83,"."&amp;$B$82&amp;$AS$82&amp;"P"&amp;$A101))</f>
        <v>0.05</v>
      </c>
      <c r="DE101" s="3">
        <f>IF(RTD("tos.rtd",,DE$83,"."&amp;$B$82&amp;$AS$82&amp;"C"&amp;$A101)="N/A",0,RTD("tos.rtd",,DE$83,"."&amp;$B$82&amp;$AS$82&amp;"C"&amp;$A101))</f>
        <v>28.7</v>
      </c>
      <c r="DF101" s="3">
        <f>IF(RTD("tos.rtd",,DF$83,"."&amp;$B$82&amp;$AS$82&amp;"P"&amp;$A101)="N/A",0,RTD("tos.rtd",,DF$83,"."&amp;$B$82&amp;$AS$82&amp;"P"&amp;$A101))</f>
        <v>0</v>
      </c>
      <c r="DG101" s="86">
        <f t="shared" si="298"/>
        <v>-25.25</v>
      </c>
      <c r="DH101" s="3">
        <f t="shared" si="267"/>
        <v>0</v>
      </c>
      <c r="DI101" s="3">
        <f t="shared" si="268"/>
        <v>0</v>
      </c>
      <c r="DJ101" s="3">
        <f t="shared" si="269"/>
        <v>0</v>
      </c>
      <c r="DK101" s="3">
        <f t="shared" si="270"/>
        <v>0</v>
      </c>
      <c r="DL101" s="3">
        <f t="shared" si="271"/>
        <v>0</v>
      </c>
      <c r="DM101" s="3">
        <f t="shared" si="272"/>
        <v>0</v>
      </c>
      <c r="DN101" s="64" t="str">
        <f t="shared" si="273"/>
        <v>UNKNOWN</v>
      </c>
      <c r="DO101" s="64" t="str">
        <f t="shared" si="274"/>
        <v>UNKNOWN</v>
      </c>
      <c r="DP101" s="3">
        <f t="shared" si="275"/>
        <v>0</v>
      </c>
      <c r="DQ101" s="3">
        <f t="shared" si="276"/>
        <v>0</v>
      </c>
      <c r="DR101" s="3">
        <f t="shared" ca="1" si="277"/>
        <v>0</v>
      </c>
      <c r="DS101" s="3">
        <f t="shared" si="278"/>
        <v>0</v>
      </c>
      <c r="DT101" s="3">
        <f t="shared" si="299"/>
        <v>0</v>
      </c>
      <c r="DU101" s="3">
        <f t="shared" si="300"/>
        <v>0</v>
      </c>
      <c r="DV101" s="3">
        <f t="shared" si="301"/>
        <v>850</v>
      </c>
      <c r="DW101" s="3">
        <f t="shared" si="302"/>
        <v>-4003</v>
      </c>
      <c r="DX101" s="3">
        <f t="shared" ca="1" si="311"/>
        <v>8.1325463919128312E-3</v>
      </c>
      <c r="DY101" s="3">
        <f t="shared" ca="1" si="279"/>
        <v>-8.7592033820241052E-3</v>
      </c>
      <c r="DZ101" s="3">
        <f t="shared" ca="1" si="303"/>
        <v>3.7688552569200857E-3</v>
      </c>
      <c r="EA101" s="3">
        <f t="shared" ca="1" si="304"/>
        <v>-3.5296761793866924E-3</v>
      </c>
      <c r="EB101" s="3">
        <f t="shared" ca="1" si="280"/>
        <v>4.0112781820647323E-3</v>
      </c>
      <c r="EC101" s="3">
        <f t="shared" ca="1" si="281"/>
        <v>-3.7429124375326496E-3</v>
      </c>
      <c r="ED101" s="63">
        <f t="shared" si="305"/>
        <v>-3153</v>
      </c>
      <c r="EE101" s="59">
        <f t="shared" si="282"/>
        <v>0.25</v>
      </c>
      <c r="EF101" s="59">
        <f t="shared" si="283"/>
        <v>0.2727</v>
      </c>
      <c r="EG101" s="59">
        <f t="shared" si="284"/>
        <v>0.15989999999999999</v>
      </c>
      <c r="EH101" s="59">
        <f t="shared" si="285"/>
        <v>0.1716</v>
      </c>
      <c r="EI101" s="59">
        <f t="shared" si="286"/>
        <v>0.14940000000000001</v>
      </c>
      <c r="EJ101" s="59">
        <f t="shared" si="287"/>
        <v>0.16109999999999999</v>
      </c>
      <c r="EK101" s="63">
        <f t="shared" ca="1" si="306"/>
        <v>1478688024.4690268</v>
      </c>
      <c r="EL101" s="3" t="str">
        <f>RTD("tos.rtd",,EL$83,"."&amp;$B$82&amp;$AS$82&amp;"C"&amp;$A101)</f>
        <v>--</v>
      </c>
      <c r="EM101" s="3" t="str">
        <f>RTD("tos.rtd",,EM$83,"."&amp;$B$82&amp;$AS$82&amp;"P"&amp;$A101)</f>
        <v>27.27%</v>
      </c>
      <c r="EN101" s="3" t="str">
        <f>RTD("tos.rtd",,EN$83,"."&amp;$C$82&amp;$AU$82&amp;"C"&amp;$A101)</f>
        <v>15.99%</v>
      </c>
      <c r="EO101" s="3" t="str">
        <f>RTD("tos.rtd",,EO$83,"."&amp;$C$82&amp;$AU$82&amp;"P"&amp;$A101)</f>
        <v>17.16%</v>
      </c>
      <c r="EP101" s="3" t="str">
        <f>RTD("tos.rtd",,EP$83,"."&amp;$D$82&amp;$AW$82&amp;"C"&amp;$A101)</f>
        <v>14.94%</v>
      </c>
      <c r="EQ101" s="3" t="str">
        <f>RTD("tos.rtd",,EQ$83,"."&amp;$D$82&amp;$AW$82&amp;"P"&amp;$A101)</f>
        <v>16.11%</v>
      </c>
      <c r="ES101" s="63" t="str">
        <f t="shared" si="288"/>
        <v>5910,-3153.00</v>
      </c>
      <c r="ET101" s="63" t="str">
        <f t="shared" ca="1" si="289"/>
        <v>5910,-175293.57</v>
      </c>
      <c r="EU101" s="67">
        <v>594.23</v>
      </c>
      <c r="EV101" s="67" t="s">
        <v>828</v>
      </c>
      <c r="EW101" s="67">
        <v>520.97</v>
      </c>
      <c r="EX101" s="67" t="s">
        <v>829</v>
      </c>
      <c r="EY101" s="67">
        <v>5952.75</v>
      </c>
      <c r="EZ101" s="67" t="s">
        <v>830</v>
      </c>
      <c r="FA101" s="67">
        <v>21385.25</v>
      </c>
      <c r="FB101" s="67" t="s">
        <v>831</v>
      </c>
      <c r="FC101" s="67" t="s">
        <v>832</v>
      </c>
      <c r="FD101" s="67" t="s">
        <v>833</v>
      </c>
      <c r="FE101" s="68" t="s">
        <v>834</v>
      </c>
      <c r="FF101" s="68" t="s">
        <v>835</v>
      </c>
    </row>
    <row r="102" spans="1:162" s="63" customFormat="1" ht="12" customHeight="1" thickBot="1" x14ac:dyDescent="0.25">
      <c r="A102" s="2">
        <f t="shared" si="307"/>
        <v>5900</v>
      </c>
      <c r="B102" s="3">
        <f t="shared" si="251"/>
        <v>5814</v>
      </c>
      <c r="C102" s="3">
        <f t="shared" si="252"/>
        <v>20554</v>
      </c>
      <c r="D102" s="3">
        <f t="shared" si="253"/>
        <v>89488</v>
      </c>
      <c r="E102" s="3">
        <f t="shared" si="314"/>
        <v>115856</v>
      </c>
      <c r="F102" s="4">
        <f t="shared" si="318"/>
        <v>5919.8812181458234</v>
      </c>
      <c r="G102" s="4">
        <f t="shared" si="315"/>
        <v>588.89162208837024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-436</v>
      </c>
      <c r="AN102" s="20">
        <v>13786</v>
      </c>
      <c r="AO102" s="20">
        <v>5900</v>
      </c>
      <c r="AP102" s="20">
        <v>3598</v>
      </c>
      <c r="AQ102" s="20">
        <v>-96703</v>
      </c>
      <c r="AR102" s="20"/>
      <c r="AS102" s="54">
        <f>IF(RTD("tos.rtd",,AS$83,"."&amp;$B$82&amp;$AS$82&amp;"C"&amp;$A102)="N/A",0,RTD("tos.rtd",,AS$83,"."&amp;$B$82&amp;$AS$82&amp;"C"&amp;$A102))</f>
        <v>1690</v>
      </c>
      <c r="AT102" s="3">
        <f>-IF(RTD("tos.rtd",,AT$83,"."&amp;$B$82&amp;$AS$82&amp;"P"&amp;$A102)="N/A",0,RTD("tos.rtd",,AT$83,"."&amp;$B$82&amp;$AS$82&amp;"P"&amp;$A102))</f>
        <v>-4124</v>
      </c>
      <c r="AU102" s="54">
        <f>IF(RTD("tos.rtd",,AU$83,"."&amp;$C$82&amp;$AU$82&amp;"C"&amp;$A102)="N/A",0,RTD("tos.rtd",,AU$83,"."&amp;$C$82&amp;$AU$82&amp;"C"&amp;$A102))</f>
        <v>3920</v>
      </c>
      <c r="AV102" s="3">
        <f>-IF(RTD("tos.rtd",,AV$83,"."&amp;$C$82&amp;$AU$82&amp;"P"&amp;$A102)="N/A",0,RTD("tos.rtd",,AV$83,"."&amp;$C$82&amp;$AU$82&amp;"P"&amp;$A102))</f>
        <v>-16634</v>
      </c>
      <c r="AW102" s="54">
        <f>IF(RTD("tos.rtd",,AW$83,"."&amp;$D$82&amp;$AW$82&amp;"C"&amp;$A102)="N/A",0,RTD("tos.rtd",,AW$83,"."&amp;$D$82&amp;$AW$82&amp;"C"&amp;$A102))</f>
        <v>48408</v>
      </c>
      <c r="AX102" s="3">
        <f>-IF(RTD("tos.rtd",,AX$83,"."&amp;$D$82&amp;$AW$82&amp;"P"&amp;$A102)="N/A",0,RTD("tos.rtd",,AX$83,"."&amp;$D$82&amp;$AW$82&amp;"P"&amp;$A102))</f>
        <v>-41080</v>
      </c>
      <c r="AY102" s="79">
        <f t="shared" si="316"/>
        <v>-7820</v>
      </c>
      <c r="AZ102" s="8">
        <f t="shared" si="255"/>
        <v>5900</v>
      </c>
      <c r="BA102" s="54">
        <f>IF(RTD("tos.rtd",,BA$83,"."&amp;$B$82&amp;$AS$82&amp;"C"&amp;$A102)="N/A",0,RTD("tos.rtd",,BA$83,"."&amp;$B$82&amp;$AS$82&amp;"C"&amp;$A102))</f>
        <v>3598</v>
      </c>
      <c r="BB102" s="3">
        <f>-IF(RTD("tos.rtd",,BB$83,"."&amp;$B$82&amp;$AS$82&amp;"P"&amp;$A102)="N/A",0,RTD("tos.rtd",,BB$83,"."&amp;$B$82&amp;$AS$82&amp;"P"&amp;$A102))</f>
        <v>-96703</v>
      </c>
      <c r="BC102" s="54">
        <f>IF(RTD("tos.rtd",,BC$83,"."&amp;$C$82&amp;$AU$82&amp;"C"&amp;$A102)="N/A",0,RTD("tos.rtd",,BC$83,"."&amp;$C$82&amp;$AU$82&amp;"C"&amp;$A102))</f>
        <v>663</v>
      </c>
      <c r="BD102" s="3">
        <f>-IF(RTD("tos.rtd",,BD$83,"."&amp;$C$82&amp;$AU$82&amp;"P"&amp;$A102)="N/A",0,RTD("tos.rtd",,BD$83,"."&amp;$C$82&amp;$AU$82&amp;"P"&amp;$A102))</f>
        <v>-2580</v>
      </c>
      <c r="BE102" s="54">
        <f>IF(RTD("tos.rtd",,BE$83,"."&amp;$D$82&amp;$AW$82&amp;"C"&amp;$A102)="N/A",0,RTD("tos.rtd",,BE$83,"."&amp;$D$82&amp;$AW$82&amp;"C"&amp;$A102))</f>
        <v>166</v>
      </c>
      <c r="BF102" s="3">
        <f>-IF(RTD("tos.rtd",,BF$83,"."&amp;$D$82&amp;$AW$82&amp;"P"&amp;$A102)="N/A",0,RTD("tos.rtd",,BF$83,"."&amp;$D$82&amp;$AW$82&amp;"P"&amp;$A102))</f>
        <v>-987</v>
      </c>
      <c r="BG102" s="3">
        <f ca="1">+Hoja2!Y103</f>
        <v>-8904</v>
      </c>
      <c r="BH102" s="55">
        <f t="shared" ca="1" si="292"/>
        <v>-104747</v>
      </c>
      <c r="BI102" s="32" t="str">
        <f t="shared" ca="1" si="312"/>
        <v/>
      </c>
      <c r="BJ102" s="3">
        <f ca="1">IF($BP$1=1,DX102,IF(RTD("tos.rtd",,BJ$83,"."&amp;$B$82&amp;$AS$82&amp;"C"&amp;$A102)="N/A",0,RTD("tos.rtd",,BJ$83,"."&amp;$B$82&amp;$AS$82&amp;"C"&amp;$A102)))</f>
        <v>3.110903283771691E-3</v>
      </c>
      <c r="BK102" s="3">
        <f ca="1">IF($BP$1=1,DY102,-IF(RTD("tos.rtd",,BK$83,"."&amp;$B$82&amp;$AS$82&amp;"P"&amp;$A102)="N/A",0,RTD("tos.rtd",,BK$83,"."&amp;$B$82&amp;$AS$82&amp;"P"&amp;$A102)))</f>
        <v>-5.8604105197914685E-3</v>
      </c>
      <c r="BL102" s="3">
        <f ca="1">IF($BP$1=1,DZ102,IF(RTD("tos.rtd",,BL$83,"."&amp;$C$82&amp;$AU$82&amp;"C"&amp;$A102)="N/A",0,RTD("tos.rtd",,BL$83,"."&amp;$C$82&amp;$AU$82&amp;"C"&amp;$A102)))</f>
        <v>3.6110268341943423E-3</v>
      </c>
      <c r="BM102" s="3">
        <f ca="1">IF($BP$1=1,EA102,-IF(RTD("tos.rtd",,BM$83,"."&amp;$C$82&amp;$AU$82&amp;"P"&amp;$A102)="N/A",0,RTD("tos.rtd",,BM$83,"."&amp;$C$82&amp;$AU$82&amp;"P"&amp;$A102)))</f>
        <v>-3.3944073020247831E-3</v>
      </c>
      <c r="BN102" s="3">
        <f ca="1">IF($BP$1=1,EB102,IF(RTD("tos.rtd",,BN$83,"."&amp;$D$82&amp;$AW$82&amp;"C"&amp;$A102)="N/A",0,RTD("tos.rtd",,BN$83,"."&amp;$D$82&amp;$AW$82&amp;"C"&amp;$A102)))</f>
        <v>3.8364417986712232E-3</v>
      </c>
      <c r="BO102" s="3">
        <f ca="1">IF($BP$1=1,EC102,-IF(RTD("tos.rtd",,BO$83,"."&amp;$D$82&amp;$AW$82&amp;"P"&amp;$A102)="N/A",0,RTD("tos.rtd",,BO$83,"."&amp;$D$82&amp;$AW$82&amp;"P"&amp;$A102)))</f>
        <v>-3.5956890287754365E-3</v>
      </c>
      <c r="BQ102" s="3">
        <f t="shared" ca="1" si="256"/>
        <v>-5106234.7718732692</v>
      </c>
      <c r="BR102" s="3" t="str">
        <f t="shared" ca="1" si="293"/>
        <v/>
      </c>
      <c r="BS102" s="3">
        <f t="shared" ca="1" si="257"/>
        <v>-11423632.248929275</v>
      </c>
      <c r="BT102" s="3" t="str">
        <f t="shared" ca="1" si="293"/>
        <v/>
      </c>
      <c r="BU102" s="3">
        <f t="shared" ca="1" si="258"/>
        <v>10261546.564696856</v>
      </c>
      <c r="BV102" s="3" t="str">
        <f t="shared" ca="1" si="293"/>
        <v/>
      </c>
      <c r="BX102" s="3">
        <f t="shared" ca="1" si="259"/>
        <v>-150000607.14022395</v>
      </c>
      <c r="BY102" s="3" t="str">
        <f t="shared" ca="1" si="309"/>
        <v/>
      </c>
      <c r="BZ102" s="3">
        <f t="shared" ca="1" si="260"/>
        <v>-1718231.808751747</v>
      </c>
      <c r="CA102" s="3" t="str">
        <f t="shared" ca="1" si="309"/>
        <v/>
      </c>
      <c r="CB102" s="3">
        <f t="shared" ca="1" si="261"/>
        <v>-786310.5103829666</v>
      </c>
      <c r="CC102" s="3" t="str">
        <f t="shared" ca="1" si="309"/>
        <v/>
      </c>
      <c r="CD102" s="3">
        <f>IF(RTD("tos.rtd",,CD$83,"."&amp;$B$82&amp;$AS$82&amp;"C"&amp;$A102)="N/A",0,RTD("tos.rtd",,CD$83,"."&amp;$B$82&amp;$AS$82&amp;"C"&amp;$A102))</f>
        <v>1</v>
      </c>
      <c r="CE102" s="3">
        <f>-IF(RTD("tos.rtd",,CE$83,"."&amp;$B$82&amp;$AS$82&amp;"P"&amp;$A102)="N/A",0,RTD("tos.rtd",,CE$83,"."&amp;$B$82&amp;$AS$82&amp;"P"&amp;$A102))</f>
        <v>0.01</v>
      </c>
      <c r="CF102" s="3">
        <f>IF(RTD("tos.rtd",,CF$83,"."&amp;$C$82&amp;$AU$82&amp;"C"&amp;$A102)="N/A",0,RTD("tos.rtd",,CF$83,"."&amp;$C$82&amp;$AU$82&amp;"C"&amp;$A102))</f>
        <v>0.69</v>
      </c>
      <c r="CG102" s="3">
        <f>-IF(RTD("tos.rtd",,CG$83,"."&amp;$C$82&amp;$AU$82&amp;"P"&amp;$A102)="N/A",0,RTD("tos.rtd",,CG$83,"."&amp;$C$82&amp;$AU$82&amp;"P"&amp;$A102))</f>
        <v>0.32</v>
      </c>
      <c r="CH102" s="3">
        <f>IF(RTD("tos.rtd",,CH$83,"."&amp;$D$82&amp;$AW$82&amp;"C"&amp;$A102)="N/A",0,RTD("tos.rtd",,CH$83,"."&amp;$D$82&amp;$AW$82&amp;"C"&amp;$A102))</f>
        <v>0.6</v>
      </c>
      <c r="CI102" s="3">
        <f>-IF(RTD("tos.rtd",,CI$83,"."&amp;$D$82&amp;$AW$82&amp;"P"&amp;$A102)="N/A",0,RTD("tos.rtd",,CI$83,"."&amp;$D$82&amp;$AW$82&amp;"P"&amp;$A102))</f>
        <v>0.4</v>
      </c>
      <c r="CK102" s="3">
        <f t="shared" si="294"/>
        <v>978580279</v>
      </c>
      <c r="CL102" s="3"/>
      <c r="CM102" s="3">
        <f t="shared" si="295"/>
        <v>-1553895932</v>
      </c>
      <c r="CN102" s="3"/>
      <c r="CO102" s="3">
        <f t="shared" si="296"/>
        <v>7486012120</v>
      </c>
      <c r="CP102" s="3">
        <f t="shared" si="262"/>
        <v>6910696467</v>
      </c>
      <c r="CQ102" s="3">
        <f t="shared" si="263"/>
        <v>-93105</v>
      </c>
      <c r="CR102" s="3"/>
      <c r="CS102" s="3">
        <f t="shared" si="264"/>
        <v>-1917</v>
      </c>
      <c r="CT102" s="3"/>
      <c r="CU102" s="3">
        <f t="shared" si="265"/>
        <v>-821</v>
      </c>
      <c r="CV102" s="3"/>
      <c r="CW102" s="3">
        <f t="shared" ca="1" si="317"/>
        <v>-6268320.4561056886</v>
      </c>
      <c r="CY102" s="3">
        <f t="shared" ca="1" si="266"/>
        <v>-152505149.45935866</v>
      </c>
      <c r="CZ102" s="70" t="str">
        <f t="shared" ca="1" si="310"/>
        <v/>
      </c>
      <c r="DA102" s="3">
        <f>IF(RTD("tos.rtd",,DA$83,"."&amp;$B$82&amp;$AS$82&amp;"C"&amp;$A102)="N/A",0,RTD("tos.rtd",,DA$83,"."&amp;$B$82&amp;$AS$82&amp;"C"&amp;$A102))</f>
        <v>38.799999999999997</v>
      </c>
      <c r="DB102" s="3">
        <f>IF(RTD("tos.rtd",,DB$83,"."&amp;$B$82&amp;$AS$82&amp;"P"&amp;$A102)="N/A",0,RTD("tos.rtd",,DB$83,"."&amp;$B$82&amp;$AS$82&amp;"P"&amp;$A102))</f>
        <v>0.05</v>
      </c>
      <c r="DC102" s="3">
        <f>IF(RTD("tos.rtd",,DC$83,"."&amp;$B$82&amp;$AS$82&amp;"C"&amp;$A102)="N/A",0,RTD("tos.rtd",,DC$83,"."&amp;$B$82&amp;$AS$82&amp;"C"&amp;$A102))</f>
        <v>40.700000000000003</v>
      </c>
      <c r="DD102" s="3">
        <f>IF(RTD("tos.rtd",,DD$83,"."&amp;$B$82&amp;$AS$82&amp;"P"&amp;$A102)="N/A",0,RTD("tos.rtd",,DD$83,"."&amp;$B$82&amp;$AS$82&amp;"P"&amp;$A102))</f>
        <v>0.05</v>
      </c>
      <c r="DE102" s="3">
        <f>IF(RTD("tos.rtd",,DE$83,"."&amp;$B$82&amp;$AS$82&amp;"C"&amp;$A102)="N/A",0,RTD("tos.rtd",,DE$83,"."&amp;$B$82&amp;$AS$82&amp;"C"&amp;$A102))</f>
        <v>38.700000000000003</v>
      </c>
      <c r="DF102" s="3">
        <f>IF(RTD("tos.rtd",,DF$83,"."&amp;$B$82&amp;$AS$82&amp;"P"&amp;$A102)="N/A",0,RTD("tos.rtd",,DF$83,"."&amp;$B$82&amp;$AS$82&amp;"P"&amp;$A102))</f>
        <v>0</v>
      </c>
      <c r="DG102" s="86">
        <f t="shared" si="298"/>
        <v>-35.25</v>
      </c>
      <c r="DH102" s="3">
        <f t="shared" si="267"/>
        <v>0</v>
      </c>
      <c r="DI102" s="3">
        <f t="shared" si="268"/>
        <v>0</v>
      </c>
      <c r="DJ102" s="3">
        <f t="shared" si="269"/>
        <v>0</v>
      </c>
      <c r="DK102" s="3">
        <f t="shared" si="270"/>
        <v>0</v>
      </c>
      <c r="DL102" s="3">
        <f t="shared" si="271"/>
        <v>0</v>
      </c>
      <c r="DM102" s="3">
        <f t="shared" si="272"/>
        <v>0</v>
      </c>
      <c r="DN102" s="64" t="str">
        <f t="shared" si="273"/>
        <v>UNKNOWN</v>
      </c>
      <c r="DO102" s="64" t="str">
        <f t="shared" si="274"/>
        <v>UNKNOWN</v>
      </c>
      <c r="DP102" s="3">
        <f t="shared" si="275"/>
        <v>0</v>
      </c>
      <c r="DQ102" s="3">
        <f t="shared" si="276"/>
        <v>0</v>
      </c>
      <c r="DR102" s="3">
        <f t="shared" ca="1" si="277"/>
        <v>0</v>
      </c>
      <c r="DS102" s="3">
        <f t="shared" si="278"/>
        <v>0</v>
      </c>
      <c r="DT102" s="3">
        <f t="shared" si="299"/>
        <v>0</v>
      </c>
      <c r="DU102" s="3">
        <f t="shared" si="300"/>
        <v>0</v>
      </c>
      <c r="DV102" s="3">
        <f t="shared" si="301"/>
        <v>-436</v>
      </c>
      <c r="DW102" s="3">
        <f t="shared" si="302"/>
        <v>13786</v>
      </c>
      <c r="DX102" s="3">
        <f t="shared" ca="1" si="311"/>
        <v>3.110903283771691E-3</v>
      </c>
      <c r="DY102" s="3">
        <f t="shared" ca="1" si="279"/>
        <v>-5.8604105197914685E-3</v>
      </c>
      <c r="DZ102" s="3">
        <f t="shared" ca="1" si="303"/>
        <v>3.6110268341943423E-3</v>
      </c>
      <c r="EA102" s="3">
        <f t="shared" ca="1" si="304"/>
        <v>-3.3944073020247831E-3</v>
      </c>
      <c r="EB102" s="3">
        <f t="shared" ca="1" si="280"/>
        <v>3.8364417986712232E-3</v>
      </c>
      <c r="EC102" s="3">
        <f t="shared" ca="1" si="281"/>
        <v>-3.5956890287754365E-3</v>
      </c>
      <c r="ED102" s="63">
        <f t="shared" si="305"/>
        <v>13350</v>
      </c>
      <c r="EE102" s="59">
        <f t="shared" si="282"/>
        <v>0.25</v>
      </c>
      <c r="EF102" s="59">
        <f t="shared" si="283"/>
        <v>0.35170000000000001</v>
      </c>
      <c r="EG102" s="59">
        <f t="shared" si="284"/>
        <v>0.16170000000000001</v>
      </c>
      <c r="EH102" s="59">
        <f t="shared" si="285"/>
        <v>0.1736</v>
      </c>
      <c r="EI102" s="59">
        <f t="shared" si="286"/>
        <v>0.15060000000000001</v>
      </c>
      <c r="EJ102" s="59">
        <f t="shared" si="287"/>
        <v>0.16250000000000001</v>
      </c>
      <c r="EK102" s="63">
        <f t="shared" ca="1" si="306"/>
        <v>-2893842472.5635066</v>
      </c>
      <c r="EL102" s="3" t="str">
        <f>RTD("tos.rtd",,EL$83,"."&amp;$B$82&amp;$AS$82&amp;"C"&amp;$A102)</f>
        <v>--</v>
      </c>
      <c r="EM102" s="3" t="str">
        <f>RTD("tos.rtd",,EM$83,"."&amp;$B$82&amp;$AS$82&amp;"P"&amp;$A102)</f>
        <v>35.17%</v>
      </c>
      <c r="EN102" s="3" t="str">
        <f>RTD("tos.rtd",,EN$83,"."&amp;$C$82&amp;$AU$82&amp;"C"&amp;$A102)</f>
        <v>16.17%</v>
      </c>
      <c r="EO102" s="3" t="str">
        <f>RTD("tos.rtd",,EO$83,"."&amp;$C$82&amp;$AU$82&amp;"P"&amp;$A102)</f>
        <v>17.36%</v>
      </c>
      <c r="EP102" s="3" t="str">
        <f>RTD("tos.rtd",,EP$83,"."&amp;$D$82&amp;$AW$82&amp;"C"&amp;$A102)</f>
        <v>15.06%</v>
      </c>
      <c r="EQ102" s="3" t="str">
        <f>RTD("tos.rtd",,EQ$83,"."&amp;$D$82&amp;$AW$82&amp;"P"&amp;$A102)</f>
        <v>16.25%</v>
      </c>
      <c r="ES102" s="63" t="str">
        <f t="shared" si="288"/>
        <v>5900,13350.00</v>
      </c>
      <c r="ET102" s="63" t="str">
        <f t="shared" ca="1" si="289"/>
        <v>5900,-152505.15</v>
      </c>
      <c r="EU102" s="67">
        <v>594.28</v>
      </c>
      <c r="EV102" s="67" t="s">
        <v>836</v>
      </c>
      <c r="EW102" s="67">
        <v>520.97</v>
      </c>
      <c r="EX102" s="67" t="s">
        <v>837</v>
      </c>
      <c r="EY102" s="67">
        <v>5952.75</v>
      </c>
      <c r="EZ102" s="67" t="s">
        <v>838</v>
      </c>
      <c r="FA102" s="67">
        <v>21385.5</v>
      </c>
      <c r="FB102" s="67" t="s">
        <v>839</v>
      </c>
      <c r="FC102" s="67" t="s">
        <v>840</v>
      </c>
      <c r="FD102" s="67" t="s">
        <v>841</v>
      </c>
      <c r="FE102" s="68" t="s">
        <v>842</v>
      </c>
      <c r="FF102" s="68" t="s">
        <v>843</v>
      </c>
    </row>
    <row r="103" spans="1:162" s="63" customFormat="1" ht="12" customHeight="1" thickBot="1" x14ac:dyDescent="0.25">
      <c r="A103" s="2">
        <f t="shared" si="307"/>
        <v>5890</v>
      </c>
      <c r="B103" s="3">
        <f t="shared" si="251"/>
        <v>1114</v>
      </c>
      <c r="C103" s="3">
        <f t="shared" si="252"/>
        <v>2976</v>
      </c>
      <c r="D103" s="3">
        <f t="shared" si="253"/>
        <v>7121</v>
      </c>
      <c r="E103" s="3">
        <f>SUM(B103:D103)</f>
        <v>11211</v>
      </c>
      <c r="F103" s="4">
        <f t="shared" si="318"/>
        <v>5909.8475211659152</v>
      </c>
      <c r="G103" s="4">
        <f t="shared" si="315"/>
        <v>587.89350069500017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-74</v>
      </c>
      <c r="AN103" s="20">
        <v>2842</v>
      </c>
      <c r="AO103" s="20">
        <v>5890</v>
      </c>
      <c r="AP103" s="20">
        <v>579</v>
      </c>
      <c r="AQ103" s="20">
        <v>-50684</v>
      </c>
      <c r="AR103" s="20"/>
      <c r="AS103" s="54">
        <f>IF(RTD("tos.rtd",,AS$83,"."&amp;$B$82&amp;$AS$82&amp;"C"&amp;$A103)="N/A",0,RTD("tos.rtd",,AS$83,"."&amp;$B$82&amp;$AS$82&amp;"C"&amp;$A103))</f>
        <v>199</v>
      </c>
      <c r="AT103" s="3">
        <f>-IF(RTD("tos.rtd",,AT$83,"."&amp;$B$82&amp;$AS$82&amp;"P"&amp;$A103)="N/A",0,RTD("tos.rtd",,AT$83,"."&amp;$B$82&amp;$AS$82&amp;"P"&amp;$A103))</f>
        <v>-915</v>
      </c>
      <c r="AU103" s="54">
        <f>IF(RTD("tos.rtd",,AU$83,"."&amp;$C$82&amp;$AU$82&amp;"C"&amp;$A103)="N/A",0,RTD("tos.rtd",,AU$83,"."&amp;$C$82&amp;$AU$82&amp;"C"&amp;$A103))</f>
        <v>2066</v>
      </c>
      <c r="AV103" s="3">
        <f>-IF(RTD("tos.rtd",,AV$83,"."&amp;$C$82&amp;$AU$82&amp;"P"&amp;$A103)="N/A",0,RTD("tos.rtd",,AV$83,"."&amp;$C$82&amp;$AU$82&amp;"P"&amp;$A103))</f>
        <v>-910</v>
      </c>
      <c r="AW103" s="54">
        <f>IF(RTD("tos.rtd",,AW$83,"."&amp;$D$82&amp;$AW$82&amp;"C"&amp;$A103)="N/A",0,RTD("tos.rtd",,AW$83,"."&amp;$D$82&amp;$AW$82&amp;"C"&amp;$A103))</f>
        <v>2937</v>
      </c>
      <c r="AX103" s="3">
        <f>-IF(RTD("tos.rtd",,AX$83,"."&amp;$D$82&amp;$AW$82&amp;"P"&amp;$A103)="N/A",0,RTD("tos.rtd",,AX$83,"."&amp;$D$82&amp;$AW$82&amp;"P"&amp;$A103))</f>
        <v>-4184</v>
      </c>
      <c r="AY103" s="79">
        <f t="shared" si="316"/>
        <v>-807</v>
      </c>
      <c r="AZ103" s="8">
        <f t="shared" si="255"/>
        <v>5890</v>
      </c>
      <c r="BA103" s="54">
        <f>IF(RTD("tos.rtd",,BA$83,"."&amp;$B$82&amp;$AS$82&amp;"C"&amp;$A103)="N/A",0,RTD("tos.rtd",,BA$83,"."&amp;$B$82&amp;$AS$82&amp;"C"&amp;$A103))</f>
        <v>579</v>
      </c>
      <c r="BB103" s="3">
        <f>-IF(RTD("tos.rtd",,BB$83,"."&amp;$B$82&amp;$AS$82&amp;"P"&amp;$A103)="N/A",0,RTD("tos.rtd",,BB$83,"."&amp;$B$82&amp;$AS$82&amp;"P"&amp;$A103))</f>
        <v>-50684</v>
      </c>
      <c r="BC103" s="54">
        <f>IF(RTD("tos.rtd",,BC$83,"."&amp;$C$82&amp;$AU$82&amp;"C"&amp;$A103)="N/A",0,RTD("tos.rtd",,BC$83,"."&amp;$C$82&amp;$AU$82&amp;"C"&amp;$A103))</f>
        <v>48</v>
      </c>
      <c r="BD103" s="3">
        <f>-IF(RTD("tos.rtd",,BD$83,"."&amp;$C$82&amp;$AU$82&amp;"P"&amp;$A103)="N/A",0,RTD("tos.rtd",,BD$83,"."&amp;$C$82&amp;$AU$82&amp;"P"&amp;$A103))</f>
        <v>-1024</v>
      </c>
      <c r="BE103" s="54">
        <f>IF(RTD("tos.rtd",,BE$83,"."&amp;$D$82&amp;$AW$82&amp;"C"&amp;$A103)="N/A",0,RTD("tos.rtd",,BE$83,"."&amp;$D$82&amp;$AW$82&amp;"C"&amp;$A103))</f>
        <v>84</v>
      </c>
      <c r="BF103" s="3">
        <f>-IF(RTD("tos.rtd",,BF$83,"."&amp;$D$82&amp;$AW$82&amp;"P"&amp;$A103)="N/A",0,RTD("tos.rtd",,BF$83,"."&amp;$D$82&amp;$AW$82&amp;"P"&amp;$A103))</f>
        <v>-208</v>
      </c>
      <c r="BG103" s="3">
        <f ca="1">+Hoja2!Y104</f>
        <v>-2852</v>
      </c>
      <c r="BH103" s="55">
        <f t="shared" ca="1" si="292"/>
        <v>-54057</v>
      </c>
      <c r="BI103" s="32" t="str">
        <f t="shared" ca="1" si="312"/>
        <v/>
      </c>
      <c r="BJ103" s="3">
        <f ca="1">IF($BP$1=1,DX103,IF(RTD("tos.rtd",,BJ$83,"."&amp;$B$82&amp;$AS$82&amp;"C"&amp;$A103)="N/A",0,RTD("tos.rtd",,BJ$83,"."&amp;$B$82&amp;$AS$82&amp;"C"&amp;$A103)))</f>
        <v>8.6390445947448849E-4</v>
      </c>
      <c r="BK103" s="3">
        <f ca="1">IF($BP$1=1,DY103,-IF(RTD("tos.rtd",,BK$83,"."&amp;$B$82&amp;$AS$82&amp;"P"&amp;$A103)="N/A",0,RTD("tos.rtd",,BK$83,"."&amp;$B$82&amp;$AS$82&amp;"P"&amp;$A103)))</f>
        <v>-4.3035941823156183E-3</v>
      </c>
      <c r="BL103" s="3">
        <f ca="1">IF($BP$1=1,DZ103,IF(RTD("tos.rtd",,BL$83,"."&amp;$C$82&amp;$AU$82&amp;"C"&amp;$A103)="N/A",0,RTD("tos.rtd",,BL$83,"."&amp;$C$82&amp;$AU$82&amp;"C"&amp;$A103)))</f>
        <v>3.4406390888834636E-3</v>
      </c>
      <c r="BM103" s="3">
        <f ca="1">IF($BP$1=1,EA103,-IF(RTD("tos.rtd",,BM$83,"."&amp;$C$82&amp;$AU$82&amp;"P"&amp;$A103)="N/A",0,RTD("tos.rtd",,BM$83,"."&amp;$C$82&amp;$AU$82&amp;"P"&amp;$A103)))</f>
        <v>-3.2331140063597569E-3</v>
      </c>
      <c r="BN103" s="3">
        <f ca="1">IF($BP$1=1,EB103,IF(RTD("tos.rtd",,BN$83,"."&amp;$D$82&amp;$AW$82&amp;"C"&amp;$A103)="N/A",0,RTD("tos.rtd",,BN$83,"."&amp;$D$82&amp;$AW$82&amp;"C"&amp;$A103)))</f>
        <v>3.6300345645836909E-3</v>
      </c>
      <c r="BO103" s="3">
        <f ca="1">IF($BP$1=1,EC103,-IF(RTD("tos.rtd",,BO$83,"."&amp;$D$82&amp;$AW$82&amp;"P"&amp;$A103)="N/A",0,RTD("tos.rtd",,BO$83,"."&amp;$D$82&amp;$AW$82&amp;"P"&amp;$A103)))</f>
        <v>-3.424176818402042E-3</v>
      </c>
      <c r="BQ103" s="3">
        <f t="shared" ca="1" si="256"/>
        <v>-1016843.1129310222</v>
      </c>
      <c r="BR103" s="3" t="str">
        <f t="shared" ca="1" si="293"/>
        <v/>
      </c>
      <c r="BS103" s="3">
        <f t="shared" ca="1" si="257"/>
        <v>1124945.0821993048</v>
      </c>
      <c r="BT103" s="3" t="str">
        <f t="shared" ca="1" si="293"/>
        <v>Cruce +</v>
      </c>
      <c r="BU103" s="3">
        <f t="shared" ca="1" si="258"/>
        <v>-989699.17386207031</v>
      </c>
      <c r="BV103" s="3" t="str">
        <f t="shared" ca="1" si="293"/>
        <v>Cruce -</v>
      </c>
      <c r="BX103" s="3">
        <f t="shared" ca="1" si="259"/>
        <v>-58761592.715448983</v>
      </c>
      <c r="BY103" s="3" t="str">
        <f t="shared" ca="1" si="309"/>
        <v/>
      </c>
      <c r="BZ103" s="3">
        <f t="shared" ca="1" si="260"/>
        <v>-849348.92099592206</v>
      </c>
      <c r="CA103" s="3" t="str">
        <f t="shared" ca="1" si="309"/>
        <v/>
      </c>
      <c r="CB103" s="3">
        <f t="shared" ca="1" si="261"/>
        <v>-109978.83300617183</v>
      </c>
      <c r="CC103" s="3" t="str">
        <f t="shared" ca="1" si="309"/>
        <v/>
      </c>
      <c r="CD103" s="3">
        <f>IF(RTD("tos.rtd",,CD$83,"."&amp;$B$82&amp;$AS$82&amp;"C"&amp;$A103)="N/A",0,RTD("tos.rtd",,CD$83,"."&amp;$B$82&amp;$AS$82&amp;"C"&amp;$A103))</f>
        <v>1</v>
      </c>
      <c r="CE103" s="3">
        <f>-IF(RTD("tos.rtd",,CE$83,"."&amp;$B$82&amp;$AS$82&amp;"P"&amp;$A103)="N/A",0,RTD("tos.rtd",,CE$83,"."&amp;$B$82&amp;$AS$82&amp;"P"&amp;$A103))</f>
        <v>0</v>
      </c>
      <c r="CF103" s="3">
        <f>IF(RTD("tos.rtd",,CF$83,"."&amp;$C$82&amp;$AU$82&amp;"C"&amp;$A103)="N/A",0,RTD("tos.rtd",,CF$83,"."&amp;$C$82&amp;$AU$82&amp;"C"&amp;$A103))</f>
        <v>0.73</v>
      </c>
      <c r="CG103" s="3">
        <f>-IF(RTD("tos.rtd",,CG$83,"."&amp;$C$82&amp;$AU$82&amp;"P"&amp;$A103)="N/A",0,RTD("tos.rtd",,CG$83,"."&amp;$C$82&amp;$AU$82&amp;"P"&amp;$A103))</f>
        <v>0.28999999999999998</v>
      </c>
      <c r="CH103" s="3">
        <f>IF(RTD("tos.rtd",,CH$83,"."&amp;$D$82&amp;$AW$82&amp;"C"&amp;$A103)="N/A",0,RTD("tos.rtd",,CH$83,"."&amp;$D$82&amp;$AW$82&amp;"C"&amp;$A103))</f>
        <v>0.62</v>
      </c>
      <c r="CI103" s="3">
        <f>-IF(RTD("tos.rtd",,CI$83,"."&amp;$D$82&amp;$AW$82&amp;"P"&amp;$A103)="N/A",0,RTD("tos.rtd",,CI$83,"."&amp;$D$82&amp;$AW$82&amp;"P"&amp;$A103))</f>
        <v>0.39</v>
      </c>
      <c r="CK103" s="3">
        <f t="shared" si="294"/>
        <v>118111475</v>
      </c>
      <c r="CL103" s="3"/>
      <c r="CM103" s="3">
        <f t="shared" si="295"/>
        <v>738511287</v>
      </c>
      <c r="CN103" s="3"/>
      <c r="CO103" s="3">
        <f t="shared" si="296"/>
        <v>112283059.5</v>
      </c>
      <c r="CP103" s="3">
        <f t="shared" si="262"/>
        <v>968905821.5</v>
      </c>
      <c r="CQ103" s="3">
        <f t="shared" si="263"/>
        <v>-50105</v>
      </c>
      <c r="CR103" s="3"/>
      <c r="CS103" s="3">
        <f t="shared" si="264"/>
        <v>-976</v>
      </c>
      <c r="CT103" s="3"/>
      <c r="CU103" s="3">
        <f t="shared" si="265"/>
        <v>-124</v>
      </c>
      <c r="CV103" s="3"/>
      <c r="CW103" s="3">
        <f t="shared" ca="1" si="317"/>
        <v>-881597.20459378767</v>
      </c>
      <c r="CY103" s="3">
        <f t="shared" ca="1" si="266"/>
        <v>-59720920.469451077</v>
      </c>
      <c r="CZ103" s="70" t="str">
        <f t="shared" ca="1" si="310"/>
        <v/>
      </c>
      <c r="DA103" s="3">
        <f>IF(RTD("tos.rtd",,DA$83,"."&amp;$B$82&amp;$AS$82&amp;"C"&amp;$A103)="N/A",0,RTD("tos.rtd",,DA$83,"."&amp;$B$82&amp;$AS$82&amp;"C"&amp;$A103))</f>
        <v>49.34</v>
      </c>
      <c r="DB103" s="3">
        <f>IF(RTD("tos.rtd",,DB$83,"."&amp;$B$82&amp;$AS$82&amp;"P"&amp;$A103)="N/A",0,RTD("tos.rtd",,DB$83,"."&amp;$B$82&amp;$AS$82&amp;"P"&amp;$A103))</f>
        <v>0.05</v>
      </c>
      <c r="DC103" s="3">
        <f>IF(RTD("tos.rtd",,DC$83,"."&amp;$B$82&amp;$AS$82&amp;"C"&amp;$A103)="N/A",0,RTD("tos.rtd",,DC$83,"."&amp;$B$82&amp;$AS$82&amp;"C"&amp;$A103))</f>
        <v>50.7</v>
      </c>
      <c r="DD103" s="3">
        <f>IF(RTD("tos.rtd",,DD$83,"."&amp;$B$82&amp;$AS$82&amp;"P"&amp;$A103)="N/A",0,RTD("tos.rtd",,DD$83,"."&amp;$B$82&amp;$AS$82&amp;"P"&amp;$A103))</f>
        <v>0.05</v>
      </c>
      <c r="DE103" s="3">
        <f>IF(RTD("tos.rtd",,DE$83,"."&amp;$B$82&amp;$AS$82&amp;"C"&amp;$A103)="N/A",0,RTD("tos.rtd",,DE$83,"."&amp;$B$82&amp;$AS$82&amp;"C"&amp;$A103))</f>
        <v>48.7</v>
      </c>
      <c r="DF103" s="3">
        <f>IF(RTD("tos.rtd",,DF$83,"."&amp;$B$82&amp;$AS$82&amp;"P"&amp;$A103)="N/A",0,RTD("tos.rtd",,DF$83,"."&amp;$B$82&amp;$AS$82&amp;"P"&amp;$A103))</f>
        <v>0</v>
      </c>
      <c r="DG103" s="86">
        <f t="shared" si="298"/>
        <v>-45.25</v>
      </c>
      <c r="DH103" s="3">
        <f t="shared" si="267"/>
        <v>0</v>
      </c>
      <c r="DI103" s="3">
        <f t="shared" si="268"/>
        <v>0</v>
      </c>
      <c r="DJ103" s="3">
        <f t="shared" si="269"/>
        <v>0</v>
      </c>
      <c r="DK103" s="3">
        <f t="shared" si="270"/>
        <v>0</v>
      </c>
      <c r="DL103" s="3">
        <f t="shared" si="271"/>
        <v>0</v>
      </c>
      <c r="DM103" s="3">
        <f t="shared" si="272"/>
        <v>0</v>
      </c>
      <c r="DN103" s="64" t="str">
        <f t="shared" si="273"/>
        <v>UNKNOWN</v>
      </c>
      <c r="DO103" s="64" t="str">
        <f t="shared" si="274"/>
        <v>UNKNOWN</v>
      </c>
      <c r="DP103" s="3">
        <f t="shared" si="275"/>
        <v>0</v>
      </c>
      <c r="DQ103" s="3">
        <f t="shared" si="276"/>
        <v>0</v>
      </c>
      <c r="DR103" s="3">
        <f t="shared" ca="1" si="277"/>
        <v>0</v>
      </c>
      <c r="DS103" s="3">
        <f t="shared" si="278"/>
        <v>0</v>
      </c>
      <c r="DT103" s="3">
        <f t="shared" si="299"/>
        <v>0</v>
      </c>
      <c r="DU103" s="3">
        <f t="shared" si="300"/>
        <v>0</v>
      </c>
      <c r="DV103" s="3">
        <f t="shared" si="301"/>
        <v>-74</v>
      </c>
      <c r="DW103" s="3">
        <f t="shared" si="302"/>
        <v>2842</v>
      </c>
      <c r="DX103" s="3">
        <f t="shared" ca="1" si="311"/>
        <v>8.6390445947448849E-4</v>
      </c>
      <c r="DY103" s="3">
        <f t="shared" ca="1" si="279"/>
        <v>-4.3035941823156183E-3</v>
      </c>
      <c r="DZ103" s="3">
        <f t="shared" ca="1" si="303"/>
        <v>3.4406390888834636E-3</v>
      </c>
      <c r="EA103" s="3">
        <f t="shared" ca="1" si="304"/>
        <v>-3.2331140063597569E-3</v>
      </c>
      <c r="EB103" s="3">
        <f t="shared" ca="1" si="280"/>
        <v>3.6300345645836909E-3</v>
      </c>
      <c r="EC103" s="3">
        <f t="shared" ca="1" si="281"/>
        <v>-3.424176818402042E-3</v>
      </c>
      <c r="ED103" s="63">
        <f t="shared" si="305"/>
        <v>2768</v>
      </c>
      <c r="EE103" s="59">
        <f t="shared" si="282"/>
        <v>0.25</v>
      </c>
      <c r="EF103" s="59">
        <f t="shared" si="283"/>
        <v>0.42870000000000003</v>
      </c>
      <c r="EG103" s="59">
        <f t="shared" si="284"/>
        <v>0.16300000000000001</v>
      </c>
      <c r="EH103" s="59">
        <f t="shared" si="285"/>
        <v>0.1762</v>
      </c>
      <c r="EI103" s="59">
        <f t="shared" si="286"/>
        <v>0.152</v>
      </c>
      <c r="EJ103" s="59">
        <f t="shared" si="287"/>
        <v>0.16400000000000001</v>
      </c>
      <c r="EK103" s="63">
        <f t="shared" ca="1" si="306"/>
        <v>-433109300.16786152</v>
      </c>
      <c r="EL103" s="3" t="str">
        <f>RTD("tos.rtd",,EL$83,"."&amp;$B$82&amp;$AS$82&amp;"C"&amp;$A103)</f>
        <v>--</v>
      </c>
      <c r="EM103" s="3" t="str">
        <f>RTD("tos.rtd",,EM$83,"."&amp;$B$82&amp;$AS$82&amp;"P"&amp;$A103)</f>
        <v>42.87%</v>
      </c>
      <c r="EN103" s="3" t="str">
        <f>RTD("tos.rtd",,EN$83,"."&amp;$C$82&amp;$AU$82&amp;"C"&amp;$A103)</f>
        <v>16.30%</v>
      </c>
      <c r="EO103" s="3" t="str">
        <f>RTD("tos.rtd",,EO$83,"."&amp;$C$82&amp;$AU$82&amp;"P"&amp;$A103)</f>
        <v>17.62%</v>
      </c>
      <c r="EP103" s="3" t="str">
        <f>RTD("tos.rtd",,EP$83,"."&amp;$D$82&amp;$AW$82&amp;"C"&amp;$A103)</f>
        <v>15.20%</v>
      </c>
      <c r="EQ103" s="3" t="str">
        <f>RTD("tos.rtd",,EQ$83,"."&amp;$D$82&amp;$AW$82&amp;"P"&amp;$A103)</f>
        <v>16.40%</v>
      </c>
      <c r="ES103" s="63" t="str">
        <f t="shared" si="288"/>
        <v>5890,2768.00</v>
      </c>
      <c r="ET103" s="63" t="str">
        <f t="shared" ca="1" si="289"/>
        <v>5890,-59720.92</v>
      </c>
      <c r="EU103" s="67">
        <v>594.28</v>
      </c>
      <c r="EV103" s="67" t="s">
        <v>844</v>
      </c>
      <c r="EW103" s="67">
        <v>521.02</v>
      </c>
      <c r="EX103" s="67" t="s">
        <v>845</v>
      </c>
      <c r="EY103" s="67">
        <v>5953</v>
      </c>
      <c r="EZ103" s="67" t="s">
        <v>846</v>
      </c>
      <c r="FA103" s="67">
        <v>21386.5</v>
      </c>
      <c r="FB103" s="67" t="s">
        <v>847</v>
      </c>
      <c r="FC103" s="67" t="s">
        <v>848</v>
      </c>
      <c r="FD103" s="67" t="s">
        <v>849</v>
      </c>
      <c r="FE103" s="68" t="s">
        <v>850</v>
      </c>
      <c r="FF103" s="68" t="s">
        <v>851</v>
      </c>
    </row>
    <row r="104" spans="1:162" s="63" customFormat="1" ht="12" customHeight="1" thickBot="1" x14ac:dyDescent="0.25">
      <c r="A104" s="2">
        <f t="shared" si="307"/>
        <v>5880</v>
      </c>
      <c r="B104" s="3">
        <f t="shared" si="251"/>
        <v>2101</v>
      </c>
      <c r="C104" s="3">
        <f t="shared" si="252"/>
        <v>3884</v>
      </c>
      <c r="D104" s="3">
        <f t="shared" si="253"/>
        <v>6503</v>
      </c>
      <c r="E104" s="3">
        <f t="shared" si="314"/>
        <v>12488</v>
      </c>
      <c r="F104" s="4">
        <f t="shared" si="318"/>
        <v>5899.813824186007</v>
      </c>
      <c r="G104" s="4">
        <f t="shared" si="315"/>
        <v>586.8953793016301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-178</v>
      </c>
      <c r="AN104" s="20">
        <v>205</v>
      </c>
      <c r="AO104" s="20">
        <v>5880</v>
      </c>
      <c r="AP104" s="20">
        <v>1054</v>
      </c>
      <c r="AQ104" s="20">
        <v>-26169</v>
      </c>
      <c r="AR104" s="20"/>
      <c r="AS104" s="54">
        <f>IF(RTD("tos.rtd",,AS$83,"."&amp;$B$82&amp;$AS$82&amp;"C"&amp;$A104)="N/A",0,RTD("tos.rtd",,AS$83,"."&amp;$B$82&amp;$AS$82&amp;"C"&amp;$A104))</f>
        <v>687</v>
      </c>
      <c r="AT104" s="3">
        <f>-IF(RTD("tos.rtd",,AT$83,"."&amp;$B$82&amp;$AS$82&amp;"P"&amp;$A104)="N/A",0,RTD("tos.rtd",,AT$83,"."&amp;$B$82&amp;$AS$82&amp;"P"&amp;$A104))</f>
        <v>-1414</v>
      </c>
      <c r="AU104" s="54">
        <f>IF(RTD("tos.rtd",,AU$83,"."&amp;$C$82&amp;$AU$82&amp;"C"&amp;$A104)="N/A",0,RTD("tos.rtd",,AU$83,"."&amp;$C$82&amp;$AU$82&amp;"C"&amp;$A104))</f>
        <v>740</v>
      </c>
      <c r="AV104" s="3">
        <f>-IF(RTD("tos.rtd",,AV$83,"."&amp;$C$82&amp;$AU$82&amp;"P"&amp;$A104)="N/A",0,RTD("tos.rtd",,AV$83,"."&amp;$C$82&amp;$AU$82&amp;"P"&amp;$A104))</f>
        <v>-3144</v>
      </c>
      <c r="AW104" s="54">
        <f>IF(RTD("tos.rtd",,AW$83,"."&amp;$D$82&amp;$AW$82&amp;"C"&amp;$A104)="N/A",0,RTD("tos.rtd",,AW$83,"."&amp;$D$82&amp;$AW$82&amp;"C"&amp;$A104))</f>
        <v>3089</v>
      </c>
      <c r="AX104" s="3">
        <f>-IF(RTD("tos.rtd",,AX$83,"."&amp;$D$82&amp;$AW$82&amp;"P"&amp;$A104)="N/A",0,RTD("tos.rtd",,AX$83,"."&amp;$D$82&amp;$AW$82&amp;"P"&amp;$A104))</f>
        <v>-3414</v>
      </c>
      <c r="AY104" s="79">
        <f t="shared" si="316"/>
        <v>-3456</v>
      </c>
      <c r="AZ104" s="8">
        <f t="shared" si="255"/>
        <v>5880</v>
      </c>
      <c r="BA104" s="54">
        <f>IF(RTD("tos.rtd",,BA$83,"."&amp;$B$82&amp;$AS$82&amp;"C"&amp;$A104)="N/A",0,RTD("tos.rtd",,BA$83,"."&amp;$B$82&amp;$AS$82&amp;"C"&amp;$A104))</f>
        <v>1054</v>
      </c>
      <c r="BB104" s="3">
        <f>-IF(RTD("tos.rtd",,BB$83,"."&amp;$B$82&amp;$AS$82&amp;"P"&amp;$A104)="N/A",0,RTD("tos.rtd",,BB$83,"."&amp;$B$82&amp;$AS$82&amp;"P"&amp;$A104))</f>
        <v>-26169</v>
      </c>
      <c r="BC104" s="54">
        <f>IF(RTD("tos.rtd",,BC$83,"."&amp;$C$82&amp;$AU$82&amp;"C"&amp;$A104)="N/A",0,RTD("tos.rtd",,BC$83,"."&amp;$C$82&amp;$AU$82&amp;"C"&amp;$A104))</f>
        <v>50</v>
      </c>
      <c r="BD104" s="3">
        <f>-IF(RTD("tos.rtd",,BD$83,"."&amp;$C$82&amp;$AU$82&amp;"P"&amp;$A104)="N/A",0,RTD("tos.rtd",,BD$83,"."&amp;$C$82&amp;$AU$82&amp;"P"&amp;$A104))</f>
        <v>-529</v>
      </c>
      <c r="BE104" s="54">
        <f>IF(RTD("tos.rtd",,BE$83,"."&amp;$D$82&amp;$AW$82&amp;"C"&amp;$A104)="N/A",0,RTD("tos.rtd",,BE$83,"."&amp;$D$82&amp;$AW$82&amp;"C"&amp;$A104))</f>
        <v>1</v>
      </c>
      <c r="BF104" s="3">
        <f>-IF(RTD("tos.rtd",,BF$83,"."&amp;$D$82&amp;$AW$82&amp;"P"&amp;$A104)="N/A",0,RTD("tos.rtd",,BF$83,"."&amp;$D$82&amp;$AW$82&amp;"P"&amp;$A104))</f>
        <v>-18</v>
      </c>
      <c r="BG104" s="3">
        <f ca="1">+Hoja2!Y105</f>
        <v>-2137</v>
      </c>
      <c r="BH104" s="55">
        <f t="shared" ca="1" si="292"/>
        <v>-27748</v>
      </c>
      <c r="BI104" s="32" t="str">
        <f t="shared" ca="1" si="312"/>
        <v/>
      </c>
      <c r="BJ104" s="3">
        <f ca="1">IF($BP$1=1,DX104,IF(RTD("tos.rtd",,BJ$83,"."&amp;$B$82&amp;$AS$82&amp;"C"&amp;$A104)="N/A",0,RTD("tos.rtd",,BJ$83,"."&amp;$B$82&amp;$AS$82&amp;"C"&amp;$A104)))</f>
        <v>1.7388262136305933E-4</v>
      </c>
      <c r="BK104" s="3">
        <f ca="1">IF($BP$1=1,DY104,-IF(RTD("tos.rtd",,BK$83,"."&amp;$B$82&amp;$AS$82&amp;"P"&amp;$A104)="N/A",0,RTD("tos.rtd",,BK$83,"."&amp;$B$82&amp;$AS$82&amp;"P"&amp;$A104)))</f>
        <v>-3.3529108168647557E-3</v>
      </c>
      <c r="BL104" s="3">
        <f ca="1">IF($BP$1=1,DZ104,IF(RTD("tos.rtd",,BL$83,"."&amp;$C$82&amp;$AU$82&amp;"C"&amp;$A104)="N/A",0,RTD("tos.rtd",,BL$83,"."&amp;$C$82&amp;$AU$82&amp;"C"&amp;$A104)))</f>
        <v>3.2383515970387578E-3</v>
      </c>
      <c r="BM104" s="3">
        <f ca="1">IF($BP$1=1,EA104,-IF(RTD("tos.rtd",,BM$83,"."&amp;$C$82&amp;$AU$82&amp;"P"&amp;$A104)="N/A",0,RTD("tos.rtd",,BM$83,"."&amp;$C$82&amp;$AU$82&amp;"P"&amp;$A104)))</f>
        <v>-3.0629891624520534E-3</v>
      </c>
      <c r="BN104" s="3">
        <f ca="1">IF($BP$1=1,EB104,IF(RTD("tos.rtd",,BN$83,"."&amp;$D$82&amp;$AW$82&amp;"C"&amp;$A104)="N/A",0,RTD("tos.rtd",,BN$83,"."&amp;$D$82&amp;$AW$82&amp;"C"&amp;$A104)))</f>
        <v>3.4038501509451617E-3</v>
      </c>
      <c r="BO104" s="3">
        <f ca="1">IF($BP$1=1,EC104,-IF(RTD("tos.rtd",,BO$83,"."&amp;$D$82&amp;$AW$82&amp;"P"&amp;$A104)="N/A",0,RTD("tos.rtd",,BO$83,"."&amp;$D$82&amp;$AW$82&amp;"P"&amp;$A104)))</f>
        <v>-3.2356439596793875E-3</v>
      </c>
      <c r="BQ104" s="3">
        <f t="shared" ca="1" si="256"/>
        <v>-1247891.6846070751</v>
      </c>
      <c r="BR104" s="3" t="str">
        <f t="shared" ca="1" si="293"/>
        <v/>
      </c>
      <c r="BS104" s="3">
        <f t="shared" ca="1" si="257"/>
        <v>-1953198.533019424</v>
      </c>
      <c r="BT104" s="3" t="str">
        <f t="shared" ca="1" si="293"/>
        <v>Cruce -</v>
      </c>
      <c r="BU104" s="3">
        <f t="shared" ca="1" si="258"/>
        <v>-143646.90692014107</v>
      </c>
      <c r="BV104" s="3" t="str">
        <f t="shared" ca="1" si="293"/>
        <v/>
      </c>
      <c r="BX104" s="3">
        <f t="shared" ca="1" si="259"/>
        <v>-23642286.622984122</v>
      </c>
      <c r="BY104" s="3" t="str">
        <f t="shared" ca="1" si="309"/>
        <v/>
      </c>
      <c r="BZ104" s="3">
        <f t="shared" ca="1" si="260"/>
        <v>-393791.36290451197</v>
      </c>
      <c r="CA104" s="3" t="str">
        <f t="shared" ca="1" si="309"/>
        <v/>
      </c>
      <c r="CB104" s="3">
        <f t="shared" ca="1" si="261"/>
        <v>-14807.031144238463</v>
      </c>
      <c r="CC104" s="3" t="str">
        <f t="shared" ca="1" si="309"/>
        <v/>
      </c>
      <c r="CD104" s="3">
        <f>IF(RTD("tos.rtd",,CD$83,"."&amp;$B$82&amp;$AS$82&amp;"C"&amp;$A104)="N/A",0,RTD("tos.rtd",,CD$83,"."&amp;$B$82&amp;$AS$82&amp;"C"&amp;$A104))</f>
        <v>1</v>
      </c>
      <c r="CE104" s="3">
        <f>-IF(RTD("tos.rtd",,CE$83,"."&amp;$B$82&amp;$AS$82&amp;"P"&amp;$A104)="N/A",0,RTD("tos.rtd",,CE$83,"."&amp;$B$82&amp;$AS$82&amp;"P"&amp;$A104))</f>
        <v>0</v>
      </c>
      <c r="CF104" s="3">
        <f>IF(RTD("tos.rtd",,CF$83,"."&amp;$C$82&amp;$AU$82&amp;"C"&amp;$A104)="N/A",0,RTD("tos.rtd",,CF$83,"."&amp;$C$82&amp;$AU$82&amp;"C"&amp;$A104))</f>
        <v>0.76</v>
      </c>
      <c r="CG104" s="3">
        <f>-IF(RTD("tos.rtd",,CG$83,"."&amp;$C$82&amp;$AU$82&amp;"P"&amp;$A104)="N/A",0,RTD("tos.rtd",,CG$83,"."&amp;$C$82&amp;$AU$82&amp;"P"&amp;$A104))</f>
        <v>0.25</v>
      </c>
      <c r="CH104" s="3">
        <f>IF(RTD("tos.rtd",,CH$83,"."&amp;$D$82&amp;$AW$82&amp;"C"&amp;$A104)="N/A",0,RTD("tos.rtd",,CH$83,"."&amp;$D$82&amp;$AW$82&amp;"C"&amp;$A104))</f>
        <v>0.63</v>
      </c>
      <c r="CI104" s="3">
        <f>-IF(RTD("tos.rtd",,CI$83,"."&amp;$D$82&amp;$AW$82&amp;"P"&amp;$A104)="N/A",0,RTD("tos.rtd",,CI$83,"."&amp;$D$82&amp;$AW$82&amp;"P"&amp;$A104))</f>
        <v>0.38</v>
      </c>
      <c r="CK104" s="3">
        <f t="shared" si="294"/>
        <v>407751675</v>
      </c>
      <c r="CL104" s="3"/>
      <c r="CM104" s="3">
        <f t="shared" si="295"/>
        <v>-132712190</v>
      </c>
      <c r="CN104" s="3"/>
      <c r="CO104" s="3">
        <f t="shared" si="296"/>
        <v>385049343.75</v>
      </c>
      <c r="CP104" s="3">
        <f t="shared" si="262"/>
        <v>660088828.75</v>
      </c>
      <c r="CQ104" s="3">
        <f t="shared" si="263"/>
        <v>-25115</v>
      </c>
      <c r="CR104" s="3"/>
      <c r="CS104" s="3">
        <f t="shared" si="264"/>
        <v>-479</v>
      </c>
      <c r="CT104" s="3"/>
      <c r="CU104" s="3">
        <f t="shared" si="265"/>
        <v>-17</v>
      </c>
      <c r="CV104" s="3"/>
      <c r="CW104" s="3">
        <f t="shared" ca="1" si="317"/>
        <v>-3344737.1245466401</v>
      </c>
      <c r="CY104" s="3">
        <f t="shared" ca="1" si="266"/>
        <v>-24050885.017032873</v>
      </c>
      <c r="CZ104" s="70" t="str">
        <f t="shared" ca="1" si="310"/>
        <v/>
      </c>
      <c r="DA104" s="3">
        <f>IF(RTD("tos.rtd",,DA$83,"."&amp;$B$82&amp;$AS$82&amp;"C"&amp;$A104)="N/A",0,RTD("tos.rtd",,DA$83,"."&amp;$B$82&amp;$AS$82&amp;"C"&amp;$A104))</f>
        <v>58.7</v>
      </c>
      <c r="DB104" s="3">
        <f>IF(RTD("tos.rtd",,DB$83,"."&amp;$B$82&amp;$AS$82&amp;"P"&amp;$A104)="N/A",0,RTD("tos.rtd",,DB$83,"."&amp;$B$82&amp;$AS$82&amp;"P"&amp;$A104))</f>
        <v>0.03</v>
      </c>
      <c r="DC104" s="3">
        <f>IF(RTD("tos.rtd",,DC$83,"."&amp;$B$82&amp;$AS$82&amp;"C"&amp;$A104)="N/A",0,RTD("tos.rtd",,DC$83,"."&amp;$B$82&amp;$AS$82&amp;"C"&amp;$A104))</f>
        <v>60.7</v>
      </c>
      <c r="DD104" s="3">
        <f>IF(RTD("tos.rtd",,DD$83,"."&amp;$B$82&amp;$AS$82&amp;"P"&amp;$A104)="N/A",0,RTD("tos.rtd",,DD$83,"."&amp;$B$82&amp;$AS$82&amp;"P"&amp;$A104))</f>
        <v>0.05</v>
      </c>
      <c r="DE104" s="3">
        <f>IF(RTD("tos.rtd",,DE$83,"."&amp;$B$82&amp;$AS$82&amp;"C"&amp;$A104)="N/A",0,RTD("tos.rtd",,DE$83,"."&amp;$B$82&amp;$AS$82&amp;"C"&amp;$A104))</f>
        <v>58.7</v>
      </c>
      <c r="DF104" s="3">
        <f>IF(RTD("tos.rtd",,DF$83,"."&amp;$B$82&amp;$AS$82&amp;"P"&amp;$A104)="N/A",0,RTD("tos.rtd",,DF$83,"."&amp;$B$82&amp;$AS$82&amp;"P"&amp;$A104))</f>
        <v>0</v>
      </c>
      <c r="DG104" s="86">
        <f t="shared" si="298"/>
        <v>-55.25</v>
      </c>
      <c r="DH104" s="3">
        <f t="shared" si="267"/>
        <v>0</v>
      </c>
      <c r="DI104" s="3">
        <f t="shared" si="268"/>
        <v>0</v>
      </c>
      <c r="DJ104" s="3">
        <f t="shared" si="269"/>
        <v>0</v>
      </c>
      <c r="DK104" s="3">
        <f t="shared" si="270"/>
        <v>0</v>
      </c>
      <c r="DL104" s="3">
        <f t="shared" si="271"/>
        <v>0</v>
      </c>
      <c r="DM104" s="3">
        <f t="shared" si="272"/>
        <v>0</v>
      </c>
      <c r="DN104" s="64" t="str">
        <f t="shared" si="273"/>
        <v>UNKNOWN</v>
      </c>
      <c r="DO104" s="64" t="str">
        <f t="shared" si="274"/>
        <v>UNKNOWN</v>
      </c>
      <c r="DP104" s="3">
        <f t="shared" si="275"/>
        <v>0</v>
      </c>
      <c r="DQ104" s="3">
        <f t="shared" si="276"/>
        <v>0</v>
      </c>
      <c r="DR104" s="3">
        <f t="shared" ca="1" si="277"/>
        <v>0</v>
      </c>
      <c r="DS104" s="3">
        <f t="shared" si="278"/>
        <v>0</v>
      </c>
      <c r="DT104" s="3">
        <f t="shared" si="299"/>
        <v>0</v>
      </c>
      <c r="DU104" s="3">
        <f t="shared" si="300"/>
        <v>0</v>
      </c>
      <c r="DV104" s="3">
        <f t="shared" si="301"/>
        <v>-178</v>
      </c>
      <c r="DW104" s="3">
        <f t="shared" si="302"/>
        <v>205</v>
      </c>
      <c r="DX104" s="3">
        <f t="shared" ca="1" si="311"/>
        <v>1.7388262136305933E-4</v>
      </c>
      <c r="DY104" s="3">
        <f t="shared" ca="1" si="279"/>
        <v>-3.3529108168647557E-3</v>
      </c>
      <c r="DZ104" s="3">
        <f t="shared" ca="1" si="303"/>
        <v>3.2383515970387578E-3</v>
      </c>
      <c r="EA104" s="3">
        <f t="shared" ca="1" si="304"/>
        <v>-3.0629891624520534E-3</v>
      </c>
      <c r="EB104" s="3">
        <f t="shared" ca="1" si="280"/>
        <v>3.4038501509451617E-3</v>
      </c>
      <c r="EC104" s="3">
        <f t="shared" ca="1" si="281"/>
        <v>-3.2356439596793875E-3</v>
      </c>
      <c r="ED104" s="63">
        <f t="shared" si="305"/>
        <v>27</v>
      </c>
      <c r="EE104" s="59">
        <f t="shared" si="282"/>
        <v>0.25</v>
      </c>
      <c r="EF104" s="59">
        <f t="shared" si="283"/>
        <v>0.50460000000000005</v>
      </c>
      <c r="EG104" s="59">
        <f t="shared" si="284"/>
        <v>0.1653</v>
      </c>
      <c r="EH104" s="59">
        <f t="shared" si="285"/>
        <v>0.1787</v>
      </c>
      <c r="EI104" s="59">
        <f t="shared" si="286"/>
        <v>0.15340000000000001</v>
      </c>
      <c r="EJ104" s="59">
        <f t="shared" si="287"/>
        <v>0.16550000000000001</v>
      </c>
      <c r="EK104" s="63">
        <f t="shared" ca="1" si="306"/>
        <v>-25303615.765382826</v>
      </c>
      <c r="EL104" s="3" t="str">
        <f>RTD("tos.rtd",,EL$83,"."&amp;$B$82&amp;$AS$82&amp;"C"&amp;$A104)</f>
        <v>--</v>
      </c>
      <c r="EM104" s="3" t="str">
        <f>RTD("tos.rtd",,EM$83,"."&amp;$B$82&amp;$AS$82&amp;"P"&amp;$A104)</f>
        <v>50.46%</v>
      </c>
      <c r="EN104" s="3" t="str">
        <f>RTD("tos.rtd",,EN$83,"."&amp;$C$82&amp;$AU$82&amp;"C"&amp;$A104)</f>
        <v>16.53%</v>
      </c>
      <c r="EO104" s="3" t="str">
        <f>RTD("tos.rtd",,EO$83,"."&amp;$C$82&amp;$AU$82&amp;"P"&amp;$A104)</f>
        <v>17.87%</v>
      </c>
      <c r="EP104" s="3" t="str">
        <f>RTD("tos.rtd",,EP$83,"."&amp;$D$82&amp;$AW$82&amp;"C"&amp;$A104)</f>
        <v>15.34%</v>
      </c>
      <c r="EQ104" s="3" t="str">
        <f>RTD("tos.rtd",,EQ$83,"."&amp;$D$82&amp;$AW$82&amp;"P"&amp;$A104)</f>
        <v>16.55%</v>
      </c>
      <c r="ES104" s="63" t="str">
        <f t="shared" si="288"/>
        <v>5880,27.00</v>
      </c>
      <c r="ET104" s="63" t="str">
        <f t="shared" ca="1" si="289"/>
        <v>5880,-24050.89</v>
      </c>
      <c r="EU104" s="67">
        <v>594.32000000000005</v>
      </c>
      <c r="EV104" s="67" t="s">
        <v>852</v>
      </c>
      <c r="EW104" s="67">
        <v>521.02</v>
      </c>
      <c r="EX104" s="67" t="s">
        <v>853</v>
      </c>
      <c r="EY104" s="67">
        <v>5953.5</v>
      </c>
      <c r="EZ104" s="67" t="s">
        <v>854</v>
      </c>
      <c r="FA104" s="67">
        <v>21387.75</v>
      </c>
      <c r="FB104" s="67" t="s">
        <v>855</v>
      </c>
      <c r="FC104" s="67" t="s">
        <v>856</v>
      </c>
      <c r="FD104" s="67" t="s">
        <v>857</v>
      </c>
      <c r="FE104" s="68" t="s">
        <v>858</v>
      </c>
      <c r="FF104" s="68" t="s">
        <v>859</v>
      </c>
    </row>
    <row r="105" spans="1:162" s="63" customFormat="1" ht="12" customHeight="1" thickBot="1" x14ac:dyDescent="0.25">
      <c r="A105" s="2">
        <f t="shared" si="307"/>
        <v>5870</v>
      </c>
      <c r="B105" s="3">
        <f t="shared" si="251"/>
        <v>1009</v>
      </c>
      <c r="C105" s="3">
        <f t="shared" si="252"/>
        <v>1002</v>
      </c>
      <c r="D105" s="3">
        <f t="shared" si="253"/>
        <v>3495</v>
      </c>
      <c r="E105" s="3">
        <f t="shared" si="314"/>
        <v>5506</v>
      </c>
      <c r="F105" s="4">
        <f t="shared" si="318"/>
        <v>5889.7801272060988</v>
      </c>
      <c r="G105" s="4">
        <f t="shared" si="315"/>
        <v>585.89725790825992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306</v>
      </c>
      <c r="AN105" s="20">
        <v>4164</v>
      </c>
      <c r="AO105" s="20">
        <v>5870</v>
      </c>
      <c r="AP105" s="20">
        <v>1052</v>
      </c>
      <c r="AQ105" s="20">
        <v>-17501</v>
      </c>
      <c r="AR105" s="20"/>
      <c r="AS105" s="54">
        <f>IF(RTD("tos.rtd",,AS$83,"."&amp;$B$82&amp;$AS$82&amp;"C"&amp;$A105)="N/A",0,RTD("tos.rtd",,AS$83,"."&amp;$B$82&amp;$AS$82&amp;"C"&amp;$A105))</f>
        <v>125</v>
      </c>
      <c r="AT105" s="3">
        <f>-IF(RTD("tos.rtd",,AT$83,"."&amp;$B$82&amp;$AS$82&amp;"P"&amp;$A105)="N/A",0,RTD("tos.rtd",,AT$83,"."&amp;$B$82&amp;$AS$82&amp;"P"&amp;$A105))</f>
        <v>-884</v>
      </c>
      <c r="AU105" s="54">
        <f>IF(RTD("tos.rtd",,AU$83,"."&amp;$C$82&amp;$AU$82&amp;"C"&amp;$A105)="N/A",0,RTD("tos.rtd",,AU$83,"."&amp;$C$82&amp;$AU$82&amp;"C"&amp;$A105))</f>
        <v>428</v>
      </c>
      <c r="AV105" s="3">
        <f>-IF(RTD("tos.rtd",,AV$83,"."&amp;$C$82&amp;$AU$82&amp;"P"&amp;$A105)="N/A",0,RTD("tos.rtd",,AV$83,"."&amp;$C$82&amp;$AU$82&amp;"P"&amp;$A105))</f>
        <v>-574</v>
      </c>
      <c r="AW105" s="54">
        <f>IF(RTD("tos.rtd",,AW$83,"."&amp;$D$82&amp;$AW$82&amp;"C"&amp;$A105)="N/A",0,RTD("tos.rtd",,AW$83,"."&amp;$D$82&amp;$AW$82&amp;"C"&amp;$A105))</f>
        <v>1233</v>
      </c>
      <c r="AX105" s="3">
        <f>-IF(RTD("tos.rtd",,AX$83,"."&amp;$D$82&amp;$AW$82&amp;"P"&amp;$A105)="N/A",0,RTD("tos.rtd",,AX$83,"."&amp;$D$82&amp;$AW$82&amp;"P"&amp;$A105))</f>
        <v>-2262</v>
      </c>
      <c r="AY105" s="79">
        <f t="shared" si="316"/>
        <v>-1934</v>
      </c>
      <c r="AZ105" s="8">
        <f t="shared" si="255"/>
        <v>5870</v>
      </c>
      <c r="BA105" s="54">
        <f>IF(RTD("tos.rtd",,BA$83,"."&amp;$B$82&amp;$AS$82&amp;"C"&amp;$A105)="N/A",0,RTD("tos.rtd",,BA$83,"."&amp;$B$82&amp;$AS$82&amp;"C"&amp;$A105))</f>
        <v>1052</v>
      </c>
      <c r="BB105" s="3">
        <f>-IF(RTD("tos.rtd",,BB$83,"."&amp;$B$82&amp;$AS$82&amp;"P"&amp;$A105)="N/A",0,RTD("tos.rtd",,BB$83,"."&amp;$B$82&amp;$AS$82&amp;"P"&amp;$A105))</f>
        <v>-17501</v>
      </c>
      <c r="BC105" s="54">
        <f>IF(RTD("tos.rtd",,BC$83,"."&amp;$C$82&amp;$AU$82&amp;"C"&amp;$A105)="N/A",0,RTD("tos.rtd",,BC$83,"."&amp;$C$82&amp;$AU$82&amp;"C"&amp;$A105))</f>
        <v>25</v>
      </c>
      <c r="BD105" s="3">
        <f>-IF(RTD("tos.rtd",,BD$83,"."&amp;$C$82&amp;$AU$82&amp;"P"&amp;$A105)="N/A",0,RTD("tos.rtd",,BD$83,"."&amp;$C$82&amp;$AU$82&amp;"P"&amp;$A105))</f>
        <v>-590</v>
      </c>
      <c r="BE105" s="54">
        <f>IF(RTD("tos.rtd",,BE$83,"."&amp;$D$82&amp;$AW$82&amp;"C"&amp;$A105)="N/A",0,RTD("tos.rtd",,BE$83,"."&amp;$D$82&amp;$AW$82&amp;"C"&amp;$A105))</f>
        <v>0</v>
      </c>
      <c r="BF105" s="3">
        <f>-IF(RTD("tos.rtd",,BF$83,"."&amp;$D$82&amp;$AW$82&amp;"P"&amp;$A105)="N/A",0,RTD("tos.rtd",,BF$83,"."&amp;$D$82&amp;$AW$82&amp;"P"&amp;$A105))</f>
        <v>-110</v>
      </c>
      <c r="BG105" s="3">
        <f ca="1">+Hoja2!Y106</f>
        <v>-4015</v>
      </c>
      <c r="BH105" s="55">
        <f t="shared" ca="1" si="292"/>
        <v>-21139</v>
      </c>
      <c r="BI105" s="32" t="str">
        <f t="shared" ca="1" si="312"/>
        <v/>
      </c>
      <c r="BJ105" s="3">
        <f ca="1">IF($BP$1=1,DX105,IF(RTD("tos.rtd",,BJ$83,"."&amp;$B$82&amp;$AS$82&amp;"C"&amp;$A105)="N/A",0,RTD("tos.rtd",,BJ$83,"."&amp;$B$82&amp;$AS$82&amp;"C"&amp;$A105)))</f>
        <v>2.5324768902644185E-5</v>
      </c>
      <c r="BK105" s="3">
        <f ca="1">IF($BP$1=1,DY105,-IF(RTD("tos.rtd",,BK$83,"."&amp;$B$82&amp;$AS$82&amp;"P"&amp;$A105)="N/A",0,RTD("tos.rtd",,BK$83,"."&amp;$B$82&amp;$AS$82&amp;"P"&amp;$A105)))</f>
        <v>-2.7209256615192473E-3</v>
      </c>
      <c r="BL105" s="3">
        <f ca="1">IF($BP$1=1,DZ105,IF(RTD("tos.rtd",,BL$83,"."&amp;$C$82&amp;$AU$82&amp;"C"&amp;$A105)="N/A",0,RTD("tos.rtd",,BL$83,"."&amp;$C$82&amp;$AU$82&amp;"C"&amp;$A105)))</f>
        <v>3.0467280986066223E-3</v>
      </c>
      <c r="BM105" s="3">
        <f ca="1">IF($BP$1=1,EA105,-IF(RTD("tos.rtd",,BM$83,"."&amp;$C$82&amp;$AU$82&amp;"P"&amp;$A105)="N/A",0,RTD("tos.rtd",,BM$83,"."&amp;$C$82&amp;$AU$82&amp;"P"&amp;$A105)))</f>
        <v>-2.8882909208639306E-3</v>
      </c>
      <c r="BN105" s="3">
        <f ca="1">IF($BP$1=1,EB105,IF(RTD("tos.rtd",,BN$83,"."&amp;$D$82&amp;$AW$82&amp;"C"&amp;$A105)="N/A",0,RTD("tos.rtd",,BN$83,"."&amp;$D$82&amp;$AW$82&amp;"C"&amp;$A105)))</f>
        <v>3.1655681092837337E-3</v>
      </c>
      <c r="BO105" s="3">
        <f ca="1">IF($BP$1=1,EC105,-IF(RTD("tos.rtd",,BO$83,"."&amp;$D$82&amp;$AW$82&amp;"P"&amp;$A105)="N/A",0,RTD("tos.rtd",,BO$83,"."&amp;$D$82&amp;$AW$82&amp;"P"&amp;$A105)))</f>
        <v>-3.036111144902565E-3</v>
      </c>
      <c r="BQ105" s="3">
        <f t="shared" ca="1" si="256"/>
        <v>-648612.66720978252</v>
      </c>
      <c r="BR105" s="3" t="str">
        <f t="shared" ca="1" si="293"/>
        <v/>
      </c>
      <c r="BS105" s="3">
        <f t="shared" ca="1" si="257"/>
        <v>-95552.855252903479</v>
      </c>
      <c r="BT105" s="3" t="str">
        <f t="shared" ca="1" si="293"/>
        <v/>
      </c>
      <c r="BU105" s="3">
        <f t="shared" ca="1" si="258"/>
        <v>-800470.70819793921</v>
      </c>
      <c r="BV105" s="3" t="str">
        <f t="shared" ca="1" si="293"/>
        <v/>
      </c>
      <c r="BX105" s="3">
        <f t="shared" ca="1" si="259"/>
        <v>-12850645.0712617</v>
      </c>
      <c r="BY105" s="3" t="str">
        <f t="shared" ca="1" si="309"/>
        <v/>
      </c>
      <c r="BZ105" s="3">
        <f t="shared" ca="1" si="260"/>
        <v>-439564.29632704932</v>
      </c>
      <c r="CA105" s="3" t="str">
        <f t="shared" ca="1" si="309"/>
        <v/>
      </c>
      <c r="CB105" s="3">
        <f t="shared" ca="1" si="261"/>
        <v>-90177.623102238183</v>
      </c>
      <c r="CC105" s="3" t="str">
        <f t="shared" ca="1" si="309"/>
        <v/>
      </c>
      <c r="CD105" s="3">
        <f>IF(RTD("tos.rtd",,CD$83,"."&amp;$B$82&amp;$AS$82&amp;"C"&amp;$A105)="N/A",0,RTD("tos.rtd",,CD$83,"."&amp;$B$82&amp;$AS$82&amp;"C"&amp;$A105))</f>
        <v>1</v>
      </c>
      <c r="CE105" s="3">
        <f>-IF(RTD("tos.rtd",,CE$83,"."&amp;$B$82&amp;$AS$82&amp;"P"&amp;$A105)="N/A",0,RTD("tos.rtd",,CE$83,"."&amp;$B$82&amp;$AS$82&amp;"P"&amp;$A105))</f>
        <v>0</v>
      </c>
      <c r="CF105" s="3">
        <f>IF(RTD("tos.rtd",,CF$83,"."&amp;$C$82&amp;$AU$82&amp;"C"&amp;$A105)="N/A",0,RTD("tos.rtd",,CF$83,"."&amp;$C$82&amp;$AU$82&amp;"C"&amp;$A105))</f>
        <v>0.8</v>
      </c>
      <c r="CG105" s="3">
        <f>-IF(RTD("tos.rtd",,CG$83,"."&amp;$C$82&amp;$AU$82&amp;"P"&amp;$A105)="N/A",0,RTD("tos.rtd",,CG$83,"."&amp;$C$82&amp;$AU$82&amp;"P"&amp;$A105))</f>
        <v>0.22</v>
      </c>
      <c r="CH105" s="3">
        <f>IF(RTD("tos.rtd",,CH$83,"."&amp;$D$82&amp;$AW$82&amp;"C"&amp;$A105)="N/A",0,RTD("tos.rtd",,CH$83,"."&amp;$D$82&amp;$AW$82&amp;"C"&amp;$A105))</f>
        <v>0.65</v>
      </c>
      <c r="CI105" s="3">
        <f>-IF(RTD("tos.rtd",,CI$83,"."&amp;$D$82&amp;$AW$82&amp;"P"&amp;$A105)="N/A",0,RTD("tos.rtd",,CI$83,"."&amp;$D$82&amp;$AW$82&amp;"P"&amp;$A105))</f>
        <v>0.36</v>
      </c>
      <c r="CK105" s="3">
        <f t="shared" si="294"/>
        <v>74190625</v>
      </c>
      <c r="CL105" s="3"/>
      <c r="CM105" s="3">
        <f t="shared" si="295"/>
        <v>128272623</v>
      </c>
      <c r="CN105" s="3"/>
      <c r="CO105" s="3">
        <f t="shared" si="296"/>
        <v>-7638666.75</v>
      </c>
      <c r="CP105" s="3">
        <f t="shared" si="262"/>
        <v>194824581.25</v>
      </c>
      <c r="CQ105" s="3">
        <f t="shared" si="263"/>
        <v>-16449</v>
      </c>
      <c r="CR105" s="3"/>
      <c r="CS105" s="3">
        <f t="shared" si="264"/>
        <v>-565</v>
      </c>
      <c r="CT105" s="3"/>
      <c r="CU105" s="3">
        <f t="shared" si="265"/>
        <v>-110</v>
      </c>
      <c r="CV105" s="3"/>
      <c r="CW105" s="3">
        <f t="shared" ca="1" si="317"/>
        <v>-1544636.2306606253</v>
      </c>
      <c r="CY105" s="3">
        <f t="shared" ca="1" si="266"/>
        <v>-13380386.990690988</v>
      </c>
      <c r="CZ105" s="70" t="str">
        <f t="shared" ca="1" si="310"/>
        <v/>
      </c>
      <c r="DA105" s="3">
        <f>IF(RTD("tos.rtd",,DA$83,"."&amp;$B$82&amp;$AS$82&amp;"C"&amp;$A105)="N/A",0,RTD("tos.rtd",,DA$83,"."&amp;$B$82&amp;$AS$82&amp;"C"&amp;$A105))</f>
        <v>65.12</v>
      </c>
      <c r="DB105" s="3">
        <f>IF(RTD("tos.rtd",,DB$83,"."&amp;$B$82&amp;$AS$82&amp;"P"&amp;$A105)="N/A",0,RTD("tos.rtd",,DB$83,"."&amp;$B$82&amp;$AS$82&amp;"P"&amp;$A105))</f>
        <v>0.03</v>
      </c>
      <c r="DC105" s="3">
        <f>IF(RTD("tos.rtd",,DC$83,"."&amp;$B$82&amp;$AS$82&amp;"C"&amp;$A105)="N/A",0,RTD("tos.rtd",,DC$83,"."&amp;$B$82&amp;$AS$82&amp;"C"&amp;$A105))</f>
        <v>70.7</v>
      </c>
      <c r="DD105" s="3">
        <f>IF(RTD("tos.rtd",,DD$83,"."&amp;$B$82&amp;$AS$82&amp;"P"&amp;$A105)="N/A",0,RTD("tos.rtd",,DD$83,"."&amp;$B$82&amp;$AS$82&amp;"P"&amp;$A105))</f>
        <v>0.05</v>
      </c>
      <c r="DE105" s="3">
        <f>IF(RTD("tos.rtd",,DE$83,"."&amp;$B$82&amp;$AS$82&amp;"C"&amp;$A105)="N/A",0,RTD("tos.rtd",,DE$83,"."&amp;$B$82&amp;$AS$82&amp;"C"&amp;$A105))</f>
        <v>68.7</v>
      </c>
      <c r="DF105" s="3">
        <f>IF(RTD("tos.rtd",,DF$83,"."&amp;$B$82&amp;$AS$82&amp;"P"&amp;$A105)="N/A",0,RTD("tos.rtd",,DF$83,"."&amp;$B$82&amp;$AS$82&amp;"P"&amp;$A105))</f>
        <v>0</v>
      </c>
      <c r="DG105" s="86">
        <f t="shared" si="298"/>
        <v>-65.25</v>
      </c>
      <c r="DH105" s="3">
        <f t="shared" si="267"/>
        <v>0</v>
      </c>
      <c r="DI105" s="3">
        <f t="shared" si="268"/>
        <v>0</v>
      </c>
      <c r="DJ105" s="3">
        <f t="shared" si="269"/>
        <v>0</v>
      </c>
      <c r="DK105" s="3">
        <f t="shared" si="270"/>
        <v>0</v>
      </c>
      <c r="DL105" s="3">
        <f t="shared" si="271"/>
        <v>0</v>
      </c>
      <c r="DM105" s="3">
        <f t="shared" si="272"/>
        <v>0</v>
      </c>
      <c r="DN105" s="64" t="str">
        <f t="shared" si="273"/>
        <v>UNKNOWN</v>
      </c>
      <c r="DO105" s="64" t="str">
        <f t="shared" si="274"/>
        <v>UNKNOWN</v>
      </c>
      <c r="DP105" s="3">
        <f t="shared" si="275"/>
        <v>0</v>
      </c>
      <c r="DQ105" s="3">
        <f t="shared" si="276"/>
        <v>0</v>
      </c>
      <c r="DR105" s="3">
        <f t="shared" ca="1" si="277"/>
        <v>0</v>
      </c>
      <c r="DS105" s="3">
        <f t="shared" si="278"/>
        <v>0</v>
      </c>
      <c r="DT105" s="3">
        <f t="shared" si="299"/>
        <v>0</v>
      </c>
      <c r="DU105" s="3">
        <f t="shared" si="300"/>
        <v>0</v>
      </c>
      <c r="DV105" s="3">
        <f t="shared" si="301"/>
        <v>306</v>
      </c>
      <c r="DW105" s="3">
        <f t="shared" si="302"/>
        <v>4164</v>
      </c>
      <c r="DX105" s="3">
        <f t="shared" ca="1" si="311"/>
        <v>2.5324768902644185E-5</v>
      </c>
      <c r="DY105" s="3">
        <f t="shared" ca="1" si="279"/>
        <v>-2.7209256615192473E-3</v>
      </c>
      <c r="DZ105" s="3">
        <f t="shared" ca="1" si="303"/>
        <v>3.0467280986066223E-3</v>
      </c>
      <c r="EA105" s="3">
        <f t="shared" ca="1" si="304"/>
        <v>-2.8882909208639306E-3</v>
      </c>
      <c r="EB105" s="3">
        <f t="shared" ca="1" si="280"/>
        <v>3.1655681092837337E-3</v>
      </c>
      <c r="EC105" s="3">
        <f t="shared" ca="1" si="281"/>
        <v>-3.036111144902565E-3</v>
      </c>
      <c r="ED105" s="63">
        <f t="shared" si="305"/>
        <v>4470</v>
      </c>
      <c r="EE105" s="59">
        <f t="shared" si="282"/>
        <v>0.25</v>
      </c>
      <c r="EF105" s="59">
        <f t="shared" si="283"/>
        <v>0.57979999999999998</v>
      </c>
      <c r="EG105" s="59">
        <f t="shared" si="284"/>
        <v>0.16589999999999999</v>
      </c>
      <c r="EH105" s="59">
        <f t="shared" si="285"/>
        <v>0.18099999999999999</v>
      </c>
      <c r="EI105" s="59">
        <f t="shared" si="286"/>
        <v>0.1547</v>
      </c>
      <c r="EJ105" s="59">
        <f t="shared" si="287"/>
        <v>0.16689999999999999</v>
      </c>
      <c r="EK105" s="63">
        <f t="shared" ca="1" si="306"/>
        <v>-398848793.87522036</v>
      </c>
      <c r="EL105" s="3" t="str">
        <f>RTD("tos.rtd",,EL$83,"."&amp;$B$82&amp;$AS$82&amp;"C"&amp;$A105)</f>
        <v>--</v>
      </c>
      <c r="EM105" s="3" t="str">
        <f>RTD("tos.rtd",,EM$83,"."&amp;$B$82&amp;$AS$82&amp;"P"&amp;$A105)</f>
        <v>57.98%</v>
      </c>
      <c r="EN105" s="3" t="str">
        <f>RTD("tos.rtd",,EN$83,"."&amp;$C$82&amp;$AU$82&amp;"C"&amp;$A105)</f>
        <v>16.59%</v>
      </c>
      <c r="EO105" s="3" t="str">
        <f>RTD("tos.rtd",,EO$83,"."&amp;$C$82&amp;$AU$82&amp;"P"&amp;$A105)</f>
        <v>18.10%</v>
      </c>
      <c r="EP105" s="3" t="str">
        <f>RTD("tos.rtd",,EP$83,"."&amp;$D$82&amp;$AW$82&amp;"C"&amp;$A105)</f>
        <v>15.47%</v>
      </c>
      <c r="EQ105" s="3" t="str">
        <f>RTD("tos.rtd",,EQ$83,"."&amp;$D$82&amp;$AW$82&amp;"P"&amp;$A105)</f>
        <v>16.69%</v>
      </c>
      <c r="ES105" s="63" t="str">
        <f t="shared" si="288"/>
        <v>5870,4470.00</v>
      </c>
      <c r="ET105" s="63" t="str">
        <f t="shared" ca="1" si="289"/>
        <v>5870,-13380.39</v>
      </c>
      <c r="EU105" s="67">
        <v>594.20000000000005</v>
      </c>
      <c r="EV105" s="67" t="s">
        <v>860</v>
      </c>
      <c r="EW105" s="67">
        <v>520.99</v>
      </c>
      <c r="EX105" s="67" t="s">
        <v>861</v>
      </c>
      <c r="EY105" s="67">
        <v>5952.75</v>
      </c>
      <c r="EZ105" s="67" t="s">
        <v>862</v>
      </c>
      <c r="FA105" s="67">
        <v>21383.75</v>
      </c>
      <c r="FB105" s="67" t="s">
        <v>863</v>
      </c>
      <c r="FC105" s="67" t="s">
        <v>864</v>
      </c>
      <c r="FD105" s="67" t="s">
        <v>865</v>
      </c>
      <c r="FE105" s="68" t="s">
        <v>866</v>
      </c>
      <c r="FF105" s="68" t="s">
        <v>867</v>
      </c>
    </row>
    <row r="106" spans="1:162" s="63" customFormat="1" ht="12" customHeight="1" thickBot="1" x14ac:dyDescent="0.25">
      <c r="A106" s="2">
        <f t="shared" si="307"/>
        <v>5860</v>
      </c>
      <c r="B106" s="3">
        <f t="shared" si="251"/>
        <v>2200</v>
      </c>
      <c r="C106" s="3">
        <f t="shared" si="252"/>
        <v>866</v>
      </c>
      <c r="D106" s="3">
        <f t="shared" si="253"/>
        <v>2110</v>
      </c>
      <c r="E106" s="3">
        <f t="shared" si="314"/>
        <v>5176</v>
      </c>
      <c r="F106" s="4">
        <f t="shared" si="318"/>
        <v>5879.7464302261906</v>
      </c>
      <c r="G106" s="4">
        <f t="shared" si="315"/>
        <v>584.89913651488985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234</v>
      </c>
      <c r="AN106" s="20">
        <v>-450</v>
      </c>
      <c r="AO106" s="20">
        <v>5860</v>
      </c>
      <c r="AP106" s="20">
        <v>1359</v>
      </c>
      <c r="AQ106" s="20">
        <v>-12160</v>
      </c>
      <c r="AR106" s="20"/>
      <c r="AS106" s="54">
        <f>IF(RTD("tos.rtd",,AS$83,"."&amp;$B$82&amp;$AS$82&amp;"C"&amp;$A106)="N/A",0,RTD("tos.rtd",,AS$83,"."&amp;$B$82&amp;$AS$82&amp;"C"&amp;$A106))</f>
        <v>66</v>
      </c>
      <c r="AT106" s="3">
        <f>-IF(RTD("tos.rtd",,AT$83,"."&amp;$B$82&amp;$AS$82&amp;"P"&amp;$A106)="N/A",0,RTD("tos.rtd",,AT$83,"."&amp;$B$82&amp;$AS$82&amp;"P"&amp;$A106))</f>
        <v>-2134</v>
      </c>
      <c r="AU106" s="54">
        <f>IF(RTD("tos.rtd",,AU$83,"."&amp;$C$82&amp;$AU$82&amp;"C"&amp;$A106)="N/A",0,RTD("tos.rtd",,AU$83,"."&amp;$C$82&amp;$AU$82&amp;"C"&amp;$A106))</f>
        <v>388</v>
      </c>
      <c r="AV106" s="3">
        <f>-IF(RTD("tos.rtd",,AV$83,"."&amp;$C$82&amp;$AU$82&amp;"P"&amp;$A106)="N/A",0,RTD("tos.rtd",,AV$83,"."&amp;$C$82&amp;$AU$82&amp;"P"&amp;$A106))</f>
        <v>-478</v>
      </c>
      <c r="AW106" s="54">
        <f>IF(RTD("tos.rtd",,AW$83,"."&amp;$D$82&amp;$AW$82&amp;"C"&amp;$A106)="N/A",0,RTD("tos.rtd",,AW$83,"."&amp;$D$82&amp;$AW$82&amp;"C"&amp;$A106))</f>
        <v>999</v>
      </c>
      <c r="AX106" s="3">
        <f>-IF(RTD("tos.rtd",,AX$83,"."&amp;$D$82&amp;$AW$82&amp;"P"&amp;$A106)="N/A",0,RTD("tos.rtd",,AX$83,"."&amp;$D$82&amp;$AW$82&amp;"P"&amp;$A106))</f>
        <v>-1111</v>
      </c>
      <c r="AY106" s="79">
        <f t="shared" si="316"/>
        <v>-2270</v>
      </c>
      <c r="AZ106" s="8">
        <f t="shared" si="255"/>
        <v>5860</v>
      </c>
      <c r="BA106" s="54">
        <f>IF(RTD("tos.rtd",,BA$83,"."&amp;$B$82&amp;$AS$82&amp;"C"&amp;$A106)="N/A",0,RTD("tos.rtd",,BA$83,"."&amp;$B$82&amp;$AS$82&amp;"C"&amp;$A106))</f>
        <v>1359</v>
      </c>
      <c r="BB106" s="3">
        <f>-IF(RTD("tos.rtd",,BB$83,"."&amp;$B$82&amp;$AS$82&amp;"P"&amp;$A106)="N/A",0,RTD("tos.rtd",,BB$83,"."&amp;$B$82&amp;$AS$82&amp;"P"&amp;$A106))</f>
        <v>-12160</v>
      </c>
      <c r="BC106" s="54">
        <f>IF(RTD("tos.rtd",,BC$83,"."&amp;$C$82&amp;$AU$82&amp;"C"&amp;$A106)="N/A",0,RTD("tos.rtd",,BC$83,"."&amp;$C$82&amp;$AU$82&amp;"C"&amp;$A106))</f>
        <v>123</v>
      </c>
      <c r="BD106" s="3">
        <f>-IF(RTD("tos.rtd",,BD$83,"."&amp;$C$82&amp;$AU$82&amp;"P"&amp;$A106)="N/A",0,RTD("tos.rtd",,BD$83,"."&amp;$C$82&amp;$AU$82&amp;"P"&amp;$A106))</f>
        <v>-480</v>
      </c>
      <c r="BE106" s="54">
        <f>IF(RTD("tos.rtd",,BE$83,"."&amp;$D$82&amp;$AW$82&amp;"C"&amp;$A106)="N/A",0,RTD("tos.rtd",,BE$83,"."&amp;$D$82&amp;$AW$82&amp;"C"&amp;$A106))</f>
        <v>5</v>
      </c>
      <c r="BF106" s="3">
        <f>-IF(RTD("tos.rtd",,BF$83,"."&amp;$D$82&amp;$AW$82&amp;"P"&amp;$A106)="N/A",0,RTD("tos.rtd",,BF$83,"."&amp;$D$82&amp;$AW$82&amp;"P"&amp;$A106))</f>
        <v>-14</v>
      </c>
      <c r="BG106" s="3">
        <f ca="1">+Hoja2!Y107</f>
        <v>-2243</v>
      </c>
      <c r="BH106" s="55">
        <f t="shared" ca="1" si="292"/>
        <v>-13410</v>
      </c>
      <c r="BI106" s="32" t="str">
        <f t="shared" ca="1" si="312"/>
        <v/>
      </c>
      <c r="BJ106" s="3">
        <f ca="1">IF($BP$1=1,DX106,IF(RTD("tos.rtd",,BJ$83,"."&amp;$B$82&amp;$AS$82&amp;"C"&amp;$A106)="N/A",0,RTD("tos.rtd",,BJ$83,"."&amp;$B$82&amp;$AS$82&amp;"C"&amp;$A106)))</f>
        <v>2.664506560990916E-6</v>
      </c>
      <c r="BK106" s="3">
        <f ca="1">IF($BP$1=1,DY106,-IF(RTD("tos.rtd",,BK$83,"."&amp;$B$82&amp;$AS$82&amp;"P"&amp;$A106)="N/A",0,RTD("tos.rtd",,BK$83,"."&amp;$B$82&amp;$AS$82&amp;"P"&amp;$A106)))</f>
        <v>-2.2745213632171949E-3</v>
      </c>
      <c r="BL106" s="3">
        <f ca="1">IF($BP$1=1,DZ106,IF(RTD("tos.rtd",,BL$83,"."&amp;$C$82&amp;$AU$82&amp;"C"&amp;$A106)="N/A",0,RTD("tos.rtd",,BL$83,"."&amp;$C$82&amp;$AU$82&amp;"C"&amp;$A106)))</f>
        <v>2.8370747963801712E-3</v>
      </c>
      <c r="BM106" s="3">
        <f ca="1">IF($BP$1=1,EA106,-IF(RTD("tos.rtd",,BM$83,"."&amp;$C$82&amp;$AU$82&amp;"P"&amp;$A106)="N/A",0,RTD("tos.rtd",,BM$83,"."&amp;$C$82&amp;$AU$82&amp;"P"&amp;$A106)))</f>
        <v>-2.707093842420977E-3</v>
      </c>
      <c r="BN106" s="3">
        <f ca="1">IF($BP$1=1,EB106,IF(RTD("tos.rtd",,BN$83,"."&amp;$D$82&amp;$AW$82&amp;"C"&amp;$A106)="N/A",0,RTD("tos.rtd",,BN$83,"."&amp;$D$82&amp;$AW$82&amp;"C"&amp;$A106)))</f>
        <v>2.9188586630582766E-3</v>
      </c>
      <c r="BO106" s="3">
        <f ca="1">IF($BP$1=1,EC106,-IF(RTD("tos.rtd",,BO$83,"."&amp;$D$82&amp;$AW$82&amp;"P"&amp;$A106)="N/A",0,RTD("tos.rtd",,BO$83,"."&amp;$D$82&amp;$AW$82&amp;"P"&amp;$A106)))</f>
        <v>-2.8262700422554327E-3</v>
      </c>
      <c r="BQ106" s="3">
        <f t="shared" ca="1" si="256"/>
        <v>-1310560.6775381467</v>
      </c>
      <c r="BR106" s="3" t="str">
        <f t="shared" ca="1" si="293"/>
        <v/>
      </c>
      <c r="BS106" s="3">
        <f t="shared" ca="1" si="257"/>
        <v>-52168.538812645769</v>
      </c>
      <c r="BT106" s="3" t="str">
        <f t="shared" ca="1" si="293"/>
        <v/>
      </c>
      <c r="BU106" s="3">
        <f t="shared" ca="1" si="258"/>
        <v>-60495.913563010516</v>
      </c>
      <c r="BV106" s="3" t="str">
        <f t="shared" ca="1" si="293"/>
        <v/>
      </c>
      <c r="BX106" s="3">
        <f t="shared" ca="1" si="259"/>
        <v>-7467154.9875237849</v>
      </c>
      <c r="BY106" s="3" t="str">
        <f t="shared" ca="1" si="309"/>
        <v/>
      </c>
      <c r="BZ106" s="3">
        <f t="shared" ca="1" si="260"/>
        <v>-256634.68486750731</v>
      </c>
      <c r="CA106" s="3" t="str">
        <f t="shared" ca="1" si="309"/>
        <v/>
      </c>
      <c r="CB106" s="3">
        <f t="shared" ca="1" si="261"/>
        <v>-6743.2245804738695</v>
      </c>
      <c r="CC106" s="3" t="str">
        <f t="shared" ca="1" si="309"/>
        <v/>
      </c>
      <c r="CD106" s="3">
        <f>IF(RTD("tos.rtd",,CD$83,"."&amp;$B$82&amp;$AS$82&amp;"C"&amp;$A106)="N/A",0,RTD("tos.rtd",,CD$83,"."&amp;$B$82&amp;$AS$82&amp;"C"&amp;$A106))</f>
        <v>1</v>
      </c>
      <c r="CE106" s="3">
        <f>-IF(RTD("tos.rtd",,CE$83,"."&amp;$B$82&amp;$AS$82&amp;"P"&amp;$A106)="N/A",0,RTD("tos.rtd",,CE$83,"."&amp;$B$82&amp;$AS$82&amp;"P"&amp;$A106))</f>
        <v>0</v>
      </c>
      <c r="CF106" s="3">
        <f>IF(RTD("tos.rtd",,CF$83,"."&amp;$C$82&amp;$AU$82&amp;"C"&amp;$A106)="N/A",0,RTD("tos.rtd",,CF$83,"."&amp;$C$82&amp;$AU$82&amp;"C"&amp;$A106))</f>
        <v>0.82</v>
      </c>
      <c r="CG106" s="3">
        <f>-IF(RTD("tos.rtd",,CG$83,"."&amp;$C$82&amp;$AU$82&amp;"P"&amp;$A106)="N/A",0,RTD("tos.rtd",,CG$83,"."&amp;$C$82&amp;$AU$82&amp;"P"&amp;$A106))</f>
        <v>0.2</v>
      </c>
      <c r="CH106" s="3">
        <f>IF(RTD("tos.rtd",,CH$83,"."&amp;$D$82&amp;$AW$82&amp;"C"&amp;$A106)="N/A",0,RTD("tos.rtd",,CH$83,"."&amp;$D$82&amp;$AW$82&amp;"C"&amp;$A106))</f>
        <v>0.66</v>
      </c>
      <c r="CI106" s="3">
        <f>-IF(RTD("tos.rtd",,CI$83,"."&amp;$D$82&amp;$AW$82&amp;"P"&amp;$A106)="N/A",0,RTD("tos.rtd",,CI$83,"."&amp;$D$82&amp;$AW$82&amp;"P"&amp;$A106))</f>
        <v>0.35</v>
      </c>
      <c r="CK106" s="3">
        <f t="shared" si="294"/>
        <v>39172650</v>
      </c>
      <c r="CL106" s="3"/>
      <c r="CM106" s="3">
        <f t="shared" si="295"/>
        <v>132094923.99999997</v>
      </c>
      <c r="CN106" s="3"/>
      <c r="CO106" s="3">
        <f t="shared" si="296"/>
        <v>160542577.25</v>
      </c>
      <c r="CP106" s="3">
        <f t="shared" si="262"/>
        <v>331810151.25</v>
      </c>
      <c r="CQ106" s="3">
        <f t="shared" si="263"/>
        <v>-10801</v>
      </c>
      <c r="CR106" s="3"/>
      <c r="CS106" s="3">
        <f t="shared" si="264"/>
        <v>-357</v>
      </c>
      <c r="CT106" s="3"/>
      <c r="CU106" s="3">
        <f t="shared" si="265"/>
        <v>-9</v>
      </c>
      <c r="CV106" s="3"/>
      <c r="CW106" s="3">
        <f t="shared" ca="1" si="317"/>
        <v>-1423225.129913803</v>
      </c>
      <c r="CY106" s="3">
        <f t="shared" ca="1" si="266"/>
        <v>-7730532.8969717659</v>
      </c>
      <c r="CZ106" s="70" t="str">
        <f t="shared" ca="1" si="310"/>
        <v/>
      </c>
      <c r="DA106" s="3">
        <f>IF(RTD("tos.rtd",,DA$83,"."&amp;$B$82&amp;$AS$82&amp;"C"&amp;$A106)="N/A",0,RTD("tos.rtd",,DA$83,"."&amp;$B$82&amp;$AS$82&amp;"C"&amp;$A106))</f>
        <v>75.92</v>
      </c>
      <c r="DB106" s="3">
        <f>IF(RTD("tos.rtd",,DB$83,"."&amp;$B$82&amp;$AS$82&amp;"P"&amp;$A106)="N/A",0,RTD("tos.rtd",,DB$83,"."&amp;$B$82&amp;$AS$82&amp;"P"&amp;$A106))</f>
        <v>0.03</v>
      </c>
      <c r="DC106" s="3">
        <f>IF(RTD("tos.rtd",,DC$83,"."&amp;$B$82&amp;$AS$82&amp;"C"&amp;$A106)="N/A",0,RTD("tos.rtd",,DC$83,"."&amp;$B$82&amp;$AS$82&amp;"C"&amp;$A106))</f>
        <v>80.7</v>
      </c>
      <c r="DD106" s="3">
        <f>IF(RTD("tos.rtd",,DD$83,"."&amp;$B$82&amp;$AS$82&amp;"P"&amp;$A106)="N/A",0,RTD("tos.rtd",,DD$83,"."&amp;$B$82&amp;$AS$82&amp;"P"&amp;$A106))</f>
        <v>0.05</v>
      </c>
      <c r="DE106" s="3">
        <f>IF(RTD("tos.rtd",,DE$83,"."&amp;$B$82&amp;$AS$82&amp;"C"&amp;$A106)="N/A",0,RTD("tos.rtd",,DE$83,"."&amp;$B$82&amp;$AS$82&amp;"C"&amp;$A106))</f>
        <v>78.7</v>
      </c>
      <c r="DF106" s="3">
        <f>IF(RTD("tos.rtd",,DF$83,"."&amp;$B$82&amp;$AS$82&amp;"P"&amp;$A106)="N/A",0,RTD("tos.rtd",,DF$83,"."&amp;$B$82&amp;$AS$82&amp;"P"&amp;$A106))</f>
        <v>0</v>
      </c>
      <c r="DG106" s="86">
        <f t="shared" si="298"/>
        <v>-75.25</v>
      </c>
      <c r="DH106" s="3">
        <f t="shared" si="267"/>
        <v>0</v>
      </c>
      <c r="DI106" s="3">
        <f t="shared" si="268"/>
        <v>0</v>
      </c>
      <c r="DJ106" s="3">
        <f t="shared" si="269"/>
        <v>0</v>
      </c>
      <c r="DK106" s="3">
        <f t="shared" si="270"/>
        <v>0</v>
      </c>
      <c r="DL106" s="3">
        <f t="shared" si="271"/>
        <v>0</v>
      </c>
      <c r="DM106" s="3">
        <f t="shared" si="272"/>
        <v>0</v>
      </c>
      <c r="DN106" s="64" t="str">
        <f t="shared" si="273"/>
        <v>UNKNOWN</v>
      </c>
      <c r="DO106" s="64" t="str">
        <f t="shared" si="274"/>
        <v>UNKNOWN</v>
      </c>
      <c r="DP106" s="3">
        <f t="shared" si="275"/>
        <v>0</v>
      </c>
      <c r="DQ106" s="3">
        <f t="shared" si="276"/>
        <v>0</v>
      </c>
      <c r="DR106" s="3">
        <f t="shared" ca="1" si="277"/>
        <v>0</v>
      </c>
      <c r="DS106" s="3">
        <f t="shared" si="278"/>
        <v>0</v>
      </c>
      <c r="DT106" s="3">
        <f>BA106-VLOOKUP(AZ106,$AO$85:$AQ$130,2,FALSE)</f>
        <v>0</v>
      </c>
      <c r="DU106" s="3">
        <f t="shared" si="300"/>
        <v>0</v>
      </c>
      <c r="DV106" s="3">
        <f t="shared" si="301"/>
        <v>234</v>
      </c>
      <c r="DW106" s="3">
        <f t="shared" si="302"/>
        <v>-450</v>
      </c>
      <c r="DX106" s="3">
        <f t="shared" ca="1" si="311"/>
        <v>2.664506560990916E-6</v>
      </c>
      <c r="DY106" s="3">
        <f t="shared" ca="1" si="279"/>
        <v>-2.2745213632171949E-3</v>
      </c>
      <c r="DZ106" s="3">
        <f t="shared" ca="1" si="303"/>
        <v>2.8370747963801712E-3</v>
      </c>
      <c r="EA106" s="3">
        <f t="shared" ca="1" si="304"/>
        <v>-2.707093842420977E-3</v>
      </c>
      <c r="EB106" s="3">
        <f t="shared" ca="1" si="280"/>
        <v>2.9188586630582766E-3</v>
      </c>
      <c r="EC106" s="3">
        <f t="shared" ca="1" si="281"/>
        <v>-2.8262700422554327E-3</v>
      </c>
      <c r="ED106" s="63">
        <f t="shared" si="305"/>
        <v>-216</v>
      </c>
      <c r="EE106" s="59">
        <f t="shared" si="282"/>
        <v>0.25</v>
      </c>
      <c r="EF106" s="59">
        <f t="shared" si="283"/>
        <v>0.65449999999999997</v>
      </c>
      <c r="EG106" s="59">
        <f t="shared" si="284"/>
        <v>0.16719999999999999</v>
      </c>
      <c r="EH106" s="59">
        <f t="shared" si="285"/>
        <v>0.18360000000000001</v>
      </c>
      <c r="EI106" s="59">
        <f t="shared" si="286"/>
        <v>0.15609999999999999</v>
      </c>
      <c r="EJ106" s="59">
        <f t="shared" si="287"/>
        <v>0.1686</v>
      </c>
      <c r="EK106" s="63">
        <f t="shared" ca="1" si="306"/>
        <v>36078214.884363145</v>
      </c>
      <c r="EL106" s="3" t="str">
        <f>RTD("tos.rtd",,EL$83,"."&amp;$B$82&amp;$AS$82&amp;"C"&amp;$A106)</f>
        <v>--</v>
      </c>
      <c r="EM106" s="3" t="str">
        <f>RTD("tos.rtd",,EM$83,"."&amp;$B$82&amp;$AS$82&amp;"P"&amp;$A106)</f>
        <v>65.45%</v>
      </c>
      <c r="EN106" s="3" t="str">
        <f>RTD("tos.rtd",,EN$83,"."&amp;$C$82&amp;$AU$82&amp;"C"&amp;$A106)</f>
        <v>16.72%</v>
      </c>
      <c r="EO106" s="3" t="str">
        <f>RTD("tos.rtd",,EO$83,"."&amp;$C$82&amp;$AU$82&amp;"P"&amp;$A106)</f>
        <v>18.36%</v>
      </c>
      <c r="EP106" s="3" t="str">
        <f>RTD("tos.rtd",,EP$83,"."&amp;$D$82&amp;$AW$82&amp;"C"&amp;$A106)</f>
        <v>15.61%</v>
      </c>
      <c r="EQ106" s="3" t="str">
        <f>RTD("tos.rtd",,EQ$83,"."&amp;$D$82&amp;$AW$82&amp;"P"&amp;$A106)</f>
        <v>16.86%</v>
      </c>
      <c r="ES106" s="63" t="str">
        <f t="shared" si="288"/>
        <v>5860,-216.00</v>
      </c>
      <c r="ET106" s="63" t="str">
        <f t="shared" ca="1" si="289"/>
        <v>5860,-7730.53</v>
      </c>
      <c r="EU106" s="67">
        <v>594.20000000000005</v>
      </c>
      <c r="EV106" s="67" t="s">
        <v>868</v>
      </c>
      <c r="EW106" s="67">
        <v>520.99</v>
      </c>
      <c r="EX106" s="67" t="s">
        <v>869</v>
      </c>
      <c r="EY106" s="67">
        <v>5953</v>
      </c>
      <c r="EZ106" s="67" t="s">
        <v>870</v>
      </c>
      <c r="FA106" s="67">
        <v>21384.75</v>
      </c>
      <c r="FB106" s="67" t="s">
        <v>871</v>
      </c>
      <c r="FC106" s="67" t="s">
        <v>872</v>
      </c>
      <c r="FD106" s="67" t="s">
        <v>873</v>
      </c>
      <c r="FE106" s="68" t="s">
        <v>874</v>
      </c>
      <c r="FF106" s="68" t="s">
        <v>875</v>
      </c>
    </row>
    <row r="107" spans="1:162" s="63" customFormat="1" ht="12" customHeight="1" thickBot="1" x14ac:dyDescent="0.25">
      <c r="A107" s="2">
        <f t="shared" si="307"/>
        <v>5850</v>
      </c>
      <c r="B107" s="3">
        <f t="shared" si="251"/>
        <v>3906</v>
      </c>
      <c r="C107" s="3">
        <f t="shared" si="252"/>
        <v>7669</v>
      </c>
      <c r="D107" s="3">
        <f t="shared" si="253"/>
        <v>50601</v>
      </c>
      <c r="E107" s="3">
        <f t="shared" si="314"/>
        <v>62176</v>
      </c>
      <c r="F107" s="4">
        <f t="shared" si="318"/>
        <v>5869.7127332462824</v>
      </c>
      <c r="G107" s="4">
        <f t="shared" si="315"/>
        <v>583.90101512151966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12</v>
      </c>
      <c r="AN107" s="20">
        <v>-2210</v>
      </c>
      <c r="AO107" s="20">
        <v>5850</v>
      </c>
      <c r="AP107" s="20">
        <v>143</v>
      </c>
      <c r="AQ107" s="20">
        <v>-11674</v>
      </c>
      <c r="AR107" s="20"/>
      <c r="AS107" s="54">
        <f>IF(RTD("tos.rtd",,AS$83,"."&amp;$B$82&amp;$AS$82&amp;"C"&amp;$A107)="N/A",0,RTD("tos.rtd",,AS$83,"."&amp;$B$82&amp;$AS$82&amp;"C"&amp;$A107))</f>
        <v>328</v>
      </c>
      <c r="AT107" s="3">
        <f>-IF(RTD("tos.rtd",,AT$83,"."&amp;$B$82&amp;$AS$82&amp;"P"&amp;$A107)="N/A",0,RTD("tos.rtd",,AT$83,"."&amp;$B$82&amp;$AS$82&amp;"P"&amp;$A107))</f>
        <v>-3578</v>
      </c>
      <c r="AU107" s="54">
        <f>IF(RTD("tos.rtd",,AU$83,"."&amp;$C$82&amp;$AU$82&amp;"C"&amp;$A107)="N/A",0,RTD("tos.rtd",,AU$83,"."&amp;$C$82&amp;$AU$82&amp;"C"&amp;$A107))</f>
        <v>2225</v>
      </c>
      <c r="AV107" s="3">
        <f>-IF(RTD("tos.rtd",,AV$83,"."&amp;$C$82&amp;$AU$82&amp;"P"&amp;$A107)="N/A",0,RTD("tos.rtd",,AV$83,"."&amp;$C$82&amp;$AU$82&amp;"P"&amp;$A107))</f>
        <v>-5444</v>
      </c>
      <c r="AW107" s="54">
        <f>IF(RTD("tos.rtd",,AW$83,"."&amp;$D$82&amp;$AW$82&amp;"C"&amp;$A107)="N/A",0,RTD("tos.rtd",,AW$83,"."&amp;$D$82&amp;$AW$82&amp;"C"&amp;$A107))</f>
        <v>27010</v>
      </c>
      <c r="AX107" s="3">
        <f>-IF(RTD("tos.rtd",,AX$83,"."&amp;$D$82&amp;$AW$82&amp;"P"&amp;$A107)="N/A",0,RTD("tos.rtd",,AX$83,"."&amp;$D$82&amp;$AW$82&amp;"P"&amp;$A107))</f>
        <v>-23591</v>
      </c>
      <c r="AY107" s="79">
        <f t="shared" si="316"/>
        <v>-3050</v>
      </c>
      <c r="AZ107" s="8">
        <f t="shared" si="255"/>
        <v>5850</v>
      </c>
      <c r="BA107" s="54">
        <f>IF(RTD("tos.rtd",,BA$83,"."&amp;$B$82&amp;$AS$82&amp;"C"&amp;$A107)="N/A",0,RTD("tos.rtd",,BA$83,"."&amp;$B$82&amp;$AS$82&amp;"C"&amp;$A107))</f>
        <v>143</v>
      </c>
      <c r="BB107" s="3">
        <f>-IF(RTD("tos.rtd",,BB$83,"."&amp;$B$82&amp;$AS$82&amp;"P"&amp;$A107)="N/A",0,RTD("tos.rtd",,BB$83,"."&amp;$B$82&amp;$AS$82&amp;"P"&amp;$A107))</f>
        <v>-11674</v>
      </c>
      <c r="BC107" s="54">
        <f>IF(RTD("tos.rtd",,BC$83,"."&amp;$C$82&amp;$AU$82&amp;"C"&amp;$A107)="N/A",0,RTD("tos.rtd",,BC$83,"."&amp;$C$82&amp;$AU$82&amp;"C"&amp;$A107))</f>
        <v>270</v>
      </c>
      <c r="BD107" s="3">
        <f>-IF(RTD("tos.rtd",,BD$83,"."&amp;$C$82&amp;$AU$82&amp;"P"&amp;$A107)="N/A",0,RTD("tos.rtd",,BD$83,"."&amp;$C$82&amp;$AU$82&amp;"P"&amp;$A107))</f>
        <v>-2649</v>
      </c>
      <c r="BE107" s="54">
        <f>IF(RTD("tos.rtd",,BE$83,"."&amp;$D$82&amp;$AW$82&amp;"C"&amp;$A107)="N/A",0,RTD("tos.rtd",,BE$83,"."&amp;$D$82&amp;$AW$82&amp;"C"&amp;$A107))</f>
        <v>101</v>
      </c>
      <c r="BF107" s="3">
        <f>-IF(RTD("tos.rtd",,BF$83,"."&amp;$D$82&amp;$AW$82&amp;"P"&amp;$A107)="N/A",0,RTD("tos.rtd",,BF$83,"."&amp;$D$82&amp;$AW$82&amp;"P"&amp;$A107))</f>
        <v>-1633</v>
      </c>
      <c r="BG107" s="3">
        <f ca="1">+Hoja2!Y108</f>
        <v>-9043</v>
      </c>
      <c r="BH107" s="55">
        <f t="shared" ca="1" si="292"/>
        <v>-24485</v>
      </c>
      <c r="BI107" s="32" t="str">
        <f t="shared" ca="1" si="312"/>
        <v/>
      </c>
      <c r="BJ107" s="3">
        <f ca="1">IF($BP$1=1,DX107,IF(RTD("tos.rtd",,BJ$83,"."&amp;$B$82&amp;$AS$82&amp;"C"&amp;$A107)="N/A",0,RTD("tos.rtd",,BJ$83,"."&amp;$B$82&amp;$AS$82&amp;"C"&amp;$A107)))</f>
        <v>2.0218491206148975E-7</v>
      </c>
      <c r="BK107" s="3">
        <f ca="1">IF($BP$1=1,DY107,-IF(RTD("tos.rtd",,BK$83,"."&amp;$B$82&amp;$AS$82&amp;"P"&amp;$A107)="N/A",0,RTD("tos.rtd",,BK$83,"."&amp;$B$82&amp;$AS$82&amp;"P"&amp;$A107)))</f>
        <v>-1.9356568342616476E-3</v>
      </c>
      <c r="BL107" s="3">
        <f ca="1">IF($BP$1=1,DZ107,IF(RTD("tos.rtd",,BL$83,"."&amp;$C$82&amp;$AU$82&amp;"C"&amp;$A107)="N/A",0,RTD("tos.rtd",,BL$83,"."&amp;$C$82&amp;$AU$82&amp;"C"&amp;$A107)))</f>
        <v>2.6271528832642176E-3</v>
      </c>
      <c r="BM107" s="3">
        <f ca="1">IF($BP$1=1,EA107,-IF(RTD("tos.rtd",,BM$83,"."&amp;$C$82&amp;$AU$82&amp;"P"&amp;$A107)="N/A",0,RTD("tos.rtd",,BM$83,"."&amp;$C$82&amp;$AU$82&amp;"P"&amp;$A107)))</f>
        <v>-2.5290911904493935E-3</v>
      </c>
      <c r="BN107" s="3">
        <f ca="1">IF($BP$1=1,EB107,IF(RTD("tos.rtd",,BN$83,"."&amp;$D$82&amp;$AW$82&amp;"C"&amp;$A107)="N/A",0,RTD("tos.rtd",,BN$83,"."&amp;$D$82&amp;$AW$82&amp;"C"&amp;$A107)))</f>
        <v>2.6706406632117396E-3</v>
      </c>
      <c r="BO107" s="3">
        <f ca="1">IF($BP$1=1,EC107,-IF(RTD("tos.rtd",,BO$83,"."&amp;$D$82&amp;$AW$82&amp;"P"&amp;$A107)="N/A",0,RTD("tos.rtd",,BO$83,"."&amp;$D$82&amp;$AW$82&amp;"P"&amp;$A107)))</f>
        <v>-2.6153542695442743E-3</v>
      </c>
      <c r="BQ107" s="3">
        <f t="shared" ca="1" si="256"/>
        <v>-1870048.9547915317</v>
      </c>
      <c r="BR107" s="3" t="str">
        <f t="shared" ca="1" si="293"/>
        <v/>
      </c>
      <c r="BS107" s="3">
        <f t="shared" ca="1" si="257"/>
        <v>-2139319.9780002153</v>
      </c>
      <c r="BT107" s="3" t="str">
        <f t="shared" ca="1" si="293"/>
        <v/>
      </c>
      <c r="BU107" s="3">
        <f t="shared" ca="1" si="258"/>
        <v>2817659.1132819653</v>
      </c>
      <c r="BV107" s="3" t="str">
        <f t="shared" ca="1" si="293"/>
        <v>Cruce +</v>
      </c>
      <c r="BX107" s="3">
        <f t="shared" ca="1" si="259"/>
        <v>-6101490.3874028148</v>
      </c>
      <c r="BY107" s="3" t="str">
        <f t="shared" ca="1" si="309"/>
        <v/>
      </c>
      <c r="BZ107" s="3">
        <f t="shared" ca="1" si="260"/>
        <v>-1617454.3185333533</v>
      </c>
      <c r="CA107" s="3" t="str">
        <f t="shared" ca="1" si="309"/>
        <v/>
      </c>
      <c r="CB107" s="3">
        <f t="shared" ca="1" si="261"/>
        <v>-1080368.8451648764</v>
      </c>
      <c r="CC107" s="3" t="str">
        <f t="shared" ca="1" si="309"/>
        <v/>
      </c>
      <c r="CD107" s="3">
        <f>IF(RTD("tos.rtd",,CD$83,"."&amp;$B$82&amp;$AS$82&amp;"C"&amp;$A107)="N/A",0,RTD("tos.rtd",,CD$83,"."&amp;$B$82&amp;$AS$82&amp;"C"&amp;$A107))</f>
        <v>1</v>
      </c>
      <c r="CE107" s="3">
        <f>-IF(RTD("tos.rtd",,CE$83,"."&amp;$B$82&amp;$AS$82&amp;"P"&amp;$A107)="N/A",0,RTD("tos.rtd",,CE$83,"."&amp;$B$82&amp;$AS$82&amp;"P"&amp;$A107))</f>
        <v>0</v>
      </c>
      <c r="CF107" s="3">
        <f>IF(RTD("tos.rtd",,CF$83,"."&amp;$C$82&amp;$AU$82&amp;"C"&amp;$A107)="N/A",0,RTD("tos.rtd",,CF$83,"."&amp;$C$82&amp;$AU$82&amp;"C"&amp;$A107))</f>
        <v>0.85</v>
      </c>
      <c r="CG107" s="3">
        <f>-IF(RTD("tos.rtd",,CG$83,"."&amp;$C$82&amp;$AU$82&amp;"P"&amp;$A107)="N/A",0,RTD("tos.rtd",,CG$83,"."&amp;$C$82&amp;$AU$82&amp;"P"&amp;$A107))</f>
        <v>0.17</v>
      </c>
      <c r="CH107" s="3">
        <f>IF(RTD("tos.rtd",,CH$83,"."&amp;$D$82&amp;$AW$82&amp;"C"&amp;$A107)="N/A",0,RTD("tos.rtd",,CH$83,"."&amp;$D$82&amp;$AW$82&amp;"C"&amp;$A107))</f>
        <v>0.67</v>
      </c>
      <c r="CI107" s="3">
        <f>-IF(RTD("tos.rtd",,CI$83,"."&amp;$D$82&amp;$AW$82&amp;"P"&amp;$A107)="N/A",0,RTD("tos.rtd",,CI$83,"."&amp;$D$82&amp;$AW$82&amp;"P"&amp;$A107))</f>
        <v>0.34</v>
      </c>
      <c r="CK107" s="3">
        <f t="shared" si="294"/>
        <v>194676200</v>
      </c>
      <c r="CL107" s="3"/>
      <c r="CM107" s="3">
        <f t="shared" si="295"/>
        <v>573208639.25</v>
      </c>
      <c r="CN107" s="3"/>
      <c r="CO107" s="3">
        <f t="shared" si="296"/>
        <v>5980215454</v>
      </c>
      <c r="CP107" s="3">
        <f t="shared" si="262"/>
        <v>6748100293.25</v>
      </c>
      <c r="CQ107" s="3">
        <f t="shared" si="263"/>
        <v>-11531</v>
      </c>
      <c r="CR107" s="3"/>
      <c r="CS107" s="3">
        <f t="shared" si="264"/>
        <v>-2379</v>
      </c>
      <c r="CT107" s="3"/>
      <c r="CU107" s="3">
        <f t="shared" si="265"/>
        <v>-1532</v>
      </c>
      <c r="CV107" s="3"/>
      <c r="CW107" s="3">
        <f t="shared" ca="1" si="317"/>
        <v>-1191709.8195097819</v>
      </c>
      <c r="CY107" s="3">
        <f t="shared" ca="1" si="266"/>
        <v>-8799313.5511010438</v>
      </c>
      <c r="CZ107" s="70" t="str">
        <f t="shared" ca="1" si="310"/>
        <v/>
      </c>
      <c r="DA107" s="3">
        <f>IF(RTD("tos.rtd",,DA$83,"."&amp;$B$82&amp;$AS$82&amp;"C"&amp;$A107)="N/A",0,RTD("tos.rtd",,DA$83,"."&amp;$B$82&amp;$AS$82&amp;"C"&amp;$A107))</f>
        <v>80.98</v>
      </c>
      <c r="DB107" s="3">
        <f>IF(RTD("tos.rtd",,DB$83,"."&amp;$B$82&amp;$AS$82&amp;"P"&amp;$A107)="N/A",0,RTD("tos.rtd",,DB$83,"."&amp;$B$82&amp;$AS$82&amp;"P"&amp;$A107))</f>
        <v>0.05</v>
      </c>
      <c r="DC107" s="3">
        <f>IF(RTD("tos.rtd",,DC$83,"."&amp;$B$82&amp;$AS$82&amp;"C"&amp;$A107)="N/A",0,RTD("tos.rtd",,DC$83,"."&amp;$B$82&amp;$AS$82&amp;"C"&amp;$A107))</f>
        <v>90.7</v>
      </c>
      <c r="DD107" s="3">
        <f>IF(RTD("tos.rtd",,DD$83,"."&amp;$B$82&amp;$AS$82&amp;"P"&amp;$A107)="N/A",0,RTD("tos.rtd",,DD$83,"."&amp;$B$82&amp;$AS$82&amp;"P"&amp;$A107))</f>
        <v>0.05</v>
      </c>
      <c r="DE107" s="3">
        <f>IF(RTD("tos.rtd",,DE$83,"."&amp;$B$82&amp;$AS$82&amp;"C"&amp;$A107)="N/A",0,RTD("tos.rtd",,DE$83,"."&amp;$B$82&amp;$AS$82&amp;"C"&amp;$A107))</f>
        <v>88.7</v>
      </c>
      <c r="DF107" s="3">
        <f>IF(RTD("tos.rtd",,DF$83,"."&amp;$B$82&amp;$AS$82&amp;"P"&amp;$A107)="N/A",0,RTD("tos.rtd",,DF$83,"."&amp;$B$82&amp;$AS$82&amp;"P"&amp;$A107))</f>
        <v>0</v>
      </c>
      <c r="DG107" s="86">
        <f t="shared" si="298"/>
        <v>-85.25</v>
      </c>
      <c r="DH107" s="3">
        <f t="shared" si="267"/>
        <v>0</v>
      </c>
      <c r="DI107" s="3">
        <f t="shared" si="268"/>
        <v>0</v>
      </c>
      <c r="DJ107" s="3">
        <f t="shared" si="269"/>
        <v>0</v>
      </c>
      <c r="DK107" s="3">
        <f t="shared" si="270"/>
        <v>0</v>
      </c>
      <c r="DL107" s="3">
        <f t="shared" si="271"/>
        <v>0</v>
      </c>
      <c r="DM107" s="3">
        <f t="shared" si="272"/>
        <v>0</v>
      </c>
      <c r="DN107" s="64" t="str">
        <f t="shared" si="273"/>
        <v>UNKNOWN</v>
      </c>
      <c r="DO107" s="64" t="str">
        <f t="shared" si="274"/>
        <v>UNKNOWN</v>
      </c>
      <c r="DP107" s="3">
        <f t="shared" si="275"/>
        <v>0</v>
      </c>
      <c r="DQ107" s="3">
        <f t="shared" si="276"/>
        <v>0</v>
      </c>
      <c r="DR107" s="3">
        <f t="shared" ca="1" si="277"/>
        <v>0</v>
      </c>
      <c r="DS107" s="3">
        <f t="shared" si="278"/>
        <v>0</v>
      </c>
      <c r="DT107" s="3">
        <f t="shared" si="299"/>
        <v>0</v>
      </c>
      <c r="DU107" s="3">
        <f t="shared" si="300"/>
        <v>0</v>
      </c>
      <c r="DV107" s="3">
        <f t="shared" si="301"/>
        <v>12</v>
      </c>
      <c r="DW107" s="3">
        <f t="shared" si="302"/>
        <v>-2210</v>
      </c>
      <c r="DX107" s="3">
        <f t="shared" ca="1" si="311"/>
        <v>2.0218491206148975E-7</v>
      </c>
      <c r="DY107" s="3">
        <f t="shared" ca="1" si="279"/>
        <v>-1.9356568342616476E-3</v>
      </c>
      <c r="DZ107" s="3">
        <f t="shared" ca="1" si="303"/>
        <v>2.6271528832642176E-3</v>
      </c>
      <c r="EA107" s="3">
        <f t="shared" ca="1" si="304"/>
        <v>-2.5290911904493935E-3</v>
      </c>
      <c r="EB107" s="3">
        <f t="shared" ca="1" si="280"/>
        <v>2.6706406632117396E-3</v>
      </c>
      <c r="EC107" s="3">
        <f t="shared" ca="1" si="281"/>
        <v>-2.6153542695442743E-3</v>
      </c>
      <c r="ED107" s="63">
        <f t="shared" si="305"/>
        <v>-2198</v>
      </c>
      <c r="EE107" s="59">
        <f t="shared" si="282"/>
        <v>0.25</v>
      </c>
      <c r="EF107" s="59">
        <f t="shared" si="283"/>
        <v>0.72689999999999999</v>
      </c>
      <c r="EG107" s="59">
        <f t="shared" si="284"/>
        <v>0.16769999999999999</v>
      </c>
      <c r="EH107" s="59">
        <f t="shared" si="285"/>
        <v>0.1857</v>
      </c>
      <c r="EI107" s="59">
        <f t="shared" si="286"/>
        <v>0.1575</v>
      </c>
      <c r="EJ107" s="59">
        <f t="shared" si="287"/>
        <v>0.1701</v>
      </c>
      <c r="EK107" s="63">
        <f t="shared" ca="1" si="306"/>
        <v>150695026.30723575</v>
      </c>
      <c r="EL107" s="3" t="str">
        <f>RTD("tos.rtd",,EL$83,"."&amp;$B$82&amp;$AS$82&amp;"C"&amp;$A107)</f>
        <v>--</v>
      </c>
      <c r="EM107" s="3" t="str">
        <f>RTD("tos.rtd",,EM$83,"."&amp;$B$82&amp;$AS$82&amp;"P"&amp;$A107)</f>
        <v>72.69%</v>
      </c>
      <c r="EN107" s="3" t="str">
        <f>RTD("tos.rtd",,EN$83,"."&amp;$C$82&amp;$AU$82&amp;"C"&amp;$A107)</f>
        <v>16.77%</v>
      </c>
      <c r="EO107" s="3" t="str">
        <f>RTD("tos.rtd",,EO$83,"."&amp;$C$82&amp;$AU$82&amp;"P"&amp;$A107)</f>
        <v>18.57%</v>
      </c>
      <c r="EP107" s="3" t="str">
        <f>RTD("tos.rtd",,EP$83,"."&amp;$D$82&amp;$AW$82&amp;"C"&amp;$A107)</f>
        <v>15.75%</v>
      </c>
      <c r="EQ107" s="3" t="str">
        <f>RTD("tos.rtd",,EQ$83,"."&amp;$D$82&amp;$AW$82&amp;"P"&amp;$A107)</f>
        <v>17.01%</v>
      </c>
      <c r="ES107" s="63" t="str">
        <f t="shared" si="288"/>
        <v>5850,-2198.00</v>
      </c>
      <c r="ET107" s="63" t="str">
        <f t="shared" ca="1" si="289"/>
        <v>5850,-8799.31</v>
      </c>
      <c r="EU107" s="67">
        <v>594.20000000000005</v>
      </c>
      <c r="EV107" s="67" t="s">
        <v>876</v>
      </c>
      <c r="EW107" s="67">
        <v>521</v>
      </c>
      <c r="EX107" s="67" t="s">
        <v>877</v>
      </c>
      <c r="EY107" s="67">
        <v>5952.25</v>
      </c>
      <c r="EZ107" s="67" t="s">
        <v>878</v>
      </c>
      <c r="FA107" s="67">
        <v>21384.5</v>
      </c>
      <c r="FB107" s="67" t="s">
        <v>879</v>
      </c>
      <c r="FC107" s="67" t="s">
        <v>880</v>
      </c>
      <c r="FD107" s="67" t="s">
        <v>881</v>
      </c>
      <c r="FE107" s="68" t="s">
        <v>882</v>
      </c>
      <c r="FF107" s="68" t="s">
        <v>883</v>
      </c>
    </row>
    <row r="108" spans="1:162" s="63" customFormat="1" ht="12" customHeight="1" thickBot="1" x14ac:dyDescent="0.25">
      <c r="A108" s="2">
        <f t="shared" si="307"/>
        <v>5840</v>
      </c>
      <c r="B108" s="10">
        <f t="shared" si="251"/>
        <v>1231</v>
      </c>
      <c r="C108" s="10">
        <f t="shared" si="252"/>
        <v>0</v>
      </c>
      <c r="D108" s="10">
        <f t="shared" si="253"/>
        <v>2708</v>
      </c>
      <c r="E108" s="10">
        <f t="shared" si="314"/>
        <v>3939</v>
      </c>
      <c r="F108" s="11">
        <f t="shared" si="318"/>
        <v>5859.6790362663742</v>
      </c>
      <c r="G108" s="11">
        <f t="shared" si="315"/>
        <v>582.90289372814959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22</v>
      </c>
      <c r="AN108" s="10">
        <v>259</v>
      </c>
      <c r="AO108" s="10">
        <v>5840</v>
      </c>
      <c r="AP108" s="10">
        <v>28</v>
      </c>
      <c r="AQ108" s="10">
        <v>-11429</v>
      </c>
      <c r="AR108" s="10"/>
      <c r="AS108" s="54">
        <f>IF(RTD("tos.rtd",,AS$83,"."&amp;$B$82&amp;$AS$82&amp;"C"&amp;$A108)="N/A",0,RTD("tos.rtd",,AS$83,"."&amp;$B$82&amp;$AS$82&amp;"C"&amp;$A108))</f>
        <v>263</v>
      </c>
      <c r="AT108" s="3">
        <f>-IF(RTD("tos.rtd",,AT$83,"."&amp;$B$82&amp;$AS$82&amp;"P"&amp;$A108)="N/A",0,RTD("tos.rtd",,AT$83,"."&amp;$B$82&amp;$AS$82&amp;"P"&amp;$A108))</f>
        <v>-968</v>
      </c>
      <c r="AU108" s="54">
        <f>IF(RTD("tos.rtd",,AU$83,"."&amp;$C$82&amp;$AU$82&amp;"C"&amp;$A108)="N/A",0,RTD("tos.rtd",,AU$83,"."&amp;$C$82&amp;$AU$82&amp;"C"&amp;$A108))</f>
        <v>0</v>
      </c>
      <c r="AV108" s="3">
        <f>-IF(RTD("tos.rtd",,AV$83,"."&amp;$C$82&amp;$AU$82&amp;"P"&amp;$A108)="N/A",0,RTD("tos.rtd",,AV$83,"."&amp;$C$82&amp;$AU$82&amp;"P"&amp;$A108))</f>
        <v>0</v>
      </c>
      <c r="AW108" s="54">
        <f>IF(RTD("tos.rtd",,AW$83,"."&amp;$D$82&amp;$AW$82&amp;"C"&amp;$A108)="N/A",0,RTD("tos.rtd",,AW$83,"."&amp;$D$82&amp;$AW$82&amp;"C"&amp;$A108))</f>
        <v>477</v>
      </c>
      <c r="AX108" s="3">
        <f>-IF(RTD("tos.rtd",,AX$83,"."&amp;$D$82&amp;$AW$82&amp;"P"&amp;$A108)="N/A",0,RTD("tos.rtd",,AX$83,"."&amp;$D$82&amp;$AW$82&amp;"P"&amp;$A108))</f>
        <v>-2231</v>
      </c>
      <c r="AY108" s="80">
        <f t="shared" si="316"/>
        <v>-2459</v>
      </c>
      <c r="AZ108" s="8">
        <f t="shared" si="255"/>
        <v>5840</v>
      </c>
      <c r="BA108" s="54">
        <f>IF(RTD("tos.rtd",,BA$83,"."&amp;$B$82&amp;$AS$82&amp;"C"&amp;$A108)="N/A",0,RTD("tos.rtd",,BA$83,"."&amp;$B$82&amp;$AS$82&amp;"C"&amp;$A108))</f>
        <v>28</v>
      </c>
      <c r="BB108" s="3">
        <f>-IF(RTD("tos.rtd",,BB$83,"."&amp;$B$82&amp;$AS$82&amp;"P"&amp;$A108)="N/A",0,RTD("tos.rtd",,BB$83,"."&amp;$B$82&amp;$AS$82&amp;"P"&amp;$A108))</f>
        <v>-11429</v>
      </c>
      <c r="BC108" s="54">
        <f>IF(RTD("tos.rtd",,BC$83,"."&amp;$C$82&amp;$AU$82&amp;"C"&amp;$A108)="N/A",0,RTD("tos.rtd",,BC$83,"."&amp;$C$82&amp;$AU$82&amp;"C"&amp;$A108))</f>
        <v>0</v>
      </c>
      <c r="BD108" s="3">
        <f>-IF(RTD("tos.rtd",,BD$83,"."&amp;$C$82&amp;$AU$82&amp;"P"&amp;$A108)="N/A",0,RTD("tos.rtd",,BD$83,"."&amp;$C$82&amp;$AU$82&amp;"P"&amp;$A108))</f>
        <v>0</v>
      </c>
      <c r="BE108" s="54">
        <f>IF(RTD("tos.rtd",,BE$83,"."&amp;$D$82&amp;$AW$82&amp;"C"&amp;$A108)="N/A",0,RTD("tos.rtd",,BE$83,"."&amp;$D$82&amp;$AW$82&amp;"C"&amp;$A108))</f>
        <v>1</v>
      </c>
      <c r="BF108" s="3">
        <f>-IF(RTD("tos.rtd",,BF$83,"."&amp;$D$82&amp;$AW$82&amp;"P"&amp;$A108)="N/A",0,RTD("tos.rtd",,BF$83,"."&amp;$D$82&amp;$AW$82&amp;"P"&amp;$A108))</f>
        <v>-6</v>
      </c>
      <c r="BG108" s="3">
        <f ca="1">+Hoja2!Y109</f>
        <v>-3938</v>
      </c>
      <c r="BH108" s="53">
        <f t="shared" ca="1" si="292"/>
        <v>-15344</v>
      </c>
      <c r="BI108" s="32" t="str">
        <f t="shared" ca="1" si="312"/>
        <v/>
      </c>
      <c r="BJ108" s="3">
        <f ca="1">IF($BP$1=1,DX108,IF(RTD("tos.rtd",,BJ$83,"."&amp;$B$82&amp;$AS$82&amp;"C"&amp;$A108)="N/A",0,RTD("tos.rtd",,BJ$83,"."&amp;$B$82&amp;$AS$82&amp;"C"&amp;$A108)))</f>
        <v>1.1046265424732931E-8</v>
      </c>
      <c r="BK108" s="3">
        <f ca="1">IF($BP$1=1,DY108,-IF(RTD("tos.rtd",,BK$83,"."&amp;$B$82&amp;$AS$82&amp;"P"&amp;$A108)="N/A",0,RTD("tos.rtd",,BK$83,"."&amp;$B$82&amp;$AS$82&amp;"P"&amp;$A108)))</f>
        <v>-1.6771527133997825E-3</v>
      </c>
      <c r="BL108" s="3">
        <f ca="1">IF($BP$1=1,DZ108,IF(RTD("tos.rtd",,BL$83,"."&amp;$C$82&amp;$AU$82&amp;"C"&amp;$A108)="N/A",0,RTD("tos.rtd",,BL$83,"."&amp;$C$82&amp;$AU$82&amp;"C"&amp;$A108)))</f>
        <v>2.0515233798856039E-3</v>
      </c>
      <c r="BM108" s="3">
        <f ca="1">IF($BP$1=1,EA108,-IF(RTD("tos.rtd",,BM$83,"."&amp;$C$82&amp;$AU$82&amp;"P"&amp;$A108)="N/A",0,RTD("tos.rtd",,BM$83,"."&amp;$C$82&amp;$AU$82&amp;"P"&amp;$A108)))</f>
        <v>-2.0515233798856039E-3</v>
      </c>
      <c r="BN108" s="3">
        <f ca="1">IF($BP$1=1,EB108,IF(RTD("tos.rtd",,BN$83,"."&amp;$D$82&amp;$AW$82&amp;"C"&amp;$A108)="N/A",0,RTD("tos.rtd",,BN$83,"."&amp;$D$82&amp;$AW$82&amp;"C"&amp;$A108)))</f>
        <v>2.4257146779971639E-3</v>
      </c>
      <c r="BO108" s="3">
        <f ca="1">IF($BP$1=1,EC108,-IF(RTD("tos.rtd",,BO$83,"."&amp;$D$82&amp;$AW$82&amp;"P"&amp;$A108)="N/A",0,RTD("tos.rtd",,BO$83,"."&amp;$D$82&amp;$AW$82&amp;"P"&amp;$A108)))</f>
        <v>-2.4047165840565608E-3</v>
      </c>
      <c r="BQ108" s="3">
        <f t="shared" ca="1" si="256"/>
        <v>-438364.74794340279</v>
      </c>
      <c r="BR108" s="3" t="str">
        <f t="shared" ca="1" si="293"/>
        <v/>
      </c>
      <c r="BS108" s="3">
        <f t="shared" ca="1" si="257"/>
        <v>0</v>
      </c>
      <c r="BT108" s="3" t="str">
        <f t="shared" ca="1" si="293"/>
        <v/>
      </c>
      <c r="BU108" s="3">
        <f t="shared" ca="1" si="258"/>
        <v>-1136185.8708378151</v>
      </c>
      <c r="BV108" s="3" t="str">
        <f t="shared" ca="1" si="293"/>
        <v>Cruce -</v>
      </c>
      <c r="BX108" s="3">
        <f t="shared" ca="1" si="259"/>
        <v>-5175702.0545106521</v>
      </c>
      <c r="BY108" s="3" t="str">
        <f t="shared" ca="1" si="309"/>
        <v/>
      </c>
      <c r="BZ108" s="3">
        <f t="shared" ca="1" si="260"/>
        <v>0</v>
      </c>
      <c r="CA108" s="3" t="str">
        <f t="shared" ca="1" si="309"/>
        <v/>
      </c>
      <c r="CB108" s="3">
        <f t="shared" ca="1" si="261"/>
        <v>-3240.8819855556171</v>
      </c>
      <c r="CC108" s="3" t="str">
        <f t="shared" ca="1" si="309"/>
        <v/>
      </c>
      <c r="CD108" s="3">
        <f>IF(RTD("tos.rtd",,CD$83,"."&amp;$B$82&amp;$AS$82&amp;"C"&amp;$A108)="N/A",0,RTD("tos.rtd",,CD$83,"."&amp;$B$82&amp;$AS$82&amp;"C"&amp;$A108))</f>
        <v>1</v>
      </c>
      <c r="CE108" s="3">
        <f>-IF(RTD("tos.rtd",,CE$83,"."&amp;$B$82&amp;$AS$82&amp;"P"&amp;$A108)="N/A",0,RTD("tos.rtd",,CE$83,"."&amp;$B$82&amp;$AS$82&amp;"P"&amp;$A108))</f>
        <v>0</v>
      </c>
      <c r="CF108" s="3">
        <f>IF(RTD("tos.rtd",,CF$83,"."&amp;$C$82&amp;$AU$82&amp;"C"&amp;$A108)="N/A",0,RTD("tos.rtd",,CF$83,"."&amp;$C$82&amp;$AU$82&amp;"C"&amp;$A108))</f>
        <v>0</v>
      </c>
      <c r="CG108" s="3">
        <f>-IF(RTD("tos.rtd",,CG$83,"."&amp;$C$82&amp;$AU$82&amp;"P"&amp;$A108)="N/A",0,RTD("tos.rtd",,CG$83,"."&amp;$C$82&amp;$AU$82&amp;"P"&amp;$A108))</f>
        <v>0</v>
      </c>
      <c r="CH108" s="3">
        <f>IF(RTD("tos.rtd",,CH$83,"."&amp;$D$82&amp;$AW$82&amp;"C"&amp;$A108)="N/A",0,RTD("tos.rtd",,CH$83,"."&amp;$D$82&amp;$AW$82&amp;"C"&amp;$A108))</f>
        <v>0.68</v>
      </c>
      <c r="CI108" s="3">
        <f>-IF(RTD("tos.rtd",,CI$83,"."&amp;$D$82&amp;$AW$82&amp;"P"&amp;$A108)="N/A",0,RTD("tos.rtd",,CI$83,"."&amp;$D$82&amp;$AW$82&amp;"P"&amp;$A108))</f>
        <v>0.33</v>
      </c>
      <c r="CK108" s="3">
        <f t="shared" si="294"/>
        <v>156097075</v>
      </c>
      <c r="CL108" s="3"/>
      <c r="CM108" s="3">
        <f t="shared" si="295"/>
        <v>0</v>
      </c>
      <c r="CN108" s="3"/>
      <c r="CO108" s="3">
        <f t="shared" si="296"/>
        <v>-244455141.75</v>
      </c>
      <c r="CP108" s="3">
        <f t="shared" si="262"/>
        <v>-88358066.75</v>
      </c>
      <c r="CQ108" s="3">
        <f t="shared" si="263"/>
        <v>-11401</v>
      </c>
      <c r="CR108" s="3"/>
      <c r="CS108" s="3">
        <f t="shared" si="264"/>
        <v>0</v>
      </c>
      <c r="CT108" s="3"/>
      <c r="CU108" s="3">
        <f t="shared" si="265"/>
        <v>-5</v>
      </c>
      <c r="CV108" s="3"/>
      <c r="CW108" s="3">
        <f t="shared" ca="1" si="317"/>
        <v>-1574550.6187812178</v>
      </c>
      <c r="CY108" s="3">
        <f t="shared" ca="1" si="266"/>
        <v>-5178942.9364962075</v>
      </c>
      <c r="CZ108" s="70" t="str">
        <f t="shared" ca="1" si="310"/>
        <v/>
      </c>
      <c r="DA108" s="3">
        <f>IF(RTD("tos.rtd",,DA$83,"."&amp;$B$82&amp;$AS$82&amp;"C"&amp;$A108)="N/A",0,RTD("tos.rtd",,DA$83,"."&amp;$B$82&amp;$AS$82&amp;"C"&amp;$A108))</f>
        <v>80.650000000000006</v>
      </c>
      <c r="DB108" s="3">
        <f>IF(RTD("tos.rtd",,DB$83,"."&amp;$B$82&amp;$AS$82&amp;"P"&amp;$A108)="N/A",0,RTD("tos.rtd",,DB$83,"."&amp;$B$82&amp;$AS$82&amp;"P"&amp;$A108))</f>
        <v>0.05</v>
      </c>
      <c r="DC108" s="3">
        <f>IF(RTD("tos.rtd",,DC$83,"."&amp;$B$82&amp;$AS$82&amp;"C"&amp;$A108)="N/A",0,RTD("tos.rtd",,DC$83,"."&amp;$B$82&amp;$AS$82&amp;"C"&amp;$A108))</f>
        <v>100.7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98.7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298"/>
        <v>-95.25</v>
      </c>
      <c r="DH108" s="3">
        <f t="shared" si="267"/>
        <v>0</v>
      </c>
      <c r="DI108" s="3">
        <f t="shared" si="268"/>
        <v>0</v>
      </c>
      <c r="DJ108" s="3">
        <f t="shared" si="269"/>
        <v>0</v>
      </c>
      <c r="DK108" s="3">
        <f t="shared" si="270"/>
        <v>0</v>
      </c>
      <c r="DL108" s="3">
        <f t="shared" si="271"/>
        <v>0</v>
      </c>
      <c r="DM108" s="3">
        <f t="shared" si="272"/>
        <v>0</v>
      </c>
      <c r="DN108" s="64" t="str">
        <f t="shared" si="273"/>
        <v>UNKNOWN</v>
      </c>
      <c r="DO108" s="64" t="str">
        <f t="shared" si="274"/>
        <v>UNKNOWN</v>
      </c>
      <c r="DP108" s="3">
        <f t="shared" si="275"/>
        <v>0</v>
      </c>
      <c r="DQ108" s="3">
        <f t="shared" si="276"/>
        <v>0</v>
      </c>
      <c r="DR108" s="3">
        <f t="shared" ca="1" si="277"/>
        <v>0</v>
      </c>
      <c r="DS108" s="3">
        <f t="shared" si="278"/>
        <v>0</v>
      </c>
      <c r="DT108" s="3">
        <f t="shared" si="299"/>
        <v>0</v>
      </c>
      <c r="DU108" s="3">
        <f t="shared" si="300"/>
        <v>0</v>
      </c>
      <c r="DV108" s="3">
        <f t="shared" si="301"/>
        <v>22</v>
      </c>
      <c r="DW108" s="3">
        <f t="shared" si="302"/>
        <v>259</v>
      </c>
      <c r="DX108" s="3">
        <f t="shared" ca="1" si="311"/>
        <v>1.1046265424732931E-8</v>
      </c>
      <c r="DY108" s="3">
        <f t="shared" ca="1" si="279"/>
        <v>-1.6771527133997825E-3</v>
      </c>
      <c r="DZ108" s="3">
        <f t="shared" ca="1" si="303"/>
        <v>2.0515233798856039E-3</v>
      </c>
      <c r="EA108" s="3">
        <f t="shared" ca="1" si="304"/>
        <v>-2.0515233798856039E-3</v>
      </c>
      <c r="EB108" s="3">
        <f t="shared" ca="1" si="280"/>
        <v>2.4257146779971639E-3</v>
      </c>
      <c r="EC108" s="3">
        <f t="shared" ca="1" si="281"/>
        <v>-2.4047165840565608E-3</v>
      </c>
      <c r="ED108" s="63">
        <f t="shared" si="305"/>
        <v>281</v>
      </c>
      <c r="EE108" s="59">
        <f t="shared" si="282"/>
        <v>0.25</v>
      </c>
      <c r="EF108" s="59">
        <f t="shared" si="283"/>
        <v>0.79900000000000004</v>
      </c>
      <c r="EG108" s="59">
        <f t="shared" si="284"/>
        <v>0.25</v>
      </c>
      <c r="EH108" s="59">
        <f t="shared" si="285"/>
        <v>0.25</v>
      </c>
      <c r="EI108" s="59">
        <f t="shared" si="286"/>
        <v>0.1588</v>
      </c>
      <c r="EJ108" s="59">
        <f t="shared" si="287"/>
        <v>0.17169999999999999</v>
      </c>
      <c r="EK108" s="63">
        <f t="shared" ca="1" si="306"/>
        <v>-15302069.271402039</v>
      </c>
      <c r="EL108" s="3" t="str">
        <f>RTD("tos.rtd",,EL$83,"."&amp;$B$82&amp;$AS$82&amp;"C"&amp;$A108)</f>
        <v>--</v>
      </c>
      <c r="EM108" s="3" t="str">
        <f>RTD("tos.rtd",,EM$83,"."&amp;$B$82&amp;$AS$82&amp;"P"&amp;$A108)</f>
        <v>79.90%</v>
      </c>
      <c r="EN108" s="3" t="str">
        <f>RTD("tos.rtd",,EN$83,"."&amp;$C$82&amp;$AU$82&amp;"C"&amp;$A108)</f>
        <v>N/A</v>
      </c>
      <c r="EO108" s="3" t="str">
        <f>RTD("tos.rtd",,EO$83,"."&amp;$C$82&amp;$AU$82&amp;"P"&amp;$A108)</f>
        <v>N/A</v>
      </c>
      <c r="EP108" s="3" t="str">
        <f>RTD("tos.rtd",,EP$83,"."&amp;$D$82&amp;$AW$82&amp;"C"&amp;$A108)</f>
        <v>15.88%</v>
      </c>
      <c r="EQ108" s="3" t="str">
        <f>RTD("tos.rtd",,EQ$83,"."&amp;$D$82&amp;$AW$82&amp;"P"&amp;$A108)</f>
        <v>17.17%</v>
      </c>
      <c r="ES108" s="63" t="str">
        <f t="shared" si="288"/>
        <v>5840,281.00</v>
      </c>
      <c r="ET108" s="63" t="str">
        <f t="shared" ca="1" si="289"/>
        <v>5840,-5178.94</v>
      </c>
      <c r="EU108" s="67">
        <v>594.1</v>
      </c>
      <c r="EV108" s="67" t="s">
        <v>884</v>
      </c>
      <c r="EW108" s="67">
        <v>520.95000000000005</v>
      </c>
      <c r="EX108" s="67" t="s">
        <v>885</v>
      </c>
      <c r="EY108" s="67">
        <v>5952.5</v>
      </c>
      <c r="EZ108" s="67" t="s">
        <v>886</v>
      </c>
      <c r="FA108" s="67">
        <v>21386.25</v>
      </c>
      <c r="FB108" s="67" t="s">
        <v>887</v>
      </c>
      <c r="FC108" s="67" t="s">
        <v>888</v>
      </c>
      <c r="FD108" s="67" t="s">
        <v>889</v>
      </c>
      <c r="FE108" s="68" t="s">
        <v>890</v>
      </c>
      <c r="FF108" s="68" t="s">
        <v>891</v>
      </c>
    </row>
    <row r="109" spans="1:162" s="63" customFormat="1" ht="12" customHeight="1" thickBot="1" x14ac:dyDescent="0.25">
      <c r="A109" s="2">
        <f t="shared" si="307"/>
        <v>5830</v>
      </c>
      <c r="B109" s="3">
        <f t="shared" si="251"/>
        <v>794</v>
      </c>
      <c r="C109" s="3">
        <f t="shared" si="252"/>
        <v>909</v>
      </c>
      <c r="D109" s="3">
        <f t="shared" si="253"/>
        <v>10405</v>
      </c>
      <c r="E109" s="3">
        <f t="shared" si="314"/>
        <v>12108</v>
      </c>
      <c r="F109" s="14">
        <f t="shared" si="318"/>
        <v>5849.645339286466</v>
      </c>
      <c r="G109" s="14">
        <f t="shared" si="315"/>
        <v>581.90477233477941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46</v>
      </c>
      <c r="AN109" s="20">
        <v>-1329</v>
      </c>
      <c r="AO109" s="20">
        <v>5830</v>
      </c>
      <c r="AP109" s="20">
        <v>164</v>
      </c>
      <c r="AQ109" s="20">
        <v>-8153</v>
      </c>
      <c r="AR109" s="20"/>
      <c r="AS109" s="54">
        <f>IF(RTD("tos.rtd",,AS$83,"."&amp;$B$82&amp;$AS$82&amp;"C"&amp;$A109)="N/A",0,RTD("tos.rtd",,AS$83,"."&amp;$B$82&amp;$AS$82&amp;"C"&amp;$A109))</f>
        <v>87</v>
      </c>
      <c r="AT109" s="3">
        <f>-IF(RTD("tos.rtd",,AT$83,"."&amp;$B$82&amp;$AS$82&amp;"P"&amp;$A109)="N/A",0,RTD("tos.rtd",,AT$83,"."&amp;$B$82&amp;$AS$82&amp;"P"&amp;$A109))</f>
        <v>-707</v>
      </c>
      <c r="AU109" s="54">
        <f>IF(RTD("tos.rtd",,AU$83,"."&amp;$C$82&amp;$AU$82&amp;"C"&amp;$A109)="N/A",0,RTD("tos.rtd",,AU$83,"."&amp;$C$82&amp;$AU$82&amp;"C"&amp;$A109))</f>
        <v>372</v>
      </c>
      <c r="AV109" s="3">
        <f>-IF(RTD("tos.rtd",,AV$83,"."&amp;$C$82&amp;$AU$82&amp;"P"&amp;$A109)="N/A",0,RTD("tos.rtd",,AV$83,"."&amp;$C$82&amp;$AU$82&amp;"P"&amp;$A109))</f>
        <v>-537</v>
      </c>
      <c r="AW109" s="54">
        <f>IF(RTD("tos.rtd",,AW$83,"."&amp;$D$82&amp;$AW$82&amp;"C"&amp;$A109)="N/A",0,RTD("tos.rtd",,AW$83,"."&amp;$D$82&amp;$AW$82&amp;"C"&amp;$A109))</f>
        <v>5213</v>
      </c>
      <c r="AX109" s="3">
        <f>-IF(RTD("tos.rtd",,AX$83,"."&amp;$D$82&amp;$AW$82&amp;"P"&amp;$A109)="N/A",0,RTD("tos.rtd",,AX$83,"."&amp;$D$82&amp;$AW$82&amp;"P"&amp;$A109))</f>
        <v>-5192</v>
      </c>
      <c r="AY109" s="79">
        <f t="shared" si="316"/>
        <v>-764</v>
      </c>
      <c r="AZ109" s="8">
        <f t="shared" si="255"/>
        <v>5830</v>
      </c>
      <c r="BA109" s="54">
        <f>IF(RTD("tos.rtd",,BA$83,"."&amp;$B$82&amp;$AS$82&amp;"C"&amp;$A109)="N/A",0,RTD("tos.rtd",,BA$83,"."&amp;$B$82&amp;$AS$82&amp;"C"&amp;$A109))</f>
        <v>164</v>
      </c>
      <c r="BB109" s="3">
        <f>-IF(RTD("tos.rtd",,BB$83,"."&amp;$B$82&amp;$AS$82&amp;"P"&amp;$A109)="N/A",0,RTD("tos.rtd",,BB$83,"."&amp;$B$82&amp;$AS$82&amp;"P"&amp;$A109))</f>
        <v>-8153</v>
      </c>
      <c r="BC109" s="54">
        <f>IF(RTD("tos.rtd",,BC$83,"."&amp;$C$82&amp;$AU$82&amp;"C"&amp;$A109)="N/A",0,RTD("tos.rtd",,BC$83,"."&amp;$C$82&amp;$AU$82&amp;"C"&amp;$A109))</f>
        <v>14</v>
      </c>
      <c r="BD109" s="3">
        <f>-IF(RTD("tos.rtd",,BD$83,"."&amp;$C$82&amp;$AU$82&amp;"P"&amp;$A109)="N/A",0,RTD("tos.rtd",,BD$83,"."&amp;$C$82&amp;$AU$82&amp;"P"&amp;$A109))</f>
        <v>-412</v>
      </c>
      <c r="BE109" s="54">
        <f>IF(RTD("tos.rtd",,BE$83,"."&amp;$D$82&amp;$AW$82&amp;"C"&amp;$A109)="N/A",0,RTD("tos.rtd",,BE$83,"."&amp;$D$82&amp;$AW$82&amp;"C"&amp;$A109))</f>
        <v>0</v>
      </c>
      <c r="BF109" s="3">
        <f>-IF(RTD("tos.rtd",,BF$83,"."&amp;$D$82&amp;$AW$82&amp;"P"&amp;$A109)="N/A",0,RTD("tos.rtd",,BF$83,"."&amp;$D$82&amp;$AW$82&amp;"P"&amp;$A109))</f>
        <v>-11</v>
      </c>
      <c r="BG109" s="3">
        <f ca="1">+Hoja2!Y110</f>
        <v>-2494</v>
      </c>
      <c r="BH109" s="55">
        <f t="shared" ca="1" si="292"/>
        <v>-10892</v>
      </c>
      <c r="BI109" s="32" t="str">
        <f t="shared" ca="1" si="312"/>
        <v/>
      </c>
      <c r="BJ109" s="3">
        <f ca="1">IF($BP$1=1,DX109,IF(RTD("tos.rtd",,BJ$83,"."&amp;$B$82&amp;$AS$82&amp;"C"&amp;$A109)="N/A",0,RTD("tos.rtd",,BJ$83,"."&amp;$B$82&amp;$AS$82&amp;"C"&amp;$A109)))</f>
        <v>4.3379702162508395E-10</v>
      </c>
      <c r="BK109" s="3">
        <f ca="1">IF($BP$1=1,DY109,-IF(RTD("tos.rtd",,BK$83,"."&amp;$B$82&amp;$AS$82&amp;"P"&amp;$A109)="N/A",0,RTD("tos.rtd",,BK$83,"."&amp;$B$82&amp;$AS$82&amp;"P"&amp;$A109)))</f>
        <v>-1.4757832211243925E-3</v>
      </c>
      <c r="BL109" s="3">
        <f ca="1">IF($BP$1=1,DZ109,IF(RTD("tos.rtd",,BL$83,"."&amp;$C$82&amp;$AU$82&amp;"C"&amp;$A109)="N/A",0,RTD("tos.rtd",,BL$83,"."&amp;$C$82&amp;$AU$82&amp;"C"&amp;$A109)))</f>
        <v>2.1970319762087531E-3</v>
      </c>
      <c r="BM109" s="3">
        <f ca="1">IF($BP$1=1,EA109,-IF(RTD("tos.rtd",,BM$83,"."&amp;$C$82&amp;$AU$82&amp;"P"&amp;$A109)="N/A",0,RTD("tos.rtd",,BM$83,"."&amp;$C$82&amp;$AU$82&amp;"P"&amp;$A109)))</f>
        <v>-2.1769889951556119E-3</v>
      </c>
      <c r="BN109" s="3">
        <f ca="1">IF($BP$1=1,EB109,IF(RTD("tos.rtd",,BN$83,"."&amp;$D$82&amp;$AW$82&amp;"C"&amp;$A109)="N/A",0,RTD("tos.rtd",,BN$83,"."&amp;$D$82&amp;$AW$82&amp;"C"&amp;$A109)))</f>
        <v>2.1874267115172372E-3</v>
      </c>
      <c r="BO109" s="3">
        <f ca="1">IF($BP$1=1,EC109,-IF(RTD("tos.rtd",,BO$83,"."&amp;$D$82&amp;$AW$82&amp;"P"&amp;$A109)="N/A",0,RTD("tos.rtd",,BO$83,"."&amp;$D$82&amp;$AW$82&amp;"P"&amp;$A109)))</f>
        <v>-2.1982733127337084E-3</v>
      </c>
      <c r="BQ109" s="3">
        <f t="shared" ca="1" si="256"/>
        <v>-281728.25108532107</v>
      </c>
      <c r="BR109" s="3" t="str">
        <f t="shared" ca="1" si="293"/>
        <v/>
      </c>
      <c r="BS109" s="3">
        <f t="shared" ca="1" si="257"/>
        <v>-94977.137428763817</v>
      </c>
      <c r="BT109" s="3" t="str">
        <f t="shared" ca="1" si="293"/>
        <v/>
      </c>
      <c r="BU109" s="3">
        <f t="shared" ca="1" si="258"/>
        <v>-2802.6491857683286</v>
      </c>
      <c r="BV109" s="3" t="str">
        <f t="shared" ca="1" si="293"/>
        <v/>
      </c>
      <c r="BX109" s="3">
        <f t="shared" ca="1" si="259"/>
        <v>-3248840.877793957</v>
      </c>
      <c r="BY109" s="3" t="str">
        <f t="shared" ca="1" si="309"/>
        <v/>
      </c>
      <c r="BZ109" s="3">
        <f t="shared" ca="1" si="260"/>
        <v>-233876.75917596332</v>
      </c>
      <c r="CA109" s="3" t="str">
        <f t="shared" ca="1" si="309"/>
        <v/>
      </c>
      <c r="CB109" s="3">
        <f t="shared" ca="1" si="261"/>
        <v>-6529.2426004967847</v>
      </c>
      <c r="CC109" s="3" t="str">
        <f t="shared" ca="1" si="309"/>
        <v/>
      </c>
      <c r="CD109" s="3">
        <f>IF(RTD("tos.rtd",,CD$83,"."&amp;$B$82&amp;$AS$82&amp;"C"&amp;$A109)="N/A",0,RTD("tos.rtd",,CD$83,"."&amp;$B$82&amp;$AS$82&amp;"C"&amp;$A109))</f>
        <v>1</v>
      </c>
      <c r="CE109" s="3">
        <f>-IF(RTD("tos.rtd",,CE$83,"."&amp;$B$82&amp;$AS$82&amp;"P"&amp;$A109)="N/A",0,RTD("tos.rtd",,CE$83,"."&amp;$B$82&amp;$AS$82&amp;"P"&amp;$A109))</f>
        <v>0</v>
      </c>
      <c r="CF109" s="3">
        <f>IF(RTD("tos.rtd",,CF$83,"."&amp;$C$82&amp;$AU$82&amp;"C"&amp;$A109)="N/A",0,RTD("tos.rtd",,CF$83,"."&amp;$C$82&amp;$AU$82&amp;"C"&amp;$A109))</f>
        <v>0.9</v>
      </c>
      <c r="CG109" s="3">
        <f>-IF(RTD("tos.rtd",,CG$83,"."&amp;$C$82&amp;$AU$82&amp;"P"&amp;$A109)="N/A",0,RTD("tos.rtd",,CG$83,"."&amp;$C$82&amp;$AU$82&amp;"P"&amp;$A109))</f>
        <v>0.13</v>
      </c>
      <c r="CH109" s="3">
        <f>IF(RTD("tos.rtd",,CH$83,"."&amp;$D$82&amp;$AW$82&amp;"C"&amp;$A109)="N/A",0,RTD("tos.rtd",,CH$83,"."&amp;$D$82&amp;$AW$82&amp;"C"&amp;$A109))</f>
        <v>0.69</v>
      </c>
      <c r="CI109" s="3">
        <f>-IF(RTD("tos.rtd",,CI$83,"."&amp;$D$82&amp;$AW$82&amp;"P"&amp;$A109)="N/A",0,RTD("tos.rtd",,CI$83,"."&amp;$D$82&amp;$AW$82&amp;"P"&amp;$A109))</f>
        <v>0.32</v>
      </c>
      <c r="CK109" s="3">
        <f t="shared" si="294"/>
        <v>51636675</v>
      </c>
      <c r="CL109" s="3"/>
      <c r="CM109" s="3">
        <f t="shared" si="295"/>
        <v>157278189.75</v>
      </c>
      <c r="CN109" s="3"/>
      <c r="CO109" s="3">
        <f t="shared" si="296"/>
        <v>1148785443.25</v>
      </c>
      <c r="CP109" s="3">
        <f t="shared" si="262"/>
        <v>1357700308</v>
      </c>
      <c r="CQ109" s="3">
        <f t="shared" si="263"/>
        <v>-7989</v>
      </c>
      <c r="CR109" s="3"/>
      <c r="CS109" s="3">
        <f t="shared" si="264"/>
        <v>-398</v>
      </c>
      <c r="CT109" s="3"/>
      <c r="CU109" s="3">
        <f t="shared" si="265"/>
        <v>-11</v>
      </c>
      <c r="CV109" s="3"/>
      <c r="CW109" s="3">
        <f t="shared" ca="1" si="317"/>
        <v>-379508.03769985319</v>
      </c>
      <c r="CY109" s="3">
        <f t="shared" ca="1" si="266"/>
        <v>-3489246.8795704171</v>
      </c>
      <c r="CZ109" s="70" t="str">
        <f t="shared" ca="1" si="310"/>
        <v/>
      </c>
      <c r="DA109" s="3">
        <f>IF(RTD("tos.rtd",,DA$83,"."&amp;$B$82&amp;$AS$82&amp;"C"&amp;$A109)="N/A",0,RTD("tos.rtd",,DA$83,"."&amp;$B$82&amp;$AS$82&amp;"C"&amp;$A109))</f>
        <v>110.1</v>
      </c>
      <c r="DB109" s="3">
        <f>IF(RTD("tos.rtd",,DB$83,"."&amp;$B$82&amp;$AS$82&amp;"P"&amp;$A109)="N/A",0,RTD("tos.rtd",,DB$83,"."&amp;$B$82&amp;$AS$82&amp;"P"&amp;$A109))</f>
        <v>0.05</v>
      </c>
      <c r="DC109" s="3">
        <f>IF(RTD("tos.rtd",,DC$83,"."&amp;$B$82&amp;$AS$82&amp;"C"&amp;$A109)="N/A",0,RTD("tos.rtd",,DC$83,"."&amp;$B$82&amp;$AS$82&amp;"C"&amp;$A109))</f>
        <v>110.7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108.7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298"/>
        <v>-105.25</v>
      </c>
      <c r="DH109" s="3">
        <f t="shared" si="267"/>
        <v>0</v>
      </c>
      <c r="DI109" s="3">
        <f t="shared" si="268"/>
        <v>0</v>
      </c>
      <c r="DJ109" s="3">
        <f t="shared" si="269"/>
        <v>0</v>
      </c>
      <c r="DK109" s="3">
        <f t="shared" si="270"/>
        <v>0</v>
      </c>
      <c r="DL109" s="3">
        <f t="shared" si="271"/>
        <v>0</v>
      </c>
      <c r="DM109" s="3">
        <f t="shared" si="272"/>
        <v>0</v>
      </c>
      <c r="DN109" s="64" t="str">
        <f t="shared" si="273"/>
        <v>UNKNOWN</v>
      </c>
      <c r="DO109" s="64" t="str">
        <f t="shared" si="274"/>
        <v>UNKNOWN</v>
      </c>
      <c r="DP109" s="3">
        <f t="shared" si="275"/>
        <v>0</v>
      </c>
      <c r="DQ109" s="3">
        <f t="shared" si="276"/>
        <v>0</v>
      </c>
      <c r="DR109" s="3">
        <f t="shared" ca="1" si="277"/>
        <v>0</v>
      </c>
      <c r="DS109" s="3">
        <f t="shared" si="278"/>
        <v>0</v>
      </c>
      <c r="DT109" s="3">
        <f t="shared" si="299"/>
        <v>0</v>
      </c>
      <c r="DU109" s="3">
        <f t="shared" si="300"/>
        <v>0</v>
      </c>
      <c r="DV109" s="3">
        <f t="shared" si="301"/>
        <v>46</v>
      </c>
      <c r="DW109" s="3">
        <f t="shared" si="302"/>
        <v>-1329</v>
      </c>
      <c r="DX109" s="3">
        <f t="shared" ca="1" si="311"/>
        <v>4.3379702162508395E-10</v>
      </c>
      <c r="DY109" s="3">
        <f t="shared" ca="1" si="279"/>
        <v>-1.4757832211243925E-3</v>
      </c>
      <c r="DZ109" s="3">
        <f t="shared" ca="1" si="303"/>
        <v>2.1970319762087531E-3</v>
      </c>
      <c r="EA109" s="3">
        <f t="shared" ca="1" si="304"/>
        <v>-2.1769889951556119E-3</v>
      </c>
      <c r="EB109" s="3">
        <f t="shared" ca="1" si="280"/>
        <v>2.1874267115172372E-3</v>
      </c>
      <c r="EC109" s="3">
        <f t="shared" ca="1" si="281"/>
        <v>-2.1982733127337084E-3</v>
      </c>
      <c r="ED109" s="63">
        <f t="shared" si="305"/>
        <v>-1283</v>
      </c>
      <c r="EE109" s="59">
        <f t="shared" si="282"/>
        <v>0.25</v>
      </c>
      <c r="EF109" s="59">
        <f t="shared" si="283"/>
        <v>0.87129999999999996</v>
      </c>
      <c r="EG109" s="59">
        <f t="shared" si="284"/>
        <v>0.1673</v>
      </c>
      <c r="EH109" s="59">
        <f t="shared" si="285"/>
        <v>0.19009999999999999</v>
      </c>
      <c r="EI109" s="59">
        <f t="shared" si="286"/>
        <v>0.16009999999999999</v>
      </c>
      <c r="EJ109" s="59">
        <f t="shared" si="287"/>
        <v>0.17319999999999999</v>
      </c>
      <c r="EK109" s="63">
        <f t="shared" ca="1" si="306"/>
        <v>69091653.618939504</v>
      </c>
      <c r="EL109" s="3" t="str">
        <f>RTD("tos.rtd",,EL$83,"."&amp;$B$82&amp;$AS$82&amp;"C"&amp;$A109)</f>
        <v>--</v>
      </c>
      <c r="EM109" s="3" t="str">
        <f>RTD("tos.rtd",,EM$83,"."&amp;$B$82&amp;$AS$82&amp;"P"&amp;$A109)</f>
        <v>87.13%</v>
      </c>
      <c r="EN109" s="3" t="str">
        <f>RTD("tos.rtd",,EN$83,"."&amp;$C$82&amp;$AU$82&amp;"C"&amp;$A109)</f>
        <v>16.73%</v>
      </c>
      <c r="EO109" s="3" t="str">
        <f>RTD("tos.rtd",,EO$83,"."&amp;$C$82&amp;$AU$82&amp;"P"&amp;$A109)</f>
        <v>19.01%</v>
      </c>
      <c r="EP109" s="3" t="str">
        <f>RTD("tos.rtd",,EP$83,"."&amp;$D$82&amp;$AW$82&amp;"C"&amp;$A109)</f>
        <v>16.01%</v>
      </c>
      <c r="EQ109" s="3" t="str">
        <f>RTD("tos.rtd",,EQ$83,"."&amp;$D$82&amp;$AW$82&amp;"P"&amp;$A109)</f>
        <v>17.32%</v>
      </c>
      <c r="ES109" s="63" t="str">
        <f t="shared" si="288"/>
        <v>5830,-1283.00</v>
      </c>
      <c r="ET109" s="63" t="str">
        <f t="shared" ca="1" si="289"/>
        <v>5830,-3489.25</v>
      </c>
      <c r="EU109" s="67">
        <v>594.20000000000005</v>
      </c>
      <c r="EV109" s="67" t="s">
        <v>892</v>
      </c>
      <c r="EW109" s="67">
        <v>521.08000000000004</v>
      </c>
      <c r="EX109" s="67" t="s">
        <v>893</v>
      </c>
      <c r="EY109" s="67">
        <v>5952.75</v>
      </c>
      <c r="EZ109" s="67" t="s">
        <v>894</v>
      </c>
      <c r="FA109" s="67">
        <v>21388</v>
      </c>
      <c r="FB109" s="67" t="s">
        <v>895</v>
      </c>
      <c r="FC109" s="67" t="s">
        <v>896</v>
      </c>
      <c r="FD109" s="67" t="s">
        <v>897</v>
      </c>
      <c r="FE109" s="68" t="s">
        <v>898</v>
      </c>
      <c r="FF109" s="68" t="s">
        <v>899</v>
      </c>
    </row>
    <row r="110" spans="1:162" s="63" customFormat="1" ht="12" customHeight="1" thickBot="1" x14ac:dyDescent="0.25">
      <c r="A110" s="2">
        <f t="shared" si="307"/>
        <v>5820</v>
      </c>
      <c r="B110" s="3">
        <f t="shared" si="251"/>
        <v>947</v>
      </c>
      <c r="C110" s="3">
        <f t="shared" si="252"/>
        <v>0</v>
      </c>
      <c r="D110" s="3">
        <f t="shared" si="253"/>
        <v>9501</v>
      </c>
      <c r="E110" s="3">
        <f t="shared" si="314"/>
        <v>10448</v>
      </c>
      <c r="F110" s="4">
        <f t="shared" si="318"/>
        <v>5839.6116423065578</v>
      </c>
      <c r="G110" s="4">
        <f t="shared" si="315"/>
        <v>580.90665094140934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9</v>
      </c>
      <c r="AN110" s="20">
        <v>785</v>
      </c>
      <c r="AO110" s="20">
        <v>5820</v>
      </c>
      <c r="AP110" s="20">
        <v>67</v>
      </c>
      <c r="AQ110" s="20">
        <v>-3293</v>
      </c>
      <c r="AR110" s="20"/>
      <c r="AS110" s="54">
        <f>IF(RTD("tos.rtd",,AS$83,"."&amp;$B$82&amp;$AS$82&amp;"C"&amp;$A110)="N/A",0,RTD("tos.rtd",,AS$83,"."&amp;$B$82&amp;$AS$82&amp;"C"&amp;$A110))</f>
        <v>103</v>
      </c>
      <c r="AT110" s="3">
        <f>-IF(RTD("tos.rtd",,AT$83,"."&amp;$B$82&amp;$AS$82&amp;"P"&amp;$A110)="N/A",0,RTD("tos.rtd",,AT$83,"."&amp;$B$82&amp;$AS$82&amp;"P"&amp;$A110))</f>
        <v>-844</v>
      </c>
      <c r="AU110" s="54">
        <f>IF(RTD("tos.rtd",,AU$83,"."&amp;$C$82&amp;$AU$82&amp;"C"&amp;$A110)="N/A",0,RTD("tos.rtd",,AU$83,"."&amp;$C$82&amp;$AU$82&amp;"C"&amp;$A110))</f>
        <v>0</v>
      </c>
      <c r="AV110" s="3">
        <f>-IF(RTD("tos.rtd",,AV$83,"."&amp;$C$82&amp;$AU$82&amp;"P"&amp;$A110)="N/A",0,RTD("tos.rtd",,AV$83,"."&amp;$C$82&amp;$AU$82&amp;"P"&amp;$A110))</f>
        <v>0</v>
      </c>
      <c r="AW110" s="54">
        <f>IF(RTD("tos.rtd",,AW$83,"."&amp;$D$82&amp;$AW$82&amp;"C"&amp;$A110)="N/A",0,RTD("tos.rtd",,AW$83,"."&amp;$D$82&amp;$AW$82&amp;"C"&amp;$A110))</f>
        <v>4807</v>
      </c>
      <c r="AX110" s="3">
        <f>-IF(RTD("tos.rtd",,AX$83,"."&amp;$D$82&amp;$AW$82&amp;"P"&amp;$A110)="N/A",0,RTD("tos.rtd",,AX$83,"."&amp;$D$82&amp;$AW$82&amp;"P"&amp;$A110))</f>
        <v>-4694</v>
      </c>
      <c r="AY110" s="79">
        <f t="shared" si="316"/>
        <v>-628</v>
      </c>
      <c r="AZ110" s="8">
        <f t="shared" si="255"/>
        <v>5820</v>
      </c>
      <c r="BA110" s="54">
        <f>IF(RTD("tos.rtd",,BA$83,"."&amp;$B$82&amp;$AS$82&amp;"C"&amp;$A110)="N/A",0,RTD("tos.rtd",,BA$83,"."&amp;$B$82&amp;$AS$82&amp;"C"&amp;$A110))</f>
        <v>67</v>
      </c>
      <c r="BB110" s="3">
        <f>-IF(RTD("tos.rtd",,BB$83,"."&amp;$B$82&amp;$AS$82&amp;"P"&amp;$A110)="N/A",0,RTD("tos.rtd",,BB$83,"."&amp;$B$82&amp;$AS$82&amp;"P"&amp;$A110))</f>
        <v>-3293</v>
      </c>
      <c r="BC110" s="54">
        <f>IF(RTD("tos.rtd",,BC$83,"."&amp;$C$82&amp;$AU$82&amp;"C"&amp;$A110)="N/A",0,RTD("tos.rtd",,BC$83,"."&amp;$C$82&amp;$AU$82&amp;"C"&amp;$A110))</f>
        <v>0</v>
      </c>
      <c r="BD110" s="3">
        <f>-IF(RTD("tos.rtd",,BD$83,"."&amp;$C$82&amp;$AU$82&amp;"P"&amp;$A110)="N/A",0,RTD("tos.rtd",,BD$83,"."&amp;$C$82&amp;$AU$82&amp;"P"&amp;$A110))</f>
        <v>0</v>
      </c>
      <c r="BE110" s="54">
        <f>IF(RTD("tos.rtd",,BE$83,"."&amp;$D$82&amp;$AW$82&amp;"C"&amp;$A110)="N/A",0,RTD("tos.rtd",,BE$83,"."&amp;$D$82&amp;$AW$82&amp;"C"&amp;$A110))</f>
        <v>0</v>
      </c>
      <c r="BF110" s="3">
        <f>-IF(RTD("tos.rtd",,BF$83,"."&amp;$D$82&amp;$AW$82&amp;"P"&amp;$A110)="N/A",0,RTD("tos.rtd",,BF$83,"."&amp;$D$82&amp;$AW$82&amp;"P"&amp;$A110))</f>
        <v>-4</v>
      </c>
      <c r="BG110" s="3">
        <f ca="1">+Hoja2!Y111</f>
        <v>-2489</v>
      </c>
      <c r="BH110" s="55">
        <f t="shared" ca="1" si="292"/>
        <v>-5719</v>
      </c>
      <c r="BI110" s="32" t="str">
        <f t="shared" ca="1" si="312"/>
        <v/>
      </c>
      <c r="BJ110" s="3">
        <f ca="1">IF($BP$1=1,DX110,IF(RTD("tos.rtd",,BJ$83,"."&amp;$B$82&amp;$AS$82&amp;"C"&amp;$A110)="N/A",0,RTD("tos.rtd",,BJ$83,"."&amp;$B$82&amp;$AS$82&amp;"C"&amp;$A110)))</f>
        <v>1.2224384609392043E-11</v>
      </c>
      <c r="BK110" s="3">
        <f ca="1">IF($BP$1=1,DY110,-IF(RTD("tos.rtd",,BK$83,"."&amp;$B$82&amp;$AS$82&amp;"P"&amp;$A110)="N/A",0,RTD("tos.rtd",,BK$83,"."&amp;$B$82&amp;$AS$82&amp;"P"&amp;$A110)))</f>
        <v>-1.3134338147689564E-3</v>
      </c>
      <c r="BL110" s="3">
        <f ca="1">IF($BP$1=1,DZ110,IF(RTD("tos.rtd",,BL$83,"."&amp;$C$82&amp;$AU$82&amp;"C"&amp;$A110)="N/A",0,RTD("tos.rtd",,BL$83,"."&amp;$C$82&amp;$AU$82&amp;"C"&amp;$A110)))</f>
        <v>1.8755417729852451E-3</v>
      </c>
      <c r="BM110" s="3">
        <f ca="1">IF($BP$1=1,EA110,-IF(RTD("tos.rtd",,BM$83,"."&amp;$C$82&amp;$AU$82&amp;"P"&amp;$A110)="N/A",0,RTD("tos.rtd",,BM$83,"."&amp;$C$82&amp;$AU$82&amp;"P"&amp;$A110)))</f>
        <v>-1.8755417729852451E-3</v>
      </c>
      <c r="BN110" s="3">
        <f ca="1">IF($BP$1=1,EB110,IF(RTD("tos.rtd",,BN$83,"."&amp;$D$82&amp;$AW$82&amp;"C"&amp;$A110)="N/A",0,RTD("tos.rtd",,BN$83,"."&amp;$D$82&amp;$AW$82&amp;"C"&amp;$A110)))</f>
        <v>1.9594546461442247E-3</v>
      </c>
      <c r="BO110" s="3">
        <f ca="1">IF($BP$1=1,EC110,-IF(RTD("tos.rtd",,BO$83,"."&amp;$D$82&amp;$AW$82&amp;"P"&amp;$A110)="N/A",0,RTD("tos.rtd",,BO$83,"."&amp;$D$82&amp;$AW$82&amp;"P"&amp;$A110)))</f>
        <v>-1.9981595702066148E-3</v>
      </c>
      <c r="BQ110" s="3">
        <f t="shared" ca="1" si="256"/>
        <v>-299322.29890816461</v>
      </c>
      <c r="BR110" s="3" t="str">
        <f t="shared" ca="1" si="293"/>
        <v/>
      </c>
      <c r="BS110" s="3">
        <f t="shared" ca="1" si="257"/>
        <v>0</v>
      </c>
      <c r="BT110" s="3" t="str">
        <f t="shared" ca="1" si="293"/>
        <v/>
      </c>
      <c r="BU110" s="3">
        <f t="shared" ca="1" si="258"/>
        <v>10729.724045140669</v>
      </c>
      <c r="BV110" s="3" t="str">
        <f t="shared" ca="1" si="293"/>
        <v>Cruce +</v>
      </c>
      <c r="BX110" s="3">
        <f t="shared" ca="1" si="259"/>
        <v>-1167853.473030197</v>
      </c>
      <c r="BY110" s="3" t="str">
        <f t="shared" ca="1" si="309"/>
        <v/>
      </c>
      <c r="BZ110" s="3">
        <f t="shared" ca="1" si="260"/>
        <v>0</v>
      </c>
      <c r="CA110" s="3" t="str">
        <f t="shared" ca="1" si="309"/>
        <v/>
      </c>
      <c r="CB110" s="3">
        <f t="shared" ca="1" si="261"/>
        <v>-2158.1349181171931</v>
      </c>
      <c r="CC110" s="3" t="str">
        <f t="shared" ca="1" si="309"/>
        <v/>
      </c>
      <c r="CD110" s="3">
        <f>IF(RTD("tos.rtd",,CD$83,"."&amp;$B$82&amp;$AS$82&amp;"C"&amp;$A110)="N/A",0,RTD("tos.rtd",,CD$83,"."&amp;$B$82&amp;$AS$82&amp;"C"&amp;$A110))</f>
        <v>1</v>
      </c>
      <c r="CE110" s="3">
        <f>-IF(RTD("tos.rtd",,CE$83,"."&amp;$B$82&amp;$AS$82&amp;"P"&amp;$A110)="N/A",0,RTD("tos.rtd",,CE$83,"."&amp;$B$82&amp;$AS$82&amp;"P"&amp;$A110))</f>
        <v>0</v>
      </c>
      <c r="CF110" s="3">
        <f>IF(RTD("tos.rtd",,CF$83,"."&amp;$C$82&amp;$AU$82&amp;"C"&amp;$A110)="N/A",0,RTD("tos.rtd",,CF$83,"."&amp;$C$82&amp;$AU$82&amp;"C"&amp;$A110))</f>
        <v>0</v>
      </c>
      <c r="CG110" s="3">
        <f>-IF(RTD("tos.rtd",,CG$83,"."&amp;$C$82&amp;$AU$82&amp;"P"&amp;$A110)="N/A",0,RTD("tos.rtd",,CG$83,"."&amp;$C$82&amp;$AU$82&amp;"P"&amp;$A110))</f>
        <v>0</v>
      </c>
      <c r="CH110" s="3">
        <f>IF(RTD("tos.rtd",,CH$83,"."&amp;$D$82&amp;$AW$82&amp;"C"&amp;$A110)="N/A",0,RTD("tos.rtd",,CH$83,"."&amp;$D$82&amp;$AW$82&amp;"C"&amp;$A110))</f>
        <v>0.71</v>
      </c>
      <c r="CI110" s="3">
        <f>-IF(RTD("tos.rtd",,CI$83,"."&amp;$D$82&amp;$AW$82&amp;"P"&amp;$A110)="N/A",0,RTD("tos.rtd",,CI$83,"."&amp;$D$82&amp;$AW$82&amp;"P"&amp;$A110))</f>
        <v>0.31</v>
      </c>
      <c r="CK110" s="3">
        <f t="shared" si="294"/>
        <v>61133075</v>
      </c>
      <c r="CL110" s="3"/>
      <c r="CM110" s="3">
        <f t="shared" si="295"/>
        <v>0</v>
      </c>
      <c r="CN110" s="3"/>
      <c r="CO110" s="3">
        <f t="shared" si="296"/>
        <v>1162021050.75</v>
      </c>
      <c r="CP110" s="3">
        <f t="shared" si="262"/>
        <v>1223154125.75</v>
      </c>
      <c r="CQ110" s="3">
        <f t="shared" si="263"/>
        <v>-3226</v>
      </c>
      <c r="CR110" s="3"/>
      <c r="CS110" s="3">
        <f t="shared" si="264"/>
        <v>0</v>
      </c>
      <c r="CT110" s="3"/>
      <c r="CU110" s="3">
        <f t="shared" si="265"/>
        <v>-4</v>
      </c>
      <c r="CV110" s="3"/>
      <c r="CW110" s="3">
        <f t="shared" ca="1" si="317"/>
        <v>-288592.57486302394</v>
      </c>
      <c r="CY110" s="3">
        <f t="shared" ca="1" si="266"/>
        <v>-1170011.6079483142</v>
      </c>
      <c r="CZ110" s="70" t="str">
        <f t="shared" ca="1" si="310"/>
        <v/>
      </c>
      <c r="DA110" s="3">
        <f>IF(RTD("tos.rtd",,DA$83,"."&amp;$B$82&amp;$AS$82&amp;"C"&amp;$A110)="N/A",0,RTD("tos.rtd",,DA$83,"."&amp;$B$82&amp;$AS$82&amp;"C"&amp;$A110))</f>
        <v>119.7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120.7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118.7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298"/>
        <v>-115.25</v>
      </c>
      <c r="DH110" s="3">
        <f t="shared" si="267"/>
        <v>0</v>
      </c>
      <c r="DI110" s="3">
        <f t="shared" si="268"/>
        <v>0</v>
      </c>
      <c r="DJ110" s="3">
        <f t="shared" si="269"/>
        <v>0</v>
      </c>
      <c r="DK110" s="3">
        <f t="shared" si="270"/>
        <v>0</v>
      </c>
      <c r="DL110" s="3">
        <f t="shared" si="271"/>
        <v>0</v>
      </c>
      <c r="DM110" s="3">
        <f t="shared" si="272"/>
        <v>0</v>
      </c>
      <c r="DN110" s="64" t="str">
        <f t="shared" si="273"/>
        <v>UNKNOWN</v>
      </c>
      <c r="DO110" s="64" t="str">
        <f t="shared" si="274"/>
        <v>UNKNOWN</v>
      </c>
      <c r="DP110" s="3">
        <f t="shared" si="275"/>
        <v>0</v>
      </c>
      <c r="DQ110" s="3">
        <f t="shared" si="276"/>
        <v>0</v>
      </c>
      <c r="DR110" s="3">
        <f t="shared" ca="1" si="277"/>
        <v>0</v>
      </c>
      <c r="DS110" s="3">
        <f t="shared" si="278"/>
        <v>0</v>
      </c>
      <c r="DT110" s="3">
        <f t="shared" si="299"/>
        <v>0</v>
      </c>
      <c r="DU110" s="3">
        <f t="shared" si="300"/>
        <v>0</v>
      </c>
      <c r="DV110" s="3">
        <f t="shared" si="301"/>
        <v>9</v>
      </c>
      <c r="DW110" s="3">
        <f t="shared" si="302"/>
        <v>785</v>
      </c>
      <c r="DX110" s="3">
        <f t="shared" ca="1" si="311"/>
        <v>1.2224384609392043E-11</v>
      </c>
      <c r="DY110" s="3">
        <f t="shared" ca="1" si="279"/>
        <v>-1.3134338147689564E-3</v>
      </c>
      <c r="DZ110" s="3">
        <f t="shared" ca="1" si="303"/>
        <v>1.8755417729852451E-3</v>
      </c>
      <c r="EA110" s="3">
        <f t="shared" ca="1" si="304"/>
        <v>-1.8755417729852451E-3</v>
      </c>
      <c r="EB110" s="3">
        <f t="shared" ca="1" si="280"/>
        <v>1.9594546461442247E-3</v>
      </c>
      <c r="EC110" s="3">
        <f t="shared" ca="1" si="281"/>
        <v>-1.9981595702066148E-3</v>
      </c>
      <c r="ED110" s="63">
        <f t="shared" si="305"/>
        <v>794</v>
      </c>
      <c r="EE110" s="59">
        <f t="shared" si="282"/>
        <v>0.25</v>
      </c>
      <c r="EF110" s="59">
        <f t="shared" si="283"/>
        <v>0.94320000000000004</v>
      </c>
      <c r="EG110" s="59">
        <f t="shared" si="284"/>
        <v>0.25</v>
      </c>
      <c r="EH110" s="59">
        <f t="shared" si="285"/>
        <v>0.25</v>
      </c>
      <c r="EI110" s="59">
        <f t="shared" si="286"/>
        <v>0.1615</v>
      </c>
      <c r="EJ110" s="59">
        <f t="shared" si="287"/>
        <v>0.17469999999999999</v>
      </c>
      <c r="EK110" s="63">
        <f t="shared" ca="1" si="306"/>
        <v>-36320839.936231837</v>
      </c>
      <c r="EL110" s="3" t="str">
        <f>RTD("tos.rtd",,EL$83,"."&amp;$B$82&amp;$AS$82&amp;"C"&amp;$A110)</f>
        <v>--</v>
      </c>
      <c r="EM110" s="3" t="str">
        <f>RTD("tos.rtd",,EM$83,"."&amp;$B$82&amp;$AS$82&amp;"P"&amp;$A110)</f>
        <v>94.32%</v>
      </c>
      <c r="EN110" s="3" t="str">
        <f>RTD("tos.rtd",,EN$83,"."&amp;$C$82&amp;$AU$82&amp;"C"&amp;$A110)</f>
        <v>N/A</v>
      </c>
      <c r="EO110" s="3" t="str">
        <f>RTD("tos.rtd",,EO$83,"."&amp;$C$82&amp;$AU$82&amp;"P"&amp;$A110)</f>
        <v>N/A</v>
      </c>
      <c r="EP110" s="3" t="str">
        <f>RTD("tos.rtd",,EP$83,"."&amp;$D$82&amp;$AW$82&amp;"C"&amp;$A110)</f>
        <v>16.15%</v>
      </c>
      <c r="EQ110" s="3" t="str">
        <f>RTD("tos.rtd",,EQ$83,"."&amp;$D$82&amp;$AW$82&amp;"P"&amp;$A110)</f>
        <v>17.47%</v>
      </c>
      <c r="ES110" s="63" t="str">
        <f t="shared" si="288"/>
        <v>5820,794.00</v>
      </c>
      <c r="ET110" s="63" t="str">
        <f t="shared" ca="1" si="289"/>
        <v>5820,-1170.01</v>
      </c>
      <c r="EU110" s="67">
        <v>594.20000000000005</v>
      </c>
      <c r="EV110" s="67" t="s">
        <v>900</v>
      </c>
      <c r="EW110" s="67">
        <v>521.09</v>
      </c>
      <c r="EX110" s="67" t="s">
        <v>901</v>
      </c>
      <c r="EY110" s="67">
        <v>5953</v>
      </c>
      <c r="EZ110" s="67" t="s">
        <v>902</v>
      </c>
      <c r="FA110" s="67">
        <v>21388</v>
      </c>
      <c r="FB110" s="67" t="s">
        <v>903</v>
      </c>
      <c r="FC110" s="67" t="s">
        <v>904</v>
      </c>
      <c r="FD110" s="67" t="s">
        <v>905</v>
      </c>
      <c r="FE110" s="68" t="s">
        <v>906</v>
      </c>
      <c r="FF110" s="68" t="s">
        <v>907</v>
      </c>
    </row>
    <row r="111" spans="1:162" s="63" customFormat="1" ht="12" customHeight="1" thickBot="1" x14ac:dyDescent="0.25">
      <c r="A111" s="2">
        <f t="shared" si="307"/>
        <v>5810</v>
      </c>
      <c r="B111" s="3">
        <f t="shared" si="251"/>
        <v>2607</v>
      </c>
      <c r="C111" s="3">
        <f t="shared" si="252"/>
        <v>623</v>
      </c>
      <c r="D111" s="3">
        <f t="shared" si="253"/>
        <v>11061</v>
      </c>
      <c r="E111" s="3">
        <f t="shared" si="314"/>
        <v>14291</v>
      </c>
      <c r="F111" s="4">
        <f t="shared" si="318"/>
        <v>5829.5779453266496</v>
      </c>
      <c r="G111" s="4">
        <f t="shared" si="315"/>
        <v>579.90852954803916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532</v>
      </c>
      <c r="AN111" s="20">
        <v>-994</v>
      </c>
      <c r="AO111" s="20">
        <v>5810</v>
      </c>
      <c r="AP111" s="20">
        <v>609</v>
      </c>
      <c r="AQ111" s="20">
        <v>-5284</v>
      </c>
      <c r="AR111" s="20"/>
      <c r="AS111" s="54">
        <f>IF(RTD("tos.rtd",,AS$83,"."&amp;$B$82&amp;$AS$82&amp;"C"&amp;$A111)="N/A",0,RTD("tos.rtd",,AS$83,"."&amp;$B$82&amp;$AS$82&amp;"C"&amp;$A111))</f>
        <v>587</v>
      </c>
      <c r="AT111" s="3">
        <f>-IF(RTD("tos.rtd",,AT$83,"."&amp;$B$82&amp;$AS$82&amp;"P"&amp;$A111)="N/A",0,RTD("tos.rtd",,AT$83,"."&amp;$B$82&amp;$AS$82&amp;"P"&amp;$A111))</f>
        <v>-2020</v>
      </c>
      <c r="AU111" s="54">
        <f>IF(RTD("tos.rtd",,AU$83,"."&amp;$C$82&amp;$AU$82&amp;"C"&amp;$A111)="N/A",0,RTD("tos.rtd",,AU$83,"."&amp;$C$82&amp;$AU$82&amp;"C"&amp;$A111))</f>
        <v>248</v>
      </c>
      <c r="AV111" s="3">
        <f>-IF(RTD("tos.rtd",,AV$83,"."&amp;$C$82&amp;$AU$82&amp;"P"&amp;$A111)="N/A",0,RTD("tos.rtd",,AV$83,"."&amp;$C$82&amp;$AU$82&amp;"P"&amp;$A111))</f>
        <v>-375</v>
      </c>
      <c r="AW111" s="54">
        <f>IF(RTD("tos.rtd",,AW$83,"."&amp;$D$82&amp;$AW$82&amp;"C"&amp;$A111)="N/A",0,RTD("tos.rtd",,AW$83,"."&amp;$D$82&amp;$AW$82&amp;"C"&amp;$A111))</f>
        <v>6347</v>
      </c>
      <c r="AX111" s="3">
        <f>-IF(RTD("tos.rtd",,AX$83,"."&amp;$D$82&amp;$AW$82&amp;"P"&amp;$A111)="N/A",0,RTD("tos.rtd",,AX$83,"."&amp;$D$82&amp;$AW$82&amp;"P"&amp;$A111))</f>
        <v>-4714</v>
      </c>
      <c r="AY111" s="79">
        <f t="shared" si="316"/>
        <v>73</v>
      </c>
      <c r="AZ111" s="8">
        <f t="shared" si="255"/>
        <v>5810</v>
      </c>
      <c r="BA111" s="54">
        <f>IF(RTD("tos.rtd",,BA$83,"."&amp;$B$82&amp;$AS$82&amp;"C"&amp;$A111)="N/A",0,RTD("tos.rtd",,BA$83,"."&amp;$B$82&amp;$AS$82&amp;"C"&amp;$A111))</f>
        <v>609</v>
      </c>
      <c r="BB111" s="3">
        <f>-IF(RTD("tos.rtd",,BB$83,"."&amp;$B$82&amp;$AS$82&amp;"P"&amp;$A111)="N/A",0,RTD("tos.rtd",,BB$83,"."&amp;$B$82&amp;$AS$82&amp;"P"&amp;$A111))</f>
        <v>-5284</v>
      </c>
      <c r="BC111" s="54">
        <f>IF(RTD("tos.rtd",,BC$83,"."&amp;$C$82&amp;$AU$82&amp;"C"&amp;$A111)="N/A",0,RTD("tos.rtd",,BC$83,"."&amp;$C$82&amp;$AU$82&amp;"C"&amp;$A111))</f>
        <v>19</v>
      </c>
      <c r="BD111" s="3">
        <f>-IF(RTD("tos.rtd",,BD$83,"."&amp;$C$82&amp;$AU$82&amp;"P"&amp;$A111)="N/A",0,RTD("tos.rtd",,BD$83,"."&amp;$C$82&amp;$AU$82&amp;"P"&amp;$A111))</f>
        <v>-456</v>
      </c>
      <c r="BE111" s="54">
        <f>IF(RTD("tos.rtd",,BE$83,"."&amp;$D$82&amp;$AW$82&amp;"C"&amp;$A111)="N/A",0,RTD("tos.rtd",,BE$83,"."&amp;$D$82&amp;$AW$82&amp;"C"&amp;$A111))</f>
        <v>30</v>
      </c>
      <c r="BF111" s="3">
        <f>-IF(RTD("tos.rtd",,BF$83,"."&amp;$D$82&amp;$AW$82&amp;"P"&amp;$A111)="N/A",0,RTD("tos.rtd",,BF$83,"."&amp;$D$82&amp;$AW$82&amp;"P"&amp;$A111))</f>
        <v>-13</v>
      </c>
      <c r="BG111" s="3">
        <f ca="1">+Hoja2!Y112</f>
        <v>-2737</v>
      </c>
      <c r="BH111" s="55">
        <f t="shared" ca="1" si="292"/>
        <v>-7832</v>
      </c>
      <c r="BI111" s="32" t="str">
        <f t="shared" ca="1" si="312"/>
        <v/>
      </c>
      <c r="BJ111" s="3">
        <f ca="1">IF($BP$1=1,DX111,IF(RTD("tos.rtd",,BJ$83,"."&amp;$B$82&amp;$AS$82&amp;"C"&amp;$A111)="N/A",0,RTD("tos.rtd",,BJ$83,"."&amp;$B$82&amp;$AS$82&amp;"C"&amp;$A111)))</f>
        <v>2.4677272297642731E-13</v>
      </c>
      <c r="BK111" s="3">
        <f ca="1">IF($BP$1=1,DY111,-IF(RTD("tos.rtd",,BK$83,"."&amp;$B$82&amp;$AS$82&amp;"P"&amp;$A111)="N/A",0,RTD("tos.rtd",,BK$83,"."&amp;$B$82&amp;$AS$82&amp;"P"&amp;$A111)))</f>
        <v>-1.180211028160214E-3</v>
      </c>
      <c r="BL111" s="3">
        <f ca="1">IF($BP$1=1,DZ111,IF(RTD("tos.rtd",,BL$83,"."&amp;$C$82&amp;$AU$82&amp;"C"&amp;$A111)="N/A",0,RTD("tos.rtd",,BL$83,"."&amp;$C$82&amp;$AU$82&amp;"C"&amp;$A111)))</f>
        <v>1.7552847114018326E-3</v>
      </c>
      <c r="BM111" s="3">
        <f ca="1">IF($BP$1=1,EA111,-IF(RTD("tos.rtd",,BM$83,"."&amp;$C$82&amp;$AU$82&amp;"P"&amp;$A111)="N/A",0,RTD("tos.rtd",,BM$83,"."&amp;$C$82&amp;$AU$82&amp;"P"&amp;$A111)))</f>
        <v>-1.8448098952632028E-3</v>
      </c>
      <c r="BN111" s="3">
        <f ca="1">IF($BP$1=1,EB111,IF(RTD("tos.rtd",,BN$83,"."&amp;$D$82&amp;$AW$82&amp;"C"&amp;$A111)="N/A",0,RTD("tos.rtd",,BN$83,"."&amp;$D$82&amp;$AW$82&amp;"C"&amp;$A111)))</f>
        <v>1.7442180226425706E-3</v>
      </c>
      <c r="BO111" s="3">
        <f ca="1">IF($BP$1=1,EC111,-IF(RTD("tos.rtd",,BO$83,"."&amp;$D$82&amp;$AW$82&amp;"P"&amp;$A111)="N/A",0,RTD("tos.rtd",,BO$83,"."&amp;$D$82&amp;$AW$82&amp;"P"&amp;$A111)))</f>
        <v>-1.8068207011623508E-3</v>
      </c>
      <c r="BQ111" s="3">
        <f t="shared" ca="1" si="256"/>
        <v>-643723.65829207341</v>
      </c>
      <c r="BR111" s="3" t="str">
        <f t="shared" ca="1" si="293"/>
        <v/>
      </c>
      <c r="BS111" s="3">
        <f t="shared" ca="1" si="257"/>
        <v>-69257.071428993164</v>
      </c>
      <c r="BT111" s="3" t="str">
        <f t="shared" ca="1" si="293"/>
        <v/>
      </c>
      <c r="BU111" s="3">
        <f t="shared" ca="1" si="258"/>
        <v>689402.88935474074</v>
      </c>
      <c r="BV111" s="3" t="str">
        <f t="shared" ca="1" si="293"/>
        <v/>
      </c>
      <c r="BX111" s="3">
        <f t="shared" ca="1" si="259"/>
        <v>-1683879.114128723</v>
      </c>
      <c r="BY111" s="3" t="str">
        <f t="shared" ca="1" si="309"/>
        <v/>
      </c>
      <c r="BZ111" s="3">
        <f t="shared" ca="1" si="260"/>
        <v>-218140.77415460491</v>
      </c>
      <c r="CA111" s="3" t="str">
        <f t="shared" ca="1" si="309"/>
        <v/>
      </c>
      <c r="CB111" s="3">
        <f t="shared" ca="1" si="261"/>
        <v>7786.6676058773628</v>
      </c>
      <c r="CC111" s="3" t="str">
        <f t="shared" ca="1" si="309"/>
        <v>Cruce +</v>
      </c>
      <c r="CD111" s="3">
        <f>IF(RTD("tos.rtd",,CD$83,"."&amp;$B$82&amp;$AS$82&amp;"C"&amp;$A111)="N/A",0,RTD("tos.rtd",,CD$83,"."&amp;$B$82&amp;$AS$82&amp;"C"&amp;$A111))</f>
        <v>1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0.94</v>
      </c>
      <c r="CG111" s="3">
        <f>-IF(RTD("tos.rtd",,CG$83,"."&amp;$C$82&amp;$AU$82&amp;"P"&amp;$A111)="N/A",0,RTD("tos.rtd",,CG$83,"."&amp;$C$82&amp;$AU$82&amp;"P"&amp;$A111))</f>
        <v>0.1</v>
      </c>
      <c r="CH111" s="3">
        <f>IF(RTD("tos.rtd",,CH$83,"."&amp;$D$82&amp;$AW$82&amp;"C"&amp;$A111)="N/A",0,RTD("tos.rtd",,CH$83,"."&amp;$D$82&amp;$AW$82&amp;"C"&amp;$A111))</f>
        <v>0.72</v>
      </c>
      <c r="CI111" s="3">
        <f>-IF(RTD("tos.rtd",,CI$83,"."&amp;$D$82&amp;$AW$82&amp;"P"&amp;$A111)="N/A",0,RTD("tos.rtd",,CI$83,"."&amp;$D$82&amp;$AW$82&amp;"P"&amp;$A111))</f>
        <v>0.3</v>
      </c>
      <c r="CK111" s="3">
        <f t="shared" si="294"/>
        <v>348399175</v>
      </c>
      <c r="CL111" s="3"/>
      <c r="CM111" s="3">
        <f t="shared" si="295"/>
        <v>116105360.49999997</v>
      </c>
      <c r="CN111" s="3"/>
      <c r="CO111" s="3">
        <f t="shared" si="296"/>
        <v>1872951231</v>
      </c>
      <c r="CP111" s="3">
        <f t="shared" si="262"/>
        <v>2337455766.5</v>
      </c>
      <c r="CQ111" s="3">
        <f t="shared" si="263"/>
        <v>-4675</v>
      </c>
      <c r="CR111" s="3"/>
      <c r="CS111" s="3">
        <f t="shared" si="264"/>
        <v>-437</v>
      </c>
      <c r="CT111" s="3"/>
      <c r="CU111" s="3">
        <f t="shared" si="265"/>
        <v>17</v>
      </c>
      <c r="CV111" s="3"/>
      <c r="CW111" s="3">
        <f t="shared" ca="1" si="317"/>
        <v>-23577.840366325807</v>
      </c>
      <c r="CY111" s="3">
        <f t="shared" ca="1" si="266"/>
        <v>-1894233.2206774505</v>
      </c>
      <c r="CZ111" s="70" t="str">
        <f t="shared" ca="1" si="310"/>
        <v/>
      </c>
      <c r="DA111" s="3">
        <f>IF(RTD("tos.rtd",,DA$83,"."&amp;$B$82&amp;$AS$82&amp;"C"&amp;$A111)="N/A",0,RTD("tos.rtd",,DA$83,"."&amp;$B$82&amp;$AS$82&amp;"C"&amp;$A111))</f>
        <v>104.57</v>
      </c>
      <c r="DB111" s="3">
        <f>IF(RTD("tos.rtd",,DB$83,"."&amp;$B$82&amp;$AS$82&amp;"P"&amp;$A111)="N/A",0,RTD("tos.rtd",,DB$83,"."&amp;$B$82&amp;$AS$82&amp;"P"&amp;$A111))</f>
        <v>0.03</v>
      </c>
      <c r="DC111" s="3">
        <f>IF(RTD("tos.rtd",,DC$83,"."&amp;$B$82&amp;$AS$82&amp;"C"&amp;$A111)="N/A",0,RTD("tos.rtd",,DC$83,"."&amp;$B$82&amp;$AS$82&amp;"C"&amp;$A111))</f>
        <v>130.69999999999999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128.69999999999999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298"/>
        <v>-125.25</v>
      </c>
      <c r="DH111" s="3">
        <f t="shared" si="267"/>
        <v>0</v>
      </c>
      <c r="DI111" s="3">
        <f t="shared" si="268"/>
        <v>0</v>
      </c>
      <c r="DJ111" s="3">
        <f t="shared" si="269"/>
        <v>0</v>
      </c>
      <c r="DK111" s="3">
        <f t="shared" si="270"/>
        <v>0</v>
      </c>
      <c r="DL111" s="3">
        <f t="shared" si="271"/>
        <v>0</v>
      </c>
      <c r="DM111" s="3">
        <f t="shared" si="272"/>
        <v>0</v>
      </c>
      <c r="DN111" s="64" t="str">
        <f t="shared" si="273"/>
        <v>UNKNOWN</v>
      </c>
      <c r="DO111" s="64" t="str">
        <f t="shared" si="274"/>
        <v>UNKNOWN</v>
      </c>
      <c r="DP111" s="3">
        <f t="shared" si="275"/>
        <v>0</v>
      </c>
      <c r="DQ111" s="3">
        <f t="shared" si="276"/>
        <v>0</v>
      </c>
      <c r="DR111" s="3">
        <f t="shared" ca="1" si="277"/>
        <v>0</v>
      </c>
      <c r="DS111" s="3">
        <f t="shared" si="278"/>
        <v>0</v>
      </c>
      <c r="DT111" s="3">
        <f t="shared" si="299"/>
        <v>0</v>
      </c>
      <c r="DU111" s="3">
        <f t="shared" si="300"/>
        <v>0</v>
      </c>
      <c r="DV111" s="3">
        <f t="shared" si="301"/>
        <v>532</v>
      </c>
      <c r="DW111" s="3">
        <f t="shared" si="302"/>
        <v>-994</v>
      </c>
      <c r="DX111" s="3">
        <f t="shared" ca="1" si="311"/>
        <v>2.4677272297642731E-13</v>
      </c>
      <c r="DY111" s="3">
        <f t="shared" ca="1" si="279"/>
        <v>-1.180211028160214E-3</v>
      </c>
      <c r="DZ111" s="3">
        <f t="shared" ca="1" si="303"/>
        <v>1.7552847114018326E-3</v>
      </c>
      <c r="EA111" s="3">
        <f t="shared" ca="1" si="304"/>
        <v>-1.8448098952632028E-3</v>
      </c>
      <c r="EB111" s="3">
        <f t="shared" ca="1" si="280"/>
        <v>1.7442180226425706E-3</v>
      </c>
      <c r="EC111" s="3">
        <f t="shared" ca="1" si="281"/>
        <v>-1.8068207011623508E-3</v>
      </c>
      <c r="ED111" s="63">
        <f t="shared" si="305"/>
        <v>-462</v>
      </c>
      <c r="EE111" s="59">
        <f t="shared" si="282"/>
        <v>0.25</v>
      </c>
      <c r="EF111" s="59">
        <f t="shared" si="283"/>
        <v>1.0147999999999999</v>
      </c>
      <c r="EG111" s="59">
        <f t="shared" si="284"/>
        <v>0.1648</v>
      </c>
      <c r="EH111" s="59">
        <f t="shared" si="285"/>
        <v>0.19450000000000001</v>
      </c>
      <c r="EI111" s="59">
        <f t="shared" si="286"/>
        <v>0.16289999999999999</v>
      </c>
      <c r="EJ111" s="59">
        <f t="shared" si="287"/>
        <v>0.17630000000000001</v>
      </c>
      <c r="EK111" s="63">
        <f t="shared" ca="1" si="306"/>
        <v>41326068.031090379</v>
      </c>
      <c r="EL111" s="3" t="str">
        <f>RTD("tos.rtd",,EL$83,"."&amp;$B$82&amp;$AS$82&amp;"C"&amp;$A111)</f>
        <v>--</v>
      </c>
      <c r="EM111" s="3" t="str">
        <f>RTD("tos.rtd",,EM$83,"."&amp;$B$82&amp;$AS$82&amp;"P"&amp;$A111)</f>
        <v>101.48%</v>
      </c>
      <c r="EN111" s="3" t="str">
        <f>RTD("tos.rtd",,EN$83,"."&amp;$C$82&amp;$AU$82&amp;"C"&amp;$A111)</f>
        <v>16.48%</v>
      </c>
      <c r="EO111" s="3" t="str">
        <f>RTD("tos.rtd",,EO$83,"."&amp;$C$82&amp;$AU$82&amp;"P"&amp;$A111)</f>
        <v>19.45%</v>
      </c>
      <c r="EP111" s="3" t="str">
        <f>RTD("tos.rtd",,EP$83,"."&amp;$D$82&amp;$AW$82&amp;"C"&amp;$A111)</f>
        <v>16.29%</v>
      </c>
      <c r="EQ111" s="3" t="str">
        <f>RTD("tos.rtd",,EQ$83,"."&amp;$D$82&amp;$AW$82&amp;"P"&amp;$A111)</f>
        <v>17.63%</v>
      </c>
      <c r="ES111" s="63" t="str">
        <f t="shared" si="288"/>
        <v>5810,-462.00</v>
      </c>
      <c r="ET111" s="63" t="str">
        <f t="shared" ca="1" si="289"/>
        <v>5810,-1894.23</v>
      </c>
      <c r="EU111" s="67">
        <v>594.20000000000005</v>
      </c>
      <c r="EV111" s="67" t="s">
        <v>908</v>
      </c>
      <c r="EW111" s="67">
        <v>521.1</v>
      </c>
      <c r="EX111" s="67" t="s">
        <v>909</v>
      </c>
      <c r="EY111" s="67">
        <v>5952.75</v>
      </c>
      <c r="EZ111" s="67" t="s">
        <v>910</v>
      </c>
      <c r="FA111" s="67">
        <v>21388.75</v>
      </c>
      <c r="FB111" s="67" t="s">
        <v>911</v>
      </c>
      <c r="FC111" s="67" t="s">
        <v>912</v>
      </c>
      <c r="FD111" s="67" t="s">
        <v>913</v>
      </c>
      <c r="FE111" s="68" t="s">
        <v>914</v>
      </c>
      <c r="FF111" s="68" t="s">
        <v>915</v>
      </c>
    </row>
    <row r="112" spans="1:162" s="63" customFormat="1" ht="12" customHeight="1" thickBot="1" x14ac:dyDescent="0.25">
      <c r="A112" s="2">
        <f t="shared" si="307"/>
        <v>5800</v>
      </c>
      <c r="B112" s="3">
        <f t="shared" si="251"/>
        <v>5097</v>
      </c>
      <c r="C112" s="3">
        <f t="shared" si="252"/>
        <v>15547</v>
      </c>
      <c r="D112" s="3">
        <f t="shared" si="253"/>
        <v>86872</v>
      </c>
      <c r="E112" s="3">
        <f t="shared" ref="E112:E122" si="319">SUM(B112:D112)</f>
        <v>107516</v>
      </c>
      <c r="F112" s="4">
        <f t="shared" ref="F112:F122" si="320">+$F$84/$A$84*A112</f>
        <v>5819.5442483467414</v>
      </c>
      <c r="G112" s="4">
        <f t="shared" ref="G112:G122" si="321">+$G$84/$A$84*A112</f>
        <v>578.91040815466908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543</v>
      </c>
      <c r="AN112" s="20">
        <v>713</v>
      </c>
      <c r="AO112" s="20">
        <v>5800</v>
      </c>
      <c r="AP112" s="20">
        <v>698</v>
      </c>
      <c r="AQ112" s="20">
        <v>-7951</v>
      </c>
      <c r="AR112" s="20"/>
      <c r="AS112" s="54">
        <f>IF(RTD("tos.rtd",,AS$83,"."&amp;$B$82&amp;$AS$82&amp;"C"&amp;$A112)="N/A",0,RTD("tos.rtd",,AS$83,"."&amp;$B$82&amp;$AS$82&amp;"C"&amp;$A112))</f>
        <v>1471</v>
      </c>
      <c r="AT112" s="3">
        <f>-IF(RTD("tos.rtd",,AT$83,"."&amp;$B$82&amp;$AS$82&amp;"P"&amp;$A112)="N/A",0,RTD("tos.rtd",,AT$83,"."&amp;$B$82&amp;$AS$82&amp;"P"&amp;$A112))</f>
        <v>-3626</v>
      </c>
      <c r="AU112" s="54">
        <f>IF(RTD("tos.rtd",,AU$83,"."&amp;$C$82&amp;$AU$82&amp;"C"&amp;$A112)="N/A",0,RTD("tos.rtd",,AU$83,"."&amp;$C$82&amp;$AU$82&amp;"C"&amp;$A112))</f>
        <v>5463</v>
      </c>
      <c r="AV112" s="3">
        <f>-IF(RTD("tos.rtd",,AV$83,"."&amp;$C$82&amp;$AU$82&amp;"P"&amp;$A112)="N/A",0,RTD("tos.rtd",,AV$83,"."&amp;$C$82&amp;$AU$82&amp;"P"&amp;$A112))</f>
        <v>-10084</v>
      </c>
      <c r="AW112" s="54">
        <f>IF(RTD("tos.rtd",,AW$83,"."&amp;$D$82&amp;$AW$82&amp;"C"&amp;$A112)="N/A",0,RTD("tos.rtd",,AW$83,"."&amp;$D$82&amp;$AW$82&amp;"C"&amp;$A112))</f>
        <v>45092</v>
      </c>
      <c r="AX112" s="3">
        <f>-IF(RTD("tos.rtd",,AX$83,"."&amp;$D$82&amp;$AW$82&amp;"P"&amp;$A112)="N/A",0,RTD("tos.rtd",,AX$83,"."&amp;$D$82&amp;$AW$82&amp;"P"&amp;$A112))</f>
        <v>-41780</v>
      </c>
      <c r="AY112" s="79">
        <f t="shared" ref="AY112:AY122" si="322">SUM(AS112:AX112)</f>
        <v>-3464</v>
      </c>
      <c r="AZ112" s="8">
        <f t="shared" si="255"/>
        <v>5800</v>
      </c>
      <c r="BA112" s="54">
        <f>IF(RTD("tos.rtd",,BA$83,"."&amp;$B$82&amp;$AS$82&amp;"C"&amp;$A112)="N/A",0,RTD("tos.rtd",,BA$83,"."&amp;$B$82&amp;$AS$82&amp;"C"&amp;$A112))</f>
        <v>698</v>
      </c>
      <c r="BB112" s="3">
        <f>-IF(RTD("tos.rtd",,BB$83,"."&amp;$B$82&amp;$AS$82&amp;"P"&amp;$A112)="N/A",0,RTD("tos.rtd",,BB$83,"."&amp;$B$82&amp;$AS$82&amp;"P"&amp;$A112))</f>
        <v>-7951</v>
      </c>
      <c r="BC112" s="54">
        <f>IF(RTD("tos.rtd",,BC$83,"."&amp;$C$82&amp;$AU$82&amp;"C"&amp;$A112)="N/A",0,RTD("tos.rtd",,BC$83,"."&amp;$C$82&amp;$AU$82&amp;"C"&amp;$A112))</f>
        <v>59</v>
      </c>
      <c r="BD112" s="3">
        <f>-IF(RTD("tos.rtd",,BD$83,"."&amp;$C$82&amp;$AU$82&amp;"P"&amp;$A112)="N/A",0,RTD("tos.rtd",,BD$83,"."&amp;$C$82&amp;$AU$82&amp;"P"&amp;$A112))</f>
        <v>-2166</v>
      </c>
      <c r="BE112" s="54">
        <f>IF(RTD("tos.rtd",,BE$83,"."&amp;$D$82&amp;$AW$82&amp;"C"&amp;$A112)="N/A",0,RTD("tos.rtd",,BE$83,"."&amp;$D$82&amp;$AW$82&amp;"C"&amp;$A112))</f>
        <v>142</v>
      </c>
      <c r="BF112" s="3">
        <f>-IF(RTD("tos.rtd",,BF$83,"."&amp;$D$82&amp;$AW$82&amp;"P"&amp;$A112)="N/A",0,RTD("tos.rtd",,BF$83,"."&amp;$D$82&amp;$AW$82&amp;"P"&amp;$A112))</f>
        <v>-3401</v>
      </c>
      <c r="BG112" s="3">
        <f ca="1">+Hoja2!Y113</f>
        <v>-9358</v>
      </c>
      <c r="BH112" s="55">
        <f t="shared" ca="1" si="292"/>
        <v>-21977</v>
      </c>
      <c r="BI112" s="32" t="str">
        <f t="shared" ca="1" si="312"/>
        <v/>
      </c>
      <c r="BJ112" s="3">
        <f ca="1">IF($BP$1=1,DX112,IF(RTD("tos.rtd",,BJ$83,"."&amp;$B$82&amp;$AS$82&amp;"C"&amp;$A112)="N/A",0,RTD("tos.rtd",,BJ$83,"."&amp;$B$82&amp;$AS$82&amp;"C"&amp;$A112)))</f>
        <v>3.562482225367822E-15</v>
      </c>
      <c r="BK112" s="3">
        <f ca="1">IF($BP$1=1,DY112,-IF(RTD("tos.rtd",,BK$83,"."&amp;$B$82&amp;$AS$82&amp;"P"&amp;$A112)="N/A",0,RTD("tos.rtd",,BK$83,"."&amp;$B$82&amp;$AS$82&amp;"P"&amp;$A112)))</f>
        <v>-1.0688654318730688E-3</v>
      </c>
      <c r="BL112" s="3">
        <f ca="1">IF($BP$1=1,DZ112,IF(RTD("tos.rtd",,BL$83,"."&amp;$C$82&amp;$AU$82&amp;"C"&amp;$A112)="N/A",0,RTD("tos.rtd",,BL$83,"."&amp;$C$82&amp;$AU$82&amp;"C"&amp;$A112)))</f>
        <v>1.5249442937581175E-3</v>
      </c>
      <c r="BM112" s="3">
        <f ca="1">IF($BP$1=1,EA112,-IF(RTD("tos.rtd",,BM$83,"."&amp;$C$82&amp;$AU$82&amp;"P"&amp;$A112)="N/A",0,RTD("tos.rtd",,BM$83,"."&amp;$C$82&amp;$AU$82&amp;"P"&amp;$A112)))</f>
        <v>-1.6881813464856151E-3</v>
      </c>
      <c r="BN112" s="3">
        <f ca="1">IF($BP$1=1,EB112,IF(RTD("tos.rtd",,BN$83,"."&amp;$D$82&amp;$AW$82&amp;"C"&amp;$A112)="N/A",0,RTD("tos.rtd",,BN$83,"."&amp;$D$82&amp;$AW$82&amp;"C"&amp;$A112)))</f>
        <v>1.5426196602296781E-3</v>
      </c>
      <c r="BO112" s="3">
        <f ca="1">IF($BP$1=1,EC112,-IF(RTD("tos.rtd",,BO$83,"."&amp;$D$82&amp;$AW$82&amp;"P"&amp;$A112)="N/A",0,RTD("tos.rtd",,BO$83,"."&amp;$D$82&amp;$AW$82&amp;"P"&amp;$A112)))</f>
        <v>-1.6253027961781279E-3</v>
      </c>
      <c r="BQ112" s="3">
        <f t="shared" ca="1" si="256"/>
        <v>-1046500.0764271665</v>
      </c>
      <c r="BR112" s="3" t="str">
        <f t="shared" ca="1" si="293"/>
        <v/>
      </c>
      <c r="BS112" s="3">
        <f t="shared" ca="1" si="257"/>
        <v>-2347202.8270847835</v>
      </c>
      <c r="BT112" s="3" t="str">
        <f t="shared" ca="1" si="293"/>
        <v/>
      </c>
      <c r="BU112" s="3">
        <f t="shared" ca="1" si="258"/>
        <v>446782.19886036217</v>
      </c>
      <c r="BV112" s="3" t="str">
        <f t="shared" ca="1" si="293"/>
        <v/>
      </c>
      <c r="BX112" s="3">
        <f t="shared" ca="1" si="259"/>
        <v>-2294738.5845783832</v>
      </c>
      <c r="BY112" s="3" t="str">
        <f t="shared" ca="1" si="309"/>
        <v/>
      </c>
      <c r="BZ112" s="3">
        <f t="shared" ca="1" si="260"/>
        <v>-963044.55348573602</v>
      </c>
      <c r="CA112" s="3" t="str">
        <f t="shared" ca="1" si="309"/>
        <v/>
      </c>
      <c r="CB112" s="3">
        <f t="shared" ca="1" si="261"/>
        <v>-1433404.1783838437</v>
      </c>
      <c r="CC112" s="3" t="str">
        <f t="shared" ca="1" si="309"/>
        <v>Cruce -</v>
      </c>
      <c r="CD112" s="3">
        <f>IF(RTD("tos.rtd",,CD$83,"."&amp;$B$82&amp;$AS$82&amp;"C"&amp;$A112)="N/A",0,RTD("tos.rtd",,CD$83,"."&amp;$B$82&amp;$AS$82&amp;"C"&amp;$A112))</f>
        <v>1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0.95</v>
      </c>
      <c r="CG112" s="3">
        <f>-IF(RTD("tos.rtd",,CG$83,"."&amp;$C$82&amp;$AU$82&amp;"P"&amp;$A112)="N/A",0,RTD("tos.rtd",,CG$83,"."&amp;$C$82&amp;$AU$82&amp;"P"&amp;$A112))</f>
        <v>0.08</v>
      </c>
      <c r="CH112" s="3">
        <f>IF(RTD("tos.rtd",,CH$83,"."&amp;$D$82&amp;$AW$82&amp;"C"&amp;$A112)="N/A",0,RTD("tos.rtd",,CH$83,"."&amp;$D$82&amp;$AW$82&amp;"C"&amp;$A112))</f>
        <v>0.73</v>
      </c>
      <c r="CI112" s="3">
        <f>-IF(RTD("tos.rtd",,CI$83,"."&amp;$D$82&amp;$AW$82&amp;"P"&amp;$A112)="N/A",0,RTD("tos.rtd",,CI$83,"."&amp;$D$82&amp;$AW$82&amp;"P"&amp;$A112))</f>
        <v>0.28999999999999998</v>
      </c>
      <c r="CK112" s="3">
        <f t="shared" si="294"/>
        <v>873075275</v>
      </c>
      <c r="CL112" s="3"/>
      <c r="CM112" s="3">
        <f t="shared" si="295"/>
        <v>2601497233.2499995</v>
      </c>
      <c r="CN112" s="3"/>
      <c r="CO112" s="3">
        <f t="shared" si="296"/>
        <v>12345889783.999996</v>
      </c>
      <c r="CP112" s="3">
        <f t="shared" si="262"/>
        <v>15820462292.249996</v>
      </c>
      <c r="CQ112" s="3">
        <f t="shared" si="263"/>
        <v>-7253</v>
      </c>
      <c r="CR112" s="3"/>
      <c r="CS112" s="3">
        <f t="shared" si="264"/>
        <v>-2107</v>
      </c>
      <c r="CT112" s="3"/>
      <c r="CU112" s="3">
        <f t="shared" si="265"/>
        <v>-3259</v>
      </c>
      <c r="CV112" s="3"/>
      <c r="CW112" s="3">
        <f t="shared" ref="CW112:CW122" ca="1" si="323">+BQ112+BS112+BU112</f>
        <v>-2946920.7046515876</v>
      </c>
      <c r="CY112" s="3">
        <f t="shared" ca="1" si="266"/>
        <v>-4691187.316447963</v>
      </c>
      <c r="CZ112" s="70" t="str">
        <f t="shared" ca="1" si="310"/>
        <v/>
      </c>
      <c r="DA112" s="3">
        <f>IF(RTD("tos.rtd",,DA$83,"."&amp;$B$82&amp;$AS$82&amp;"C"&amp;$A112)="N/A",0,RTD("tos.rtd",,DA$83,"."&amp;$B$82&amp;$AS$82&amp;"C"&amp;$A112))</f>
        <v>133.80000000000001</v>
      </c>
      <c r="DB112" s="3">
        <f>IF(RTD("tos.rtd",,DB$83,"."&amp;$B$82&amp;$AS$82&amp;"P"&amp;$A112)="N/A",0,RTD("tos.rtd",,DB$83,"."&amp;$B$82&amp;$AS$82&amp;"P"&amp;$A112))</f>
        <v>0.05</v>
      </c>
      <c r="DC112" s="3">
        <f>IF(RTD("tos.rtd",,DC$83,"."&amp;$B$82&amp;$AS$82&amp;"C"&amp;$A112)="N/A",0,RTD("tos.rtd",,DC$83,"."&amp;$B$82&amp;$AS$82&amp;"C"&amp;$A112))</f>
        <v>140.69999999999999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138.69999999999999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298"/>
        <v>-135.25</v>
      </c>
      <c r="DH112" s="3">
        <f t="shared" si="267"/>
        <v>0</v>
      </c>
      <c r="DI112" s="3">
        <f t="shared" si="268"/>
        <v>0</v>
      </c>
      <c r="DJ112" s="3">
        <f t="shared" si="269"/>
        <v>0</v>
      </c>
      <c r="DK112" s="3">
        <f t="shared" si="270"/>
        <v>0</v>
      </c>
      <c r="DL112" s="3">
        <f t="shared" si="271"/>
        <v>0</v>
      </c>
      <c r="DM112" s="3">
        <f t="shared" si="272"/>
        <v>0</v>
      </c>
      <c r="DN112" s="64" t="str">
        <f t="shared" si="273"/>
        <v>UNKNOWN</v>
      </c>
      <c r="DO112" s="64" t="str">
        <f t="shared" si="274"/>
        <v>UNKNOWN</v>
      </c>
      <c r="DP112" s="3">
        <f t="shared" si="275"/>
        <v>0</v>
      </c>
      <c r="DQ112" s="3">
        <f t="shared" si="276"/>
        <v>0</v>
      </c>
      <c r="DR112" s="3">
        <f t="shared" ca="1" si="277"/>
        <v>0</v>
      </c>
      <c r="DS112" s="3">
        <f t="shared" si="278"/>
        <v>0</v>
      </c>
      <c r="DT112" s="3">
        <f t="shared" si="299"/>
        <v>0</v>
      </c>
      <c r="DU112" s="3">
        <f t="shared" si="300"/>
        <v>0</v>
      </c>
      <c r="DV112" s="3">
        <f t="shared" si="301"/>
        <v>543</v>
      </c>
      <c r="DW112" s="3">
        <f t="shared" si="302"/>
        <v>713</v>
      </c>
      <c r="DX112" s="3">
        <f t="shared" ca="1" si="311"/>
        <v>3.562482225367822E-15</v>
      </c>
      <c r="DY112" s="3">
        <f t="shared" ca="1" si="279"/>
        <v>-1.0688654318730688E-3</v>
      </c>
      <c r="DZ112" s="3">
        <f t="shared" ca="1" si="303"/>
        <v>1.5249442937581175E-3</v>
      </c>
      <c r="EA112" s="3">
        <f t="shared" ca="1" si="304"/>
        <v>-1.6881813464856151E-3</v>
      </c>
      <c r="EB112" s="3">
        <f t="shared" ca="1" si="280"/>
        <v>1.5426196602296781E-3</v>
      </c>
      <c r="EC112" s="3">
        <f t="shared" ca="1" si="281"/>
        <v>-1.6253027961781279E-3</v>
      </c>
      <c r="ED112" s="63">
        <f t="shared" si="305"/>
        <v>1256</v>
      </c>
      <c r="EE112" s="59">
        <f t="shared" si="282"/>
        <v>0.25</v>
      </c>
      <c r="EF112" s="59">
        <f t="shared" si="283"/>
        <v>1.0860000000000001</v>
      </c>
      <c r="EG112" s="59">
        <f t="shared" si="284"/>
        <v>0.16189999999999999</v>
      </c>
      <c r="EH112" s="59">
        <f t="shared" si="285"/>
        <v>0.1961</v>
      </c>
      <c r="EI112" s="59">
        <f t="shared" si="286"/>
        <v>0.16420000000000001</v>
      </c>
      <c r="EJ112" s="59">
        <f t="shared" si="287"/>
        <v>0.17780000000000001</v>
      </c>
      <c r="EK112" s="63">
        <f t="shared" ca="1" si="306"/>
        <v>-26846680.543422379</v>
      </c>
      <c r="EL112" s="3" t="str">
        <f>RTD("tos.rtd",,EL$83,"."&amp;$B$82&amp;$AS$82&amp;"C"&amp;$A112)</f>
        <v>--</v>
      </c>
      <c r="EM112" s="3" t="str">
        <f>RTD("tos.rtd",,EM$83,"."&amp;$B$82&amp;$AS$82&amp;"P"&amp;$A112)</f>
        <v>108.60%</v>
      </c>
      <c r="EN112" s="3" t="str">
        <f>RTD("tos.rtd",,EN$83,"."&amp;$C$82&amp;$AU$82&amp;"C"&amp;$A112)</f>
        <v>16.19%</v>
      </c>
      <c r="EO112" s="3" t="str">
        <f>RTD("tos.rtd",,EO$83,"."&amp;$C$82&amp;$AU$82&amp;"P"&amp;$A112)</f>
        <v>19.61%</v>
      </c>
      <c r="EP112" s="3" t="str">
        <f>RTD("tos.rtd",,EP$83,"."&amp;$D$82&amp;$AW$82&amp;"C"&amp;$A112)</f>
        <v>16.42%</v>
      </c>
      <c r="EQ112" s="3" t="str">
        <f>RTD("tos.rtd",,EQ$83,"."&amp;$D$82&amp;$AW$82&amp;"P"&amp;$A112)</f>
        <v>17.78%</v>
      </c>
      <c r="ES112" s="63" t="str">
        <f t="shared" si="288"/>
        <v>5800,1256.00</v>
      </c>
      <c r="ET112" s="63" t="str">
        <f t="shared" ca="1" si="289"/>
        <v>5800,-4691.19</v>
      </c>
      <c r="EU112" s="67">
        <v>594.20000000000005</v>
      </c>
      <c r="EV112" s="67" t="s">
        <v>916</v>
      </c>
      <c r="EW112" s="67">
        <v>521.11</v>
      </c>
      <c r="EX112" s="67" t="s">
        <v>917</v>
      </c>
      <c r="EY112" s="67">
        <v>5953.25</v>
      </c>
      <c r="EZ112" s="67" t="s">
        <v>918</v>
      </c>
      <c r="FA112" s="67">
        <v>21391.75</v>
      </c>
      <c r="FB112" s="67" t="s">
        <v>919</v>
      </c>
      <c r="FC112" s="67" t="s">
        <v>920</v>
      </c>
      <c r="FD112" s="67" t="s">
        <v>921</v>
      </c>
      <c r="FE112" s="68" t="s">
        <v>922</v>
      </c>
      <c r="FF112" s="68" t="s">
        <v>923</v>
      </c>
    </row>
    <row r="113" spans="1:162" s="63" customFormat="1" ht="12" customHeight="1" thickBot="1" x14ac:dyDescent="0.25">
      <c r="A113" s="2">
        <f t="shared" si="307"/>
        <v>5790</v>
      </c>
      <c r="B113" s="3">
        <f t="shared" si="251"/>
        <v>888</v>
      </c>
      <c r="C113" s="3">
        <f t="shared" si="252"/>
        <v>919</v>
      </c>
      <c r="D113" s="3">
        <f t="shared" si="253"/>
        <v>2028</v>
      </c>
      <c r="E113" s="3">
        <f t="shared" si="319"/>
        <v>3835</v>
      </c>
      <c r="F113" s="4">
        <f t="shared" si="320"/>
        <v>5809.5105513668332</v>
      </c>
      <c r="G113" s="4">
        <f t="shared" si="321"/>
        <v>577.91228676129901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-12</v>
      </c>
      <c r="AN113" s="20">
        <v>1732</v>
      </c>
      <c r="AO113" s="20">
        <v>5790</v>
      </c>
      <c r="AP113" s="20">
        <v>44</v>
      </c>
      <c r="AQ113" s="20">
        <v>-2500</v>
      </c>
      <c r="AR113" s="20"/>
      <c r="AS113" s="54">
        <f>IF(RTD("tos.rtd",,AS$83,"."&amp;$B$82&amp;$AS$82&amp;"C"&amp;$A113)="N/A",0,RTD("tos.rtd",,AS$83,"."&amp;$B$82&amp;$AS$82&amp;"C"&amp;$A113))</f>
        <v>224</v>
      </c>
      <c r="AT113" s="3">
        <f>-IF(RTD("tos.rtd",,AT$83,"."&amp;$B$82&amp;$AS$82&amp;"P"&amp;$A113)="N/A",0,RTD("tos.rtd",,AT$83,"."&amp;$B$82&amp;$AS$82&amp;"P"&amp;$A113))</f>
        <v>-664</v>
      </c>
      <c r="AU113" s="54">
        <f>IF(RTD("tos.rtd",,AU$83,"."&amp;$C$82&amp;$AU$82&amp;"C"&amp;$A113)="N/A",0,RTD("tos.rtd",,AU$83,"."&amp;$C$82&amp;$AU$82&amp;"C"&amp;$A113))</f>
        <v>291</v>
      </c>
      <c r="AV113" s="3">
        <f>-IF(RTD("tos.rtd",,AV$83,"."&amp;$C$82&amp;$AU$82&amp;"P"&amp;$A113)="N/A",0,RTD("tos.rtd",,AV$83,"."&amp;$C$82&amp;$AU$82&amp;"P"&amp;$A113))</f>
        <v>-628</v>
      </c>
      <c r="AW113" s="54">
        <f>IF(RTD("tos.rtd",,AW$83,"."&amp;$D$82&amp;$AW$82&amp;"C"&amp;$A113)="N/A",0,RTD("tos.rtd",,AW$83,"."&amp;$D$82&amp;$AW$82&amp;"C"&amp;$A113))</f>
        <v>911</v>
      </c>
      <c r="AX113" s="3">
        <f>-IF(RTD("tos.rtd",,AX$83,"."&amp;$D$82&amp;$AW$82&amp;"P"&amp;$A113)="N/A",0,RTD("tos.rtd",,AX$83,"."&amp;$D$82&amp;$AW$82&amp;"P"&amp;$A113))</f>
        <v>-1117</v>
      </c>
      <c r="AY113" s="79">
        <f t="shared" si="322"/>
        <v>-983</v>
      </c>
      <c r="AZ113" s="8">
        <f t="shared" si="255"/>
        <v>5790</v>
      </c>
      <c r="BA113" s="54">
        <f>IF(RTD("tos.rtd",,BA$83,"."&amp;$B$82&amp;$AS$82&amp;"C"&amp;$A113)="N/A",0,RTD("tos.rtd",,BA$83,"."&amp;$B$82&amp;$AS$82&amp;"C"&amp;$A113))</f>
        <v>44</v>
      </c>
      <c r="BB113" s="3">
        <f>-IF(RTD("tos.rtd",,BB$83,"."&amp;$B$82&amp;$AS$82&amp;"P"&amp;$A113)="N/A",0,RTD("tos.rtd",,BB$83,"."&amp;$B$82&amp;$AS$82&amp;"P"&amp;$A113))</f>
        <v>-2500</v>
      </c>
      <c r="BC113" s="54">
        <f>IF(RTD("tos.rtd",,BC$83,"."&amp;$C$82&amp;$AU$82&amp;"C"&amp;$A113)="N/A",0,RTD("tos.rtd",,BC$83,"."&amp;$C$82&amp;$AU$82&amp;"C"&amp;$A113))</f>
        <v>14</v>
      </c>
      <c r="BD113" s="3">
        <f>-IF(RTD("tos.rtd",,BD$83,"."&amp;$C$82&amp;$AU$82&amp;"P"&amp;$A113)="N/A",0,RTD("tos.rtd",,BD$83,"."&amp;$C$82&amp;$AU$82&amp;"P"&amp;$A113))</f>
        <v>-355</v>
      </c>
      <c r="BE113" s="54">
        <f>IF(RTD("tos.rtd",,BE$83,"."&amp;$D$82&amp;$AW$82&amp;"C"&amp;$A113)="N/A",0,RTD("tos.rtd",,BE$83,"."&amp;$D$82&amp;$AW$82&amp;"C"&amp;$A113))</f>
        <v>0</v>
      </c>
      <c r="BF113" s="3">
        <f>-IF(RTD("tos.rtd",,BF$83,"."&amp;$D$82&amp;$AW$82&amp;"P"&amp;$A113)="N/A",0,RTD("tos.rtd",,BF$83,"."&amp;$D$82&amp;$AW$82&amp;"P"&amp;$A113))</f>
        <v>-6</v>
      </c>
      <c r="BG113" s="3">
        <f ca="1">+Hoja2!Y114</f>
        <v>-3048</v>
      </c>
      <c r="BH113" s="55">
        <f t="shared" ca="1" si="292"/>
        <v>-5851</v>
      </c>
      <c r="BI113" s="32" t="str">
        <f t="shared" ca="1" si="312"/>
        <v/>
      </c>
      <c r="BJ113" s="3">
        <f ca="1">IF($BP$1=1,DX113,IF(RTD("tos.rtd",,BJ$83,"."&amp;$B$82&amp;$AS$82&amp;"C"&amp;$A113)="N/A",0,RTD("tos.rtd",,BJ$83,"."&amp;$B$82&amp;$AS$82&amp;"C"&amp;$A113)))</f>
        <v>3.6715095374669885E-17</v>
      </c>
      <c r="BK113" s="3">
        <f ca="1">IF($BP$1=1,DY113,-IF(RTD("tos.rtd",,BK$83,"."&amp;$B$82&amp;$AS$82&amp;"P"&amp;$A113)="N/A",0,RTD("tos.rtd",,BK$83,"."&amp;$B$82&amp;$AS$82&amp;"P"&amp;$A113)))</f>
        <v>-9.7871639870564784E-4</v>
      </c>
      <c r="BL113" s="3">
        <f ca="1">IF($BP$1=1,DZ113,IF(RTD("tos.rtd",,BL$83,"."&amp;$C$82&amp;$AU$82&amp;"C"&amp;$A113)="N/A",0,RTD("tos.rtd",,BL$83,"."&amp;$C$82&amp;$AU$82&amp;"C"&amp;$A113)))</f>
        <v>1.2634470908572499E-3</v>
      </c>
      <c r="BM113" s="3">
        <f ca="1">IF($BP$1=1,EA113,-IF(RTD("tos.rtd",,BM$83,"."&amp;$C$82&amp;$AU$82&amp;"P"&amp;$A113)="N/A",0,RTD("tos.rtd",,BM$83,"."&amp;$C$82&amp;$AU$82&amp;"P"&amp;$A113)))</f>
        <v>-1.539863193032024E-3</v>
      </c>
      <c r="BN113" s="3">
        <f ca="1">IF($BP$1=1,EB113,IF(RTD("tos.rtd",,BN$83,"."&amp;$D$82&amp;$AW$82&amp;"C"&amp;$A113)="N/A",0,RTD("tos.rtd",,BN$83,"."&amp;$D$82&amp;$AW$82&amp;"C"&amp;$A113)))</f>
        <v>1.3562110582570849E-3</v>
      </c>
      <c r="BO113" s="3">
        <f ca="1">IF($BP$1=1,EC113,-IF(RTD("tos.rtd",,BO$83,"."&amp;$D$82&amp;$AW$82&amp;"P"&amp;$A113)="N/A",0,RTD("tos.rtd",,BO$83,"."&amp;$D$82&amp;$AW$82&amp;"P"&amp;$A113)))</f>
        <v>-1.4555033442818263E-3</v>
      </c>
      <c r="BQ113" s="3">
        <f t="shared" ca="1" si="256"/>
        <v>-175474.24291570176</v>
      </c>
      <c r="BR113" s="3" t="str">
        <f t="shared" ca="1" si="293"/>
        <v/>
      </c>
      <c r="BS113" s="3">
        <f t="shared" ca="1" si="257"/>
        <v>-161839.35757466638</v>
      </c>
      <c r="BT113" s="3" t="str">
        <f t="shared" ca="1" si="293"/>
        <v/>
      </c>
      <c r="BU113" s="3">
        <f t="shared" ca="1" si="258"/>
        <v>-105384.00542523438</v>
      </c>
      <c r="BV113" s="3" t="str">
        <f t="shared" ca="1" si="293"/>
        <v>Cruce -</v>
      </c>
      <c r="BX113" s="3">
        <f t="shared" ca="1" si="259"/>
        <v>-660671.0953151501</v>
      </c>
      <c r="BY113" s="3" t="str">
        <f t="shared" ca="1" si="309"/>
        <v/>
      </c>
      <c r="BZ113" s="3">
        <f t="shared" ca="1" si="260"/>
        <v>-142828.16970398632</v>
      </c>
      <c r="CA113" s="3" t="str">
        <f t="shared" ca="1" si="309"/>
        <v/>
      </c>
      <c r="CB113" s="3">
        <f t="shared" ca="1" si="261"/>
        <v>-2358.049355192004</v>
      </c>
      <c r="CC113" s="3" t="str">
        <f t="shared" ca="1" si="309"/>
        <v/>
      </c>
      <c r="CD113" s="3">
        <f>IF(RTD("tos.rtd",,CD$83,"."&amp;$B$82&amp;$AS$82&amp;"C"&amp;$A113)="N/A",0,RTD("tos.rtd",,CD$83,"."&amp;$B$82&amp;$AS$82&amp;"C"&amp;$A113))</f>
        <v>1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0.97</v>
      </c>
      <c r="CG113" s="3">
        <f>-IF(RTD("tos.rtd",,CG$83,"."&amp;$C$82&amp;$AU$82&amp;"P"&amp;$A113)="N/A",0,RTD("tos.rtd",,CG$83,"."&amp;$C$82&amp;$AU$82&amp;"P"&amp;$A113))</f>
        <v>7.0000000000000007E-2</v>
      </c>
      <c r="CH113" s="3">
        <f>IF(RTD("tos.rtd",,CH$83,"."&amp;$D$82&amp;$AW$82&amp;"C"&amp;$A113)="N/A",0,RTD("tos.rtd",,CH$83,"."&amp;$D$82&amp;$AW$82&amp;"C"&amp;$A113))</f>
        <v>0.74</v>
      </c>
      <c r="CI113" s="3">
        <f>-IF(RTD("tos.rtd",,CI$83,"."&amp;$D$82&amp;$AW$82&amp;"P"&amp;$A113)="N/A",0,RTD("tos.rtd",,CI$83,"."&amp;$D$82&amp;$AW$82&amp;"P"&amp;$A113))</f>
        <v>0.28000000000000003</v>
      </c>
      <c r="CK113" s="3">
        <f t="shared" si="294"/>
        <v>132949600</v>
      </c>
      <c r="CL113" s="3"/>
      <c r="CM113" s="3">
        <f t="shared" si="295"/>
        <v>141442942.75</v>
      </c>
      <c r="CN113" s="3"/>
      <c r="CO113" s="3">
        <f t="shared" si="296"/>
        <v>214488064.49999997</v>
      </c>
      <c r="CP113" s="3">
        <f t="shared" si="262"/>
        <v>488880607.25</v>
      </c>
      <c r="CQ113" s="3">
        <f t="shared" si="263"/>
        <v>-2456</v>
      </c>
      <c r="CR113" s="3"/>
      <c r="CS113" s="3">
        <f t="shared" si="264"/>
        <v>-341</v>
      </c>
      <c r="CT113" s="3"/>
      <c r="CU113" s="3">
        <f t="shared" si="265"/>
        <v>-6</v>
      </c>
      <c r="CV113" s="3"/>
      <c r="CW113" s="3">
        <f t="shared" ca="1" si="323"/>
        <v>-442697.60591560253</v>
      </c>
      <c r="CY113" s="3">
        <f t="shared" ca="1" si="266"/>
        <v>-805857.31437432847</v>
      </c>
      <c r="CZ113" s="70" t="str">
        <f t="shared" ca="1" si="310"/>
        <v/>
      </c>
      <c r="DA113" s="3">
        <f>IF(RTD("tos.rtd",,DA$83,"."&amp;$B$82&amp;$AS$82&amp;"C"&amp;$A113)="N/A",0,RTD("tos.rtd",,DA$83,"."&amp;$B$82&amp;$AS$82&amp;"C"&amp;$A113))</f>
        <v>148</v>
      </c>
      <c r="DB113" s="3">
        <f>IF(RTD("tos.rtd",,DB$83,"."&amp;$B$82&amp;$AS$82&amp;"P"&amp;$A113)="N/A",0,RTD("tos.rtd",,DB$83,"."&amp;$B$82&amp;$AS$82&amp;"P"&amp;$A113))</f>
        <v>0.03</v>
      </c>
      <c r="DC113" s="3">
        <f>IF(RTD("tos.rtd",,DC$83,"."&amp;$B$82&amp;$AS$82&amp;"C"&amp;$A113)="N/A",0,RTD("tos.rtd",,DC$83,"."&amp;$B$82&amp;$AS$82&amp;"C"&amp;$A113))</f>
        <v>150.69999999999999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148.69999999999999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298"/>
        <v>-145.25</v>
      </c>
      <c r="DH113" s="3">
        <f t="shared" si="267"/>
        <v>0</v>
      </c>
      <c r="DI113" s="3">
        <f t="shared" si="268"/>
        <v>0</v>
      </c>
      <c r="DJ113" s="3">
        <f t="shared" si="269"/>
        <v>0</v>
      </c>
      <c r="DK113" s="3">
        <f t="shared" si="270"/>
        <v>0</v>
      </c>
      <c r="DL113" s="3">
        <f t="shared" si="271"/>
        <v>0</v>
      </c>
      <c r="DM113" s="3">
        <f t="shared" si="272"/>
        <v>0</v>
      </c>
      <c r="DN113" s="64" t="str">
        <f t="shared" si="273"/>
        <v>UNKNOWN</v>
      </c>
      <c r="DO113" s="64" t="str">
        <f t="shared" si="274"/>
        <v>UNKNOWN</v>
      </c>
      <c r="DP113" s="3">
        <f t="shared" si="275"/>
        <v>0</v>
      </c>
      <c r="DQ113" s="3">
        <f t="shared" si="276"/>
        <v>0</v>
      </c>
      <c r="DR113" s="3">
        <f t="shared" ca="1" si="277"/>
        <v>0</v>
      </c>
      <c r="DS113" s="3">
        <f t="shared" si="278"/>
        <v>0</v>
      </c>
      <c r="DT113" s="3">
        <f t="shared" si="299"/>
        <v>0</v>
      </c>
      <c r="DU113" s="3">
        <f t="shared" si="300"/>
        <v>0</v>
      </c>
      <c r="DV113" s="3">
        <f t="shared" si="301"/>
        <v>-12</v>
      </c>
      <c r="DW113" s="3">
        <f t="shared" si="302"/>
        <v>1732</v>
      </c>
      <c r="DX113" s="3">
        <f t="shared" ca="1" si="311"/>
        <v>3.6715095374669885E-17</v>
      </c>
      <c r="DY113" s="3">
        <f t="shared" ca="1" si="279"/>
        <v>-9.7871639870564784E-4</v>
      </c>
      <c r="DZ113" s="3">
        <f t="shared" ca="1" si="303"/>
        <v>1.2634470908572499E-3</v>
      </c>
      <c r="EA113" s="3">
        <f t="shared" ca="1" si="304"/>
        <v>-1.539863193032024E-3</v>
      </c>
      <c r="EB113" s="3">
        <f t="shared" ca="1" si="280"/>
        <v>1.3562110582570849E-3</v>
      </c>
      <c r="EC113" s="3">
        <f t="shared" ca="1" si="281"/>
        <v>-1.4555033442818263E-3</v>
      </c>
      <c r="ED113" s="63">
        <f t="shared" si="305"/>
        <v>1720</v>
      </c>
      <c r="EE113" s="59">
        <f t="shared" si="282"/>
        <v>0.25</v>
      </c>
      <c r="EF113" s="59">
        <f t="shared" si="283"/>
        <v>1.1591</v>
      </c>
      <c r="EG113" s="59">
        <f t="shared" si="284"/>
        <v>0.15570000000000001</v>
      </c>
      <c r="EH113" s="59">
        <f t="shared" si="285"/>
        <v>0.1981</v>
      </c>
      <c r="EI113" s="59">
        <f t="shared" si="286"/>
        <v>0.16550000000000001</v>
      </c>
      <c r="EJ113" s="59">
        <f t="shared" si="287"/>
        <v>0.1794</v>
      </c>
      <c r="EK113" s="63">
        <f t="shared" ca="1" si="306"/>
        <v>-59714910.56349764</v>
      </c>
      <c r="EL113" s="3" t="str">
        <f>RTD("tos.rtd",,EL$83,"."&amp;$B$82&amp;$AS$82&amp;"C"&amp;$A113)</f>
        <v>--</v>
      </c>
      <c r="EM113" s="3" t="str">
        <f>RTD("tos.rtd",,EM$83,"."&amp;$B$82&amp;$AS$82&amp;"P"&amp;$A113)</f>
        <v>115.91%</v>
      </c>
      <c r="EN113" s="3" t="str">
        <f>RTD("tos.rtd",,EN$83,"."&amp;$C$82&amp;$AU$82&amp;"C"&amp;$A113)</f>
        <v>15.57%</v>
      </c>
      <c r="EO113" s="3" t="str">
        <f>RTD("tos.rtd",,EO$83,"."&amp;$C$82&amp;$AU$82&amp;"P"&amp;$A113)</f>
        <v>19.81%</v>
      </c>
      <c r="EP113" s="3" t="str">
        <f>RTD("tos.rtd",,EP$83,"."&amp;$D$82&amp;$AW$82&amp;"C"&amp;$A113)</f>
        <v>16.55%</v>
      </c>
      <c r="EQ113" s="3" t="str">
        <f>RTD("tos.rtd",,EQ$83,"."&amp;$D$82&amp;$AW$82&amp;"P"&amp;$A113)</f>
        <v>17.94%</v>
      </c>
      <c r="ES113" s="63" t="str">
        <f t="shared" si="288"/>
        <v>5790,1720.00</v>
      </c>
      <c r="ET113" s="63" t="str">
        <f t="shared" ca="1" si="289"/>
        <v>5790,-805.86</v>
      </c>
      <c r="EU113" s="67">
        <v>594.35</v>
      </c>
      <c r="EV113" s="67" t="s">
        <v>924</v>
      </c>
      <c r="EW113" s="67">
        <v>521.21</v>
      </c>
      <c r="EX113" s="67" t="s">
        <v>925</v>
      </c>
      <c r="EY113" s="67">
        <v>5953.5</v>
      </c>
      <c r="EZ113" s="67" t="s">
        <v>926</v>
      </c>
      <c r="FA113" s="67">
        <v>21393.75</v>
      </c>
      <c r="FB113" s="67" t="s">
        <v>927</v>
      </c>
      <c r="FC113" s="67" t="s">
        <v>928</v>
      </c>
      <c r="FD113" s="67" t="s">
        <v>929</v>
      </c>
      <c r="FE113" s="68" t="s">
        <v>930</v>
      </c>
      <c r="FF113" s="68" t="s">
        <v>931</v>
      </c>
    </row>
    <row r="114" spans="1:162" s="63" customFormat="1" ht="12" customHeight="1" thickBot="1" x14ac:dyDescent="0.25">
      <c r="A114" s="2">
        <f t="shared" si="307"/>
        <v>5780</v>
      </c>
      <c r="B114" s="3">
        <f t="shared" si="251"/>
        <v>616</v>
      </c>
      <c r="C114" s="3">
        <f t="shared" si="252"/>
        <v>703</v>
      </c>
      <c r="D114" s="3">
        <f t="shared" si="253"/>
        <v>3674</v>
      </c>
      <c r="E114" s="3">
        <f t="shared" si="319"/>
        <v>4993</v>
      </c>
      <c r="F114" s="4">
        <f t="shared" si="320"/>
        <v>5799.476854386925</v>
      </c>
      <c r="G114" s="4">
        <f t="shared" si="321"/>
        <v>576.91416536792883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-1</v>
      </c>
      <c r="AN114" s="20">
        <v>147</v>
      </c>
      <c r="AO114" s="20">
        <v>5780</v>
      </c>
      <c r="AP114" s="20">
        <v>15</v>
      </c>
      <c r="AQ114" s="20">
        <v>-1070</v>
      </c>
      <c r="AR114" s="20"/>
      <c r="AS114" s="54">
        <f>IF(RTD("tos.rtd",,AS$83,"."&amp;$B$82&amp;$AS$82&amp;"C"&amp;$A114)="N/A",0,RTD("tos.rtd",,AS$83,"."&amp;$B$82&amp;$AS$82&amp;"C"&amp;$A114))</f>
        <v>75</v>
      </c>
      <c r="AT114" s="3">
        <f>-IF(RTD("tos.rtd",,AT$83,"."&amp;$B$82&amp;$AS$82&amp;"P"&amp;$A114)="N/A",0,RTD("tos.rtd",,AT$83,"."&amp;$B$82&amp;$AS$82&amp;"P"&amp;$A114))</f>
        <v>-541</v>
      </c>
      <c r="AU114" s="54">
        <f>IF(RTD("tos.rtd",,AU$83,"."&amp;$C$82&amp;$AU$82&amp;"C"&amp;$A114)="N/A",0,RTD("tos.rtd",,AU$83,"."&amp;$C$82&amp;$AU$82&amp;"C"&amp;$A114))</f>
        <v>347</v>
      </c>
      <c r="AV114" s="3">
        <f>-IF(RTD("tos.rtd",,AV$83,"."&amp;$C$82&amp;$AU$82&amp;"P"&amp;$A114)="N/A",0,RTD("tos.rtd",,AV$83,"."&amp;$C$82&amp;$AU$82&amp;"P"&amp;$A114))</f>
        <v>-356</v>
      </c>
      <c r="AW114" s="54">
        <f>IF(RTD("tos.rtd",,AW$83,"."&amp;$D$82&amp;$AW$82&amp;"C"&amp;$A114)="N/A",0,RTD("tos.rtd",,AW$83,"."&amp;$D$82&amp;$AW$82&amp;"C"&amp;$A114))</f>
        <v>1873</v>
      </c>
      <c r="AX114" s="3">
        <f>-IF(RTD("tos.rtd",,AX$83,"."&amp;$D$82&amp;$AW$82&amp;"P"&amp;$A114)="N/A",0,RTD("tos.rtd",,AX$83,"."&amp;$D$82&amp;$AW$82&amp;"P"&amp;$A114))</f>
        <v>-1801</v>
      </c>
      <c r="AY114" s="79">
        <f t="shared" si="322"/>
        <v>-403</v>
      </c>
      <c r="AZ114" s="8">
        <f t="shared" si="255"/>
        <v>5780</v>
      </c>
      <c r="BA114" s="54">
        <f>IF(RTD("tos.rtd",,BA$83,"."&amp;$B$82&amp;$AS$82&amp;"C"&amp;$A114)="N/A",0,RTD("tos.rtd",,BA$83,"."&amp;$B$82&amp;$AS$82&amp;"C"&amp;$A114))</f>
        <v>15</v>
      </c>
      <c r="BB114" s="3">
        <f>-IF(RTD("tos.rtd",,BB$83,"."&amp;$B$82&amp;$AS$82&amp;"P"&amp;$A114)="N/A",0,RTD("tos.rtd",,BB$83,"."&amp;$B$82&amp;$AS$82&amp;"P"&amp;$A114))</f>
        <v>-1070</v>
      </c>
      <c r="BC114" s="54">
        <f>IF(RTD("tos.rtd",,BC$83,"."&amp;$C$82&amp;$AU$82&amp;"C"&amp;$A114)="N/A",0,RTD("tos.rtd",,BC$83,"."&amp;$C$82&amp;$AU$82&amp;"C"&amp;$A114))</f>
        <v>15</v>
      </c>
      <c r="BD114" s="3">
        <f>-IF(RTD("tos.rtd",,BD$83,"."&amp;$C$82&amp;$AU$82&amp;"P"&amp;$A114)="N/A",0,RTD("tos.rtd",,BD$83,"."&amp;$C$82&amp;$AU$82&amp;"P"&amp;$A114))</f>
        <v>-97</v>
      </c>
      <c r="BE114" s="54">
        <f>IF(RTD("tos.rtd",,BE$83,"."&amp;$D$82&amp;$AW$82&amp;"C"&amp;$A114)="N/A",0,RTD("tos.rtd",,BE$83,"."&amp;$D$82&amp;$AW$82&amp;"C"&amp;$A114))</f>
        <v>0</v>
      </c>
      <c r="BF114" s="3">
        <f>-IF(RTD("tos.rtd",,BF$83,"."&amp;$D$82&amp;$AW$82&amp;"P"&amp;$A114)="N/A",0,RTD("tos.rtd",,BF$83,"."&amp;$D$82&amp;$AW$82&amp;"P"&amp;$A114))</f>
        <v>-45</v>
      </c>
      <c r="BG114" s="3">
        <f ca="1">+Hoja2!Y115</f>
        <v>-1543</v>
      </c>
      <c r="BH114" s="55">
        <f t="shared" ca="1" si="292"/>
        <v>-2725</v>
      </c>
      <c r="BI114" s="32" t="str">
        <f t="shared" ca="1" si="312"/>
        <v/>
      </c>
      <c r="BJ114" s="3">
        <f ca="1">IF($BP$1=1,DX114,IF(RTD("tos.rtd",,BJ$83,"."&amp;$B$82&amp;$AS$82&amp;"C"&amp;$A114)="N/A",0,RTD("tos.rtd",,BJ$83,"."&amp;$B$82&amp;$AS$82&amp;"C"&amp;$A114)))</f>
        <v>2.6966170529631739E-19</v>
      </c>
      <c r="BK114" s="3">
        <f ca="1">IF($BP$1=1,DY114,-IF(RTD("tos.rtd",,BK$83,"."&amp;$B$82&amp;$AS$82&amp;"P"&amp;$A114)="N/A",0,RTD("tos.rtd",,BK$83,"."&amp;$B$82&amp;$AS$82&amp;"P"&amp;$A114)))</f>
        <v>-8.9843571068716412E-4</v>
      </c>
      <c r="BL114" s="3">
        <f ca="1">IF($BP$1=1,DZ114,IF(RTD("tos.rtd",,BL$83,"."&amp;$C$82&amp;$AU$82&amp;"C"&amp;$A114)="N/A",0,RTD("tos.rtd",,BL$83,"."&amp;$C$82&amp;$AU$82&amp;"C"&amp;$A114)))</f>
        <v>9.283501276666046E-4</v>
      </c>
      <c r="BM114" s="3">
        <f ca="1">IF($BP$1=1,EA114,-IF(RTD("tos.rtd",,BM$83,"."&amp;$C$82&amp;$AU$82&amp;"P"&amp;$A114)="N/A",0,RTD("tos.rtd",,BM$83,"."&amp;$C$82&amp;$AU$82&amp;"P"&amp;$A114)))</f>
        <v>-1.4000659519569668E-3</v>
      </c>
      <c r="BN114" s="3">
        <f ca="1">IF($BP$1=1,EB114,IF(RTD("tos.rtd",,BN$83,"."&amp;$D$82&amp;$AW$82&amp;"C"&amp;$A114)="N/A",0,RTD("tos.rtd",,BN$83,"."&amp;$D$82&amp;$AW$82&amp;"C"&amp;$A114)))</f>
        <v>1.1846488816253018E-3</v>
      </c>
      <c r="BO114" s="3">
        <f ca="1">IF($BP$1=1,EC114,-IF(RTD("tos.rtd",,BO$83,"."&amp;$D$82&amp;$AW$82&amp;"P"&amp;$A114)="N/A",0,RTD("tos.rtd",,BO$83,"."&amp;$D$82&amp;$AW$82&amp;"P"&amp;$A114)))</f>
        <v>-1.2977127322168116E-3</v>
      </c>
      <c r="BQ114" s="3">
        <f t="shared" ca="1" si="256"/>
        <v>-131241.95881736439</v>
      </c>
      <c r="BR114" s="3" t="str">
        <f t="shared" ca="1" si="293"/>
        <v/>
      </c>
      <c r="BS114" s="3">
        <f t="shared" ca="1" si="257"/>
        <v>-47599.91952153662</v>
      </c>
      <c r="BT114" s="3" t="str">
        <f t="shared" ca="1" si="293"/>
        <v/>
      </c>
      <c r="BU114" s="3">
        <f t="shared" ca="1" si="258"/>
        <v>-31951.799233949627</v>
      </c>
      <c r="BV114" s="3" t="str">
        <f t="shared" ca="1" si="293"/>
        <v/>
      </c>
      <c r="BX114" s="3">
        <f t="shared" ca="1" si="259"/>
        <v>-259572.82058147853</v>
      </c>
      <c r="BY114" s="3" t="str">
        <f t="shared" ca="1" si="309"/>
        <v/>
      </c>
      <c r="BZ114" s="3">
        <f t="shared" ca="1" si="260"/>
        <v>-32909.778543642475</v>
      </c>
      <c r="CA114" s="3" t="str">
        <f t="shared" ca="1" si="309"/>
        <v/>
      </c>
      <c r="CB114" s="3">
        <f t="shared" ca="1" si="261"/>
        <v>-15768.105326502384</v>
      </c>
      <c r="CC114" s="3" t="str">
        <f t="shared" ca="1" si="309"/>
        <v/>
      </c>
      <c r="CD114" s="3">
        <f>IF(RTD("tos.rtd",,CD$83,"."&amp;$B$82&amp;$AS$82&amp;"C"&amp;$A114)="N/A",0,RTD("tos.rtd",,CD$83,"."&amp;$B$82&amp;$AS$82&amp;"C"&amp;$A114))</f>
        <v>1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0.98</v>
      </c>
      <c r="CG114" s="3">
        <f>-IF(RTD("tos.rtd",,CG$83,"."&amp;$C$82&amp;$AU$82&amp;"P"&amp;$A114)="N/A",0,RTD("tos.rtd",,CG$83,"."&amp;$C$82&amp;$AU$82&amp;"P"&amp;$A114))</f>
        <v>0.06</v>
      </c>
      <c r="CH114" s="3">
        <f>IF(RTD("tos.rtd",,CH$83,"."&amp;$D$82&amp;$AW$82&amp;"C"&amp;$A114)="N/A",0,RTD("tos.rtd",,CH$83,"."&amp;$D$82&amp;$AW$82&amp;"C"&amp;$A114))</f>
        <v>0.75</v>
      </c>
      <c r="CI114" s="3">
        <f>-IF(RTD("tos.rtd",,CI$83,"."&amp;$D$82&amp;$AW$82&amp;"P"&amp;$A114)="N/A",0,RTD("tos.rtd",,CI$83,"."&amp;$D$82&amp;$AW$82&amp;"P"&amp;$A114))</f>
        <v>0.27</v>
      </c>
      <c r="CK114" s="3">
        <f t="shared" si="294"/>
        <v>44514375</v>
      </c>
      <c r="CL114" s="3"/>
      <c r="CM114" s="3">
        <f t="shared" si="295"/>
        <v>189156417.5</v>
      </c>
      <c r="CN114" s="3"/>
      <c r="CO114" s="3">
        <f t="shared" si="296"/>
        <v>545140842</v>
      </c>
      <c r="CP114" s="3">
        <f t="shared" si="262"/>
        <v>778811634.5</v>
      </c>
      <c r="CQ114" s="3">
        <f t="shared" si="263"/>
        <v>-1055</v>
      </c>
      <c r="CR114" s="3"/>
      <c r="CS114" s="3">
        <f t="shared" si="264"/>
        <v>-82</v>
      </c>
      <c r="CT114" s="3"/>
      <c r="CU114" s="3">
        <f t="shared" si="265"/>
        <v>-45</v>
      </c>
      <c r="CV114" s="3"/>
      <c r="CW114" s="3">
        <f t="shared" ca="1" si="323"/>
        <v>-210793.67757285063</v>
      </c>
      <c r="CY114" s="3">
        <f t="shared" ca="1" si="266"/>
        <v>-308250.70445162343</v>
      </c>
      <c r="CZ114" s="70" t="str">
        <f t="shared" ca="1" si="310"/>
        <v/>
      </c>
      <c r="DA114" s="3">
        <f>IF(RTD("tos.rtd",,DA$83,"."&amp;$B$82&amp;$AS$82&amp;"C"&amp;$A114)="N/A",0,RTD("tos.rtd",,DA$83,"."&amp;$B$82&amp;$AS$82&amp;"C"&amp;$A114))</f>
        <v>153.30000000000001</v>
      </c>
      <c r="DB114" s="3">
        <f>IF(RTD("tos.rtd",,DB$83,"."&amp;$B$82&amp;$AS$82&amp;"P"&amp;$A114)="N/A",0,RTD("tos.rtd",,DB$83,"."&amp;$B$82&amp;$AS$82&amp;"P"&amp;$A114))</f>
        <v>0.03</v>
      </c>
      <c r="DC114" s="3">
        <f>IF(RTD("tos.rtd",,DC$83,"."&amp;$B$82&amp;$AS$82&amp;"C"&amp;$A114)="N/A",0,RTD("tos.rtd",,DC$83,"."&amp;$B$82&amp;$AS$82&amp;"C"&amp;$A114))</f>
        <v>160.69999999999999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158.69999999999999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298"/>
        <v>-155.25</v>
      </c>
      <c r="DH114" s="3">
        <f t="shared" si="267"/>
        <v>0</v>
      </c>
      <c r="DI114" s="3">
        <f t="shared" si="268"/>
        <v>0</v>
      </c>
      <c r="DJ114" s="3">
        <f t="shared" si="269"/>
        <v>0</v>
      </c>
      <c r="DK114" s="3">
        <f t="shared" si="270"/>
        <v>0</v>
      </c>
      <c r="DL114" s="3">
        <f t="shared" si="271"/>
        <v>0</v>
      </c>
      <c r="DM114" s="3">
        <f t="shared" si="272"/>
        <v>0</v>
      </c>
      <c r="DN114" s="64" t="str">
        <f t="shared" si="273"/>
        <v>UNKNOWN</v>
      </c>
      <c r="DO114" s="64" t="str">
        <f t="shared" si="274"/>
        <v>UNKNOWN</v>
      </c>
      <c r="DP114" s="3">
        <f t="shared" si="275"/>
        <v>0</v>
      </c>
      <c r="DQ114" s="3">
        <f t="shared" si="276"/>
        <v>0</v>
      </c>
      <c r="DR114" s="3">
        <f t="shared" ca="1" si="277"/>
        <v>0</v>
      </c>
      <c r="DS114" s="3">
        <f t="shared" si="278"/>
        <v>0</v>
      </c>
      <c r="DT114" s="3">
        <f t="shared" si="299"/>
        <v>0</v>
      </c>
      <c r="DU114" s="3">
        <f t="shared" si="300"/>
        <v>0</v>
      </c>
      <c r="DV114" s="3">
        <f t="shared" si="301"/>
        <v>-1</v>
      </c>
      <c r="DW114" s="3">
        <f t="shared" si="302"/>
        <v>147</v>
      </c>
      <c r="DX114" s="3">
        <f t="shared" ca="1" si="311"/>
        <v>2.6966170529631739E-19</v>
      </c>
      <c r="DY114" s="3">
        <f t="shared" ca="1" si="279"/>
        <v>-8.9843571068716412E-4</v>
      </c>
      <c r="DZ114" s="3">
        <f t="shared" ca="1" si="303"/>
        <v>9.283501276666046E-4</v>
      </c>
      <c r="EA114" s="3">
        <f t="shared" ca="1" si="304"/>
        <v>-1.4000659519569668E-3</v>
      </c>
      <c r="EB114" s="3">
        <f t="shared" ca="1" si="280"/>
        <v>1.1846488816253018E-3</v>
      </c>
      <c r="EC114" s="3">
        <f t="shared" ca="1" si="281"/>
        <v>-1.2977127322168116E-3</v>
      </c>
      <c r="ED114" s="63">
        <f t="shared" si="305"/>
        <v>146</v>
      </c>
      <c r="EE114" s="59">
        <f t="shared" si="282"/>
        <v>0.25</v>
      </c>
      <c r="EF114" s="59">
        <f t="shared" si="283"/>
        <v>1.2302</v>
      </c>
      <c r="EG114" s="59">
        <f t="shared" si="284"/>
        <v>0.1439</v>
      </c>
      <c r="EH114" s="59">
        <f t="shared" si="285"/>
        <v>0.2001</v>
      </c>
      <c r="EI114" s="59">
        <f t="shared" si="286"/>
        <v>0.16669999999999999</v>
      </c>
      <c r="EJ114" s="59">
        <f t="shared" si="287"/>
        <v>0.18099999999999999</v>
      </c>
      <c r="EK114" s="63">
        <f t="shared" ca="1" si="306"/>
        <v>-4652457.0644542808</v>
      </c>
      <c r="EL114" s="3" t="str">
        <f>RTD("tos.rtd",,EL$83,"."&amp;$B$82&amp;$AS$82&amp;"C"&amp;$A114)</f>
        <v>--</v>
      </c>
      <c r="EM114" s="3" t="str">
        <f>RTD("tos.rtd",,EM$83,"."&amp;$B$82&amp;$AS$82&amp;"P"&amp;$A114)</f>
        <v>123.02%</v>
      </c>
      <c r="EN114" s="3" t="str">
        <f>RTD("tos.rtd",,EN$83,"."&amp;$C$82&amp;$AU$82&amp;"C"&amp;$A114)</f>
        <v>14.39%</v>
      </c>
      <c r="EO114" s="3" t="str">
        <f>RTD("tos.rtd",,EO$83,"."&amp;$C$82&amp;$AU$82&amp;"P"&amp;$A114)</f>
        <v>20.01%</v>
      </c>
      <c r="EP114" s="3" t="str">
        <f>RTD("tos.rtd",,EP$83,"."&amp;$D$82&amp;$AW$82&amp;"C"&amp;$A114)</f>
        <v>16.67%</v>
      </c>
      <c r="EQ114" s="3" t="str">
        <f>RTD("tos.rtd",,EQ$83,"."&amp;$D$82&amp;$AW$82&amp;"P"&amp;$A114)</f>
        <v>18.10%</v>
      </c>
      <c r="ES114" s="63" t="str">
        <f t="shared" si="288"/>
        <v>5780,146.00</v>
      </c>
      <c r="ET114" s="63" t="str">
        <f t="shared" ca="1" si="289"/>
        <v>5780,-308.25</v>
      </c>
      <c r="EU114" s="67">
        <v>594.37</v>
      </c>
      <c r="EV114" s="67" t="s">
        <v>932</v>
      </c>
      <c r="EW114" s="67">
        <v>521.20000000000005</v>
      </c>
      <c r="EX114" s="67" t="s">
        <v>933</v>
      </c>
      <c r="EY114" s="67">
        <v>5953.75</v>
      </c>
      <c r="EZ114" s="67" t="s">
        <v>934</v>
      </c>
      <c r="FA114" s="67">
        <v>21393</v>
      </c>
      <c r="FB114" s="67" t="s">
        <v>935</v>
      </c>
      <c r="FC114" s="67" t="s">
        <v>936</v>
      </c>
      <c r="FD114" s="67" t="s">
        <v>937</v>
      </c>
      <c r="FE114" s="68" t="s">
        <v>938</v>
      </c>
      <c r="FF114" s="68" t="s">
        <v>939</v>
      </c>
    </row>
    <row r="115" spans="1:162" s="63" customFormat="1" ht="12" customHeight="1" thickBot="1" x14ac:dyDescent="0.25">
      <c r="A115" s="2">
        <f t="shared" si="307"/>
        <v>5770</v>
      </c>
      <c r="B115" s="3">
        <f t="shared" si="251"/>
        <v>449</v>
      </c>
      <c r="C115" s="3">
        <f t="shared" si="252"/>
        <v>2019</v>
      </c>
      <c r="D115" s="3">
        <f t="shared" si="253"/>
        <v>4324</v>
      </c>
      <c r="E115" s="3">
        <f t="shared" si="319"/>
        <v>6792</v>
      </c>
      <c r="F115" s="4">
        <f t="shared" si="320"/>
        <v>5789.4431574070177</v>
      </c>
      <c r="G115" s="4">
        <f t="shared" si="321"/>
        <v>575.91604397455876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7</v>
      </c>
      <c r="AN115" s="20">
        <v>23</v>
      </c>
      <c r="AO115" s="20">
        <v>5770</v>
      </c>
      <c r="AP115" s="20">
        <v>7</v>
      </c>
      <c r="AQ115" s="20">
        <v>-619</v>
      </c>
      <c r="AR115" s="20"/>
      <c r="AS115" s="54">
        <f>IF(RTD("tos.rtd",,AS$83,"."&amp;$B$82&amp;$AS$82&amp;"C"&amp;$A115)="N/A",0,RTD("tos.rtd",,AS$83,"."&amp;$B$82&amp;$AS$82&amp;"C"&amp;$A115))</f>
        <v>25</v>
      </c>
      <c r="AT115" s="3">
        <f>-IF(RTD("tos.rtd",,AT$83,"."&amp;$B$82&amp;$AS$82&amp;"P"&amp;$A115)="N/A",0,RTD("tos.rtd",,AT$83,"."&amp;$B$82&amp;$AS$82&amp;"P"&amp;$A115))</f>
        <v>-424</v>
      </c>
      <c r="AU115" s="54">
        <f>IF(RTD("tos.rtd",,AU$83,"."&amp;$C$82&amp;$AU$82&amp;"C"&amp;$A115)="N/A",0,RTD("tos.rtd",,AU$83,"."&amp;$C$82&amp;$AU$82&amp;"C"&amp;$A115))</f>
        <v>1435</v>
      </c>
      <c r="AV115" s="3">
        <f>-IF(RTD("tos.rtd",,AV$83,"."&amp;$C$82&amp;$AU$82&amp;"P"&amp;$A115)="N/A",0,RTD("tos.rtd",,AV$83,"."&amp;$C$82&amp;$AU$82&amp;"P"&amp;$A115))</f>
        <v>-584</v>
      </c>
      <c r="AW115" s="54">
        <f>IF(RTD("tos.rtd",,AW$83,"."&amp;$D$82&amp;$AW$82&amp;"C"&amp;$A115)="N/A",0,RTD("tos.rtd",,AW$83,"."&amp;$D$82&amp;$AW$82&amp;"C"&amp;$A115))</f>
        <v>2069</v>
      </c>
      <c r="AX115" s="3">
        <f>-IF(RTD("tos.rtd",,AX$83,"."&amp;$D$82&amp;$AW$82&amp;"P"&amp;$A115)="N/A",0,RTD("tos.rtd",,AX$83,"."&amp;$D$82&amp;$AW$82&amp;"P"&amp;$A115))</f>
        <v>-2255</v>
      </c>
      <c r="AY115" s="79">
        <f t="shared" si="322"/>
        <v>266</v>
      </c>
      <c r="AZ115" s="8">
        <f t="shared" si="255"/>
        <v>5770</v>
      </c>
      <c r="BA115" s="54">
        <f>IF(RTD("tos.rtd",,BA$83,"."&amp;$B$82&amp;$AS$82&amp;"C"&amp;$A115)="N/A",0,RTD("tos.rtd",,BA$83,"."&amp;$B$82&amp;$AS$82&amp;"C"&amp;$A115))</f>
        <v>7</v>
      </c>
      <c r="BB115" s="3">
        <f>-IF(RTD("tos.rtd",,BB$83,"."&amp;$B$82&amp;$AS$82&amp;"P"&amp;$A115)="N/A",0,RTD("tos.rtd",,BB$83,"."&amp;$B$82&amp;$AS$82&amp;"P"&amp;$A115))</f>
        <v>-619</v>
      </c>
      <c r="BC115" s="54">
        <f>IF(RTD("tos.rtd",,BC$83,"."&amp;$C$82&amp;$AU$82&amp;"C"&amp;$A115)="N/A",0,RTD("tos.rtd",,BC$83,"."&amp;$C$82&amp;$AU$82&amp;"C"&amp;$A115))</f>
        <v>9</v>
      </c>
      <c r="BD115" s="3">
        <f>-IF(RTD("tos.rtd",,BD$83,"."&amp;$C$82&amp;$AU$82&amp;"P"&amp;$A115)="N/A",0,RTD("tos.rtd",,BD$83,"."&amp;$C$82&amp;$AU$82&amp;"P"&amp;$A115))</f>
        <v>-419</v>
      </c>
      <c r="BE115" s="54">
        <f>IF(RTD("tos.rtd",,BE$83,"."&amp;$D$82&amp;$AW$82&amp;"C"&amp;$A115)="N/A",0,RTD("tos.rtd",,BE$83,"."&amp;$D$82&amp;$AW$82&amp;"C"&amp;$A115))</f>
        <v>10</v>
      </c>
      <c r="BF115" s="3">
        <f>-IF(RTD("tos.rtd",,BF$83,"."&amp;$D$82&amp;$AW$82&amp;"P"&amp;$A115)="N/A",0,RTD("tos.rtd",,BF$83,"."&amp;$D$82&amp;$AW$82&amp;"P"&amp;$A115))</f>
        <v>-6</v>
      </c>
      <c r="BG115" s="3">
        <f ca="1">+Hoja2!Y116</f>
        <v>-1479</v>
      </c>
      <c r="BH115" s="55">
        <f t="shared" ca="1" si="292"/>
        <v>-2497</v>
      </c>
      <c r="BI115" s="32" t="str">
        <f t="shared" ca="1" si="312"/>
        <v/>
      </c>
      <c r="BJ115" s="3">
        <f ca="1">IF($BP$1=1,DX115,IF(RTD("tos.rtd",,BJ$83,"."&amp;$B$82&amp;$AS$82&amp;"C"&amp;$A115)="N/A",0,RTD("tos.rtd",,BJ$83,"."&amp;$B$82&amp;$AS$82&amp;"C"&amp;$A115)))</f>
        <v>1.409022860331955E-21</v>
      </c>
      <c r="BK115" s="3">
        <f ca="1">IF($BP$1=1,DY115,-IF(RTD("tos.rtd",,BK$83,"."&amp;$B$82&amp;$AS$82&amp;"P"&amp;$A115)="N/A",0,RTD("tos.rtd",,BK$83,"."&amp;$B$82&amp;$AS$82&amp;"P"&amp;$A115)))</f>
        <v>-8.2892521026886894E-4</v>
      </c>
      <c r="BL115" s="3">
        <f ca="1">IF($BP$1=1,DZ115,IF(RTD("tos.rtd",,BL$83,"."&amp;$C$82&amp;$AU$82&amp;"C"&amp;$A115)="N/A",0,RTD("tos.rtd",,BL$83,"."&amp;$C$82&amp;$AU$82&amp;"C"&amp;$A115)))</f>
        <v>1.9010746705757292E-4</v>
      </c>
      <c r="BM115" s="3">
        <f ca="1">IF($BP$1=1,EA115,-IF(RTD("tos.rtd",,BM$83,"."&amp;$C$82&amp;$AU$82&amp;"P"&amp;$A115)="N/A",0,RTD("tos.rtd",,BM$83,"."&amp;$C$82&amp;$AU$82&amp;"P"&amp;$A115)))</f>
        <v>-1.2686582024102244E-3</v>
      </c>
      <c r="BN115" s="3">
        <f ca="1">IF($BP$1=1,EB115,IF(RTD("tos.rtd",,BN$83,"."&amp;$D$82&amp;$AW$82&amp;"C"&amp;$A115)="N/A",0,RTD("tos.rtd",,BN$83,"."&amp;$D$82&amp;$AW$82&amp;"C"&amp;$A115)))</f>
        <v>1.0326633819906978E-3</v>
      </c>
      <c r="BO115" s="3">
        <f ca="1">IF($BP$1=1,EC115,-IF(RTD("tos.rtd",,BO$83,"."&amp;$D$82&amp;$AW$82&amp;"P"&amp;$A115)="N/A",0,RTD("tos.rtd",,BO$83,"."&amp;$D$82&amp;$AW$82&amp;"P"&amp;$A115)))</f>
        <v>-1.151484923762204E-3</v>
      </c>
      <c r="BQ115" s="3">
        <f t="shared" ca="1" si="256"/>
        <v>-94900.748444236437</v>
      </c>
      <c r="BR115" s="3" t="str">
        <f t="shared" ca="1" si="293"/>
        <v/>
      </c>
      <c r="BS115" s="3">
        <f t="shared" ca="1" si="257"/>
        <v>-126392.06632746602</v>
      </c>
      <c r="BT115" s="3" t="str">
        <f t="shared" ca="1" si="293"/>
        <v/>
      </c>
      <c r="BU115" s="3">
        <f t="shared" ca="1" si="258"/>
        <v>-124211.90600069321</v>
      </c>
      <c r="BV115" s="3" t="str">
        <f t="shared" ca="1" si="293"/>
        <v/>
      </c>
      <c r="BX115" s="3">
        <f t="shared" ca="1" si="259"/>
        <v>-138546.13982778857</v>
      </c>
      <c r="BY115" s="3" t="str">
        <f t="shared" ca="1" si="309"/>
        <v/>
      </c>
      <c r="BZ115" s="3">
        <f t="shared" ca="1" si="260"/>
        <v>-143069.46765477542</v>
      </c>
      <c r="CA115" s="3" t="str">
        <f t="shared" ca="1" si="309"/>
        <v/>
      </c>
      <c r="CB115" s="3">
        <f t="shared" ca="1" si="261"/>
        <v>922.83797217558276</v>
      </c>
      <c r="CC115" s="3" t="str">
        <f t="shared" ca="1" si="309"/>
        <v>Cruce +</v>
      </c>
      <c r="CD115" s="3">
        <f>IF(RTD("tos.rtd",,CD$83,"."&amp;$B$82&amp;$AS$82&amp;"C"&amp;$A115)="N/A",0,RTD("tos.rtd",,CD$83,"."&amp;$B$82&amp;$AS$82&amp;"C"&amp;$A115))</f>
        <v>1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1</v>
      </c>
      <c r="CG115" s="3">
        <f>-IF(RTD("tos.rtd",,CG$83,"."&amp;$C$82&amp;$AU$82&amp;"P"&amp;$A115)="N/A",0,RTD("tos.rtd",,CG$83,"."&amp;$C$82&amp;$AU$82&amp;"P"&amp;$A115))</f>
        <v>0.05</v>
      </c>
      <c r="CH115" s="3">
        <f>IF(RTD("tos.rtd",,CH$83,"."&amp;$D$82&amp;$AW$82&amp;"C"&amp;$A115)="N/A",0,RTD("tos.rtd",,CH$83,"."&amp;$D$82&amp;$AW$82&amp;"C"&amp;$A115))</f>
        <v>0.76</v>
      </c>
      <c r="CI115" s="3">
        <f>-IF(RTD("tos.rtd",,CI$83,"."&amp;$D$82&amp;$AW$82&amp;"P"&amp;$A115)="N/A",0,RTD("tos.rtd",,CI$83,"."&amp;$D$82&amp;$AW$82&amp;"P"&amp;$A115))</f>
        <v>0.26</v>
      </c>
      <c r="CK115" s="3">
        <f t="shared" si="294"/>
        <v>14838125</v>
      </c>
      <c r="CL115" s="3"/>
      <c r="CM115" s="3">
        <f t="shared" si="295"/>
        <v>834377445</v>
      </c>
      <c r="CN115" s="3"/>
      <c r="CO115" s="3">
        <f t="shared" si="296"/>
        <v>585298743.5</v>
      </c>
      <c r="CP115" s="3">
        <f t="shared" si="262"/>
        <v>1434514313.5</v>
      </c>
      <c r="CQ115" s="3">
        <f t="shared" si="263"/>
        <v>-612</v>
      </c>
      <c r="CR115" s="3"/>
      <c r="CS115" s="3">
        <f t="shared" si="264"/>
        <v>-410</v>
      </c>
      <c r="CT115" s="3"/>
      <c r="CU115" s="3">
        <f t="shared" si="265"/>
        <v>4</v>
      </c>
      <c r="CV115" s="3"/>
      <c r="CW115" s="3">
        <f t="shared" ca="1" si="323"/>
        <v>-345504.72077239567</v>
      </c>
      <c r="CY115" s="3">
        <f t="shared" ca="1" si="266"/>
        <v>-280692.76951038843</v>
      </c>
      <c r="CZ115" s="70" t="str">
        <f t="shared" ca="1" si="310"/>
        <v/>
      </c>
      <c r="DA115" s="3">
        <f>IF(RTD("tos.rtd",,DA$83,"."&amp;$B$82&amp;$AS$82&amp;"C"&amp;$A115)="N/A",0,RTD("tos.rtd",,DA$83,"."&amp;$B$82&amp;$AS$82&amp;"C"&amp;$A115))</f>
        <v>180.87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170.7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168.7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298"/>
        <v>-165.25</v>
      </c>
      <c r="DH115" s="3">
        <f t="shared" si="267"/>
        <v>0</v>
      </c>
      <c r="DI115" s="3">
        <f t="shared" si="268"/>
        <v>0</v>
      </c>
      <c r="DJ115" s="3">
        <f t="shared" si="269"/>
        <v>0</v>
      </c>
      <c r="DK115" s="3">
        <f t="shared" si="270"/>
        <v>0</v>
      </c>
      <c r="DL115" s="3">
        <f t="shared" si="271"/>
        <v>0</v>
      </c>
      <c r="DM115" s="3">
        <f t="shared" si="272"/>
        <v>0</v>
      </c>
      <c r="DN115" s="64" t="str">
        <f t="shared" si="273"/>
        <v>UNKNOWN</v>
      </c>
      <c r="DO115" s="64" t="str">
        <f t="shared" si="274"/>
        <v>UNKNOWN</v>
      </c>
      <c r="DP115" s="3">
        <f t="shared" si="275"/>
        <v>0</v>
      </c>
      <c r="DQ115" s="3">
        <f t="shared" si="276"/>
        <v>0</v>
      </c>
      <c r="DR115" s="3">
        <f t="shared" ca="1" si="277"/>
        <v>0</v>
      </c>
      <c r="DS115" s="3">
        <f t="shared" si="278"/>
        <v>0</v>
      </c>
      <c r="DT115" s="3">
        <f t="shared" si="299"/>
        <v>0</v>
      </c>
      <c r="DU115" s="3">
        <f t="shared" si="300"/>
        <v>0</v>
      </c>
      <c r="DV115" s="3">
        <f t="shared" si="301"/>
        <v>7</v>
      </c>
      <c r="DW115" s="3">
        <f t="shared" si="302"/>
        <v>23</v>
      </c>
      <c r="DX115" s="3">
        <f t="shared" ca="1" si="311"/>
        <v>1.409022860331955E-21</v>
      </c>
      <c r="DY115" s="3">
        <f t="shared" ca="1" si="279"/>
        <v>-8.2892521026886894E-4</v>
      </c>
      <c r="DZ115" s="3">
        <f t="shared" ca="1" si="303"/>
        <v>1.9010746705757292E-4</v>
      </c>
      <c r="EA115" s="3">
        <f t="shared" ca="1" si="304"/>
        <v>-1.2686582024102244E-3</v>
      </c>
      <c r="EB115" s="3">
        <f t="shared" ca="1" si="280"/>
        <v>1.0326633819906978E-3</v>
      </c>
      <c r="EC115" s="3">
        <f t="shared" ca="1" si="281"/>
        <v>-1.151484923762204E-3</v>
      </c>
      <c r="ED115" s="63">
        <f t="shared" si="305"/>
        <v>30</v>
      </c>
      <c r="EE115" s="59">
        <f t="shared" si="282"/>
        <v>0.25</v>
      </c>
      <c r="EF115" s="59">
        <f t="shared" si="283"/>
        <v>1.3009999999999999</v>
      </c>
      <c r="EG115" s="59">
        <f t="shared" si="284"/>
        <v>0.1019</v>
      </c>
      <c r="EH115" s="59">
        <f t="shared" si="285"/>
        <v>0.20200000000000001</v>
      </c>
      <c r="EI115" s="59">
        <f t="shared" si="286"/>
        <v>0.16830000000000001</v>
      </c>
      <c r="EJ115" s="59">
        <f t="shared" si="287"/>
        <v>0.1825</v>
      </c>
      <c r="EK115" s="63">
        <f t="shared" ca="1" si="306"/>
        <v>-671616.28404720163</v>
      </c>
      <c r="EL115" s="3" t="str">
        <f>RTD("tos.rtd",,EL$83,"."&amp;$B$82&amp;$AS$82&amp;"C"&amp;$A115)</f>
        <v>--</v>
      </c>
      <c r="EM115" s="3" t="str">
        <f>RTD("tos.rtd",,EM$83,"."&amp;$B$82&amp;$AS$82&amp;"P"&amp;$A115)</f>
        <v>130.10%</v>
      </c>
      <c r="EN115" s="3" t="str">
        <f>RTD("tos.rtd",,EN$83,"."&amp;$C$82&amp;$AU$82&amp;"C"&amp;$A115)</f>
        <v>10.19%</v>
      </c>
      <c r="EO115" s="3" t="str">
        <f>RTD("tos.rtd",,EO$83,"."&amp;$C$82&amp;$AU$82&amp;"P"&amp;$A115)</f>
        <v>20.20%</v>
      </c>
      <c r="EP115" s="3" t="str">
        <f>RTD("tos.rtd",,EP$83,"."&amp;$D$82&amp;$AW$82&amp;"C"&amp;$A115)</f>
        <v>16.83%</v>
      </c>
      <c r="EQ115" s="3" t="str">
        <f>RTD("tos.rtd",,EQ$83,"."&amp;$D$82&amp;$AW$82&amp;"P"&amp;$A115)</f>
        <v>18.25%</v>
      </c>
      <c r="ES115" s="63" t="str">
        <f t="shared" si="288"/>
        <v>5770,30.00</v>
      </c>
      <c r="ET115" s="63" t="str">
        <f t="shared" ca="1" si="289"/>
        <v>5770,-280.69</v>
      </c>
      <c r="EU115" s="67">
        <v>594.19000000000005</v>
      </c>
      <c r="EV115" s="67" t="s">
        <v>940</v>
      </c>
      <c r="EW115" s="67">
        <v>521</v>
      </c>
      <c r="EX115" s="67" t="s">
        <v>941</v>
      </c>
      <c r="EY115" s="67">
        <v>5952.25</v>
      </c>
      <c r="EZ115" s="67" t="s">
        <v>942</v>
      </c>
      <c r="FA115" s="67">
        <v>21386.25</v>
      </c>
      <c r="FB115" s="67" t="s">
        <v>943</v>
      </c>
      <c r="FC115" s="67" t="s">
        <v>944</v>
      </c>
      <c r="FD115" s="67" t="s">
        <v>945</v>
      </c>
      <c r="FE115" s="68" t="s">
        <v>946</v>
      </c>
      <c r="FF115" s="68" t="s">
        <v>947</v>
      </c>
    </row>
    <row r="116" spans="1:162" s="63" customFormat="1" ht="12" customHeight="1" thickBot="1" x14ac:dyDescent="0.25">
      <c r="A116" s="2">
        <f t="shared" si="307"/>
        <v>5760</v>
      </c>
      <c r="B116" s="3">
        <f t="shared" si="251"/>
        <v>536</v>
      </c>
      <c r="C116" s="3">
        <f t="shared" si="252"/>
        <v>428</v>
      </c>
      <c r="D116" s="3">
        <f t="shared" si="253"/>
        <v>7208</v>
      </c>
      <c r="E116" s="3">
        <f t="shared" si="319"/>
        <v>8172</v>
      </c>
      <c r="F116" s="4">
        <f t="shared" si="320"/>
        <v>5779.4094604271095</v>
      </c>
      <c r="G116" s="4">
        <f t="shared" si="321"/>
        <v>574.91792258118858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-1</v>
      </c>
      <c r="AN116" s="20">
        <v>-115</v>
      </c>
      <c r="AO116" s="20">
        <v>5760</v>
      </c>
      <c r="AP116" s="20">
        <v>14</v>
      </c>
      <c r="AQ116" s="20">
        <v>-1910</v>
      </c>
      <c r="AR116" s="20"/>
      <c r="AS116" s="54">
        <f>IF(RTD("tos.rtd",,AS$83,"."&amp;$B$82&amp;$AS$82&amp;"C"&amp;$A116)="N/A",0,RTD("tos.rtd",,AS$83,"."&amp;$B$82&amp;$AS$82&amp;"C"&amp;$A116))</f>
        <v>27</v>
      </c>
      <c r="AT116" s="3">
        <f>-IF(RTD("tos.rtd",,AT$83,"."&amp;$B$82&amp;$AS$82&amp;"P"&amp;$A116)="N/A",0,RTD("tos.rtd",,AT$83,"."&amp;$B$82&amp;$AS$82&amp;"P"&amp;$A116))</f>
        <v>-509</v>
      </c>
      <c r="AU116" s="54">
        <f>IF(RTD("tos.rtd",,AU$83,"."&amp;$C$82&amp;$AU$82&amp;"C"&amp;$A116)="N/A",0,RTD("tos.rtd",,AU$83,"."&amp;$C$82&amp;$AU$82&amp;"C"&amp;$A116))</f>
        <v>102</v>
      </c>
      <c r="AV116" s="3">
        <f>-IF(RTD("tos.rtd",,AV$83,"."&amp;$C$82&amp;$AU$82&amp;"P"&amp;$A116)="N/A",0,RTD("tos.rtd",,AV$83,"."&amp;$C$82&amp;$AU$82&amp;"P"&amp;$A116))</f>
        <v>-326</v>
      </c>
      <c r="AW116" s="54">
        <f>IF(RTD("tos.rtd",,AW$83,"."&amp;$D$82&amp;$AW$82&amp;"C"&amp;$A116)="N/A",0,RTD("tos.rtd",,AW$83,"."&amp;$D$82&amp;$AW$82&amp;"C"&amp;$A116))</f>
        <v>3510</v>
      </c>
      <c r="AX116" s="3">
        <f>-IF(RTD("tos.rtd",,AX$83,"."&amp;$D$82&amp;$AW$82&amp;"P"&amp;$A116)="N/A",0,RTD("tos.rtd",,AX$83,"."&amp;$D$82&amp;$AW$82&amp;"P"&amp;$A116))</f>
        <v>-3698</v>
      </c>
      <c r="AY116" s="79">
        <f t="shared" si="322"/>
        <v>-894</v>
      </c>
      <c r="AZ116" s="8">
        <f t="shared" si="255"/>
        <v>5760</v>
      </c>
      <c r="BA116" s="54">
        <f>IF(RTD("tos.rtd",,BA$83,"."&amp;$B$82&amp;$AS$82&amp;"C"&amp;$A116)="N/A",0,RTD("tos.rtd",,BA$83,"."&amp;$B$82&amp;$AS$82&amp;"C"&amp;$A116))</f>
        <v>14</v>
      </c>
      <c r="BB116" s="3">
        <f>-IF(RTD("tos.rtd",,BB$83,"."&amp;$B$82&amp;$AS$82&amp;"P"&amp;$A116)="N/A",0,RTD("tos.rtd",,BB$83,"."&amp;$B$82&amp;$AS$82&amp;"P"&amp;$A116))</f>
        <v>-1910</v>
      </c>
      <c r="BC116" s="54">
        <f>IF(RTD("tos.rtd",,BC$83,"."&amp;$C$82&amp;$AU$82&amp;"C"&amp;$A116)="N/A",0,RTD("tos.rtd",,BC$83,"."&amp;$C$82&amp;$AU$82&amp;"C"&amp;$A116))</f>
        <v>1</v>
      </c>
      <c r="BD116" s="3">
        <f>-IF(RTD("tos.rtd",,BD$83,"."&amp;$C$82&amp;$AU$82&amp;"P"&amp;$A116)="N/A",0,RTD("tos.rtd",,BD$83,"."&amp;$C$82&amp;$AU$82&amp;"P"&amp;$A116))</f>
        <v>-631</v>
      </c>
      <c r="BE116" s="54">
        <f>IF(RTD("tos.rtd",,BE$83,"."&amp;$D$82&amp;$AW$82&amp;"C"&amp;$A116)="N/A",0,RTD("tos.rtd",,BE$83,"."&amp;$D$82&amp;$AW$82&amp;"C"&amp;$A116))</f>
        <v>5</v>
      </c>
      <c r="BF116" s="3">
        <f>-IF(RTD("tos.rtd",,BF$83,"."&amp;$D$82&amp;$AW$82&amp;"P"&amp;$A116)="N/A",0,RTD("tos.rtd",,BF$83,"."&amp;$D$82&amp;$AW$82&amp;"P"&amp;$A116))</f>
        <v>-27</v>
      </c>
      <c r="BG116" s="3">
        <f ca="1">+Hoja2!Y117</f>
        <v>-518</v>
      </c>
      <c r="BH116" s="55">
        <f t="shared" ca="1" si="292"/>
        <v>-3066</v>
      </c>
      <c r="BI116" s="32" t="str">
        <f t="shared" ca="1" si="312"/>
        <v/>
      </c>
      <c r="BJ116" s="3">
        <f ca="1">IF($BP$1=1,DX116,IF(RTD("tos.rtd",,BJ$83,"."&amp;$B$82&amp;$AS$82&amp;"C"&amp;$A116)="N/A",0,RTD("tos.rtd",,BJ$83,"."&amp;$B$82&amp;$AS$82&amp;"C"&amp;$A116)))</f>
        <v>5.2285061397060738E-24</v>
      </c>
      <c r="BK116" s="3">
        <f ca="1">IF($BP$1=1,DY116,-IF(RTD("tos.rtd",,BK$83,"."&amp;$B$82&amp;$AS$82&amp;"P"&amp;$A116)="N/A",0,RTD("tos.rtd",,BK$83,"."&amp;$B$82&amp;$AS$82&amp;"P"&amp;$A116)))</f>
        <v>-7.6831511570997848E-4</v>
      </c>
      <c r="BL116" s="3">
        <f ca="1">IF($BP$1=1,DZ116,IF(RTD("tos.rtd",,BL$83,"."&amp;$C$82&amp;$AU$82&amp;"C"&amp;$A116)="N/A",0,RTD("tos.rtd",,BL$83,"."&amp;$C$82&amp;$AU$82&amp;"C"&amp;$A116)))</f>
        <v>1.2946553058188735E-3</v>
      </c>
      <c r="BM116" s="3">
        <f ca="1">IF($BP$1=1,EA116,-IF(RTD("tos.rtd",,BM$83,"."&amp;$C$82&amp;$AU$82&amp;"P"&amp;$A116)="N/A",0,RTD("tos.rtd",,BM$83,"."&amp;$C$82&amp;$AU$82&amp;"P"&amp;$A116)))</f>
        <v>-1.1440244524441366E-3</v>
      </c>
      <c r="BN116" s="3">
        <f ca="1">IF($BP$1=1,EB116,IF(RTD("tos.rtd",,BN$83,"."&amp;$D$82&amp;$AW$82&amp;"C"&amp;$A116)="N/A",0,RTD("tos.rtd",,BN$83,"."&amp;$D$82&amp;$AW$82&amp;"C"&amp;$A116)))</f>
        <v>8.9155585906169725E-4</v>
      </c>
      <c r="BO116" s="3">
        <f ca="1">IF($BP$1=1,EC116,-IF(RTD("tos.rtd",,BO$83,"."&amp;$D$82&amp;$AW$82&amp;"P"&amp;$A116)="N/A",0,RTD("tos.rtd",,BO$83,"."&amp;$D$82&amp;$AW$82&amp;"P"&amp;$A116)))</f>
        <v>-1.018240733225366E-3</v>
      </c>
      <c r="BQ116" s="3">
        <f t="shared" ca="1" si="256"/>
        <v>-105595.5441902203</v>
      </c>
      <c r="BR116" s="3" t="str">
        <f t="shared" ca="1" si="293"/>
        <v/>
      </c>
      <c r="BS116" s="3">
        <f t="shared" ca="1" si="257"/>
        <v>-65045.919797078881</v>
      </c>
      <c r="BT116" s="3" t="str">
        <f t="shared" ca="1" si="293"/>
        <v/>
      </c>
      <c r="BU116" s="3">
        <f t="shared" ca="1" si="258"/>
        <v>-171754.91056070849</v>
      </c>
      <c r="BV116" s="3" t="str">
        <f t="shared" ca="1" si="293"/>
        <v/>
      </c>
      <c r="BX116" s="3">
        <f t="shared" ca="1" si="259"/>
        <v>-396242.61179434333</v>
      </c>
      <c r="BY116" s="3" t="str">
        <f t="shared" ca="1" si="309"/>
        <v/>
      </c>
      <c r="BZ116" s="3">
        <f t="shared" ca="1" si="260"/>
        <v>-194568.94056695967</v>
      </c>
      <c r="CA116" s="3" t="str">
        <f t="shared" ca="1" si="309"/>
        <v/>
      </c>
      <c r="CB116" s="3">
        <f t="shared" ca="1" si="261"/>
        <v>-6219.7278166844899</v>
      </c>
      <c r="CC116" s="3" t="str">
        <f t="shared" ca="1" si="309"/>
        <v>Cruce -</v>
      </c>
      <c r="CD116" s="3">
        <f>IF(RTD("tos.rtd",,CD$83,"."&amp;$B$82&amp;$AS$82&amp;"C"&amp;$A116)="N/A",0,RTD("tos.rtd",,CD$83,"."&amp;$B$82&amp;$AS$82&amp;"C"&amp;$A116))</f>
        <v>1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1</v>
      </c>
      <c r="CG116" s="3">
        <f>-IF(RTD("tos.rtd",,CG$83,"."&amp;$C$82&amp;$AU$82&amp;"P"&amp;$A116)="N/A",0,RTD("tos.rtd",,CG$83,"."&amp;$C$82&amp;$AU$82&amp;"P"&amp;$A116))</f>
        <v>0.04</v>
      </c>
      <c r="CH116" s="3">
        <f>IF(RTD("tos.rtd",,CH$83,"."&amp;$D$82&amp;$AW$82&amp;"C"&amp;$A116)="N/A",0,RTD("tos.rtd",,CH$83,"."&amp;$D$82&amp;$AW$82&amp;"C"&amp;$A116))</f>
        <v>0.77</v>
      </c>
      <c r="CI116" s="3">
        <f>-IF(RTD("tos.rtd",,CI$83,"."&amp;$D$82&amp;$AW$82&amp;"P"&amp;$A116)="N/A",0,RTD("tos.rtd",,CI$83,"."&amp;$D$82&amp;$AW$82&amp;"P"&amp;$A116))</f>
        <v>0.25</v>
      </c>
      <c r="CK116" s="3">
        <f t="shared" si="294"/>
        <v>16025175</v>
      </c>
      <c r="CL116" s="3"/>
      <c r="CM116" s="3">
        <f t="shared" si="295"/>
        <v>52799984</v>
      </c>
      <c r="CN116" s="3"/>
      <c r="CO116" s="3">
        <f t="shared" si="296"/>
        <v>1055406155</v>
      </c>
      <c r="CP116" s="3">
        <f t="shared" si="262"/>
        <v>1124231314</v>
      </c>
      <c r="CQ116" s="3">
        <f t="shared" si="263"/>
        <v>-1896</v>
      </c>
      <c r="CR116" s="3"/>
      <c r="CS116" s="3">
        <f t="shared" si="264"/>
        <v>-630</v>
      </c>
      <c r="CT116" s="3"/>
      <c r="CU116" s="3">
        <f t="shared" si="265"/>
        <v>-22</v>
      </c>
      <c r="CV116" s="3"/>
      <c r="CW116" s="3">
        <f t="shared" ca="1" si="323"/>
        <v>-342396.37454800768</v>
      </c>
      <c r="CY116" s="3">
        <f t="shared" ca="1" si="266"/>
        <v>-597031.28017798753</v>
      </c>
      <c r="CZ116" s="70" t="str">
        <f t="shared" ca="1" si="310"/>
        <v/>
      </c>
      <c r="DA116" s="3">
        <f>IF(RTD("tos.rtd",,DA$83,"."&amp;$B$82&amp;$AS$82&amp;"C"&amp;$A116)="N/A",0,RTD("tos.rtd",,DA$83,"."&amp;$B$82&amp;$AS$82&amp;"C"&amp;$A116))</f>
        <v>168.09</v>
      </c>
      <c r="DB116" s="3">
        <f>IF(RTD("tos.rtd",,DB$83,"."&amp;$B$82&amp;$AS$82&amp;"P"&amp;$A116)="N/A",0,RTD("tos.rtd",,DB$83,"."&amp;$B$82&amp;$AS$82&amp;"P"&amp;$A116))</f>
        <v>0.03</v>
      </c>
      <c r="DC116" s="3">
        <f>IF(RTD("tos.rtd",,DC$83,"."&amp;$B$82&amp;$AS$82&amp;"C"&amp;$A116)="N/A",0,RTD("tos.rtd",,DC$83,"."&amp;$B$82&amp;$AS$82&amp;"C"&amp;$A116))</f>
        <v>180.7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178.7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298"/>
        <v>-175.25</v>
      </c>
      <c r="DH116" s="3">
        <f t="shared" si="267"/>
        <v>0</v>
      </c>
      <c r="DI116" s="3">
        <f t="shared" si="268"/>
        <v>0</v>
      </c>
      <c r="DJ116" s="3">
        <f t="shared" si="269"/>
        <v>0</v>
      </c>
      <c r="DK116" s="3">
        <f t="shared" si="270"/>
        <v>0</v>
      </c>
      <c r="DL116" s="3">
        <f t="shared" si="271"/>
        <v>0</v>
      </c>
      <c r="DM116" s="3">
        <f t="shared" si="272"/>
        <v>0</v>
      </c>
      <c r="DN116" s="64" t="str">
        <f t="shared" si="273"/>
        <v>UNKNOWN</v>
      </c>
      <c r="DO116" s="64" t="str">
        <f t="shared" si="274"/>
        <v>UNKNOWN</v>
      </c>
      <c r="DP116" s="3">
        <f t="shared" si="275"/>
        <v>0</v>
      </c>
      <c r="DQ116" s="3">
        <f t="shared" si="276"/>
        <v>0</v>
      </c>
      <c r="DR116" s="3">
        <f t="shared" ca="1" si="277"/>
        <v>0</v>
      </c>
      <c r="DS116" s="3">
        <f t="shared" si="278"/>
        <v>0</v>
      </c>
      <c r="DT116" s="3">
        <f t="shared" si="299"/>
        <v>0</v>
      </c>
      <c r="DU116" s="3">
        <f t="shared" si="300"/>
        <v>0</v>
      </c>
      <c r="DV116" s="3">
        <f t="shared" si="301"/>
        <v>-1</v>
      </c>
      <c r="DW116" s="3">
        <f t="shared" si="302"/>
        <v>-115</v>
      </c>
      <c r="DX116" s="3">
        <f t="shared" ca="1" si="311"/>
        <v>5.2285061397060738E-24</v>
      </c>
      <c r="DY116" s="3">
        <f t="shared" ca="1" si="279"/>
        <v>-7.6831511570997848E-4</v>
      </c>
      <c r="DZ116" s="3">
        <f t="shared" ca="1" si="303"/>
        <v>1.2946553058188735E-3</v>
      </c>
      <c r="EA116" s="3">
        <f t="shared" ca="1" si="304"/>
        <v>-1.1440244524441366E-3</v>
      </c>
      <c r="EB116" s="3">
        <f t="shared" ca="1" si="280"/>
        <v>8.9155585906169725E-4</v>
      </c>
      <c r="EC116" s="3">
        <f t="shared" ca="1" si="281"/>
        <v>-1.018240733225366E-3</v>
      </c>
      <c r="ED116" s="63">
        <f t="shared" si="305"/>
        <v>-116</v>
      </c>
      <c r="EE116" s="59">
        <f t="shared" si="282"/>
        <v>0.25</v>
      </c>
      <c r="EF116" s="59">
        <f t="shared" si="283"/>
        <v>1.3715999999999999</v>
      </c>
      <c r="EG116" s="59">
        <f t="shared" si="284"/>
        <v>0.25</v>
      </c>
      <c r="EH116" s="59">
        <f t="shared" si="285"/>
        <v>0.20349999999999999</v>
      </c>
      <c r="EI116" s="59">
        <f t="shared" si="286"/>
        <v>0.1694</v>
      </c>
      <c r="EJ116" s="59">
        <f t="shared" si="287"/>
        <v>0.18410000000000001</v>
      </c>
      <c r="EK116" s="63">
        <f t="shared" ca="1" si="306"/>
        <v>3112542.220926411</v>
      </c>
      <c r="EL116" s="3" t="str">
        <f>RTD("tos.rtd",,EL$83,"."&amp;$B$82&amp;$AS$82&amp;"C"&amp;$A116)</f>
        <v>--</v>
      </c>
      <c r="EM116" s="3" t="str">
        <f>RTD("tos.rtd",,EM$83,"."&amp;$B$82&amp;$AS$82&amp;"P"&amp;$A116)</f>
        <v>137.16%</v>
      </c>
      <c r="EN116" s="3" t="str">
        <f>RTD("tos.rtd",,EN$83,"."&amp;$C$82&amp;$AU$82&amp;"C"&amp;$A116)</f>
        <v>--</v>
      </c>
      <c r="EO116" s="3" t="str">
        <f>RTD("tos.rtd",,EO$83,"."&amp;$C$82&amp;$AU$82&amp;"P"&amp;$A116)</f>
        <v>20.35%</v>
      </c>
      <c r="EP116" s="3" t="str">
        <f>RTD("tos.rtd",,EP$83,"."&amp;$D$82&amp;$AW$82&amp;"C"&amp;$A116)</f>
        <v>16.94%</v>
      </c>
      <c r="EQ116" s="3" t="str">
        <f>RTD("tos.rtd",,EQ$83,"."&amp;$D$82&amp;$AW$82&amp;"P"&amp;$A116)</f>
        <v>18.41%</v>
      </c>
      <c r="ES116" s="63" t="str">
        <f t="shared" si="288"/>
        <v>5760,-116.00</v>
      </c>
      <c r="ET116" s="63" t="str">
        <f t="shared" ca="1" si="289"/>
        <v>5760,-597.03</v>
      </c>
      <c r="EU116" s="67">
        <v>594.13</v>
      </c>
      <c r="EV116" s="67" t="s">
        <v>948</v>
      </c>
      <c r="EW116" s="67">
        <v>520.91999999999996</v>
      </c>
      <c r="EX116" s="67" t="s">
        <v>949</v>
      </c>
      <c r="EY116" s="67">
        <v>5951</v>
      </c>
      <c r="EZ116" s="67" t="s">
        <v>950</v>
      </c>
      <c r="FA116" s="67">
        <v>21381.5</v>
      </c>
      <c r="FB116" s="67" t="s">
        <v>951</v>
      </c>
      <c r="FC116" s="67" t="s">
        <v>952</v>
      </c>
      <c r="FD116" s="67" t="s">
        <v>953</v>
      </c>
      <c r="FE116" s="68" t="s">
        <v>954</v>
      </c>
      <c r="FF116" s="68" t="s">
        <v>955</v>
      </c>
    </row>
    <row r="117" spans="1:162" s="63" customFormat="1" ht="12" customHeight="1" thickBot="1" x14ac:dyDescent="0.25">
      <c r="A117" s="2">
        <f t="shared" si="307"/>
        <v>5750</v>
      </c>
      <c r="B117" s="3">
        <f t="shared" si="251"/>
        <v>4032</v>
      </c>
      <c r="C117" s="3">
        <f t="shared" si="252"/>
        <v>4380</v>
      </c>
      <c r="D117" s="3">
        <f t="shared" si="253"/>
        <v>56321</v>
      </c>
      <c r="E117" s="3">
        <f>SUM(B117:D117)</f>
        <v>64733</v>
      </c>
      <c r="F117" s="4">
        <f>+$F$84/$A$84*A117</f>
        <v>5769.3757634472013</v>
      </c>
      <c r="G117" s="4">
        <f>+$G$84/$A$84*A117</f>
        <v>573.91980118781851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52</v>
      </c>
      <c r="AN117" s="20">
        <v>-471</v>
      </c>
      <c r="AO117" s="20">
        <v>5750</v>
      </c>
      <c r="AP117" s="20">
        <v>126</v>
      </c>
      <c r="AQ117" s="20">
        <v>-864</v>
      </c>
      <c r="AR117" s="20"/>
      <c r="AS117" s="54">
        <f>IF(RTD("tos.rtd",,AS$83,"."&amp;$B$82&amp;$AS$82&amp;"C"&amp;$A117)="N/A",0,RTD("tos.rtd",,AS$83,"."&amp;$B$82&amp;$AS$82&amp;"C"&amp;$A117))</f>
        <v>157</v>
      </c>
      <c r="AT117" s="3">
        <f>-IF(RTD("tos.rtd",,AT$83,"."&amp;$B$82&amp;$AS$82&amp;"P"&amp;$A117)="N/A",0,RTD("tos.rtd",,AT$83,"."&amp;$B$82&amp;$AS$82&amp;"P"&amp;$A117))</f>
        <v>-3875</v>
      </c>
      <c r="AU117" s="54">
        <f>IF(RTD("tos.rtd",,AU$83,"."&amp;$C$82&amp;$AU$82&amp;"C"&amp;$A117)="N/A",0,RTD("tos.rtd",,AU$83,"."&amp;$C$82&amp;$AU$82&amp;"C"&amp;$A117))</f>
        <v>1594</v>
      </c>
      <c r="AV117" s="3">
        <f>-IF(RTD("tos.rtd",,AV$83,"."&amp;$C$82&amp;$AU$82&amp;"P"&amp;$A117)="N/A",0,RTD("tos.rtd",,AV$83,"."&amp;$C$82&amp;$AU$82&amp;"P"&amp;$A117))</f>
        <v>-2786</v>
      </c>
      <c r="AW117" s="54">
        <f>IF(RTD("tos.rtd",,AW$83,"."&amp;$D$82&amp;$AW$82&amp;"C"&amp;$A117)="N/A",0,RTD("tos.rtd",,AW$83,"."&amp;$D$82&amp;$AW$82&amp;"C"&amp;$A117))</f>
        <v>26120</v>
      </c>
      <c r="AX117" s="3">
        <f>-IF(RTD("tos.rtd",,AX$83,"."&amp;$D$82&amp;$AW$82&amp;"P"&amp;$A117)="N/A",0,RTD("tos.rtd",,AX$83,"."&amp;$D$82&amp;$AW$82&amp;"P"&amp;$A117))</f>
        <v>-30201</v>
      </c>
      <c r="AY117" s="79">
        <f>SUM(AS117:AX117)</f>
        <v>-8991</v>
      </c>
      <c r="AZ117" s="8">
        <f t="shared" si="255"/>
        <v>5750</v>
      </c>
      <c r="BA117" s="54">
        <f>IF(RTD("tos.rtd",,BA$83,"."&amp;$B$82&amp;$AS$82&amp;"C"&amp;$A117)="N/A",0,RTD("tos.rtd",,BA$83,"."&amp;$B$82&amp;$AS$82&amp;"C"&amp;$A117))</f>
        <v>126</v>
      </c>
      <c r="BB117" s="3">
        <f>-IF(RTD("tos.rtd",,BB$83,"."&amp;$B$82&amp;$AS$82&amp;"P"&amp;$A117)="N/A",0,RTD("tos.rtd",,BB$83,"."&amp;$B$82&amp;$AS$82&amp;"P"&amp;$A117))</f>
        <v>-864</v>
      </c>
      <c r="BC117" s="54">
        <f>IF(RTD("tos.rtd",,BC$83,"."&amp;$C$82&amp;$AU$82&amp;"C"&amp;$A117)="N/A",0,RTD("tos.rtd",,BC$83,"."&amp;$C$82&amp;$AU$82&amp;"C"&amp;$A117))</f>
        <v>38</v>
      </c>
      <c r="BD117" s="3">
        <f>-IF(RTD("tos.rtd",,BD$83,"."&amp;$C$82&amp;$AU$82&amp;"P"&amp;$A117)="N/A",0,RTD("tos.rtd",,BD$83,"."&amp;$C$82&amp;$AU$82&amp;"P"&amp;$A117))</f>
        <v>-3284</v>
      </c>
      <c r="BE117" s="54">
        <f>IF(RTD("tos.rtd",,BE$83,"."&amp;$D$82&amp;$AW$82&amp;"C"&amp;$A117)="N/A",0,RTD("tos.rtd",,BE$83,"."&amp;$D$82&amp;$AW$82&amp;"C"&amp;$A117))</f>
        <v>10</v>
      </c>
      <c r="BF117" s="3">
        <f>-IF(RTD("tos.rtd",,BF$83,"."&amp;$D$82&amp;$AW$82&amp;"P"&amp;$A117)="N/A",0,RTD("tos.rtd",,BF$83,"."&amp;$D$82&amp;$AW$82&amp;"P"&amp;$A117))</f>
        <v>-2432</v>
      </c>
      <c r="BG117" s="3">
        <f ca="1">+Hoja2!Y118</f>
        <v>-4118</v>
      </c>
      <c r="BH117" s="55">
        <f t="shared" ca="1" si="292"/>
        <v>-10524</v>
      </c>
      <c r="BI117" s="32" t="str">
        <f t="shared" ca="1" si="312"/>
        <v/>
      </c>
      <c r="BJ117" s="3">
        <f ca="1">IF($BP$1=1,DX117,IF(RTD("tos.rtd",,BJ$83,"."&amp;$B$82&amp;$AS$82&amp;"C"&amp;$A117)="N/A",0,RTD("tos.rtd",,BJ$83,"."&amp;$B$82&amp;$AS$82&amp;"C"&amp;$A117)))</f>
        <v>1.3754026275086523E-26</v>
      </c>
      <c r="BK117" s="3">
        <f ca="1">IF($BP$1=1,DY117,-IF(RTD("tos.rtd",,BK$83,"."&amp;$B$82&amp;$AS$82&amp;"P"&amp;$A117)="N/A",0,RTD("tos.rtd",,BK$83,"."&amp;$B$82&amp;$AS$82&amp;"P"&amp;$A117)))</f>
        <v>-7.1514557799071848E-4</v>
      </c>
      <c r="BL117" s="3">
        <f ca="1">IF($BP$1=1,DZ117,IF(RTD("tos.rtd",,BL$83,"."&amp;$C$82&amp;$AU$82&amp;"C"&amp;$A117)="N/A",0,RTD("tos.rtd",,BL$83,"."&amp;$C$82&amp;$AU$82&amp;"C"&amp;$A117)))</f>
        <v>1.198921763987393E-3</v>
      </c>
      <c r="BM117" s="3">
        <f ca="1">IF($BP$1=1,EA117,-IF(RTD("tos.rtd",,BM$83,"."&amp;$C$82&amp;$AU$82&amp;"P"&amp;$A117)="N/A",0,RTD("tos.rtd",,BM$83,"."&amp;$C$82&amp;$AU$82&amp;"P"&amp;$A117)))</f>
        <v>-1.0314489045497753E-3</v>
      </c>
      <c r="BN117" s="3">
        <f ca="1">IF($BP$1=1,EB117,IF(RTD("tos.rtd",,BN$83,"."&amp;$D$82&amp;$AW$82&amp;"C"&amp;$A117)="N/A",0,RTD("tos.rtd",,BN$83,"."&amp;$D$82&amp;$AW$82&amp;"C"&amp;$A117)))</f>
        <v>7.6828048923371635E-4</v>
      </c>
      <c r="BO117" s="3">
        <f ca="1">IF($BP$1=1,EC117,-IF(RTD("tos.rtd",,BO$83,"."&amp;$D$82&amp;$AW$82&amp;"P"&amp;$A117)="N/A",0,RTD("tos.rtd",,BO$83,"."&amp;$D$82&amp;$AW$82&amp;"P"&amp;$A117)))</f>
        <v>-8.9627853492193989E-4</v>
      </c>
      <c r="BQ117" s="3">
        <f t="shared" ca="1" si="256"/>
        <v>-748263.56242312258</v>
      </c>
      <c r="BR117" s="3" t="str">
        <f t="shared" ca="1" si="293"/>
        <v/>
      </c>
      <c r="BS117" s="3">
        <f t="shared" ca="1" si="257"/>
        <v>-259899.30850404344</v>
      </c>
      <c r="BT117" s="3" t="str">
        <f t="shared" ca="1" si="293"/>
        <v/>
      </c>
      <c r="BU117" s="3">
        <f t="shared" ca="1" si="258"/>
        <v>-1890383.2206550762</v>
      </c>
      <c r="BV117" s="3" t="str">
        <f t="shared" ca="1" si="293"/>
        <v/>
      </c>
      <c r="BX117" s="3">
        <f t="shared" ca="1" si="259"/>
        <v>-166838.63688608466</v>
      </c>
      <c r="BY117" s="3" t="str">
        <f t="shared" ca="1" si="309"/>
        <v/>
      </c>
      <c r="BZ117" s="3">
        <f t="shared" ca="1" si="260"/>
        <v>-902315.42900050688</v>
      </c>
      <c r="CA117" s="3" t="str">
        <f t="shared" ca="1" si="309"/>
        <v/>
      </c>
      <c r="CB117" s="3">
        <f t="shared" ca="1" si="261"/>
        <v>-586491.29261832708</v>
      </c>
      <c r="CC117" s="3" t="str">
        <f t="shared" ca="1" si="309"/>
        <v/>
      </c>
      <c r="CD117" s="3">
        <f>IF(RTD("tos.rtd",,CD$83,"."&amp;$B$82&amp;$AS$82&amp;"C"&amp;$A117)="N/A",0,RTD("tos.rtd",,CD$83,"."&amp;$B$82&amp;$AS$82&amp;"C"&amp;$A117))</f>
        <v>1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1</v>
      </c>
      <c r="CG117" s="3">
        <f>-IF(RTD("tos.rtd",,CG$83,"."&amp;$C$82&amp;$AU$82&amp;"P"&amp;$A117)="N/A",0,RTD("tos.rtd",,CG$83,"."&amp;$C$82&amp;$AU$82&amp;"P"&amp;$A117))</f>
        <v>0.04</v>
      </c>
      <c r="CH117" s="3">
        <f>IF(RTD("tos.rtd",,CH$83,"."&amp;$D$82&amp;$AW$82&amp;"C"&amp;$A117)="N/A",0,RTD("tos.rtd",,CH$83,"."&amp;$D$82&amp;$AW$82&amp;"C"&amp;$A117))</f>
        <v>0.78</v>
      </c>
      <c r="CI117" s="3">
        <f>-IF(RTD("tos.rtd",,CI$83,"."&amp;$D$82&amp;$AW$82&amp;"P"&amp;$A117)="N/A",0,RTD("tos.rtd",,CI$83,"."&amp;$D$82&amp;$AW$82&amp;"P"&amp;$A117))</f>
        <v>0.24</v>
      </c>
      <c r="CK117" s="3">
        <f t="shared" si="294"/>
        <v>93183425</v>
      </c>
      <c r="CL117" s="3"/>
      <c r="CM117" s="3">
        <f t="shared" si="295"/>
        <v>879936424</v>
      </c>
      <c r="CN117" s="3"/>
      <c r="CO117" s="3">
        <f t="shared" si="296"/>
        <v>7790229294.0000019</v>
      </c>
      <c r="CP117" s="3">
        <f t="shared" si="262"/>
        <v>8763349143.0000019</v>
      </c>
      <c r="CQ117" s="3">
        <f t="shared" si="263"/>
        <v>-738</v>
      </c>
      <c r="CR117" s="3"/>
      <c r="CS117" s="3">
        <f t="shared" si="264"/>
        <v>-3246</v>
      </c>
      <c r="CT117" s="3"/>
      <c r="CU117" s="3">
        <f t="shared" si="265"/>
        <v>-2422</v>
      </c>
      <c r="CV117" s="3"/>
      <c r="CW117" s="3">
        <f ca="1">+BQ117+BS117+BU117</f>
        <v>-2898546.0915822424</v>
      </c>
      <c r="CY117" s="3">
        <f t="shared" ca="1" si="266"/>
        <v>-1655645.3585049186</v>
      </c>
      <c r="CZ117" s="70" t="str">
        <f t="shared" ca="1" si="310"/>
        <v/>
      </c>
      <c r="DA117" s="3">
        <f>IF(RTD("tos.rtd",,DA$83,"."&amp;$B$82&amp;$AS$82&amp;"C"&amp;$A117)="N/A",0,RTD("tos.rtd",,DA$83,"."&amp;$B$82&amp;$AS$82&amp;"C"&amp;$A117))</f>
        <v>183.75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190.7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188.7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298"/>
        <v>-185.25</v>
      </c>
      <c r="DH117" s="3">
        <f t="shared" si="267"/>
        <v>0</v>
      </c>
      <c r="DI117" s="3">
        <f t="shared" si="268"/>
        <v>0</v>
      </c>
      <c r="DJ117" s="3">
        <f t="shared" si="269"/>
        <v>0</v>
      </c>
      <c r="DK117" s="3">
        <f t="shared" si="270"/>
        <v>0</v>
      </c>
      <c r="DL117" s="3">
        <f t="shared" si="271"/>
        <v>0</v>
      </c>
      <c r="DM117" s="3">
        <f t="shared" si="272"/>
        <v>0</v>
      </c>
      <c r="DN117" s="64" t="str">
        <f t="shared" si="273"/>
        <v>UNKNOWN</v>
      </c>
      <c r="DO117" s="64" t="str">
        <f t="shared" si="274"/>
        <v>UNKNOWN</v>
      </c>
      <c r="DP117" s="3">
        <f t="shared" si="275"/>
        <v>0</v>
      </c>
      <c r="DQ117" s="3">
        <f t="shared" si="276"/>
        <v>0</v>
      </c>
      <c r="DR117" s="3">
        <f t="shared" ca="1" si="277"/>
        <v>0</v>
      </c>
      <c r="DS117" s="3">
        <f t="shared" si="278"/>
        <v>0</v>
      </c>
      <c r="DT117" s="3">
        <f t="shared" si="299"/>
        <v>0</v>
      </c>
      <c r="DU117" s="3">
        <f t="shared" si="300"/>
        <v>0</v>
      </c>
      <c r="DV117" s="3">
        <f t="shared" si="301"/>
        <v>52</v>
      </c>
      <c r="DW117" s="3">
        <f t="shared" si="302"/>
        <v>-471</v>
      </c>
      <c r="DX117" s="3">
        <f t="shared" ca="1" si="311"/>
        <v>1.3754026275086523E-26</v>
      </c>
      <c r="DY117" s="3">
        <f t="shared" ca="1" si="279"/>
        <v>-7.1514557799071848E-4</v>
      </c>
      <c r="DZ117" s="3">
        <f t="shared" ca="1" si="303"/>
        <v>1.198921763987393E-3</v>
      </c>
      <c r="EA117" s="3">
        <f t="shared" ca="1" si="304"/>
        <v>-1.0314489045497753E-3</v>
      </c>
      <c r="EB117" s="3">
        <f t="shared" ca="1" si="280"/>
        <v>7.6828048923371635E-4</v>
      </c>
      <c r="EC117" s="3">
        <f t="shared" ca="1" si="281"/>
        <v>-8.9627853492193989E-4</v>
      </c>
      <c r="ED117" s="63">
        <f t="shared" si="305"/>
        <v>-419</v>
      </c>
      <c r="EE117" s="59">
        <f t="shared" si="282"/>
        <v>0.25</v>
      </c>
      <c r="EF117" s="59">
        <f t="shared" si="283"/>
        <v>1.4420999999999999</v>
      </c>
      <c r="EG117" s="59">
        <f t="shared" si="284"/>
        <v>0.25</v>
      </c>
      <c r="EH117" s="59">
        <f t="shared" si="285"/>
        <v>0.2056</v>
      </c>
      <c r="EI117" s="59">
        <f t="shared" si="286"/>
        <v>0.17080000000000001</v>
      </c>
      <c r="EJ117" s="59">
        <f t="shared" si="287"/>
        <v>0.18559999999999999</v>
      </c>
      <c r="EK117" s="63">
        <f t="shared" ca="1" si="306"/>
        <v>11865700.934452817</v>
      </c>
      <c r="EL117" s="3" t="str">
        <f>RTD("tos.rtd",,EL$83,"."&amp;$B$82&amp;$AS$82&amp;"C"&amp;$A117)</f>
        <v>--</v>
      </c>
      <c r="EM117" s="3" t="str">
        <f>RTD("tos.rtd",,EM$83,"."&amp;$B$82&amp;$AS$82&amp;"P"&amp;$A117)</f>
        <v>144.21%</v>
      </c>
      <c r="EN117" s="3" t="str">
        <f>RTD("tos.rtd",,EN$83,"."&amp;$C$82&amp;$AU$82&amp;"C"&amp;$A117)</f>
        <v>--</v>
      </c>
      <c r="EO117" s="3" t="str">
        <f>RTD("tos.rtd",,EO$83,"."&amp;$C$82&amp;$AU$82&amp;"P"&amp;$A117)</f>
        <v>20.56%</v>
      </c>
      <c r="EP117" s="3" t="str">
        <f>RTD("tos.rtd",,EP$83,"."&amp;$D$82&amp;$AW$82&amp;"C"&amp;$A117)</f>
        <v>17.08%</v>
      </c>
      <c r="EQ117" s="3" t="str">
        <f>RTD("tos.rtd",,EQ$83,"."&amp;$D$82&amp;$AW$82&amp;"P"&amp;$A117)</f>
        <v>18.56%</v>
      </c>
      <c r="ES117" s="63" t="str">
        <f t="shared" si="288"/>
        <v>5750,-419.00</v>
      </c>
      <c r="ET117" s="63" t="str">
        <f t="shared" ca="1" si="289"/>
        <v>5750,-1655.65</v>
      </c>
      <c r="EU117" s="67">
        <v>594.08000000000004</v>
      </c>
      <c r="EV117" s="67" t="s">
        <v>956</v>
      </c>
      <c r="EW117" s="67">
        <v>520.91</v>
      </c>
      <c r="EX117" s="67" t="s">
        <v>957</v>
      </c>
      <c r="EY117" s="67">
        <v>5950.75</v>
      </c>
      <c r="EZ117" s="67" t="s">
        <v>958</v>
      </c>
      <c r="FA117" s="67">
        <v>21380.75</v>
      </c>
      <c r="FB117" s="67" t="s">
        <v>959</v>
      </c>
      <c r="FC117" s="67" t="s">
        <v>960</v>
      </c>
      <c r="FD117" s="67" t="s">
        <v>961</v>
      </c>
      <c r="FE117" s="68" t="s">
        <v>962</v>
      </c>
      <c r="FF117" s="68" t="s">
        <v>963</v>
      </c>
    </row>
    <row r="118" spans="1:162" s="63" customFormat="1" ht="12" customHeight="1" thickBot="1" x14ac:dyDescent="0.25">
      <c r="A118" s="2">
        <f t="shared" si="307"/>
        <v>5740</v>
      </c>
      <c r="B118" s="3">
        <f t="shared" si="251"/>
        <v>607</v>
      </c>
      <c r="C118" s="3">
        <f t="shared" si="252"/>
        <v>749</v>
      </c>
      <c r="D118" s="3">
        <f t="shared" si="253"/>
        <v>5639</v>
      </c>
      <c r="E118" s="3">
        <f>SUM(B118:D118)</f>
        <v>6995</v>
      </c>
      <c r="F118" s="4">
        <f>+$F$84/$A$84*A118</f>
        <v>5759.3420664672931</v>
      </c>
      <c r="G118" s="4">
        <f>+$G$84/$A$84*A118</f>
        <v>572.92167979444832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5</v>
      </c>
      <c r="AN118" s="20">
        <v>-106</v>
      </c>
      <c r="AO118" s="20">
        <v>5740</v>
      </c>
      <c r="AP118" s="20">
        <v>50</v>
      </c>
      <c r="AQ118" s="20">
        <v>-224</v>
      </c>
      <c r="AR118" s="20"/>
      <c r="AS118" s="54">
        <f>IF(RTD("tos.rtd",,AS$83,"."&amp;$B$82&amp;$AS$82&amp;"C"&amp;$A118)="N/A",0,RTD("tos.rtd",,AS$83,"."&amp;$B$82&amp;$AS$82&amp;"C"&amp;$A118))</f>
        <v>219</v>
      </c>
      <c r="AT118" s="3">
        <f>-IF(RTD("tos.rtd",,AT$83,"."&amp;$B$82&amp;$AS$82&amp;"P"&amp;$A118)="N/A",0,RTD("tos.rtd",,AT$83,"."&amp;$B$82&amp;$AS$82&amp;"P"&amp;$A118))</f>
        <v>-388</v>
      </c>
      <c r="AU118" s="54">
        <f>IF(RTD("tos.rtd",,AU$83,"."&amp;$C$82&amp;$AU$82&amp;"C"&amp;$A118)="N/A",0,RTD("tos.rtd",,AU$83,"."&amp;$C$82&amp;$AU$82&amp;"C"&amp;$A118))</f>
        <v>160</v>
      </c>
      <c r="AV118" s="3">
        <f>-IF(RTD("tos.rtd",,AV$83,"."&amp;$C$82&amp;$AU$82&amp;"P"&amp;$A118)="N/A",0,RTD("tos.rtd",,AV$83,"."&amp;$C$82&amp;$AU$82&amp;"P"&amp;$A118))</f>
        <v>-589</v>
      </c>
      <c r="AW118" s="54">
        <f>IF(RTD("tos.rtd",,AW$83,"."&amp;$D$82&amp;$AW$82&amp;"C"&amp;$A118)="N/A",0,RTD("tos.rtd",,AW$83,"."&amp;$D$82&amp;$AW$82&amp;"C"&amp;$A118))</f>
        <v>2255</v>
      </c>
      <c r="AX118" s="3">
        <f>-IF(RTD("tos.rtd",,AX$83,"."&amp;$D$82&amp;$AW$82&amp;"P"&amp;$A118)="N/A",0,RTD("tos.rtd",,AX$83,"."&amp;$D$82&amp;$AW$82&amp;"P"&amp;$A118))</f>
        <v>-3384</v>
      </c>
      <c r="AY118" s="79">
        <f>SUM(AS118:AX118)</f>
        <v>-1727</v>
      </c>
      <c r="AZ118" s="8">
        <f t="shared" si="255"/>
        <v>5740</v>
      </c>
      <c r="BA118" s="54">
        <f>IF(RTD("tos.rtd",,BA$83,"."&amp;$B$82&amp;$AS$82&amp;"C"&amp;$A118)="N/A",0,RTD("tos.rtd",,BA$83,"."&amp;$B$82&amp;$AS$82&amp;"C"&amp;$A118))</f>
        <v>50</v>
      </c>
      <c r="BB118" s="3">
        <f>-IF(RTD("tos.rtd",,BB$83,"."&amp;$B$82&amp;$AS$82&amp;"P"&amp;$A118)="N/A",0,RTD("tos.rtd",,BB$83,"."&amp;$B$82&amp;$AS$82&amp;"P"&amp;$A118))</f>
        <v>-224</v>
      </c>
      <c r="BC118" s="54">
        <f>IF(RTD("tos.rtd",,BC$83,"."&amp;$C$82&amp;$AU$82&amp;"C"&amp;$A118)="N/A",0,RTD("tos.rtd",,BC$83,"."&amp;$C$82&amp;$AU$82&amp;"C"&amp;$A118))</f>
        <v>4</v>
      </c>
      <c r="BD118" s="3">
        <f>-IF(RTD("tos.rtd",,BD$83,"."&amp;$C$82&amp;$AU$82&amp;"P"&amp;$A118)="N/A",0,RTD("tos.rtd",,BD$83,"."&amp;$C$82&amp;$AU$82&amp;"P"&amp;$A118))</f>
        <v>-145</v>
      </c>
      <c r="BE118" s="54">
        <f>IF(RTD("tos.rtd",,BE$83,"."&amp;$D$82&amp;$AW$82&amp;"C"&amp;$A118)="N/A",0,RTD("tos.rtd",,BE$83,"."&amp;$D$82&amp;$AW$82&amp;"C"&amp;$A118))</f>
        <v>24</v>
      </c>
      <c r="BF118" s="3">
        <f>-IF(RTD("tos.rtd",,BF$83,"."&amp;$D$82&amp;$AW$82&amp;"P"&amp;$A118)="N/A",0,RTD("tos.rtd",,BF$83,"."&amp;$D$82&amp;$AW$82&amp;"P"&amp;$A118))</f>
        <v>-4</v>
      </c>
      <c r="BG118" s="3">
        <f ca="1">+Hoja2!Y119</f>
        <v>-468</v>
      </c>
      <c r="BH118" s="55">
        <f t="shared" ca="1" si="292"/>
        <v>-763</v>
      </c>
      <c r="BI118" s="32" t="str">
        <f t="shared" ca="1" si="312"/>
        <v/>
      </c>
      <c r="BJ118" s="3">
        <f ca="1">IF($BP$1=1,DX118,IF(RTD("tos.rtd",,BJ$83,"."&amp;$B$82&amp;$AS$82&amp;"C"&amp;$A118)="N/A",0,RTD("tos.rtd",,BJ$83,"."&amp;$B$82&amp;$AS$82&amp;"C"&amp;$A118)))</f>
        <v>2.560363674828826E-29</v>
      </c>
      <c r="BK118" s="3">
        <f ca="1">IF($BP$1=1,DY118,-IF(RTD("tos.rtd",,BK$83,"."&amp;$B$82&amp;$AS$82&amp;"P"&amp;$A118)="N/A",0,RTD("tos.rtd",,BK$83,"."&amp;$B$82&amp;$AS$82&amp;"P"&amp;$A118)))</f>
        <v>-6.681542664159091E-4</v>
      </c>
      <c r="BL118" s="3">
        <f ca="1">IF($BP$1=1,DZ118,IF(RTD("tos.rtd",,BL$83,"."&amp;$C$82&amp;$AU$82&amp;"C"&amp;$A118)="N/A",0,RTD("tos.rtd",,BL$83,"."&amp;$C$82&amp;$AU$82&amp;"C"&amp;$A118)))</f>
        <v>1.105438911827554E-3</v>
      </c>
      <c r="BM118" s="3">
        <f ca="1">IF($BP$1=1,EA118,-IF(RTD("tos.rtd",,BM$83,"."&amp;$C$82&amp;$AU$82&amp;"P"&amp;$A118)="N/A",0,RTD("tos.rtd",,BM$83,"."&amp;$C$82&amp;$AU$82&amp;"P"&amp;$A118)))</f>
        <v>-9.3136677186598203E-4</v>
      </c>
      <c r="BN118" s="3">
        <f ca="1">IF($BP$1=1,EB118,IF(RTD("tos.rtd",,BN$83,"."&amp;$D$82&amp;$AW$82&amp;"C"&amp;$A118)="N/A",0,RTD("tos.rtd",,BN$83,"."&amp;$D$82&amp;$AW$82&amp;"C"&amp;$A118)))</f>
        <v>6.5639598611366798E-4</v>
      </c>
      <c r="BO118" s="3">
        <f ca="1">IF($BP$1=1,EC118,-IF(RTD("tos.rtd",,BO$83,"."&amp;$D$82&amp;$AW$82&amp;"P"&amp;$A118)="N/A",0,RTD("tos.rtd",,BO$83,"."&amp;$D$82&amp;$AW$82&amp;"P"&amp;$A118)))</f>
        <v>-7.8673778632467088E-4</v>
      </c>
      <c r="BQ118" s="3">
        <f t="shared" ca="1" si="256"/>
        <v>-69999.816946816049</v>
      </c>
      <c r="BR118" s="3" t="str">
        <f t="shared" ca="1" si="293"/>
        <v/>
      </c>
      <c r="BS118" s="3">
        <f t="shared" ca="1" si="257"/>
        <v>-100365.99753828588</v>
      </c>
      <c r="BT118" s="3" t="str">
        <f t="shared" ca="1" si="293"/>
        <v/>
      </c>
      <c r="BU118" s="3">
        <f t="shared" ca="1" si="258"/>
        <v>-319198.01494518906</v>
      </c>
      <c r="BV118" s="3" t="str">
        <f t="shared" ca="1" si="293"/>
        <v/>
      </c>
      <c r="BX118" s="3">
        <f t="shared" ca="1" si="259"/>
        <v>-40412.265453831948</v>
      </c>
      <c r="BY118" s="3" t="str">
        <f t="shared" ca="1" si="309"/>
        <v/>
      </c>
      <c r="BZ118" s="3">
        <f t="shared" ca="1" si="260"/>
        <v>-35271.138498216547</v>
      </c>
      <c r="CA118" s="3" t="str">
        <f t="shared" ca="1" si="309"/>
        <v/>
      </c>
      <c r="CB118" s="3">
        <f t="shared" ca="1" si="261"/>
        <v>3403.9625262212903</v>
      </c>
      <c r="CC118" s="3" t="str">
        <f t="shared" ca="1" si="309"/>
        <v>Cruce +</v>
      </c>
      <c r="CD118" s="3">
        <f>IF(RTD("tos.rtd",,CD$83,"."&amp;$B$82&amp;$AS$82&amp;"C"&amp;$A118)="N/A",0,RTD("tos.rtd",,CD$83,"."&amp;$B$82&amp;$AS$82&amp;"C"&amp;$A118))</f>
        <v>1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1</v>
      </c>
      <c r="CG118" s="3">
        <f>-IF(RTD("tos.rtd",,CG$83,"."&amp;$C$82&amp;$AU$82&amp;"P"&amp;$A118)="N/A",0,RTD("tos.rtd",,CG$83,"."&amp;$C$82&amp;$AU$82&amp;"P"&amp;$A118))</f>
        <v>0.03</v>
      </c>
      <c r="CH118" s="3">
        <f>IF(RTD("tos.rtd",,CH$83,"."&amp;$D$82&amp;$AW$82&amp;"C"&amp;$A118)="N/A",0,RTD("tos.rtd",,CH$83,"."&amp;$D$82&amp;$AW$82&amp;"C"&amp;$A118))</f>
        <v>0.79</v>
      </c>
      <c r="CI118" s="3">
        <f>-IF(RTD("tos.rtd",,CI$83,"."&amp;$D$82&amp;$AW$82&amp;"P"&amp;$A118)="N/A",0,RTD("tos.rtd",,CI$83,"."&amp;$D$82&amp;$AW$82&amp;"P"&amp;$A118))</f>
        <v>0.23</v>
      </c>
      <c r="CK118" s="3">
        <f t="shared" si="294"/>
        <v>129981975</v>
      </c>
      <c r="CL118" s="3"/>
      <c r="CM118" s="3">
        <f t="shared" si="295"/>
        <v>84476413.25</v>
      </c>
      <c r="CN118" s="3"/>
      <c r="CO118" s="3">
        <f t="shared" si="296"/>
        <v>595382733.25</v>
      </c>
      <c r="CP118" s="3">
        <f t="shared" si="262"/>
        <v>809841121.5</v>
      </c>
      <c r="CQ118" s="3">
        <f t="shared" si="263"/>
        <v>-174</v>
      </c>
      <c r="CR118" s="3"/>
      <c r="CS118" s="3">
        <f t="shared" si="264"/>
        <v>-141</v>
      </c>
      <c r="CT118" s="3"/>
      <c r="CU118" s="3">
        <f t="shared" si="265"/>
        <v>20</v>
      </c>
      <c r="CV118" s="3"/>
      <c r="CW118" s="3">
        <f ca="1">+BQ118+BS118+BU118</f>
        <v>-489563.82943029096</v>
      </c>
      <c r="CY118" s="3">
        <f t="shared" ca="1" si="266"/>
        <v>-72279.441425827201</v>
      </c>
      <c r="CZ118" s="70" t="str">
        <f t="shared" ca="1" si="310"/>
        <v/>
      </c>
      <c r="DA118" s="3">
        <f>IF(RTD("tos.rtd",,DA$83,"."&amp;$B$82&amp;$AS$82&amp;"C"&amp;$A118)="N/A",0,RTD("tos.rtd",,DA$83,"."&amp;$B$82&amp;$AS$82&amp;"C"&amp;$A118))</f>
        <v>176.27</v>
      </c>
      <c r="DB118" s="3">
        <f>IF(RTD("tos.rtd",,DB$83,"."&amp;$B$82&amp;$AS$82&amp;"P"&amp;$A118)="N/A",0,RTD("tos.rtd",,DB$83,"."&amp;$B$82&amp;$AS$82&amp;"P"&amp;$A118))</f>
        <v>0.03</v>
      </c>
      <c r="DC118" s="3">
        <f>IF(RTD("tos.rtd",,DC$83,"."&amp;$B$82&amp;$AS$82&amp;"C"&amp;$A118)="N/A",0,RTD("tos.rtd",,DC$83,"."&amp;$B$82&amp;$AS$82&amp;"C"&amp;$A118))</f>
        <v>200.7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198.7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298"/>
        <v>-195.25</v>
      </c>
      <c r="DH118" s="3">
        <f t="shared" si="267"/>
        <v>0</v>
      </c>
      <c r="DI118" s="3">
        <f t="shared" si="268"/>
        <v>0</v>
      </c>
      <c r="DJ118" s="3">
        <f t="shared" si="269"/>
        <v>0</v>
      </c>
      <c r="DK118" s="3">
        <f t="shared" si="270"/>
        <v>0</v>
      </c>
      <c r="DL118" s="3">
        <f t="shared" si="271"/>
        <v>0</v>
      </c>
      <c r="DM118" s="3">
        <f t="shared" si="272"/>
        <v>0</v>
      </c>
      <c r="DN118" s="64" t="str">
        <f t="shared" si="273"/>
        <v>UNKNOWN</v>
      </c>
      <c r="DO118" s="64" t="str">
        <f t="shared" si="274"/>
        <v>UNKNOWN</v>
      </c>
      <c r="DP118" s="3">
        <f t="shared" si="275"/>
        <v>0</v>
      </c>
      <c r="DQ118" s="3">
        <f t="shared" si="276"/>
        <v>0</v>
      </c>
      <c r="DR118" s="3">
        <f t="shared" ca="1" si="277"/>
        <v>0</v>
      </c>
      <c r="DS118" s="3">
        <f t="shared" si="278"/>
        <v>0</v>
      </c>
      <c r="DT118" s="3">
        <f t="shared" si="299"/>
        <v>0</v>
      </c>
      <c r="DU118" s="3">
        <f t="shared" si="300"/>
        <v>0</v>
      </c>
      <c r="DV118" s="3">
        <f t="shared" si="301"/>
        <v>5</v>
      </c>
      <c r="DW118" s="3">
        <f t="shared" si="302"/>
        <v>-106</v>
      </c>
      <c r="DX118" s="3">
        <f t="shared" ca="1" si="311"/>
        <v>2.560363674828826E-29</v>
      </c>
      <c r="DY118" s="3">
        <f t="shared" ca="1" si="279"/>
        <v>-6.681542664159091E-4</v>
      </c>
      <c r="DZ118" s="3">
        <f t="shared" ca="1" si="303"/>
        <v>1.105438911827554E-3</v>
      </c>
      <c r="EA118" s="3">
        <f t="shared" ca="1" si="304"/>
        <v>-9.3136677186598203E-4</v>
      </c>
      <c r="EB118" s="3">
        <f t="shared" ca="1" si="280"/>
        <v>6.5639598611366798E-4</v>
      </c>
      <c r="EC118" s="3">
        <f t="shared" ca="1" si="281"/>
        <v>-7.8673778632467088E-4</v>
      </c>
      <c r="ED118" s="63">
        <f t="shared" si="305"/>
        <v>-101</v>
      </c>
      <c r="EE118" s="59">
        <f t="shared" si="282"/>
        <v>0.25</v>
      </c>
      <c r="EF118" s="59">
        <f t="shared" si="283"/>
        <v>1.5125</v>
      </c>
      <c r="EG118" s="59">
        <f t="shared" si="284"/>
        <v>0.25</v>
      </c>
      <c r="EH118" s="59">
        <f t="shared" si="285"/>
        <v>0.20830000000000001</v>
      </c>
      <c r="EI118" s="59">
        <f t="shared" si="286"/>
        <v>0.1719</v>
      </c>
      <c r="EJ118" s="59">
        <f t="shared" si="287"/>
        <v>0.18720000000000001</v>
      </c>
      <c r="EK118" s="63">
        <f t="shared" ca="1" si="306"/>
        <v>2494943.0944758505</v>
      </c>
      <c r="EL118" s="3" t="str">
        <f>RTD("tos.rtd",,EL$83,"."&amp;$B$82&amp;$AS$82&amp;"C"&amp;$A118)</f>
        <v>--</v>
      </c>
      <c r="EM118" s="3" t="str">
        <f>RTD("tos.rtd",,EM$83,"."&amp;$B$82&amp;$AS$82&amp;"P"&amp;$A118)</f>
        <v>151.25%</v>
      </c>
      <c r="EN118" s="3" t="str">
        <f>RTD("tos.rtd",,EN$83,"."&amp;$C$82&amp;$AU$82&amp;"C"&amp;$A118)</f>
        <v>--</v>
      </c>
      <c r="EO118" s="3" t="str">
        <f>RTD("tos.rtd",,EO$83,"."&amp;$C$82&amp;$AU$82&amp;"P"&amp;$A118)</f>
        <v>20.83%</v>
      </c>
      <c r="EP118" s="3" t="str">
        <f>RTD("tos.rtd",,EP$83,"."&amp;$D$82&amp;$AW$82&amp;"C"&amp;$A118)</f>
        <v>17.19%</v>
      </c>
      <c r="EQ118" s="3" t="str">
        <f>RTD("tos.rtd",,EQ$83,"."&amp;$D$82&amp;$AW$82&amp;"P"&amp;$A118)</f>
        <v>18.72%</v>
      </c>
      <c r="ES118" s="63" t="str">
        <f t="shared" si="288"/>
        <v>5740,-101.00</v>
      </c>
      <c r="ET118" s="63" t="str">
        <f t="shared" ca="1" si="289"/>
        <v>5740,-72.28</v>
      </c>
      <c r="EU118" s="67">
        <v>593.94000000000005</v>
      </c>
      <c r="EV118" s="67" t="s">
        <v>964</v>
      </c>
      <c r="EW118" s="67">
        <v>520.78</v>
      </c>
      <c r="EX118" s="67" t="s">
        <v>965</v>
      </c>
      <c r="EY118" s="67">
        <v>5949.75</v>
      </c>
      <c r="EZ118" s="67" t="s">
        <v>966</v>
      </c>
      <c r="FA118" s="67">
        <v>21375.5</v>
      </c>
      <c r="FB118" s="67" t="s">
        <v>967</v>
      </c>
      <c r="FC118" s="67" t="s">
        <v>968</v>
      </c>
      <c r="FD118" s="67" t="s">
        <v>969</v>
      </c>
      <c r="FE118" s="68" t="s">
        <v>970</v>
      </c>
      <c r="FF118" s="68" t="s">
        <v>971</v>
      </c>
    </row>
    <row r="119" spans="1:162" s="63" customFormat="1" ht="12" customHeight="1" thickBot="1" x14ac:dyDescent="0.25">
      <c r="A119" s="2">
        <f t="shared" si="307"/>
        <v>5730</v>
      </c>
      <c r="B119" s="3">
        <f t="shared" si="251"/>
        <v>2889</v>
      </c>
      <c r="C119" s="3">
        <f t="shared" si="252"/>
        <v>586</v>
      </c>
      <c r="D119" s="3">
        <f t="shared" si="253"/>
        <v>9316</v>
      </c>
      <c r="E119" s="3">
        <f>SUM(B119:D119)</f>
        <v>12791</v>
      </c>
      <c r="F119" s="4">
        <f>+$F$84/$A$84*A119</f>
        <v>5749.3083694873849</v>
      </c>
      <c r="G119" s="4">
        <f>+$G$84/$A$84*A119</f>
        <v>571.92355840107825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4</v>
      </c>
      <c r="AN119" s="20">
        <v>-149</v>
      </c>
      <c r="AO119" s="20">
        <v>5730</v>
      </c>
      <c r="AP119" s="20">
        <v>10</v>
      </c>
      <c r="AQ119" s="20">
        <v>-273</v>
      </c>
      <c r="AR119" s="20"/>
      <c r="AS119" s="54">
        <f>IF(RTD("tos.rtd",,AS$83,"."&amp;$B$82&amp;$AS$82&amp;"C"&amp;$A119)="N/A",0,RTD("tos.rtd",,AS$83,"."&amp;$B$82&amp;$AS$82&amp;"C"&amp;$A119))</f>
        <v>57</v>
      </c>
      <c r="AT119" s="3">
        <f>-IF(RTD("tos.rtd",,AT$83,"."&amp;$B$82&amp;$AS$82&amp;"P"&amp;$A119)="N/A",0,RTD("tos.rtd",,AT$83,"."&amp;$B$82&amp;$AS$82&amp;"P"&amp;$A119))</f>
        <v>-2832</v>
      </c>
      <c r="AU119" s="54">
        <f>IF(RTD("tos.rtd",,AU$83,"."&amp;$C$82&amp;$AU$82&amp;"C"&amp;$A119)="N/A",0,RTD("tos.rtd",,AU$83,"."&amp;$C$82&amp;$AU$82&amp;"C"&amp;$A119))</f>
        <v>73</v>
      </c>
      <c r="AV119" s="3">
        <f>-IF(RTD("tos.rtd",,AV$83,"."&amp;$C$82&amp;$AU$82&amp;"P"&amp;$A119)="N/A",0,RTD("tos.rtd",,AV$83,"."&amp;$C$82&amp;$AU$82&amp;"P"&amp;$A119))</f>
        <v>-513</v>
      </c>
      <c r="AW119" s="54">
        <f>IF(RTD("tos.rtd",,AW$83,"."&amp;$D$82&amp;$AW$82&amp;"C"&amp;$A119)="N/A",0,RTD("tos.rtd",,AW$83,"."&amp;$D$82&amp;$AW$82&amp;"C"&amp;$A119))</f>
        <v>4703</v>
      </c>
      <c r="AX119" s="3">
        <f>-IF(RTD("tos.rtd",,AX$83,"."&amp;$D$82&amp;$AW$82&amp;"P"&amp;$A119)="N/A",0,RTD("tos.rtd",,AX$83,"."&amp;$D$82&amp;$AW$82&amp;"P"&amp;$A119))</f>
        <v>-4613</v>
      </c>
      <c r="AY119" s="79">
        <f>SUM(AS119:AX119)</f>
        <v>-3125</v>
      </c>
      <c r="AZ119" s="8">
        <f t="shared" si="255"/>
        <v>5730</v>
      </c>
      <c r="BA119" s="54">
        <f>IF(RTD("tos.rtd",,BA$83,"."&amp;$B$82&amp;$AS$82&amp;"C"&amp;$A119)="N/A",0,RTD("tos.rtd",,BA$83,"."&amp;$B$82&amp;$AS$82&amp;"C"&amp;$A119))</f>
        <v>10</v>
      </c>
      <c r="BB119" s="3">
        <f>-IF(RTD("tos.rtd",,BB$83,"."&amp;$B$82&amp;$AS$82&amp;"P"&amp;$A119)="N/A",0,RTD("tos.rtd",,BB$83,"."&amp;$B$82&amp;$AS$82&amp;"P"&amp;$A119))</f>
        <v>-273</v>
      </c>
      <c r="BC119" s="54">
        <f>IF(RTD("tos.rtd",,BC$83,"."&amp;$C$82&amp;$AU$82&amp;"C"&amp;$A119)="N/A",0,RTD("tos.rtd",,BC$83,"."&amp;$C$82&amp;$AU$82&amp;"C"&amp;$A119))</f>
        <v>3</v>
      </c>
      <c r="BD119" s="3">
        <f>-IF(RTD("tos.rtd",,BD$83,"."&amp;$C$82&amp;$AU$82&amp;"P"&amp;$A119)="N/A",0,RTD("tos.rtd",,BD$83,"."&amp;$C$82&amp;$AU$82&amp;"P"&amp;$A119))</f>
        <v>-189</v>
      </c>
      <c r="BE119" s="54">
        <f>IF(RTD("tos.rtd",,BE$83,"."&amp;$D$82&amp;$AW$82&amp;"C"&amp;$A119)="N/A",0,RTD("tos.rtd",,BE$83,"."&amp;$D$82&amp;$AW$82&amp;"C"&amp;$A119))</f>
        <v>0</v>
      </c>
      <c r="BF119" s="3">
        <f>-IF(RTD("tos.rtd",,BF$83,"."&amp;$D$82&amp;$AW$82&amp;"P"&amp;$A119)="N/A",0,RTD("tos.rtd",,BF$83,"."&amp;$D$82&amp;$AW$82&amp;"P"&amp;$A119))</f>
        <v>-17</v>
      </c>
      <c r="BG119" s="3">
        <f ca="1">+Hoja2!Y120</f>
        <v>-434</v>
      </c>
      <c r="BH119" s="55">
        <f t="shared" ca="1" si="292"/>
        <v>-900</v>
      </c>
      <c r="BI119" s="32" t="str">
        <f t="shared" ca="1" si="312"/>
        <v/>
      </c>
      <c r="BJ119" s="3">
        <f ca="1">IF($BP$1=1,DX119,IF(RTD("tos.rtd",,BJ$83,"."&amp;$B$82&amp;$AS$82&amp;"C"&amp;$A119)="N/A",0,RTD("tos.rtd",,BJ$83,"."&amp;$B$82&amp;$AS$82&amp;"C"&amp;$A119)))</f>
        <v>3.3667824399779791E-32</v>
      </c>
      <c r="BK119" s="3">
        <f ca="1">IF($BP$1=1,DY119,-IF(RTD("tos.rtd",,BK$83,"."&amp;$B$82&amp;$AS$82&amp;"P"&amp;$A119)="N/A",0,RTD("tos.rtd",,BK$83,"."&amp;$B$82&amp;$AS$82&amp;"P"&amp;$A119)))</f>
        <v>-6.262490531500918E-4</v>
      </c>
      <c r="BL119" s="3">
        <f ca="1">IF($BP$1=1,DZ119,IF(RTD("tos.rtd",,BL$83,"."&amp;$C$82&amp;$AU$82&amp;"C"&amp;$A119)="N/A",0,RTD("tos.rtd",,BL$83,"."&amp;$C$82&amp;$AU$82&amp;"C"&amp;$A119)))</f>
        <v>1.0147897320174979E-3</v>
      </c>
      <c r="BM119" s="3">
        <f ca="1">IF($BP$1=1,EA119,-IF(RTD("tos.rtd",,BM$83,"."&amp;$C$82&amp;$AU$82&amp;"P"&amp;$A119)="N/A",0,RTD("tos.rtd",,BM$83,"."&amp;$C$82&amp;$AU$82&amp;"P"&amp;$A119)))</f>
        <v>-8.3824342589950145E-4</v>
      </c>
      <c r="BN119" s="3">
        <f ca="1">IF($BP$1=1,EB119,IF(RTD("tos.rtd",,BN$83,"."&amp;$D$82&amp;$AW$82&amp;"C"&amp;$A119)="N/A",0,RTD("tos.rtd",,BN$83,"."&amp;$D$82&amp;$AW$82&amp;"C"&amp;$A119)))</f>
        <v>5.5878378247874519E-4</v>
      </c>
      <c r="BO119" s="3">
        <f ca="1">IF($BP$1=1,EC119,-IF(RTD("tos.rtd",,BO$83,"."&amp;$D$82&amp;$AW$82&amp;"P"&amp;$A119)="N/A",0,RTD("tos.rtd",,BO$83,"."&amp;$D$82&amp;$AW$82&amp;"P"&amp;$A119)))</f>
        <v>-6.8828367738239392E-4</v>
      </c>
      <c r="BQ119" s="3">
        <f t="shared" ca="1" si="256"/>
        <v>-478882.27656518662</v>
      </c>
      <c r="BR119" s="3" t="str">
        <f t="shared" ca="1" si="293"/>
        <v/>
      </c>
      <c r="BS119" s="3">
        <f t="shared" ca="1" si="257"/>
        <v>-96109.050307606376</v>
      </c>
      <c r="BT119" s="3" t="str">
        <f t="shared" ca="1" si="293"/>
        <v/>
      </c>
      <c r="BU119" s="3">
        <f t="shared" ca="1" si="258"/>
        <v>-147723.35888978618</v>
      </c>
      <c r="BV119" s="3" t="str">
        <f t="shared" ca="1" si="293"/>
        <v/>
      </c>
      <c r="BX119" s="3">
        <f t="shared" ca="1" si="259"/>
        <v>-46163.439796008461</v>
      </c>
      <c r="BY119" s="3" t="str">
        <f t="shared" ca="1" si="309"/>
        <v/>
      </c>
      <c r="BZ119" s="3">
        <f t="shared" ca="1" si="260"/>
        <v>-41955.965444039612</v>
      </c>
      <c r="CA119" s="3" t="str">
        <f t="shared" ca="1" si="309"/>
        <v/>
      </c>
      <c r="CB119" s="3">
        <f t="shared" ca="1" si="261"/>
        <v>-3159.4015335300255</v>
      </c>
      <c r="CC119" s="3" t="str">
        <f t="shared" ca="1" si="309"/>
        <v>Cruce -</v>
      </c>
      <c r="CD119" s="3">
        <f>IF(RTD("tos.rtd",,CD$83,"."&amp;$B$82&amp;$AS$82&amp;"C"&amp;$A119)="N/A",0,RTD("tos.rtd",,CD$83,"."&amp;$B$82&amp;$AS$82&amp;"C"&amp;$A119))</f>
        <v>1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1</v>
      </c>
      <c r="CG119" s="3">
        <f>-IF(RTD("tos.rtd",,CG$83,"."&amp;$C$82&amp;$AU$82&amp;"P"&amp;$A119)="N/A",0,RTD("tos.rtd",,CG$83,"."&amp;$C$82&amp;$AU$82&amp;"P"&amp;$A119))</f>
        <v>0.03</v>
      </c>
      <c r="CH119" s="3">
        <f>IF(RTD("tos.rtd",,CH$83,"."&amp;$D$82&amp;$AW$82&amp;"C"&amp;$A119)="N/A",0,RTD("tos.rtd",,CH$83,"."&amp;$D$82&amp;$AW$82&amp;"C"&amp;$A119))</f>
        <v>0.79</v>
      </c>
      <c r="CI119" s="3">
        <f>-IF(RTD("tos.rtd",,CI$83,"."&amp;$D$82&amp;$AW$82&amp;"P"&amp;$A119)="N/A",0,RTD("tos.rtd",,CI$83,"."&amp;$D$82&amp;$AW$82&amp;"P"&amp;$A119))</f>
        <v>0.23</v>
      </c>
      <c r="CK119" s="3">
        <f t="shared" si="294"/>
        <v>33830925</v>
      </c>
      <c r="CL119" s="3"/>
      <c r="CM119" s="3">
        <f t="shared" si="295"/>
        <v>34192975.25</v>
      </c>
      <c r="CN119" s="3"/>
      <c r="CO119" s="3">
        <f t="shared" si="296"/>
        <v>1575440889.5000005</v>
      </c>
      <c r="CP119" s="3">
        <f t="shared" si="262"/>
        <v>1643464789.7500005</v>
      </c>
      <c r="CQ119" s="3">
        <f t="shared" si="263"/>
        <v>-263</v>
      </c>
      <c r="CR119" s="3"/>
      <c r="CS119" s="3">
        <f t="shared" si="264"/>
        <v>-186</v>
      </c>
      <c r="CT119" s="3"/>
      <c r="CU119" s="3">
        <f t="shared" si="265"/>
        <v>-17</v>
      </c>
      <c r="CV119" s="3"/>
      <c r="CW119" s="3">
        <f ca="1">+BQ119+BS119+BU119</f>
        <v>-722714.6857625792</v>
      </c>
      <c r="CY119" s="3">
        <f t="shared" ca="1" si="266"/>
        <v>-91278.806773578093</v>
      </c>
      <c r="CZ119" s="70" t="str">
        <f t="shared" ca="1" si="310"/>
        <v/>
      </c>
      <c r="DA119" s="3">
        <f>IF(RTD("tos.rtd",,DA$83,"."&amp;$B$82&amp;$AS$82&amp;"C"&amp;$A119)="N/A",0,RTD("tos.rtd",,DA$83,"."&amp;$B$82&amp;$AS$82&amp;"C"&amp;$A119))</f>
        <v>202.5</v>
      </c>
      <c r="DB119" s="3">
        <f>IF(RTD("tos.rtd",,DB$83,"."&amp;$B$82&amp;$AS$82&amp;"P"&amp;$A119)="N/A",0,RTD("tos.rtd",,DB$83,"."&amp;$B$82&amp;$AS$82&amp;"P"&amp;$A119))</f>
        <v>0.05</v>
      </c>
      <c r="DC119" s="3">
        <f>IF(RTD("tos.rtd",,DC$83,"."&amp;$B$82&amp;$AS$82&amp;"C"&amp;$A119)="N/A",0,RTD("tos.rtd",,DC$83,"."&amp;$B$82&amp;$AS$82&amp;"C"&amp;$A119))</f>
        <v>210.7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208.7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298"/>
        <v>-205.25</v>
      </c>
      <c r="DH119" s="3">
        <f t="shared" si="267"/>
        <v>0</v>
      </c>
      <c r="DI119" s="3">
        <f t="shared" si="268"/>
        <v>0</v>
      </c>
      <c r="DJ119" s="3">
        <f t="shared" si="269"/>
        <v>0</v>
      </c>
      <c r="DK119" s="3">
        <f t="shared" si="270"/>
        <v>0</v>
      </c>
      <c r="DL119" s="3">
        <f t="shared" si="271"/>
        <v>0</v>
      </c>
      <c r="DM119" s="3">
        <f t="shared" si="272"/>
        <v>0</v>
      </c>
      <c r="DN119" s="64" t="str">
        <f t="shared" si="273"/>
        <v>UNKNOWN</v>
      </c>
      <c r="DO119" s="64" t="str">
        <f t="shared" si="274"/>
        <v>UNKNOWN</v>
      </c>
      <c r="DP119" s="3">
        <f t="shared" si="275"/>
        <v>0</v>
      </c>
      <c r="DQ119" s="3">
        <f t="shared" si="276"/>
        <v>0</v>
      </c>
      <c r="DR119" s="3">
        <f t="shared" ca="1" si="277"/>
        <v>0</v>
      </c>
      <c r="DS119" s="3">
        <f t="shared" si="278"/>
        <v>0</v>
      </c>
      <c r="DT119" s="3">
        <f t="shared" si="299"/>
        <v>0</v>
      </c>
      <c r="DU119" s="3">
        <f t="shared" si="300"/>
        <v>0</v>
      </c>
      <c r="DV119" s="3">
        <f t="shared" si="301"/>
        <v>4</v>
      </c>
      <c r="DW119" s="3">
        <f t="shared" si="302"/>
        <v>-149</v>
      </c>
      <c r="DX119" s="3">
        <f t="shared" ca="1" si="311"/>
        <v>3.3667824399779791E-32</v>
      </c>
      <c r="DY119" s="3">
        <f t="shared" ca="1" si="279"/>
        <v>-6.262490531500918E-4</v>
      </c>
      <c r="DZ119" s="3">
        <f t="shared" ca="1" si="303"/>
        <v>1.0147897320174979E-3</v>
      </c>
      <c r="EA119" s="3">
        <f t="shared" ca="1" si="304"/>
        <v>-8.3824342589950145E-4</v>
      </c>
      <c r="EB119" s="3">
        <f t="shared" ca="1" si="280"/>
        <v>5.5878378247874519E-4</v>
      </c>
      <c r="EC119" s="3">
        <f t="shared" ca="1" si="281"/>
        <v>-6.8828367738239392E-4</v>
      </c>
      <c r="ED119" s="63">
        <f t="shared" si="305"/>
        <v>-145</v>
      </c>
      <c r="EE119" s="59">
        <f t="shared" si="282"/>
        <v>0.25</v>
      </c>
      <c r="EF119" s="59">
        <f t="shared" si="283"/>
        <v>1.5827</v>
      </c>
      <c r="EG119" s="59">
        <f t="shared" si="284"/>
        <v>0.25</v>
      </c>
      <c r="EH119" s="59">
        <f t="shared" si="285"/>
        <v>0.2107</v>
      </c>
      <c r="EI119" s="59">
        <f t="shared" si="286"/>
        <v>0.1731</v>
      </c>
      <c r="EJ119" s="59">
        <f t="shared" si="287"/>
        <v>0.1888</v>
      </c>
      <c r="EK119" s="63">
        <f t="shared" ca="1" si="306"/>
        <v>3287088.4021228352</v>
      </c>
      <c r="EL119" s="3" t="str">
        <f>RTD("tos.rtd",,EL$83,"."&amp;$B$82&amp;$AS$82&amp;"C"&amp;$A119)</f>
        <v>--</v>
      </c>
      <c r="EM119" s="3" t="str">
        <f>RTD("tos.rtd",,EM$83,"."&amp;$B$82&amp;$AS$82&amp;"P"&amp;$A119)</f>
        <v>158.27%</v>
      </c>
      <c r="EN119" s="3" t="str">
        <f>RTD("tos.rtd",,EN$83,"."&amp;$C$82&amp;$AU$82&amp;"C"&amp;$A119)</f>
        <v>--</v>
      </c>
      <c r="EO119" s="3" t="str">
        <f>RTD("tos.rtd",,EO$83,"."&amp;$C$82&amp;$AU$82&amp;"P"&amp;$A119)</f>
        <v>21.07%</v>
      </c>
      <c r="EP119" s="3" t="str">
        <f>RTD("tos.rtd",,EP$83,"."&amp;$D$82&amp;$AW$82&amp;"C"&amp;$A119)</f>
        <v>17.31%</v>
      </c>
      <c r="EQ119" s="3" t="str">
        <f>RTD("tos.rtd",,EQ$83,"."&amp;$D$82&amp;$AW$82&amp;"P"&amp;$A119)</f>
        <v>18.88%</v>
      </c>
      <c r="ES119" s="63" t="str">
        <f t="shared" si="288"/>
        <v>5730,-145.00</v>
      </c>
      <c r="ET119" s="63" t="str">
        <f t="shared" ca="1" si="289"/>
        <v>5730,-91.28</v>
      </c>
      <c r="EU119" s="67">
        <v>594</v>
      </c>
      <c r="EV119" s="67" t="s">
        <v>972</v>
      </c>
      <c r="EW119" s="67">
        <v>520.87</v>
      </c>
      <c r="EX119" s="67" t="s">
        <v>973</v>
      </c>
      <c r="EY119" s="67">
        <v>5950.25</v>
      </c>
      <c r="EZ119" s="67" t="s">
        <v>974</v>
      </c>
      <c r="FA119" s="67">
        <v>21379</v>
      </c>
      <c r="FB119" s="67" t="s">
        <v>975</v>
      </c>
      <c r="FC119" s="67" t="s">
        <v>976</v>
      </c>
      <c r="FD119" s="67" t="s">
        <v>977</v>
      </c>
      <c r="FE119" s="68" t="s">
        <v>978</v>
      </c>
      <c r="FF119" s="68" t="s">
        <v>979</v>
      </c>
    </row>
    <row r="120" spans="1:162" s="63" customFormat="1" ht="12" customHeight="1" thickBot="1" x14ac:dyDescent="0.25">
      <c r="A120" s="2">
        <f t="shared" si="307"/>
        <v>5720</v>
      </c>
      <c r="B120" s="3">
        <f t="shared" si="251"/>
        <v>2169</v>
      </c>
      <c r="C120" s="3">
        <f t="shared" si="252"/>
        <v>898</v>
      </c>
      <c r="D120" s="3">
        <f t="shared" si="253"/>
        <v>12003</v>
      </c>
      <c r="E120" s="3">
        <f>SUM(B120:D120)</f>
        <v>15070</v>
      </c>
      <c r="F120" s="4">
        <f>+$F$84/$A$84*A120</f>
        <v>5739.2746725074767</v>
      </c>
      <c r="G120" s="4">
        <f>+$G$84/$A$84*A120</f>
        <v>570.92543700770818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6</v>
      </c>
      <c r="AN120" s="20">
        <v>-104</v>
      </c>
      <c r="AO120" s="20">
        <v>5720</v>
      </c>
      <c r="AP120" s="20">
        <v>138</v>
      </c>
      <c r="AQ120" s="20">
        <v>-455</v>
      </c>
      <c r="AR120" s="20"/>
      <c r="AS120" s="54">
        <f>IF(RTD("tos.rtd",,AS$83,"."&amp;$B$82&amp;$AS$82&amp;"C"&amp;$A120)="N/A",0,RTD("tos.rtd",,AS$83,"."&amp;$B$82&amp;$AS$82&amp;"C"&amp;$A120))</f>
        <v>138</v>
      </c>
      <c r="AT120" s="3">
        <f>-IF(RTD("tos.rtd",,AT$83,"."&amp;$B$82&amp;$AS$82&amp;"P"&amp;$A120)="N/A",0,RTD("tos.rtd",,AT$83,"."&amp;$B$82&amp;$AS$82&amp;"P"&amp;$A120))</f>
        <v>-2031</v>
      </c>
      <c r="AU120" s="54">
        <f>IF(RTD("tos.rtd",,AU$83,"."&amp;$C$82&amp;$AU$82&amp;"C"&amp;$A120)="N/A",0,RTD("tos.rtd",,AU$83,"."&amp;$C$82&amp;$AU$82&amp;"C"&amp;$A120))</f>
        <v>111</v>
      </c>
      <c r="AV120" s="3">
        <f>-IF(RTD("tos.rtd",,AV$83,"."&amp;$C$82&amp;$AU$82&amp;"P"&amp;$A120)="N/A",0,RTD("tos.rtd",,AV$83,"."&amp;$C$82&amp;$AU$82&amp;"P"&amp;$A120))</f>
        <v>-787</v>
      </c>
      <c r="AW120" s="54">
        <f>IF(RTD("tos.rtd",,AW$83,"."&amp;$D$82&amp;$AW$82&amp;"C"&amp;$A120)="N/A",0,RTD("tos.rtd",,AW$83,"."&amp;$D$82&amp;$AW$82&amp;"C"&amp;$A120))</f>
        <v>5957</v>
      </c>
      <c r="AX120" s="3">
        <f>-IF(RTD("tos.rtd",,AX$83,"."&amp;$D$82&amp;$AW$82&amp;"P"&amp;$A120)="N/A",0,RTD("tos.rtd",,AX$83,"."&amp;$D$82&amp;$AW$82&amp;"P"&amp;$A120))</f>
        <v>-6046</v>
      </c>
      <c r="AY120" s="79">
        <f>SUM(AS120:AX120)</f>
        <v>-2658</v>
      </c>
      <c r="AZ120" s="8">
        <f t="shared" si="255"/>
        <v>5720</v>
      </c>
      <c r="BA120" s="54">
        <f>IF(RTD("tos.rtd",,BA$83,"."&amp;$B$82&amp;$AS$82&amp;"C"&amp;$A120)="N/A",0,RTD("tos.rtd",,BA$83,"."&amp;$B$82&amp;$AS$82&amp;"C"&amp;$A120))</f>
        <v>138</v>
      </c>
      <c r="BB120" s="3">
        <f>-IF(RTD("tos.rtd",,BB$83,"."&amp;$B$82&amp;$AS$82&amp;"P"&amp;$A120)="N/A",0,RTD("tos.rtd",,BB$83,"."&amp;$B$82&amp;$AS$82&amp;"P"&amp;$A120))</f>
        <v>-455</v>
      </c>
      <c r="BC120" s="54">
        <f>IF(RTD("tos.rtd",,BC$83,"."&amp;$C$82&amp;$AU$82&amp;"C"&amp;$A120)="N/A",0,RTD("tos.rtd",,BC$83,"."&amp;$C$82&amp;$AU$82&amp;"C"&amp;$A120))</f>
        <v>20</v>
      </c>
      <c r="BD120" s="3">
        <f>-IF(RTD("tos.rtd",,BD$83,"."&amp;$C$82&amp;$AU$82&amp;"P"&amp;$A120)="N/A",0,RTD("tos.rtd",,BD$83,"."&amp;$C$82&amp;$AU$82&amp;"P"&amp;$A120))</f>
        <v>-124</v>
      </c>
      <c r="BE120" s="54">
        <f>IF(RTD("tos.rtd",,BE$83,"."&amp;$D$82&amp;$AW$82&amp;"C"&amp;$A120)="N/A",0,RTD("tos.rtd",,BE$83,"."&amp;$D$82&amp;$AW$82&amp;"C"&amp;$A120))</f>
        <v>0</v>
      </c>
      <c r="BF120" s="3">
        <f>-IF(RTD("tos.rtd",,BF$83,"."&amp;$D$82&amp;$AW$82&amp;"P"&amp;$A120)="N/A",0,RTD("tos.rtd",,BF$83,"."&amp;$D$82&amp;$AW$82&amp;"P"&amp;$A120))</f>
        <v>-23</v>
      </c>
      <c r="BG120" s="3">
        <f ca="1">+Hoja2!Y121</f>
        <v>-302</v>
      </c>
      <c r="BH120" s="55">
        <f t="shared" ca="1" si="292"/>
        <v>-746</v>
      </c>
      <c r="BI120" s="32" t="str">
        <f t="shared" ca="1" si="312"/>
        <v/>
      </c>
      <c r="BJ120" s="3">
        <f ca="1">IF($BP$1=1,DX120,IF(RTD("tos.rtd",,BJ$83,"."&amp;$B$82&amp;$AS$82&amp;"C"&amp;$A120)="N/A",0,RTD("tos.rtd",,BJ$83,"."&amp;$B$82&amp;$AS$82&amp;"C"&amp;$A120)))</f>
        <v>3.1216706553847717E-35</v>
      </c>
      <c r="BK120" s="3">
        <f ca="1">IF($BP$1=1,DY120,-IF(RTD("tos.rtd",,BK$83,"."&amp;$B$82&amp;$AS$82&amp;"P"&amp;$A120)="N/A",0,RTD("tos.rtd",,BK$83,"."&amp;$B$82&amp;$AS$82&amp;"P"&amp;$A120)))</f>
        <v>-5.8874671844448339E-4</v>
      </c>
      <c r="BL120" s="3">
        <f ca="1">IF($BP$1=1,DZ120,IF(RTD("tos.rtd",,BL$83,"."&amp;$C$82&amp;$AU$82&amp;"C"&amp;$A120)="N/A",0,RTD("tos.rtd",,BL$83,"."&amp;$C$82&amp;$AU$82&amp;"C"&amp;$A120)))</f>
        <v>9.2748079988531895E-4</v>
      </c>
      <c r="BM120" s="3">
        <f ca="1">IF($BP$1=1,EA120,-IF(RTD("tos.rtd",,BM$83,"."&amp;$C$82&amp;$AU$82&amp;"P"&amp;$A120)="N/A",0,RTD("tos.rtd",,BM$83,"."&amp;$C$82&amp;$AU$82&amp;"P"&amp;$A120)))</f>
        <v>-7.5570632003932954E-4</v>
      </c>
      <c r="BN120" s="3">
        <f ca="1">IF($BP$1=1,EB120,IF(RTD("tos.rtd",,BN$83,"."&amp;$D$82&amp;$AW$82&amp;"C"&amp;$A120)="N/A",0,RTD("tos.rtd",,BN$83,"."&amp;$D$82&amp;$AW$82&amp;"C"&amp;$A120)))</f>
        <v>4.7348305871626164E-4</v>
      </c>
      <c r="BO120" s="3">
        <f ca="1">IF($BP$1=1,EC120,-IF(RTD("tos.rtd",,BO$83,"."&amp;$D$82&amp;$AW$82&amp;"P"&amp;$A120)="N/A",0,RTD("tos.rtd",,BO$83,"."&amp;$D$82&amp;$AW$82&amp;"P"&amp;$A120)))</f>
        <v>-5.9950591997668474E-4</v>
      </c>
      <c r="BQ120" s="3">
        <f t="shared" ca="1" si="256"/>
        <v>-322869.3770085295</v>
      </c>
      <c r="BR120" s="3" t="str">
        <f t="shared" ca="1" si="293"/>
        <v/>
      </c>
      <c r="BS120" s="3">
        <f t="shared" ca="1" si="257"/>
        <v>-132790.97891439157</v>
      </c>
      <c r="BT120" s="3" t="str">
        <f t="shared" ca="1" si="293"/>
        <v/>
      </c>
      <c r="BU120" s="3">
        <f t="shared" ca="1" si="258"/>
        <v>-217112.36908546451</v>
      </c>
      <c r="BV120" s="3" t="str">
        <f t="shared" ca="1" si="293"/>
        <v/>
      </c>
      <c r="BX120" s="3">
        <f t="shared" ca="1" si="259"/>
        <v>-72331.642805948271</v>
      </c>
      <c r="BY120" s="3" t="str">
        <f t="shared" ca="1" si="309"/>
        <v/>
      </c>
      <c r="BZ120" s="3">
        <f t="shared" ca="1" si="260"/>
        <v>-20293.803965770654</v>
      </c>
      <c r="CA120" s="3" t="str">
        <f t="shared" ca="1" si="309"/>
        <v/>
      </c>
      <c r="CB120" s="3">
        <f t="shared" ca="1" si="261"/>
        <v>-3723.1432379891266</v>
      </c>
      <c r="CC120" s="3" t="str">
        <f t="shared" ca="1" si="309"/>
        <v/>
      </c>
      <c r="CD120" s="3">
        <f>IF(RTD("tos.rtd",,CD$83,"."&amp;$B$82&amp;$AS$82&amp;"C"&amp;$A120)="N/A",0,RTD("tos.rtd",,CD$83,"."&amp;$B$82&amp;$AS$82&amp;"C"&amp;$A120))</f>
        <v>1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1</v>
      </c>
      <c r="CG120" s="3">
        <f>-IF(RTD("tos.rtd",,CG$83,"."&amp;$C$82&amp;$AU$82&amp;"P"&amp;$A120)="N/A",0,RTD("tos.rtd",,CG$83,"."&amp;$C$82&amp;$AU$82&amp;"P"&amp;$A120))</f>
        <v>0.02</v>
      </c>
      <c r="CH120" s="3">
        <f>IF(RTD("tos.rtd",,CH$83,"."&amp;$D$82&amp;$AW$82&amp;"C"&amp;$A120)="N/A",0,RTD("tos.rtd",,CH$83,"."&amp;$D$82&amp;$AW$82&amp;"C"&amp;$A120))</f>
        <v>0.8</v>
      </c>
      <c r="CI120" s="3">
        <f>-IF(RTD("tos.rtd",,CI$83,"."&amp;$D$82&amp;$AW$82&amp;"P"&amp;$A120)="N/A",0,RTD("tos.rtd",,CI$83,"."&amp;$D$82&amp;$AW$82&amp;"P"&amp;$A120))</f>
        <v>0.22</v>
      </c>
      <c r="CK120" s="3">
        <f t="shared" si="294"/>
        <v>81906450</v>
      </c>
      <c r="CL120" s="3"/>
      <c r="CM120" s="3">
        <f t="shared" si="295"/>
        <v>56539191.5</v>
      </c>
      <c r="CN120" s="3"/>
      <c r="CO120" s="3">
        <f t="shared" si="296"/>
        <v>2039043267.0000005</v>
      </c>
      <c r="CP120" s="3">
        <f t="shared" si="262"/>
        <v>2177488908.5000005</v>
      </c>
      <c r="CQ120" s="3">
        <f t="shared" si="263"/>
        <v>-317</v>
      </c>
      <c r="CR120" s="3"/>
      <c r="CS120" s="3">
        <f t="shared" si="264"/>
        <v>-104</v>
      </c>
      <c r="CT120" s="3"/>
      <c r="CU120" s="3">
        <f t="shared" si="265"/>
        <v>-23</v>
      </c>
      <c r="CV120" s="3"/>
      <c r="CW120" s="3">
        <f ca="1">+BQ120+BS120+BU120</f>
        <v>-672772.72500838561</v>
      </c>
      <c r="CY120" s="3">
        <f t="shared" ca="1" si="266"/>
        <v>-96348.590009708045</v>
      </c>
      <c r="CZ120" s="70" t="str">
        <f t="shared" ca="1" si="310"/>
        <v/>
      </c>
      <c r="DA120" s="3">
        <f>IF(RTD("tos.rtd",,DA$83,"."&amp;$B$82&amp;$AS$82&amp;"C"&amp;$A120)="N/A",0,RTD("tos.rtd",,DA$83,"."&amp;$B$82&amp;$AS$82&amp;"C"&amp;$A120))</f>
        <v>201.86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220.7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218.7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298"/>
        <v>-215.25</v>
      </c>
      <c r="DH120" s="3">
        <f t="shared" si="267"/>
        <v>0</v>
      </c>
      <c r="DI120" s="3">
        <f t="shared" si="268"/>
        <v>0</v>
      </c>
      <c r="DJ120" s="3">
        <f t="shared" si="269"/>
        <v>0</v>
      </c>
      <c r="DK120" s="3">
        <f t="shared" si="270"/>
        <v>0</v>
      </c>
      <c r="DL120" s="3">
        <f t="shared" si="271"/>
        <v>0</v>
      </c>
      <c r="DM120" s="3">
        <f t="shared" si="272"/>
        <v>0</v>
      </c>
      <c r="DN120" s="64" t="str">
        <f t="shared" si="273"/>
        <v>UNKNOWN</v>
      </c>
      <c r="DO120" s="64" t="str">
        <f t="shared" si="274"/>
        <v>UNKNOWN</v>
      </c>
      <c r="DP120" s="3">
        <f t="shared" si="275"/>
        <v>0</v>
      </c>
      <c r="DQ120" s="3">
        <f t="shared" si="276"/>
        <v>0</v>
      </c>
      <c r="DR120" s="3">
        <f t="shared" ca="1" si="277"/>
        <v>0</v>
      </c>
      <c r="DS120" s="3">
        <f t="shared" si="278"/>
        <v>0</v>
      </c>
      <c r="DT120" s="3">
        <f t="shared" si="299"/>
        <v>0</v>
      </c>
      <c r="DU120" s="3">
        <f t="shared" si="300"/>
        <v>0</v>
      </c>
      <c r="DV120" s="3">
        <f t="shared" si="301"/>
        <v>6</v>
      </c>
      <c r="DW120" s="3">
        <f t="shared" si="302"/>
        <v>-104</v>
      </c>
      <c r="DX120" s="3">
        <f t="shared" ca="1" si="311"/>
        <v>3.1216706553847717E-35</v>
      </c>
      <c r="DY120" s="3">
        <f t="shared" ca="1" si="279"/>
        <v>-5.8874671844448339E-4</v>
      </c>
      <c r="DZ120" s="3">
        <f t="shared" ca="1" si="303"/>
        <v>9.2748079988531895E-4</v>
      </c>
      <c r="EA120" s="3">
        <f t="shared" ca="1" si="304"/>
        <v>-7.5570632003932954E-4</v>
      </c>
      <c r="EB120" s="3">
        <f t="shared" ca="1" si="280"/>
        <v>4.7348305871626164E-4</v>
      </c>
      <c r="EC120" s="3">
        <f t="shared" ca="1" si="281"/>
        <v>-5.9950591997668474E-4</v>
      </c>
      <c r="ED120" s="63">
        <f t="shared" si="305"/>
        <v>-98</v>
      </c>
      <c r="EE120" s="59">
        <f t="shared" si="282"/>
        <v>0.25</v>
      </c>
      <c r="EF120" s="59">
        <f t="shared" si="283"/>
        <v>1.6528</v>
      </c>
      <c r="EG120" s="59">
        <f t="shared" si="284"/>
        <v>0.25</v>
      </c>
      <c r="EH120" s="59">
        <f t="shared" si="285"/>
        <v>0.2135</v>
      </c>
      <c r="EI120" s="59">
        <f t="shared" si="286"/>
        <v>0.17430000000000001</v>
      </c>
      <c r="EJ120" s="59">
        <f t="shared" si="287"/>
        <v>0.1903</v>
      </c>
      <c r="EK120" s="63">
        <f t="shared" ca="1" si="306"/>
        <v>2156948.9782031141</v>
      </c>
      <c r="EL120" s="3" t="str">
        <f>RTD("tos.rtd",,EL$83,"."&amp;$B$82&amp;$AS$82&amp;"C"&amp;$A120)</f>
        <v>--</v>
      </c>
      <c r="EM120" s="3" t="str">
        <f>RTD("tos.rtd",,EM$83,"."&amp;$B$82&amp;$AS$82&amp;"P"&amp;$A120)</f>
        <v>165.28%</v>
      </c>
      <c r="EN120" s="3" t="str">
        <f>RTD("tos.rtd",,EN$83,"."&amp;$C$82&amp;$AU$82&amp;"C"&amp;$A120)</f>
        <v>--</v>
      </c>
      <c r="EO120" s="3" t="str">
        <f>RTD("tos.rtd",,EO$83,"."&amp;$C$82&amp;$AU$82&amp;"P"&amp;$A120)</f>
        <v>21.35%</v>
      </c>
      <c r="EP120" s="3" t="str">
        <f>RTD("tos.rtd",,EP$83,"."&amp;$D$82&amp;$AW$82&amp;"C"&amp;$A120)</f>
        <v>17.43%</v>
      </c>
      <c r="EQ120" s="3" t="str">
        <f>RTD("tos.rtd",,EQ$83,"."&amp;$D$82&amp;$AW$82&amp;"P"&amp;$A120)</f>
        <v>19.03%</v>
      </c>
      <c r="ES120" s="63" t="str">
        <f t="shared" si="288"/>
        <v>5720,-98.00</v>
      </c>
      <c r="ET120" s="63" t="str">
        <f t="shared" ca="1" si="289"/>
        <v>5720,-96.35</v>
      </c>
      <c r="EU120" s="67">
        <v>594.13</v>
      </c>
      <c r="EV120" s="67" t="s">
        <v>980</v>
      </c>
      <c r="EW120" s="67">
        <v>520.95000000000005</v>
      </c>
      <c r="EX120" s="67" t="s">
        <v>981</v>
      </c>
      <c r="EY120" s="67">
        <v>5951.5</v>
      </c>
      <c r="EZ120" s="67" t="s">
        <v>982</v>
      </c>
      <c r="FA120" s="67">
        <v>21384</v>
      </c>
      <c r="FB120" s="67" t="s">
        <v>983</v>
      </c>
      <c r="FC120" s="67" t="s">
        <v>984</v>
      </c>
      <c r="FD120" s="67" t="s">
        <v>985</v>
      </c>
      <c r="FE120" s="68" t="s">
        <v>986</v>
      </c>
      <c r="FF120" s="68" t="s">
        <v>987</v>
      </c>
    </row>
    <row r="121" spans="1:162" s="63" customFormat="1" ht="12" customHeight="1" thickBot="1" x14ac:dyDescent="0.25">
      <c r="A121" s="2">
        <f t="shared" si="307"/>
        <v>5710</v>
      </c>
      <c r="B121" s="3">
        <f t="shared" si="251"/>
        <v>756</v>
      </c>
      <c r="C121" s="3">
        <f t="shared" si="252"/>
        <v>919</v>
      </c>
      <c r="D121" s="3">
        <f t="shared" si="253"/>
        <v>18721</v>
      </c>
      <c r="E121" s="3">
        <f>SUM(B121:D121)</f>
        <v>20396</v>
      </c>
      <c r="F121" s="4">
        <f>+$F$84/$A$84*A121</f>
        <v>5729.2409755275685</v>
      </c>
      <c r="G121" s="4">
        <f>+$G$84/$A$84*A121</f>
        <v>569.927315614338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-326</v>
      </c>
      <c r="AN121" s="20">
        <v>-351</v>
      </c>
      <c r="AO121" s="20">
        <v>5710</v>
      </c>
      <c r="AP121" s="20">
        <v>334</v>
      </c>
      <c r="AQ121" s="20">
        <v>-783</v>
      </c>
      <c r="AR121" s="20"/>
      <c r="AS121" s="54">
        <f>IF(RTD("tos.rtd",,AS$83,"."&amp;$B$82&amp;$AS$82&amp;"C"&amp;$A121)="N/A",0,RTD("tos.rtd",,AS$83,"."&amp;$B$82&amp;$AS$82&amp;"C"&amp;$A121))</f>
        <v>326</v>
      </c>
      <c r="AT121" s="3">
        <f>-IF(RTD("tos.rtd",,AT$83,"."&amp;$B$82&amp;$AS$82&amp;"P"&amp;$A121)="N/A",0,RTD("tos.rtd",,AT$83,"."&amp;$B$82&amp;$AS$82&amp;"P"&amp;$A121))</f>
        <v>-430</v>
      </c>
      <c r="AU121" s="54">
        <f>IF(RTD("tos.rtd",,AU$83,"."&amp;$C$82&amp;$AU$82&amp;"C"&amp;$A121)="N/A",0,RTD("tos.rtd",,AU$83,"."&amp;$C$82&amp;$AU$82&amp;"C"&amp;$A121))</f>
        <v>276</v>
      </c>
      <c r="AV121" s="3">
        <f>-IF(RTD("tos.rtd",,AV$83,"."&amp;$C$82&amp;$AU$82&amp;"P"&amp;$A121)="N/A",0,RTD("tos.rtd",,AV$83,"."&amp;$C$82&amp;$AU$82&amp;"P"&amp;$A121))</f>
        <v>-643</v>
      </c>
      <c r="AW121" s="54">
        <f>IF(RTD("tos.rtd",,AW$83,"."&amp;$D$82&amp;$AW$82&amp;"C"&amp;$A121)="N/A",0,RTD("tos.rtd",,AW$83,"."&amp;$D$82&amp;$AW$82&amp;"C"&amp;$A121))</f>
        <v>9247</v>
      </c>
      <c r="AX121" s="3">
        <f>-IF(RTD("tos.rtd",,AX$83,"."&amp;$D$82&amp;$AW$82&amp;"P"&amp;$A121)="N/A",0,RTD("tos.rtd",,AX$83,"."&amp;$D$82&amp;$AW$82&amp;"P"&amp;$A121))</f>
        <v>-9474</v>
      </c>
      <c r="AY121" s="79">
        <f>SUM(AS121:AX121)</f>
        <v>-698</v>
      </c>
      <c r="AZ121" s="8">
        <f t="shared" si="255"/>
        <v>5710</v>
      </c>
      <c r="BA121" s="54">
        <f>IF(RTD("tos.rtd",,BA$83,"."&amp;$B$82&amp;$AS$82&amp;"C"&amp;$A121)="N/A",0,RTD("tos.rtd",,BA$83,"."&amp;$B$82&amp;$AS$82&amp;"C"&amp;$A121))</f>
        <v>334</v>
      </c>
      <c r="BB121" s="3">
        <f>-IF(RTD("tos.rtd",,BB$83,"."&amp;$B$82&amp;$AS$82&amp;"P"&amp;$A121)="N/A",0,RTD("tos.rtd",,BB$83,"."&amp;$B$82&amp;$AS$82&amp;"P"&amp;$A121))</f>
        <v>-783</v>
      </c>
      <c r="BC121" s="54">
        <f>IF(RTD("tos.rtd",,BC$83,"."&amp;$C$82&amp;$AU$82&amp;"C"&amp;$A121)="N/A",0,RTD("tos.rtd",,BC$83,"."&amp;$C$82&amp;$AU$82&amp;"C"&amp;$A121))</f>
        <v>1</v>
      </c>
      <c r="BD121" s="3">
        <f>-IF(RTD("tos.rtd",,BD$83,"."&amp;$C$82&amp;$AU$82&amp;"P"&amp;$A121)="N/A",0,RTD("tos.rtd",,BD$83,"."&amp;$C$82&amp;$AU$82&amp;"P"&amp;$A121))</f>
        <v>-155</v>
      </c>
      <c r="BE121" s="54">
        <f>IF(RTD("tos.rtd",,BE$83,"."&amp;$D$82&amp;$AW$82&amp;"C"&amp;$A121)="N/A",0,RTD("tos.rtd",,BE$83,"."&amp;$D$82&amp;$AW$82&amp;"C"&amp;$A121))</f>
        <v>1</v>
      </c>
      <c r="BF121" s="3">
        <f>-IF(RTD("tos.rtd",,BF$83,"."&amp;$D$82&amp;$AW$82&amp;"P"&amp;$A121)="N/A",0,RTD("tos.rtd",,BF$83,"."&amp;$D$82&amp;$AW$82&amp;"P"&amp;$A121))</f>
        <v>-66</v>
      </c>
      <c r="BG121" s="3">
        <f ca="1">+Hoja2!Y122</f>
        <v>-1506</v>
      </c>
      <c r="BH121" s="55">
        <f t="shared" ca="1" si="292"/>
        <v>-2174</v>
      </c>
      <c r="BI121" s="32" t="str">
        <f t="shared" ca="1" si="312"/>
        <v/>
      </c>
      <c r="BJ121" s="3">
        <f ca="1">IF($BP$1=1,DX121,IF(RTD("tos.rtd",,BJ$83,"."&amp;$B$82&amp;$AS$82&amp;"C"&amp;$A121)="N/A",0,RTD("tos.rtd",,BJ$83,"."&amp;$B$82&amp;$AS$82&amp;"C"&amp;$A121)))</f>
        <v>2.0371817670072299E-38</v>
      </c>
      <c r="BK121" s="3">
        <f ca="1">IF($BP$1=1,DY121,-IF(RTD("tos.rtd",,BK$83,"."&amp;$B$82&amp;$AS$82&amp;"P"&amp;$A121)="N/A",0,RTD("tos.rtd",,BK$83,"."&amp;$B$82&amp;$AS$82&amp;"P"&amp;$A121)))</f>
        <v>-5.5500124343699675E-4</v>
      </c>
      <c r="BL121" s="3">
        <f ca="1">IF($BP$1=1,DZ121,IF(RTD("tos.rtd",,BL$83,"."&amp;$C$82&amp;$AU$82&amp;"C"&amp;$A121)="N/A",0,RTD("tos.rtd",,BL$83,"."&amp;$C$82&amp;$AU$82&amp;"C"&amp;$A121)))</f>
        <v>8.4393968695342235E-4</v>
      </c>
      <c r="BM121" s="3">
        <f ca="1">IF($BP$1=1,EA121,-IF(RTD("tos.rtd",,BM$83,"."&amp;$C$82&amp;$AU$82&amp;"P"&amp;$A121)="N/A",0,RTD("tos.rtd",,BM$83,"."&amp;$C$82&amp;$AU$82&amp;"P"&amp;$A121)))</f>
        <v>-6.8663611832037467E-4</v>
      </c>
      <c r="BN121" s="3">
        <f ca="1">IF($BP$1=1,EB121,IF(RTD("tos.rtd",,BN$83,"."&amp;$D$82&amp;$AW$82&amp;"C"&amp;$A121)="N/A",0,RTD("tos.rtd",,BN$83,"."&amp;$D$82&amp;$AW$82&amp;"C"&amp;$A121)))</f>
        <v>4.0018088578093263E-4</v>
      </c>
      <c r="BO121" s="3">
        <f ca="1">IF($BP$1=1,EC121,-IF(RTD("tos.rtd",,BO$83,"."&amp;$D$82&amp;$AW$82&amp;"P"&amp;$A121)="N/A",0,RTD("tos.rtd",,BO$83,"."&amp;$D$82&amp;$AW$82&amp;"P"&amp;$A121)))</f>
        <v>-5.2120696518081794E-4</v>
      </c>
      <c r="BQ121" s="3">
        <f t="shared" ca="1" si="256"/>
        <v>-64439.304522420622</v>
      </c>
      <c r="BR121" s="3" t="str">
        <f t="shared" ca="1" si="293"/>
        <v/>
      </c>
      <c r="BS121" s="3">
        <f t="shared" ca="1" si="257"/>
        <v>-56319.709995379402</v>
      </c>
      <c r="BT121" s="3" t="str">
        <f t="shared" ca="1" si="293"/>
        <v/>
      </c>
      <c r="BU121" s="3">
        <f t="shared" ca="1" si="258"/>
        <v>-334128.35559914762</v>
      </c>
      <c r="BV121" s="3" t="str">
        <f t="shared" ca="1" si="293"/>
        <v/>
      </c>
      <c r="BX121" s="3">
        <f t="shared" ca="1" si="259"/>
        <v>-117339.47776989616</v>
      </c>
      <c r="BY121" s="3" t="str">
        <f t="shared" ca="1" si="309"/>
        <v/>
      </c>
      <c r="BZ121" s="3">
        <f t="shared" ca="1" si="260"/>
        <v>-28509.477177581546</v>
      </c>
      <c r="CA121" s="3" t="str">
        <f t="shared" ca="1" si="309"/>
        <v/>
      </c>
      <c r="CB121" s="3">
        <f t="shared" ca="1" si="261"/>
        <v>-9180.3807269679783</v>
      </c>
      <c r="CC121" s="3" t="str">
        <f t="shared" ca="1" si="309"/>
        <v/>
      </c>
      <c r="CD121" s="3">
        <f>IF(RTD("tos.rtd",,CD$83,"."&amp;$B$82&amp;$AS$82&amp;"C"&amp;$A121)="N/A",0,RTD("tos.rtd",,CD$83,"."&amp;$B$82&amp;$AS$82&amp;"C"&amp;$A121))</f>
        <v>1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1</v>
      </c>
      <c r="CG121" s="3">
        <f>-IF(RTD("tos.rtd",,CG$83,"."&amp;$C$82&amp;$AU$82&amp;"P"&amp;$A121)="N/A",0,RTD("tos.rtd",,CG$83,"."&amp;$C$82&amp;$AU$82&amp;"P"&amp;$A121))</f>
        <v>0.02</v>
      </c>
      <c r="CH121" s="3">
        <f>IF(RTD("tos.rtd",,CH$83,"."&amp;$D$82&amp;$AW$82&amp;"C"&amp;$A121)="N/A",0,RTD("tos.rtd",,CH$83,"."&amp;$D$82&amp;$AW$82&amp;"C"&amp;$A121))</f>
        <v>0.81</v>
      </c>
      <c r="CI121" s="3">
        <f>-IF(RTD("tos.rtd",,CI$83,"."&amp;$D$82&amp;$AW$82&amp;"P"&amp;$A121)="N/A",0,RTD("tos.rtd",,CI$83,"."&amp;$D$82&amp;$AW$82&amp;"P"&amp;$A121))</f>
        <v>0.21</v>
      </c>
      <c r="CK121" s="3">
        <f t="shared" si="294"/>
        <v>193489150</v>
      </c>
      <c r="CL121" s="3"/>
      <c r="CM121" s="3">
        <f t="shared" si="295"/>
        <v>156180168.5</v>
      </c>
      <c r="CN121" s="3"/>
      <c r="CO121" s="3">
        <f t="shared" si="296"/>
        <v>3264702068.250001</v>
      </c>
      <c r="CP121" s="3">
        <f t="shared" si="262"/>
        <v>3614371386.750001</v>
      </c>
      <c r="CQ121" s="3">
        <f t="shared" si="263"/>
        <v>-449</v>
      </c>
      <c r="CR121" s="3"/>
      <c r="CS121" s="3">
        <f t="shared" si="264"/>
        <v>-154</v>
      </c>
      <c r="CT121" s="3"/>
      <c r="CU121" s="3">
        <f t="shared" si="265"/>
        <v>-65</v>
      </c>
      <c r="CV121" s="3"/>
      <c r="CW121" s="3">
        <f ca="1">+BQ121+BS121+BU121</f>
        <v>-454887.37011694763</v>
      </c>
      <c r="CY121" s="3">
        <f t="shared" ca="1" si="266"/>
        <v>-155029.33567444567</v>
      </c>
      <c r="CZ121" s="70" t="str">
        <f t="shared" ca="1" si="310"/>
        <v/>
      </c>
      <c r="DA121" s="3">
        <f>IF(RTD("tos.rtd",,DA$83,"."&amp;$B$82&amp;$AS$82&amp;"C"&amp;$A121)="N/A",0,RTD("tos.rtd",,DA$83,"."&amp;$B$82&amp;$AS$82&amp;"C"&amp;$A121))</f>
        <v>213.2</v>
      </c>
      <c r="DB121" s="3">
        <f>IF(RTD("tos.rtd",,DB$83,"."&amp;$B$82&amp;$AS$82&amp;"P"&amp;$A121)="N/A",0,RTD("tos.rtd",,DB$83,"."&amp;$B$82&amp;$AS$82&amp;"P"&amp;$A121))</f>
        <v>0.03</v>
      </c>
      <c r="DC121" s="3">
        <f>IF(RTD("tos.rtd",,DC$83,"."&amp;$B$82&amp;$AS$82&amp;"C"&amp;$A121)="N/A",0,RTD("tos.rtd",,DC$83,"."&amp;$B$82&amp;$AS$82&amp;"C"&amp;$A121))</f>
        <v>230.7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228.7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298"/>
        <v>-225.25</v>
      </c>
      <c r="DH121" s="3">
        <f t="shared" si="267"/>
        <v>0</v>
      </c>
      <c r="DI121" s="3">
        <f t="shared" si="268"/>
        <v>0</v>
      </c>
      <c r="DJ121" s="3">
        <f t="shared" si="269"/>
        <v>0</v>
      </c>
      <c r="DK121" s="3">
        <f t="shared" si="270"/>
        <v>0</v>
      </c>
      <c r="DL121" s="3">
        <f t="shared" si="271"/>
        <v>0</v>
      </c>
      <c r="DM121" s="3">
        <f t="shared" si="272"/>
        <v>0</v>
      </c>
      <c r="DN121" s="64" t="str">
        <f t="shared" si="273"/>
        <v>UNKNOWN</v>
      </c>
      <c r="DO121" s="64" t="str">
        <f t="shared" si="274"/>
        <v>UNKNOWN</v>
      </c>
      <c r="DP121" s="3">
        <f t="shared" si="275"/>
        <v>0</v>
      </c>
      <c r="DQ121" s="3">
        <f t="shared" si="276"/>
        <v>0</v>
      </c>
      <c r="DR121" s="3">
        <f t="shared" ca="1" si="277"/>
        <v>0</v>
      </c>
      <c r="DS121" s="3">
        <f t="shared" si="278"/>
        <v>0</v>
      </c>
      <c r="DT121" s="3">
        <f t="shared" si="299"/>
        <v>0</v>
      </c>
      <c r="DU121" s="3">
        <f t="shared" si="300"/>
        <v>0</v>
      </c>
      <c r="DV121" s="3">
        <f t="shared" si="301"/>
        <v>-326</v>
      </c>
      <c r="DW121" s="3">
        <f t="shared" si="302"/>
        <v>-351</v>
      </c>
      <c r="DX121" s="3">
        <f t="shared" ca="1" si="311"/>
        <v>2.0371817670072299E-38</v>
      </c>
      <c r="DY121" s="3">
        <f t="shared" ca="1" si="279"/>
        <v>-5.5500124343699675E-4</v>
      </c>
      <c r="DZ121" s="3">
        <f t="shared" ca="1" si="303"/>
        <v>8.4393968695342235E-4</v>
      </c>
      <c r="EA121" s="3">
        <f t="shared" ca="1" si="304"/>
        <v>-6.8663611832037467E-4</v>
      </c>
      <c r="EB121" s="3">
        <f t="shared" ca="1" si="280"/>
        <v>4.0018088578093263E-4</v>
      </c>
      <c r="EC121" s="3">
        <f t="shared" ca="1" si="281"/>
        <v>-5.2120696518081794E-4</v>
      </c>
      <c r="ED121" s="63">
        <f t="shared" si="305"/>
        <v>-677</v>
      </c>
      <c r="EE121" s="59">
        <f t="shared" si="282"/>
        <v>0.25</v>
      </c>
      <c r="EF121" s="59">
        <f t="shared" si="283"/>
        <v>1.7228000000000001</v>
      </c>
      <c r="EG121" s="59">
        <f t="shared" si="284"/>
        <v>0.25</v>
      </c>
      <c r="EH121" s="59">
        <f t="shared" si="285"/>
        <v>0.21729999999999999</v>
      </c>
      <c r="EI121" s="59">
        <f t="shared" si="286"/>
        <v>0.17560000000000001</v>
      </c>
      <c r="EJ121" s="59">
        <f t="shared" si="287"/>
        <v>0.19189999999999999</v>
      </c>
      <c r="EK121" s="63">
        <f t="shared" ca="1" si="306"/>
        <v>6862448.6219186904</v>
      </c>
      <c r="EL121" s="3" t="str">
        <f>RTD("tos.rtd",,EL$83,"."&amp;$B$82&amp;$AS$82&amp;"C"&amp;$A121)</f>
        <v>--</v>
      </c>
      <c r="EM121" s="3" t="str">
        <f>RTD("tos.rtd",,EM$83,"."&amp;$B$82&amp;$AS$82&amp;"P"&amp;$A121)</f>
        <v>172.28%</v>
      </c>
      <c r="EN121" s="3" t="str">
        <f>RTD("tos.rtd",,EN$83,"."&amp;$C$82&amp;$AU$82&amp;"C"&amp;$A121)</f>
        <v>--</v>
      </c>
      <c r="EO121" s="3" t="str">
        <f>RTD("tos.rtd",,EO$83,"."&amp;$C$82&amp;$AU$82&amp;"P"&amp;$A121)</f>
        <v>21.73%</v>
      </c>
      <c r="EP121" s="3" t="str">
        <f>RTD("tos.rtd",,EP$83,"."&amp;$D$82&amp;$AW$82&amp;"C"&amp;$A121)</f>
        <v>17.56%</v>
      </c>
      <c r="EQ121" s="3" t="str">
        <f>RTD("tos.rtd",,EQ$83,"."&amp;$D$82&amp;$AW$82&amp;"P"&amp;$A121)</f>
        <v>19.19%</v>
      </c>
      <c r="ES121" s="63" t="str">
        <f t="shared" si="288"/>
        <v>5710,-677.00</v>
      </c>
      <c r="ET121" s="63" t="str">
        <f t="shared" ca="1" si="289"/>
        <v>5710,-155.03</v>
      </c>
      <c r="EU121" s="67">
        <v>594.04999999999995</v>
      </c>
      <c r="EV121" s="67" t="s">
        <v>988</v>
      </c>
      <c r="EW121" s="67">
        <v>520.76</v>
      </c>
      <c r="EX121" s="67" t="s">
        <v>989</v>
      </c>
      <c r="EY121" s="67">
        <v>5950.5</v>
      </c>
      <c r="EZ121" s="67" t="s">
        <v>990</v>
      </c>
      <c r="FA121" s="67">
        <v>21379</v>
      </c>
      <c r="FB121" s="67" t="s">
        <v>991</v>
      </c>
      <c r="FC121" s="67" t="s">
        <v>992</v>
      </c>
      <c r="FD121" s="67" t="s">
        <v>993</v>
      </c>
      <c r="FE121" s="68" t="s">
        <v>994</v>
      </c>
      <c r="FF121" s="68" t="s">
        <v>995</v>
      </c>
    </row>
    <row r="122" spans="1:162" s="63" customFormat="1" ht="12" customHeight="1" thickBot="1" x14ac:dyDescent="0.25">
      <c r="A122" s="2">
        <f t="shared" si="307"/>
        <v>5700</v>
      </c>
      <c r="B122" s="3">
        <f t="shared" si="251"/>
        <v>3521</v>
      </c>
      <c r="C122" s="3">
        <f t="shared" si="252"/>
        <v>5265</v>
      </c>
      <c r="D122" s="3">
        <f t="shared" si="253"/>
        <v>169454</v>
      </c>
      <c r="E122" s="3">
        <f t="shared" si="319"/>
        <v>178240</v>
      </c>
      <c r="F122" s="4">
        <f t="shared" si="320"/>
        <v>5719.2072785476603</v>
      </c>
      <c r="G122" s="4">
        <f t="shared" si="321"/>
        <v>568.92919422096793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-133</v>
      </c>
      <c r="AN122" s="20">
        <v>-1536</v>
      </c>
      <c r="AO122" s="20">
        <v>5700</v>
      </c>
      <c r="AP122" s="20">
        <v>484</v>
      </c>
      <c r="AQ122" s="20">
        <v>-1544</v>
      </c>
      <c r="AR122" s="20"/>
      <c r="AS122" s="54">
        <f>IF(RTD("tos.rtd",,AS$83,"."&amp;$B$82&amp;$AS$82&amp;"C"&amp;$A122)="N/A",0,RTD("tos.rtd",,AS$83,"."&amp;$B$82&amp;$AS$82&amp;"C"&amp;$A122))</f>
        <v>910</v>
      </c>
      <c r="AT122" s="3">
        <f>-IF(RTD("tos.rtd",,AT$83,"."&amp;$B$82&amp;$AS$82&amp;"P"&amp;$A122)="N/A",0,RTD("tos.rtd",,AT$83,"."&amp;$B$82&amp;$AS$82&amp;"P"&amp;$A122))</f>
        <v>-2611</v>
      </c>
      <c r="AU122" s="54">
        <f>IF(RTD("tos.rtd",,AU$83,"."&amp;$C$82&amp;$AU$82&amp;"C"&amp;$A122)="N/A",0,RTD("tos.rtd",,AU$83,"."&amp;$C$82&amp;$AU$82&amp;"C"&amp;$A122))</f>
        <v>2226</v>
      </c>
      <c r="AV122" s="3">
        <f>-IF(RTD("tos.rtd",,AV$83,"."&amp;$C$82&amp;$AU$82&amp;"P"&amp;$A122)="N/A",0,RTD("tos.rtd",,AV$83,"."&amp;$C$82&amp;$AU$82&amp;"P"&amp;$A122))</f>
        <v>-3039</v>
      </c>
      <c r="AW122" s="54">
        <f>IF(RTD("tos.rtd",,AW$83,"."&amp;$D$82&amp;$AW$82&amp;"C"&amp;$A122)="N/A",0,RTD("tos.rtd",,AW$83,"."&amp;$D$82&amp;$AW$82&amp;"C"&amp;$A122))</f>
        <v>82518</v>
      </c>
      <c r="AX122" s="3">
        <f>-IF(RTD("tos.rtd",,AX$83,"."&amp;$D$82&amp;$AW$82&amp;"P"&amp;$A122)="N/A",0,RTD("tos.rtd",,AX$83,"."&amp;$D$82&amp;$AW$82&amp;"P"&amp;$A122))</f>
        <v>-86936</v>
      </c>
      <c r="AY122" s="79">
        <f t="shared" si="322"/>
        <v>-6932</v>
      </c>
      <c r="AZ122" s="8">
        <f t="shared" si="255"/>
        <v>5700</v>
      </c>
      <c r="BA122" s="54">
        <f>IF(RTD("tos.rtd",,BA$83,"."&amp;$B$82&amp;$AS$82&amp;"C"&amp;$A122)="N/A",0,RTD("tos.rtd",,BA$83,"."&amp;$B$82&amp;$AS$82&amp;"C"&amp;$A122))</f>
        <v>484</v>
      </c>
      <c r="BB122" s="3">
        <f>-IF(RTD("tos.rtd",,BB$83,"."&amp;$B$82&amp;$AS$82&amp;"P"&amp;$A122)="N/A",0,RTD("tos.rtd",,BB$83,"."&amp;$B$82&amp;$AS$82&amp;"P"&amp;$A122))</f>
        <v>-1544</v>
      </c>
      <c r="BC122" s="54">
        <f>IF(RTD("tos.rtd",,BC$83,"."&amp;$C$82&amp;$AU$82&amp;"C"&amp;$A122)="N/A",0,RTD("tos.rtd",,BC$83,"."&amp;$C$82&amp;$AU$82&amp;"C"&amp;$A122))</f>
        <v>85</v>
      </c>
      <c r="BD122" s="3">
        <f>-IF(RTD("tos.rtd",,BD$83,"."&amp;$C$82&amp;$AU$82&amp;"P"&amp;$A122)="N/A",0,RTD("tos.rtd",,BD$83,"."&amp;$C$82&amp;$AU$82&amp;"P"&amp;$A122))</f>
        <v>-1065</v>
      </c>
      <c r="BE122" s="54">
        <f>IF(RTD("tos.rtd",,BE$83,"."&amp;$D$82&amp;$AW$82&amp;"C"&amp;$A122)="N/A",0,RTD("tos.rtd",,BE$83,"."&amp;$D$82&amp;$AW$82&amp;"C"&amp;$A122))</f>
        <v>78</v>
      </c>
      <c r="BF122" s="3">
        <f>-IF(RTD("tos.rtd",,BF$83,"."&amp;$D$82&amp;$AW$82&amp;"P"&amp;$A122)="N/A",0,RTD("tos.rtd",,BF$83,"."&amp;$D$82&amp;$AW$82&amp;"P"&amp;$A122))</f>
        <v>-1128</v>
      </c>
      <c r="BG122" s="3">
        <f ca="1">+Hoja2!Y123</f>
        <v>-5760</v>
      </c>
      <c r="BH122" s="55">
        <f t="shared" ca="1" si="292"/>
        <v>-8850</v>
      </c>
      <c r="BI122" s="32" t="str">
        <f t="shared" ca="1" si="312"/>
        <v/>
      </c>
      <c r="BJ122" s="3">
        <f ca="1">IF($BP$1=1,DX122,IF(RTD("tos.rtd",,BJ$83,"."&amp;$B$82&amp;$AS$82&amp;"C"&amp;$A122)="N/A",0,RTD("tos.rtd",,BJ$83,"."&amp;$B$82&amp;$AS$82&amp;"C"&amp;$A122)))</f>
        <v>9.340070236720742E-42</v>
      </c>
      <c r="BK122" s="3">
        <f ca="1">IF($BP$1=1,DY122,-IF(RTD("tos.rtd",,BK$83,"."&amp;$B$82&amp;$AS$82&amp;"P"&amp;$A122)="N/A",0,RTD("tos.rtd",,BK$83,"."&amp;$B$82&amp;$AS$82&amp;"P"&amp;$A122)))</f>
        <v>-5.2448547271883087E-4</v>
      </c>
      <c r="BL122" s="3">
        <f ca="1">IF($BP$1=1,DZ122,IF(RTD("tos.rtd",,BL$83,"."&amp;$C$82&amp;$AU$82&amp;"C"&amp;$A122)="N/A",0,RTD("tos.rtd",,BL$83,"."&amp;$C$82&amp;$AU$82&amp;"C"&amp;$A122)))</f>
        <v>7.6451413574755598E-4</v>
      </c>
      <c r="BM122" s="3">
        <f ca="1">IF($BP$1=1,EA122,-IF(RTD("tos.rtd",,BM$83,"."&amp;$C$82&amp;$AU$82&amp;"P"&amp;$A122)="N/A",0,RTD("tos.rtd",,BM$83,"."&amp;$C$82&amp;$AU$82&amp;"P"&amp;$A122)))</f>
        <v>-6.2036091993866553E-4</v>
      </c>
      <c r="BN122" s="3">
        <f ca="1">IF($BP$1=1,EB122,IF(RTD("tos.rtd",,BN$83,"."&amp;$D$82&amp;$AW$82&amp;"C"&amp;$A122)="N/A",0,RTD("tos.rtd",,BN$83,"."&amp;$D$82&amp;$AW$82&amp;"C"&amp;$A122)))</f>
        <v>3.3480486623859145E-4</v>
      </c>
      <c r="BO122" s="3">
        <f ca="1">IF($BP$1=1,EC122,-IF(RTD("tos.rtd",,BO$83,"."&amp;$D$82&amp;$AW$82&amp;"P"&amp;$A122)="N/A",0,RTD("tos.rtd",,BO$83,"."&amp;$D$82&amp;$AW$82&amp;"P"&amp;$A122)))</f>
        <v>-4.525353362495859E-4</v>
      </c>
      <c r="BQ122" s="3">
        <f t="shared" ca="1" si="256"/>
        <v>-369767.5265376289</v>
      </c>
      <c r="BR122" s="3" t="str">
        <f t="shared" ca="1" si="293"/>
        <v/>
      </c>
      <c r="BS122" s="3">
        <f t="shared" ca="1" si="257"/>
        <v>-49539.273606313684</v>
      </c>
      <c r="BT122" s="3" t="str">
        <f t="shared" ca="1" si="293"/>
        <v/>
      </c>
      <c r="BU122" s="3">
        <f t="shared" ca="1" si="258"/>
        <v>-3163009.350047037</v>
      </c>
      <c r="BV122" s="3" t="str">
        <f t="shared" ca="1" si="293"/>
        <v/>
      </c>
      <c r="BX122" s="3">
        <f t="shared" ca="1" si="259"/>
        <v>-218659.92377407089</v>
      </c>
      <c r="BY122" s="3" t="str">
        <f t="shared" ca="1" si="309"/>
        <v/>
      </c>
      <c r="BZ122" s="3">
        <f t="shared" ca="1" si="260"/>
        <v>-160848.31931468827</v>
      </c>
      <c r="CA122" s="3" t="str">
        <f t="shared" ca="1" si="309"/>
        <v/>
      </c>
      <c r="CB122" s="3">
        <f t="shared" ca="1" si="261"/>
        <v>-130780.59987724233</v>
      </c>
      <c r="CC122" s="3" t="str">
        <f t="shared" ca="1" si="309"/>
        <v/>
      </c>
      <c r="CD122" s="3">
        <f>IF(RTD("tos.rtd",,CD$83,"."&amp;$B$82&amp;$AS$82&amp;"C"&amp;$A122)="N/A",0,RTD("tos.rtd",,CD$83,"."&amp;$B$82&amp;$AS$82&amp;"C"&amp;$A122))</f>
        <v>1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1</v>
      </c>
      <c r="CG122" s="3">
        <f>-IF(RTD("tos.rtd",,CG$83,"."&amp;$C$82&amp;$AU$82&amp;"P"&amp;$A122)="N/A",0,RTD("tos.rtd",,CG$83,"."&amp;$C$82&amp;$AU$82&amp;"P"&amp;$A122))</f>
        <v>0.02</v>
      </c>
      <c r="CH122" s="3">
        <f>IF(RTD("tos.rtd",,CH$83,"."&amp;$D$82&amp;$AW$82&amp;"C"&amp;$A122)="N/A",0,RTD("tos.rtd",,CH$83,"."&amp;$D$82&amp;$AW$82&amp;"C"&amp;$A122))</f>
        <v>0.82</v>
      </c>
      <c r="CI122" s="3">
        <f>-IF(RTD("tos.rtd",,CI$83,"."&amp;$D$82&amp;$AW$82&amp;"P"&amp;$A122)="N/A",0,RTD("tos.rtd",,CI$83,"."&amp;$D$82&amp;$AW$82&amp;"P"&amp;$A122))</f>
        <v>0.2</v>
      </c>
      <c r="CK122" s="3">
        <f t="shared" si="294"/>
        <v>540107750</v>
      </c>
      <c r="CL122" s="3"/>
      <c r="CM122" s="3">
        <f t="shared" si="295"/>
        <v>1285112200.5</v>
      </c>
      <c r="CN122" s="3"/>
      <c r="CO122" s="3">
        <f t="shared" si="296"/>
        <v>29840988798.999992</v>
      </c>
      <c r="CP122" s="3">
        <f t="shared" si="262"/>
        <v>31666208749.499992</v>
      </c>
      <c r="CQ122" s="3">
        <f t="shared" si="263"/>
        <v>-1060</v>
      </c>
      <c r="CR122" s="3"/>
      <c r="CS122" s="3">
        <f t="shared" si="264"/>
        <v>-980</v>
      </c>
      <c r="CT122" s="3"/>
      <c r="CU122" s="3">
        <f t="shared" si="265"/>
        <v>-1050</v>
      </c>
      <c r="CV122" s="3"/>
      <c r="CW122" s="3">
        <f t="shared" ca="1" si="323"/>
        <v>-3582316.1501909797</v>
      </c>
      <c r="CY122" s="3">
        <f t="shared" ca="1" si="266"/>
        <v>-510288.84296600148</v>
      </c>
      <c r="CZ122" s="70" t="str">
        <f t="shared" ca="1" si="310"/>
        <v/>
      </c>
      <c r="DA122" s="3">
        <f>IF(RTD("tos.rtd",,DA$83,"."&amp;$B$82&amp;$AS$82&amp;"C"&amp;$A122)="N/A",0,RTD("tos.rtd",,DA$83,"."&amp;$B$82&amp;$AS$82&amp;"C"&amp;$A122))</f>
        <v>233.75</v>
      </c>
      <c r="DB122" s="3">
        <f>IF(RTD("tos.rtd",,DB$83,"."&amp;$B$82&amp;$AS$82&amp;"P"&amp;$A122)="N/A",0,RTD("tos.rtd",,DB$83,"."&amp;$B$82&amp;$AS$82&amp;"P"&amp;$A122))</f>
        <v>0.03</v>
      </c>
      <c r="DC122" s="3">
        <f>IF(RTD("tos.rtd",,DC$83,"."&amp;$B$82&amp;$AS$82&amp;"C"&amp;$A122)="N/A",0,RTD("tos.rtd",,DC$83,"."&amp;$B$82&amp;$AS$82&amp;"C"&amp;$A122))</f>
        <v>240.7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238.7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298"/>
        <v>-235.25</v>
      </c>
      <c r="DH122" s="3">
        <f t="shared" si="267"/>
        <v>0</v>
      </c>
      <c r="DI122" s="3">
        <f t="shared" si="268"/>
        <v>0</v>
      </c>
      <c r="DJ122" s="3">
        <f t="shared" si="269"/>
        <v>0</v>
      </c>
      <c r="DK122" s="3">
        <f t="shared" si="270"/>
        <v>0</v>
      </c>
      <c r="DL122" s="3">
        <f t="shared" si="271"/>
        <v>0</v>
      </c>
      <c r="DM122" s="3">
        <f t="shared" si="272"/>
        <v>0</v>
      </c>
      <c r="DN122" s="64" t="str">
        <f t="shared" si="273"/>
        <v>UNKNOWN</v>
      </c>
      <c r="DO122" s="64" t="str">
        <f t="shared" si="274"/>
        <v>UNKNOWN</v>
      </c>
      <c r="DP122" s="3">
        <f t="shared" si="275"/>
        <v>0</v>
      </c>
      <c r="DQ122" s="3">
        <f t="shared" si="276"/>
        <v>0</v>
      </c>
      <c r="DR122" s="3">
        <f t="shared" ca="1" si="277"/>
        <v>0</v>
      </c>
      <c r="DS122" s="3">
        <f t="shared" si="278"/>
        <v>0</v>
      </c>
      <c r="DT122" s="3">
        <f t="shared" si="299"/>
        <v>0</v>
      </c>
      <c r="DU122" s="3">
        <f t="shared" si="300"/>
        <v>0</v>
      </c>
      <c r="DV122" s="3">
        <f t="shared" si="301"/>
        <v>-133</v>
      </c>
      <c r="DW122" s="3">
        <f t="shared" si="302"/>
        <v>-1536</v>
      </c>
      <c r="DX122" s="3">
        <f t="shared" ca="1" si="311"/>
        <v>9.340070236720742E-42</v>
      </c>
      <c r="DY122" s="3">
        <f t="shared" ca="1" si="279"/>
        <v>-5.2448547271883087E-4</v>
      </c>
      <c r="DZ122" s="3">
        <f t="shared" ca="1" si="303"/>
        <v>7.6451413574755598E-4</v>
      </c>
      <c r="EA122" s="3">
        <f t="shared" ca="1" si="304"/>
        <v>-6.2036091993866553E-4</v>
      </c>
      <c r="EB122" s="3">
        <f t="shared" ca="1" si="280"/>
        <v>3.3480486623859145E-4</v>
      </c>
      <c r="EC122" s="3">
        <f t="shared" ca="1" si="281"/>
        <v>-4.525353362495859E-4</v>
      </c>
      <c r="ED122" s="63">
        <f t="shared" si="305"/>
        <v>-1669</v>
      </c>
      <c r="EE122" s="59">
        <f t="shared" si="282"/>
        <v>0.25</v>
      </c>
      <c r="EF122" s="59">
        <f t="shared" si="283"/>
        <v>1.7927</v>
      </c>
      <c r="EG122" s="59">
        <f t="shared" si="284"/>
        <v>0.25</v>
      </c>
      <c r="EH122" s="59">
        <f t="shared" si="285"/>
        <v>0.22040000000000001</v>
      </c>
      <c r="EI122" s="59">
        <f t="shared" si="286"/>
        <v>0.17660000000000001</v>
      </c>
      <c r="EJ122" s="59">
        <f t="shared" si="287"/>
        <v>0.19359999999999999</v>
      </c>
      <c r="EK122" s="63">
        <f t="shared" ca="1" si="306"/>
        <v>28379367.542323343</v>
      </c>
      <c r="EL122" s="3" t="str">
        <f>RTD("tos.rtd",,EL$83,"."&amp;$B$82&amp;$AS$82&amp;"C"&amp;$A122)</f>
        <v>--</v>
      </c>
      <c r="EM122" s="3" t="str">
        <f>RTD("tos.rtd",,EM$83,"."&amp;$B$82&amp;$AS$82&amp;"P"&amp;$A122)</f>
        <v>179.27%</v>
      </c>
      <c r="EN122" s="3" t="str">
        <f>RTD("tos.rtd",,EN$83,"."&amp;$C$82&amp;$AU$82&amp;"C"&amp;$A122)</f>
        <v>--</v>
      </c>
      <c r="EO122" s="3" t="str">
        <f>RTD("tos.rtd",,EO$83,"."&amp;$C$82&amp;$AU$82&amp;"P"&amp;$A122)</f>
        <v>22.04%</v>
      </c>
      <c r="EP122" s="3" t="str">
        <f>RTD("tos.rtd",,EP$83,"."&amp;$D$82&amp;$AW$82&amp;"C"&amp;$A122)</f>
        <v>17.66%</v>
      </c>
      <c r="EQ122" s="3" t="str">
        <f>RTD("tos.rtd",,EQ$83,"."&amp;$D$82&amp;$AW$82&amp;"P"&amp;$A122)</f>
        <v>19.36%</v>
      </c>
      <c r="ES122" s="63" t="str">
        <f t="shared" si="288"/>
        <v>5700,-1669.00</v>
      </c>
      <c r="ET122" s="63" t="str">
        <f t="shared" ca="1" si="289"/>
        <v>5700,-510.29</v>
      </c>
      <c r="EU122" s="67">
        <v>593.96</v>
      </c>
      <c r="EV122" s="67" t="s">
        <v>996</v>
      </c>
      <c r="EW122" s="67">
        <v>520.73</v>
      </c>
      <c r="EX122" s="67" t="s">
        <v>997</v>
      </c>
      <c r="EY122" s="67">
        <v>5949.5</v>
      </c>
      <c r="EZ122" s="67" t="s">
        <v>998</v>
      </c>
      <c r="FA122" s="67">
        <v>21374</v>
      </c>
      <c r="FB122" s="67" t="s">
        <v>999</v>
      </c>
      <c r="FC122" s="67" t="s">
        <v>1000</v>
      </c>
      <c r="FD122" s="67" t="s">
        <v>1001</v>
      </c>
      <c r="FE122" s="68" t="s">
        <v>1002</v>
      </c>
      <c r="FF122" s="68" t="s">
        <v>1003</v>
      </c>
    </row>
    <row r="123" spans="1:162" s="63" customFormat="1" ht="12" customHeight="1" thickBot="1" x14ac:dyDescent="0.25">
      <c r="A123" s="2">
        <f t="shared" si="307"/>
        <v>5690</v>
      </c>
      <c r="B123" s="3">
        <f t="shared" si="251"/>
        <v>282</v>
      </c>
      <c r="C123" s="3">
        <f t="shared" si="252"/>
        <v>469</v>
      </c>
      <c r="D123" s="3">
        <f t="shared" si="253"/>
        <v>14665</v>
      </c>
      <c r="E123" s="3">
        <f t="shared" si="314"/>
        <v>15416</v>
      </c>
      <c r="F123" s="4">
        <f t="shared" si="318"/>
        <v>5709.1735815677521</v>
      </c>
      <c r="G123" s="4">
        <f t="shared" si="315"/>
        <v>567.93107282759775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-4</v>
      </c>
      <c r="AN123" s="20">
        <v>162</v>
      </c>
      <c r="AO123" s="20">
        <v>5690</v>
      </c>
      <c r="AP123" s="20">
        <v>30</v>
      </c>
      <c r="AQ123" s="20">
        <v>-218</v>
      </c>
      <c r="AR123" s="20"/>
      <c r="AS123" s="54">
        <f>IF(RTD("tos.rtd",,AS$83,"."&amp;$B$82&amp;$AS$82&amp;"C"&amp;$A123)="N/A",0,RTD("tos.rtd",,AS$83,"."&amp;$B$82&amp;$AS$82&amp;"C"&amp;$A123))</f>
        <v>49</v>
      </c>
      <c r="AT123" s="3">
        <f>-IF(RTD("tos.rtd",,AT$83,"."&amp;$B$82&amp;$AS$82&amp;"P"&amp;$A123)="N/A",0,RTD("tos.rtd",,AT$83,"."&amp;$B$82&amp;$AS$82&amp;"P"&amp;$A123))</f>
        <v>-233</v>
      </c>
      <c r="AU123" s="54">
        <f>IF(RTD("tos.rtd",,AU$83,"."&amp;$C$82&amp;$AU$82&amp;"C"&amp;$A123)="N/A",0,RTD("tos.rtd",,AU$83,"."&amp;$C$82&amp;$AU$82&amp;"C"&amp;$A123))</f>
        <v>129</v>
      </c>
      <c r="AV123" s="3">
        <f>-IF(RTD("tos.rtd",,AV$83,"."&amp;$C$82&amp;$AU$82&amp;"P"&amp;$A123)="N/A",0,RTD("tos.rtd",,AV$83,"."&amp;$C$82&amp;$AU$82&amp;"P"&amp;$A123))</f>
        <v>-340</v>
      </c>
      <c r="AW123" s="54">
        <f>IF(RTD("tos.rtd",,AW$83,"."&amp;$D$82&amp;$AW$82&amp;"C"&amp;$A123)="N/A",0,RTD("tos.rtd",,AW$83,"."&amp;$D$82&amp;$AW$82&amp;"C"&amp;$A123))</f>
        <v>7300</v>
      </c>
      <c r="AX123" s="3">
        <f>-IF(RTD("tos.rtd",,AX$83,"."&amp;$D$82&amp;$AW$82&amp;"P"&amp;$A123)="N/A",0,RTD("tos.rtd",,AX$83,"."&amp;$D$82&amp;$AW$82&amp;"P"&amp;$A123))</f>
        <v>-7365</v>
      </c>
      <c r="AY123" s="79">
        <f t="shared" si="316"/>
        <v>-460</v>
      </c>
      <c r="AZ123" s="8">
        <f t="shared" si="255"/>
        <v>5690</v>
      </c>
      <c r="BA123" s="54">
        <f>IF(RTD("tos.rtd",,BA$83,"."&amp;$B$82&amp;$AS$82&amp;"C"&amp;$A123)="N/A",0,RTD("tos.rtd",,BA$83,"."&amp;$B$82&amp;$AS$82&amp;"C"&amp;$A123))</f>
        <v>30</v>
      </c>
      <c r="BB123" s="3">
        <f>-IF(RTD("tos.rtd",,BB$83,"."&amp;$B$82&amp;$AS$82&amp;"P"&amp;$A123)="N/A",0,RTD("tos.rtd",,BB$83,"."&amp;$B$82&amp;$AS$82&amp;"P"&amp;$A123))</f>
        <v>-218</v>
      </c>
      <c r="BC123" s="54">
        <f>IF(RTD("tos.rtd",,BC$83,"."&amp;$C$82&amp;$AU$82&amp;"C"&amp;$A123)="N/A",0,RTD("tos.rtd",,BC$83,"."&amp;$C$82&amp;$AU$82&amp;"C"&amp;$A123))</f>
        <v>12</v>
      </c>
      <c r="BD123" s="3">
        <f>-IF(RTD("tos.rtd",,BD$83,"."&amp;$C$82&amp;$AU$82&amp;"P"&amp;$A123)="N/A",0,RTD("tos.rtd",,BD$83,"."&amp;$C$82&amp;$AU$82&amp;"P"&amp;$A123))</f>
        <v>-64</v>
      </c>
      <c r="BE123" s="54">
        <f>IF(RTD("tos.rtd",,BE$83,"."&amp;$D$82&amp;$AW$82&amp;"C"&amp;$A123)="N/A",0,RTD("tos.rtd",,BE$83,"."&amp;$D$82&amp;$AW$82&amp;"C"&amp;$A123))</f>
        <v>0</v>
      </c>
      <c r="BF123" s="3">
        <f>-IF(RTD("tos.rtd",,BF$83,"."&amp;$D$82&amp;$AW$82&amp;"P"&amp;$A123)="N/A",0,RTD("tos.rtd",,BF$83,"."&amp;$D$82&amp;$AW$82&amp;"P"&amp;$A123))</f>
        <v>-23</v>
      </c>
      <c r="BG123" s="3">
        <f ca="1">+Hoja2!Y124</f>
        <v>-2194</v>
      </c>
      <c r="BH123" s="55">
        <f t="shared" ca="1" si="292"/>
        <v>-2457</v>
      </c>
      <c r="BI123" s="32" t="str">
        <f t="shared" ca="1" si="312"/>
        <v/>
      </c>
      <c r="BJ123" s="3">
        <f ca="1">IF($BP$1=1,DX123,IF(RTD("tos.rtd",,BJ$83,"."&amp;$B$82&amp;$AS$82&amp;"C"&amp;$A123)="N/A",0,RTD("tos.rtd",,BJ$83,"."&amp;$B$82&amp;$AS$82&amp;"C"&amp;$A123)))</f>
        <v>3.0029636430922085E-45</v>
      </c>
      <c r="BK123" s="3">
        <f ca="1">IF($BP$1=1,DY123,-IF(RTD("tos.rtd",,BK$83,"."&amp;$B$82&amp;$AS$82&amp;"P"&amp;$A123)="N/A",0,RTD("tos.rtd",,BK$83,"."&amp;$B$82&amp;$AS$82&amp;"P"&amp;$A123)))</f>
        <v>-4.9676525170401736E-4</v>
      </c>
      <c r="BL123" s="3">
        <f ca="1">IF($BP$1=1,DZ123,IF(RTD("tos.rtd",,BL$83,"."&amp;$C$82&amp;$AU$82&amp;"C"&amp;$A123)="N/A",0,RTD("tos.rtd",,BL$83,"."&amp;$C$82&amp;$AU$82&amp;"C"&amp;$A123)))</f>
        <v>6.8947289915617627E-4</v>
      </c>
      <c r="BM123" s="3">
        <f ca="1">IF($BP$1=1,EA123,-IF(RTD("tos.rtd",,BM$83,"."&amp;$C$82&amp;$AU$82&amp;"P"&amp;$A123)="N/A",0,RTD("tos.rtd",,BM$83,"."&amp;$C$82&amp;$AU$82&amp;"P"&amp;$A123)))</f>
        <v>-5.6804590987117763E-4</v>
      </c>
      <c r="BN123" s="3">
        <f ca="1">IF($BP$1=1,EB123,IF(RTD("tos.rtd",,BN$83,"."&amp;$D$82&amp;$AW$82&amp;"C"&amp;$A123)="N/A",0,RTD("tos.rtd",,BN$83,"."&amp;$D$82&amp;$AW$82&amp;"C"&amp;$A123)))</f>
        <v>2.8129489215304E-4</v>
      </c>
      <c r="BO123" s="3">
        <f ca="1">IF($BP$1=1,EC123,-IF(RTD("tos.rtd",,BO$83,"."&amp;$D$82&amp;$AW$82&amp;"P"&amp;$A123)="N/A",0,RTD("tos.rtd",,BO$83,"."&amp;$D$82&amp;$AW$82&amp;"P"&amp;$A123)))</f>
        <v>-3.9069335737592048E-4</v>
      </c>
      <c r="BQ123" s="3">
        <f t="shared" ca="1" si="256"/>
        <v>-31253.277174184135</v>
      </c>
      <c r="BR123" s="3" t="str">
        <f t="shared" ca="1" si="293"/>
        <v/>
      </c>
      <c r="BS123" s="3">
        <f t="shared" ca="1" si="257"/>
        <v>-28133.871455470613</v>
      </c>
      <c r="BT123" s="3" t="str">
        <f t="shared" ca="1" si="293"/>
        <v/>
      </c>
      <c r="BU123" s="3">
        <f t="shared" ca="1" si="258"/>
        <v>-222493.68104111205</v>
      </c>
      <c r="BV123" s="3" t="str">
        <f t="shared" ca="1" si="293"/>
        <v/>
      </c>
      <c r="BX123" s="3">
        <f t="shared" ca="1" si="259"/>
        <v>-29241.263622198036</v>
      </c>
      <c r="BY123" s="3" t="str">
        <f t="shared" ca="1" si="309"/>
        <v/>
      </c>
      <c r="BZ123" s="3">
        <f t="shared" ca="1" si="260"/>
        <v>-7582.3718088372207</v>
      </c>
      <c r="CA123" s="3" t="str">
        <f t="shared" ca="1" si="309"/>
        <v/>
      </c>
      <c r="CB123" s="3">
        <f t="shared" ca="1" si="261"/>
        <v>-2426.3435658783792</v>
      </c>
      <c r="CC123" s="3" t="str">
        <f t="shared" ca="1" si="309"/>
        <v/>
      </c>
      <c r="CD123" s="3">
        <f>IF(RTD("tos.rtd",,CD$83,"."&amp;$B$82&amp;$AS$82&amp;"C"&amp;$A123)="N/A",0,RTD("tos.rtd",,CD$83,"."&amp;$B$82&amp;$AS$82&amp;"C"&amp;$A123))</f>
        <v>1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1</v>
      </c>
      <c r="CG123" s="3">
        <f>-IF(RTD("tos.rtd",,CG$83,"."&amp;$C$82&amp;$AU$82&amp;"P"&amp;$A123)="N/A",0,RTD("tos.rtd",,CG$83,"."&amp;$C$82&amp;$AU$82&amp;"P"&amp;$A123))</f>
        <v>0.02</v>
      </c>
      <c r="CH123" s="3">
        <f>IF(RTD("tos.rtd",,CH$83,"."&amp;$D$82&amp;$AW$82&amp;"C"&amp;$A123)="N/A",0,RTD("tos.rtd",,CH$83,"."&amp;$D$82&amp;$AW$82&amp;"C"&amp;$A123))</f>
        <v>0.82</v>
      </c>
      <c r="CI123" s="3">
        <f>-IF(RTD("tos.rtd",,CI$83,"."&amp;$D$82&amp;$AW$82&amp;"P"&amp;$A123)="N/A",0,RTD("tos.rtd",,CI$83,"."&amp;$D$82&amp;$AW$82&amp;"P"&amp;$A123))</f>
        <v>0.2</v>
      </c>
      <c r="CK123" s="3">
        <f t="shared" si="294"/>
        <v>29082725</v>
      </c>
      <c r="CL123" s="3"/>
      <c r="CM123" s="3">
        <f t="shared" si="295"/>
        <v>72528755</v>
      </c>
      <c r="CN123" s="3"/>
      <c r="CO123" s="3">
        <f t="shared" si="296"/>
        <v>2678578325</v>
      </c>
      <c r="CP123" s="3">
        <f t="shared" si="262"/>
        <v>2780189805</v>
      </c>
      <c r="CQ123" s="3">
        <f t="shared" si="263"/>
        <v>-188</v>
      </c>
      <c r="CR123" s="3"/>
      <c r="CS123" s="3">
        <f t="shared" si="264"/>
        <v>-52</v>
      </c>
      <c r="CT123" s="3"/>
      <c r="CU123" s="3">
        <f t="shared" si="265"/>
        <v>-23</v>
      </c>
      <c r="CV123" s="3"/>
      <c r="CW123" s="3">
        <f t="shared" ref="CW123:CW130" ca="1" si="324">+BQ123+BS123+BU123</f>
        <v>-281880.82967076683</v>
      </c>
      <c r="CY123" s="3">
        <f t="shared" ca="1" si="266"/>
        <v>-39249.978996913633</v>
      </c>
      <c r="CZ123" s="70" t="str">
        <f t="shared" ca="1" si="310"/>
        <v/>
      </c>
      <c r="DA123" s="3">
        <f>IF(RTD("tos.rtd",,DA$83,"."&amp;$B$82&amp;$AS$82&amp;"C"&amp;$A123)="N/A",0,RTD("tos.rtd",,DA$83,"."&amp;$B$82&amp;$AS$82&amp;"C"&amp;$A123))</f>
        <v>233.12</v>
      </c>
      <c r="DB123" s="3">
        <f>IF(RTD("tos.rtd",,DB$83,"."&amp;$B$82&amp;$AS$82&amp;"P"&amp;$A123)="N/A",0,RTD("tos.rtd",,DB$83,"."&amp;$B$82&amp;$AS$82&amp;"P"&amp;$A123))</f>
        <v>0.05</v>
      </c>
      <c r="DC123" s="3">
        <f>IF(RTD("tos.rtd",,DC$83,"."&amp;$B$82&amp;$AS$82&amp;"C"&amp;$A123)="N/A",0,RTD("tos.rtd",,DC$83,"."&amp;$B$82&amp;$AS$82&amp;"C"&amp;$A123))</f>
        <v>250.7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248.7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298"/>
        <v>-245.25</v>
      </c>
      <c r="DH123" s="3">
        <f t="shared" si="267"/>
        <v>0</v>
      </c>
      <c r="DI123" s="3">
        <f t="shared" si="268"/>
        <v>0</v>
      </c>
      <c r="DJ123" s="3">
        <f t="shared" si="269"/>
        <v>0</v>
      </c>
      <c r="DK123" s="3">
        <f t="shared" si="270"/>
        <v>0</v>
      </c>
      <c r="DL123" s="3">
        <f t="shared" si="271"/>
        <v>0</v>
      </c>
      <c r="DM123" s="3">
        <f t="shared" si="272"/>
        <v>0</v>
      </c>
      <c r="DN123" s="64" t="str">
        <f t="shared" si="273"/>
        <v>UNKNOWN</v>
      </c>
      <c r="DO123" s="64" t="str">
        <f t="shared" si="274"/>
        <v>UNKNOWN</v>
      </c>
      <c r="DP123" s="3">
        <f t="shared" si="275"/>
        <v>0</v>
      </c>
      <c r="DQ123" s="3">
        <f t="shared" si="276"/>
        <v>0</v>
      </c>
      <c r="DR123" s="3">
        <f t="shared" ca="1" si="277"/>
        <v>0</v>
      </c>
      <c r="DS123" s="3">
        <f t="shared" si="278"/>
        <v>0</v>
      </c>
      <c r="DT123" s="3">
        <f t="shared" si="299"/>
        <v>0</v>
      </c>
      <c r="DU123" s="3">
        <f t="shared" si="300"/>
        <v>0</v>
      </c>
      <c r="DV123" s="3">
        <f t="shared" si="301"/>
        <v>-4</v>
      </c>
      <c r="DW123" s="3">
        <f t="shared" si="302"/>
        <v>162</v>
      </c>
      <c r="DX123" s="3">
        <f t="shared" ca="1" si="311"/>
        <v>3.0029636430922085E-45</v>
      </c>
      <c r="DY123" s="3">
        <f t="shared" ca="1" si="279"/>
        <v>-4.9676525170401736E-4</v>
      </c>
      <c r="DZ123" s="3">
        <f t="shared" ca="1" si="303"/>
        <v>6.8947289915617627E-4</v>
      </c>
      <c r="EA123" s="3">
        <f t="shared" ca="1" si="304"/>
        <v>-5.6804590987117763E-4</v>
      </c>
      <c r="EB123" s="3">
        <f t="shared" ca="1" si="280"/>
        <v>2.8129489215304E-4</v>
      </c>
      <c r="EC123" s="3">
        <f t="shared" ca="1" si="281"/>
        <v>-3.9069335737592048E-4</v>
      </c>
      <c r="ED123" s="63">
        <f t="shared" si="305"/>
        <v>158</v>
      </c>
      <c r="EE123" s="59">
        <f t="shared" si="282"/>
        <v>0.25</v>
      </c>
      <c r="EF123" s="59">
        <f t="shared" si="283"/>
        <v>1.8625</v>
      </c>
      <c r="EG123" s="59">
        <f t="shared" si="284"/>
        <v>0.25</v>
      </c>
      <c r="EH123" s="59">
        <f t="shared" si="285"/>
        <v>0.22489999999999999</v>
      </c>
      <c r="EI123" s="59">
        <f t="shared" si="286"/>
        <v>0.17799999999999999</v>
      </c>
      <c r="EJ123" s="59">
        <f t="shared" si="287"/>
        <v>0.1951</v>
      </c>
      <c r="EK123" s="63">
        <f t="shared" ca="1" si="306"/>
        <v>-2834942.5191820646</v>
      </c>
      <c r="EL123" s="3" t="str">
        <f>RTD("tos.rtd",,EL$83,"."&amp;$B$82&amp;$AS$82&amp;"C"&amp;$A123)</f>
        <v>--</v>
      </c>
      <c r="EM123" s="3" t="str">
        <f>RTD("tos.rtd",,EM$83,"."&amp;$B$82&amp;$AS$82&amp;"P"&amp;$A123)</f>
        <v>186.25%</v>
      </c>
      <c r="EN123" s="3" t="str">
        <f>RTD("tos.rtd",,EN$83,"."&amp;$C$82&amp;$AU$82&amp;"C"&amp;$A123)</f>
        <v>--</v>
      </c>
      <c r="EO123" s="3" t="str">
        <f>RTD("tos.rtd",,EO$83,"."&amp;$C$82&amp;$AU$82&amp;"P"&amp;$A123)</f>
        <v>22.49%</v>
      </c>
      <c r="EP123" s="3" t="str">
        <f>RTD("tos.rtd",,EP$83,"."&amp;$D$82&amp;$AW$82&amp;"C"&amp;$A123)</f>
        <v>17.80%</v>
      </c>
      <c r="EQ123" s="3" t="str">
        <f>RTD("tos.rtd",,EQ$83,"."&amp;$D$82&amp;$AW$82&amp;"P"&amp;$A123)</f>
        <v>19.51%</v>
      </c>
      <c r="ES123" s="63" t="str">
        <f t="shared" si="288"/>
        <v>5690,158.00</v>
      </c>
      <c r="ET123" s="63" t="str">
        <f t="shared" ca="1" si="289"/>
        <v>5690,-39.25</v>
      </c>
      <c r="EU123" s="67">
        <v>593.85</v>
      </c>
      <c r="EV123" s="67" t="s">
        <v>1004</v>
      </c>
      <c r="EW123" s="67">
        <v>520.64</v>
      </c>
      <c r="EX123" s="67" t="s">
        <v>1005</v>
      </c>
      <c r="EY123" s="67">
        <v>5948.5</v>
      </c>
      <c r="EZ123" s="67" t="s">
        <v>1006</v>
      </c>
      <c r="FA123" s="67">
        <v>21369.75</v>
      </c>
      <c r="FB123" s="67" t="s">
        <v>1007</v>
      </c>
      <c r="FC123" s="67" t="s">
        <v>1008</v>
      </c>
      <c r="FD123" s="67" t="s">
        <v>1009</v>
      </c>
      <c r="FE123" s="68" t="s">
        <v>1010</v>
      </c>
      <c r="FF123" s="68" t="s">
        <v>1011</v>
      </c>
    </row>
    <row r="124" spans="1:162" s="63" customFormat="1" ht="12" customHeight="1" thickBot="1" x14ac:dyDescent="0.25">
      <c r="A124" s="2">
        <f t="shared" si="307"/>
        <v>5680</v>
      </c>
      <c r="B124" s="3">
        <f t="shared" si="251"/>
        <v>134</v>
      </c>
      <c r="C124" s="3">
        <f t="shared" si="252"/>
        <v>938</v>
      </c>
      <c r="D124" s="3">
        <f t="shared" si="253"/>
        <v>11233</v>
      </c>
      <c r="E124" s="3">
        <f t="shared" si="314"/>
        <v>12305</v>
      </c>
      <c r="F124" s="4">
        <f t="shared" si="318"/>
        <v>5699.1398845878439</v>
      </c>
      <c r="G124" s="4">
        <f t="shared" si="315"/>
        <v>566.93295143422768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0</v>
      </c>
      <c r="AN124" s="20">
        <v>-17</v>
      </c>
      <c r="AO124" s="20">
        <v>5680</v>
      </c>
      <c r="AP124" s="20">
        <v>0</v>
      </c>
      <c r="AQ124" s="20">
        <v>-17</v>
      </c>
      <c r="AR124" s="20"/>
      <c r="AS124" s="54">
        <f>IF(RTD("tos.rtd",,AS$83,"."&amp;$B$82&amp;$AS$82&amp;"C"&amp;$A124)="N/A",0,RTD("tos.rtd",,AS$83,"."&amp;$B$82&amp;$AS$82&amp;"C"&amp;$A124))</f>
        <v>11</v>
      </c>
      <c r="AT124" s="3">
        <f>-IF(RTD("tos.rtd",,AT$83,"."&amp;$B$82&amp;$AS$82&amp;"P"&amp;$A124)="N/A",0,RTD("tos.rtd",,AT$83,"."&amp;$B$82&amp;$AS$82&amp;"P"&amp;$A124))</f>
        <v>-123</v>
      </c>
      <c r="AU124" s="54">
        <f>IF(RTD("tos.rtd",,AU$83,"."&amp;$C$82&amp;$AU$82&amp;"C"&amp;$A124)="N/A",0,RTD("tos.rtd",,AU$83,"."&amp;$C$82&amp;$AU$82&amp;"C"&amp;$A124))</f>
        <v>118</v>
      </c>
      <c r="AV124" s="3">
        <f>-IF(RTD("tos.rtd",,AV$83,"."&amp;$C$82&amp;$AU$82&amp;"P"&amp;$A124)="N/A",0,RTD("tos.rtd",,AV$83,"."&amp;$C$82&amp;$AU$82&amp;"P"&amp;$A124))</f>
        <v>-820</v>
      </c>
      <c r="AW124" s="54">
        <f>IF(RTD("tos.rtd",,AW$83,"."&amp;$D$82&amp;$AW$82&amp;"C"&amp;$A124)="N/A",0,RTD("tos.rtd",,AW$83,"."&amp;$D$82&amp;$AW$82&amp;"C"&amp;$A124))</f>
        <v>5315</v>
      </c>
      <c r="AX124" s="3">
        <f>-IF(RTD("tos.rtd",,AX$83,"."&amp;$D$82&amp;$AW$82&amp;"P"&amp;$A124)="N/A",0,RTD("tos.rtd",,AX$83,"."&amp;$D$82&amp;$AW$82&amp;"P"&amp;$A124))</f>
        <v>-5918</v>
      </c>
      <c r="AY124" s="79">
        <f t="shared" si="316"/>
        <v>-1417</v>
      </c>
      <c r="AZ124" s="8">
        <f t="shared" si="255"/>
        <v>5680</v>
      </c>
      <c r="BA124" s="54">
        <f>IF(RTD("tos.rtd",,BA$83,"."&amp;$B$82&amp;$AS$82&amp;"C"&amp;$A124)="N/A",0,RTD("tos.rtd",,BA$83,"."&amp;$B$82&amp;$AS$82&amp;"C"&amp;$A124))</f>
        <v>0</v>
      </c>
      <c r="BB124" s="3">
        <f>-IF(RTD("tos.rtd",,BB$83,"."&amp;$B$82&amp;$AS$82&amp;"P"&amp;$A124)="N/A",0,RTD("tos.rtd",,BB$83,"."&amp;$B$82&amp;$AS$82&amp;"P"&amp;$A124))</f>
        <v>-17</v>
      </c>
      <c r="BC124" s="54">
        <f>IF(RTD("tos.rtd",,BC$83,"."&amp;$C$82&amp;$AU$82&amp;"C"&amp;$A124)="N/A",0,RTD("tos.rtd",,BC$83,"."&amp;$C$82&amp;$AU$82&amp;"C"&amp;$A124))</f>
        <v>0</v>
      </c>
      <c r="BD124" s="3">
        <f>-IF(RTD("tos.rtd",,BD$83,"."&amp;$C$82&amp;$AU$82&amp;"P"&amp;$A124)="N/A",0,RTD("tos.rtd",,BD$83,"."&amp;$C$82&amp;$AU$82&amp;"P"&amp;$A124))</f>
        <v>-123</v>
      </c>
      <c r="BE124" s="54">
        <f>IF(RTD("tos.rtd",,BE$83,"."&amp;$D$82&amp;$AW$82&amp;"C"&amp;$A124)="N/A",0,RTD("tos.rtd",,BE$83,"."&amp;$D$82&amp;$AW$82&amp;"C"&amp;$A124))</f>
        <v>0</v>
      </c>
      <c r="BF124" s="3">
        <f>-IF(RTD("tos.rtd",,BF$83,"."&amp;$D$82&amp;$AW$82&amp;"P"&amp;$A124)="N/A",0,RTD("tos.rtd",,BF$83,"."&amp;$D$82&amp;$AW$82&amp;"P"&amp;$A124))</f>
        <v>-13</v>
      </c>
      <c r="BG124" s="3">
        <f ca="1">+Hoja2!Y125</f>
        <v>-1810</v>
      </c>
      <c r="BH124" s="55">
        <f t="shared" ca="1" si="292"/>
        <v>-1963</v>
      </c>
      <c r="BI124" s="32" t="str">
        <f t="shared" ca="1" si="312"/>
        <v/>
      </c>
      <c r="BJ124" s="3">
        <f ca="1">IF($BP$1=1,DX124,IF(RTD("tos.rtd",,BJ$83,"."&amp;$B$82&amp;$AS$82&amp;"C"&amp;$A124)="N/A",0,RTD("tos.rtd",,BJ$83,"."&amp;$B$82&amp;$AS$82&amp;"C"&amp;$A124)))</f>
        <v>6.7581271526106506E-49</v>
      </c>
      <c r="BK124" s="3">
        <f ca="1">IF($BP$1=1,DY124,-IF(RTD("tos.rtd",,BK$83,"."&amp;$B$82&amp;$AS$82&amp;"P"&amp;$A124)="N/A",0,RTD("tos.rtd",,BK$83,"."&amp;$B$82&amp;$AS$82&amp;"P"&amp;$A124)))</f>
        <v>-4.7154307015741779E-4</v>
      </c>
      <c r="BL124" s="3">
        <f ca="1">IF($BP$1=1,DZ124,IF(RTD("tos.rtd",,BL$83,"."&amp;$C$82&amp;$AU$82&amp;"C"&amp;$A124)="N/A",0,RTD("tos.rtd",,BL$83,"."&amp;$C$82&amp;$AU$82&amp;"C"&amp;$A124)))</f>
        <v>6.1900809836488969E-4</v>
      </c>
      <c r="BM124" s="3">
        <f ca="1">IF($BP$1=1,EA124,-IF(RTD("tos.rtd",,BM$83,"."&amp;$C$82&amp;$AU$82&amp;"P"&amp;$A124)="N/A",0,RTD("tos.rtd",,BM$83,"."&amp;$C$82&amp;$AU$82&amp;"P"&amp;$A124)))</f>
        <v>-5.1881663695762788E-4</v>
      </c>
      <c r="BN124" s="3">
        <f ca="1">IF($BP$1=1,EB124,IF(RTD("tos.rtd",,BN$83,"."&amp;$D$82&amp;$AW$82&amp;"C"&amp;$A124)="N/A",0,RTD("tos.rtd",,BN$83,"."&amp;$D$82&amp;$AW$82&amp;"C"&amp;$A124)))</f>
        <v>2.3443021531136541E-4</v>
      </c>
      <c r="BO124" s="3">
        <f ca="1">IF($BP$1=1,EC124,-IF(RTD("tos.rtd",,BO$83,"."&amp;$D$82&amp;$AW$82&amp;"P"&amp;$A124)="N/A",0,RTD("tos.rtd",,BO$83,"."&amp;$D$82&amp;$AW$82&amp;"P"&amp;$A124)))</f>
        <v>-3.3754976086114094E-4</v>
      </c>
      <c r="BQ124" s="3">
        <f t="shared" ca="1" si="256"/>
        <v>-15660.834897024106</v>
      </c>
      <c r="BR124" s="3" t="str">
        <f t="shared" ca="1" si="293"/>
        <v/>
      </c>
      <c r="BS124" s="3">
        <f t="shared" ca="1" si="257"/>
        <v>-95149.809927888637</v>
      </c>
      <c r="BT124" s="3" t="str">
        <f t="shared" ca="1" si="293"/>
        <v/>
      </c>
      <c r="BU124" s="3">
        <f t="shared" ca="1" si="258"/>
        <v>-202949.70797211543</v>
      </c>
      <c r="BV124" s="3" t="str">
        <f t="shared" ca="1" si="293"/>
        <v/>
      </c>
      <c r="BX124" s="3">
        <f t="shared" ca="1" si="259"/>
        <v>-2164.5056361740631</v>
      </c>
      <c r="BY124" s="3" t="str">
        <f t="shared" ca="1" si="309"/>
        <v/>
      </c>
      <c r="BZ124" s="3">
        <f t="shared" ca="1" si="260"/>
        <v>-17230.879229144983</v>
      </c>
      <c r="CA124" s="3" t="str">
        <f t="shared" ca="1" si="309"/>
        <v/>
      </c>
      <c r="CB124" s="3">
        <f t="shared" ca="1" si="261"/>
        <v>-1184.8669611926603</v>
      </c>
      <c r="CC124" s="3" t="str">
        <f t="shared" ca="1" si="309"/>
        <v/>
      </c>
      <c r="CD124" s="3">
        <f>IF(RTD("tos.rtd",,CD$83,"."&amp;$B$82&amp;$AS$82&amp;"C"&amp;$A124)="N/A",0,RTD("tos.rtd",,CD$83,"."&amp;$B$82&amp;$AS$82&amp;"C"&amp;$A124))</f>
        <v>1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1</v>
      </c>
      <c r="CG124" s="3">
        <f>-IF(RTD("tos.rtd",,CG$83,"."&amp;$C$82&amp;$AU$82&amp;"P"&amp;$A124)="N/A",0,RTD("tos.rtd",,CG$83,"."&amp;$C$82&amp;$AU$82&amp;"P"&amp;$A124))</f>
        <v>0.01</v>
      </c>
      <c r="CH124" s="3">
        <f>IF(RTD("tos.rtd",,CH$83,"."&amp;$D$82&amp;$AW$82&amp;"C"&amp;$A124)="N/A",0,RTD("tos.rtd",,CH$83,"."&amp;$D$82&amp;$AW$82&amp;"C"&amp;$A124))</f>
        <v>0.83</v>
      </c>
      <c r="CI124" s="3">
        <f>-IF(RTD("tos.rtd",,CI$83,"."&amp;$D$82&amp;$AW$82&amp;"P"&amp;$A124)="N/A",0,RTD("tos.rtd",,CI$83,"."&amp;$D$82&amp;$AW$82&amp;"P"&amp;$A124))</f>
        <v>0.19</v>
      </c>
      <c r="CK124" s="3">
        <f t="shared" si="294"/>
        <v>6528775</v>
      </c>
      <c r="CL124" s="3"/>
      <c r="CM124" s="3">
        <f t="shared" si="295"/>
        <v>65169045</v>
      </c>
      <c r="CN124" s="3"/>
      <c r="CO124" s="3">
        <f t="shared" si="296"/>
        <v>1950934480.75</v>
      </c>
      <c r="CP124" s="3">
        <f t="shared" si="262"/>
        <v>2022632300.75</v>
      </c>
      <c r="CQ124" s="3">
        <f t="shared" si="263"/>
        <v>-17</v>
      </c>
      <c r="CR124" s="3"/>
      <c r="CS124" s="3">
        <f t="shared" si="264"/>
        <v>-123</v>
      </c>
      <c r="CT124" s="3"/>
      <c r="CU124" s="3">
        <f t="shared" si="265"/>
        <v>-13</v>
      </c>
      <c r="CV124" s="3"/>
      <c r="CW124" s="3">
        <f t="shared" ca="1" si="324"/>
        <v>-313760.35279702814</v>
      </c>
      <c r="CY124" s="3">
        <f t="shared" ca="1" si="266"/>
        <v>-20580.251826511707</v>
      </c>
      <c r="CZ124" s="70" t="str">
        <f t="shared" ca="1" si="310"/>
        <v/>
      </c>
      <c r="DA124" s="3">
        <f>IF(RTD("tos.rtd",,DA$83,"."&amp;$B$82&amp;$AS$82&amp;"C"&amp;$A124)="N/A",0,RTD("tos.rtd",,DA$83,"."&amp;$B$82&amp;$AS$82&amp;"C"&amp;$A124))</f>
        <v>285.23</v>
      </c>
      <c r="DB124" s="3">
        <f>IF(RTD("tos.rtd",,DB$83,"."&amp;$B$82&amp;$AS$82&amp;"P"&amp;$A124)="N/A",0,RTD("tos.rtd",,DB$83,"."&amp;$B$82&amp;$AS$82&amp;"P"&amp;$A124))</f>
        <v>0.05</v>
      </c>
      <c r="DC124" s="3">
        <f>IF(RTD("tos.rtd",,DC$83,"."&amp;$B$82&amp;$AS$82&amp;"C"&amp;$A124)="N/A",0,RTD("tos.rtd",,DC$83,"."&amp;$B$82&amp;$AS$82&amp;"C"&amp;$A124))</f>
        <v>260.7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258.7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298"/>
        <v>-255.25</v>
      </c>
      <c r="DH124" s="3">
        <f t="shared" si="267"/>
        <v>0</v>
      </c>
      <c r="DI124" s="3">
        <f t="shared" si="268"/>
        <v>0</v>
      </c>
      <c r="DJ124" s="3">
        <f t="shared" si="269"/>
        <v>0</v>
      </c>
      <c r="DK124" s="3">
        <f t="shared" si="270"/>
        <v>0</v>
      </c>
      <c r="DL124" s="3">
        <f t="shared" si="271"/>
        <v>0</v>
      </c>
      <c r="DM124" s="3">
        <f t="shared" si="272"/>
        <v>0</v>
      </c>
      <c r="DN124" s="64" t="str">
        <f t="shared" si="273"/>
        <v>UNKNOWN</v>
      </c>
      <c r="DO124" s="64" t="str">
        <f t="shared" si="274"/>
        <v>UNKNOWN</v>
      </c>
      <c r="DP124" s="3">
        <f t="shared" si="275"/>
        <v>0</v>
      </c>
      <c r="DQ124" s="3">
        <f t="shared" si="276"/>
        <v>0</v>
      </c>
      <c r="DR124" s="3">
        <f t="shared" ca="1" si="277"/>
        <v>0</v>
      </c>
      <c r="DS124" s="3">
        <f t="shared" si="278"/>
        <v>0</v>
      </c>
      <c r="DT124" s="3">
        <f t="shared" si="299"/>
        <v>0</v>
      </c>
      <c r="DU124" s="3">
        <f t="shared" si="300"/>
        <v>0</v>
      </c>
      <c r="DV124" s="3">
        <f t="shared" si="301"/>
        <v>0</v>
      </c>
      <c r="DW124" s="3">
        <f t="shared" si="302"/>
        <v>-17</v>
      </c>
      <c r="DX124" s="3">
        <f t="shared" ca="1" si="311"/>
        <v>6.7581271526106506E-49</v>
      </c>
      <c r="DY124" s="3">
        <f t="shared" ca="1" si="279"/>
        <v>-4.7154307015741779E-4</v>
      </c>
      <c r="DZ124" s="3">
        <f t="shared" ca="1" si="303"/>
        <v>6.1900809836488969E-4</v>
      </c>
      <c r="EA124" s="3">
        <f t="shared" ca="1" si="304"/>
        <v>-5.1881663695762788E-4</v>
      </c>
      <c r="EB124" s="3">
        <f t="shared" ca="1" si="280"/>
        <v>2.3443021531136541E-4</v>
      </c>
      <c r="EC124" s="3">
        <f t="shared" ca="1" si="281"/>
        <v>-3.3754976086114094E-4</v>
      </c>
      <c r="ED124" s="63">
        <f t="shared" si="305"/>
        <v>-17</v>
      </c>
      <c r="EE124" s="59">
        <f t="shared" si="282"/>
        <v>0.25</v>
      </c>
      <c r="EF124" s="59">
        <f t="shared" si="283"/>
        <v>1.9322999999999999</v>
      </c>
      <c r="EG124" s="59">
        <f t="shared" si="284"/>
        <v>0.25</v>
      </c>
      <c r="EH124" s="59">
        <f t="shared" si="285"/>
        <v>0.22900000000000001</v>
      </c>
      <c r="EI124" s="59">
        <f t="shared" si="286"/>
        <v>0.1792</v>
      </c>
      <c r="EJ124" s="59">
        <f t="shared" si="287"/>
        <v>0.1968</v>
      </c>
      <c r="EK124" s="63">
        <f t="shared" ca="1" si="306"/>
        <v>282389.35507711268</v>
      </c>
      <c r="EL124" s="3" t="str">
        <f>RTD("tos.rtd",,EL$83,"."&amp;$B$82&amp;$AS$82&amp;"C"&amp;$A124)</f>
        <v>--</v>
      </c>
      <c r="EM124" s="3" t="str">
        <f>RTD("tos.rtd",,EM$83,"."&amp;$B$82&amp;$AS$82&amp;"P"&amp;$A124)</f>
        <v>193.23%</v>
      </c>
      <c r="EN124" s="3" t="str">
        <f>RTD("tos.rtd",,EN$83,"."&amp;$C$82&amp;$AU$82&amp;"C"&amp;$A124)</f>
        <v>--</v>
      </c>
      <c r="EO124" s="3" t="str">
        <f>RTD("tos.rtd",,EO$83,"."&amp;$C$82&amp;$AU$82&amp;"P"&amp;$A124)</f>
        <v>22.90%</v>
      </c>
      <c r="EP124" s="3" t="str">
        <f>RTD("tos.rtd",,EP$83,"."&amp;$D$82&amp;$AW$82&amp;"C"&amp;$A124)</f>
        <v>17.92%</v>
      </c>
      <c r="EQ124" s="3" t="str">
        <f>RTD("tos.rtd",,EQ$83,"."&amp;$D$82&amp;$AW$82&amp;"P"&amp;$A124)</f>
        <v>19.68%</v>
      </c>
      <c r="ES124" s="63" t="str">
        <f t="shared" si="288"/>
        <v>5680,-17.00</v>
      </c>
      <c r="ET124" s="63" t="str">
        <f t="shared" ca="1" si="289"/>
        <v>5680,-20.58</v>
      </c>
      <c r="EU124" s="67">
        <v>593.79999999999995</v>
      </c>
      <c r="EV124" s="67" t="s">
        <v>1012</v>
      </c>
      <c r="EW124" s="67">
        <v>520.61</v>
      </c>
      <c r="EX124" s="67" t="s">
        <v>1013</v>
      </c>
      <c r="EY124" s="67">
        <v>5948.25</v>
      </c>
      <c r="EZ124" s="67" t="s">
        <v>1014</v>
      </c>
      <c r="FA124" s="67">
        <v>21368</v>
      </c>
      <c r="FB124" s="67" t="s">
        <v>1015</v>
      </c>
      <c r="FC124" s="67" t="s">
        <v>1016</v>
      </c>
      <c r="FD124" s="67" t="s">
        <v>1017</v>
      </c>
      <c r="FE124" s="68" t="s">
        <v>1018</v>
      </c>
      <c r="FF124" s="68" t="s">
        <v>1019</v>
      </c>
    </row>
    <row r="125" spans="1:162" s="63" customFormat="1" ht="12" customHeight="1" thickBot="1" x14ac:dyDescent="0.25">
      <c r="A125" s="2">
        <f t="shared" si="307"/>
        <v>5670</v>
      </c>
      <c r="B125" s="3">
        <f t="shared" si="251"/>
        <v>476</v>
      </c>
      <c r="C125" s="3">
        <f t="shared" si="252"/>
        <v>952</v>
      </c>
      <c r="D125" s="3">
        <f t="shared" si="253"/>
        <v>17640</v>
      </c>
      <c r="E125" s="3">
        <f t="shared" si="314"/>
        <v>19068</v>
      </c>
      <c r="F125" s="4">
        <f t="shared" si="318"/>
        <v>5689.1061876079357</v>
      </c>
      <c r="G125" s="4">
        <f t="shared" si="315"/>
        <v>565.93483004085749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1</v>
      </c>
      <c r="AN125" s="20">
        <v>-2</v>
      </c>
      <c r="AO125" s="20">
        <v>5670</v>
      </c>
      <c r="AP125" s="20">
        <v>2</v>
      </c>
      <c r="AQ125" s="20">
        <v>-2</v>
      </c>
      <c r="AR125" s="20"/>
      <c r="AS125" s="54">
        <f>IF(RTD("tos.rtd",,AS$83,"."&amp;$B$82&amp;$AS$82&amp;"C"&amp;$A125)="N/A",0,RTD("tos.rtd",,AS$83,"."&amp;$B$82&amp;$AS$82&amp;"C"&amp;$A125))</f>
        <v>40</v>
      </c>
      <c r="AT125" s="3">
        <f>-IF(RTD("tos.rtd",,AT$83,"."&amp;$B$82&amp;$AS$82&amp;"P"&amp;$A125)="N/A",0,RTD("tos.rtd",,AT$83,"."&amp;$B$82&amp;$AS$82&amp;"P"&amp;$A125))</f>
        <v>-436</v>
      </c>
      <c r="AU125" s="54">
        <f>IF(RTD("tos.rtd",,AU$83,"."&amp;$C$82&amp;$AU$82&amp;"C"&amp;$A125)="N/A",0,RTD("tos.rtd",,AU$83,"."&amp;$C$82&amp;$AU$82&amp;"C"&amp;$A125))</f>
        <v>437</v>
      </c>
      <c r="AV125" s="3">
        <f>-IF(RTD("tos.rtd",,AV$83,"."&amp;$C$82&amp;$AU$82&amp;"P"&amp;$A125)="N/A",0,RTD("tos.rtd",,AV$83,"."&amp;$C$82&amp;$AU$82&amp;"P"&amp;$A125))</f>
        <v>-515</v>
      </c>
      <c r="AW125" s="54">
        <f>IF(RTD("tos.rtd",,AW$83,"."&amp;$D$82&amp;$AW$82&amp;"C"&amp;$A125)="N/A",0,RTD("tos.rtd",,AW$83,"."&amp;$D$82&amp;$AW$82&amp;"C"&amp;$A125))</f>
        <v>8836</v>
      </c>
      <c r="AX125" s="3">
        <f>-IF(RTD("tos.rtd",,AX$83,"."&amp;$D$82&amp;$AW$82&amp;"P"&amp;$A125)="N/A",0,RTD("tos.rtd",,AX$83,"."&amp;$D$82&amp;$AW$82&amp;"P"&amp;$A125))</f>
        <v>-8804</v>
      </c>
      <c r="AY125" s="79">
        <f t="shared" si="316"/>
        <v>-442</v>
      </c>
      <c r="AZ125" s="8">
        <f t="shared" si="255"/>
        <v>5670</v>
      </c>
      <c r="BA125" s="54">
        <f>IF(RTD("tos.rtd",,BA$83,"."&amp;$B$82&amp;$AS$82&amp;"C"&amp;$A125)="N/A",0,RTD("tos.rtd",,BA$83,"."&amp;$B$82&amp;$AS$82&amp;"C"&amp;$A125))</f>
        <v>2</v>
      </c>
      <c r="BB125" s="3">
        <f>-IF(RTD("tos.rtd",,BB$83,"."&amp;$B$82&amp;$AS$82&amp;"P"&amp;$A125)="N/A",0,RTD("tos.rtd",,BB$83,"."&amp;$B$82&amp;$AS$82&amp;"P"&amp;$A125))</f>
        <v>-2</v>
      </c>
      <c r="BC125" s="54">
        <f>IF(RTD("tos.rtd",,BC$83,"."&amp;$C$82&amp;$AU$82&amp;"C"&amp;$A125)="N/A",0,RTD("tos.rtd",,BC$83,"."&amp;$C$82&amp;$AU$82&amp;"C"&amp;$A125))</f>
        <v>10</v>
      </c>
      <c r="BD125" s="3">
        <f>-IF(RTD("tos.rtd",,BD$83,"."&amp;$C$82&amp;$AU$82&amp;"P"&amp;$A125)="N/A",0,RTD("tos.rtd",,BD$83,"."&amp;$C$82&amp;$AU$82&amp;"P"&amp;$A125))</f>
        <v>-325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-14</v>
      </c>
      <c r="BG125" s="3">
        <f ca="1">+Hoja2!Y126</f>
        <v>-297</v>
      </c>
      <c r="BH125" s="55">
        <f t="shared" ca="1" si="292"/>
        <v>-626</v>
      </c>
      <c r="BI125" s="32" t="str">
        <f t="shared" ca="1" si="312"/>
        <v/>
      </c>
      <c r="BJ125" s="3">
        <f ca="1">IF($BP$1=1,DX125,IF(RTD("tos.rtd",,BJ$83,"."&amp;$B$82&amp;$AS$82&amp;"C"&amp;$A125)="N/A",0,RTD("tos.rtd",,BJ$83,"."&amp;$B$82&amp;$AS$82&amp;"C"&amp;$A125)))</f>
        <v>1.0626019545880599E-52</v>
      </c>
      <c r="BK125" s="3">
        <f ca="1">IF($BP$1=1,DY125,-IF(RTD("tos.rtd",,BK$83,"."&amp;$B$82&amp;$AS$82&amp;"P"&amp;$A125)="N/A",0,RTD("tos.rtd",,BK$83,"."&amp;$B$82&amp;$AS$82&amp;"P"&amp;$A125)))</f>
        <v>-4.4844488731841595E-4</v>
      </c>
      <c r="BL125" s="3">
        <f ca="1">IF($BP$1=1,DZ125,IF(RTD("tos.rtd",,BL$83,"."&amp;$C$82&amp;$AU$82&amp;"C"&amp;$A125)="N/A",0,RTD("tos.rtd",,BL$83,"."&amp;$C$82&amp;$AU$82&amp;"C"&amp;$A125)))</f>
        <v>5.532389216049697E-4</v>
      </c>
      <c r="BM125" s="3">
        <f ca="1">IF($BP$1=1,EA125,-IF(RTD("tos.rtd",,BM$83,"."&amp;$C$82&amp;$AU$82&amp;"P"&amp;$A125)="N/A",0,RTD("tos.rtd",,BM$83,"."&amp;$C$82&amp;$AU$82&amp;"P"&amp;$A125)))</f>
        <v>-4.7880463669989701E-4</v>
      </c>
      <c r="BN125" s="3">
        <f ca="1">IF($BP$1=1,EB125,IF(RTD("tos.rtd",,BN$83,"."&amp;$D$82&amp;$AW$82&amp;"C"&amp;$A125)="N/A",0,RTD("tos.rtd",,BN$83,"."&amp;$D$82&amp;$AW$82&amp;"C"&amp;$A125)))</f>
        <v>1.9361837001000826E-4</v>
      </c>
      <c r="BO125" s="3">
        <f ca="1">IF($BP$1=1,EC125,-IF(RTD("tos.rtd",,BO$83,"."&amp;$D$82&amp;$AW$82&amp;"P"&amp;$A125)="N/A",0,RTD("tos.rtd",,BO$83,"."&amp;$D$82&amp;$AW$82&amp;"P"&amp;$A125)))</f>
        <v>-2.9046961132801839E-4</v>
      </c>
      <c r="BQ125" s="3">
        <f t="shared" ca="1" si="256"/>
        <v>-52793.930836038977</v>
      </c>
      <c r="BR125" s="3" t="str">
        <f t="shared" ca="1" si="293"/>
        <v/>
      </c>
      <c r="BS125" s="3">
        <f t="shared" ca="1" si="257"/>
        <v>-1301.1982811517591</v>
      </c>
      <c r="BT125" s="3" t="str">
        <f t="shared" ca="1" si="293"/>
        <v/>
      </c>
      <c r="BU125" s="3">
        <f t="shared" ca="1" si="258"/>
        <v>-228563.26841340773</v>
      </c>
      <c r="BV125" s="3" t="str">
        <f t="shared" ca="1" si="293"/>
        <v/>
      </c>
      <c r="BX125" s="3">
        <f t="shared" ca="1" si="259"/>
        <v>-242.17399466072922</v>
      </c>
      <c r="BY125" s="3" t="str">
        <f t="shared" ca="1" si="309"/>
        <v/>
      </c>
      <c r="BZ125" s="3">
        <f t="shared" ca="1" si="260"/>
        <v>-40523.663530502963</v>
      </c>
      <c r="CA125" s="3" t="str">
        <f t="shared" ca="1" si="309"/>
        <v/>
      </c>
      <c r="CB125" s="3">
        <f t="shared" ca="1" si="261"/>
        <v>-1098.0374994672572</v>
      </c>
      <c r="CC125" s="3" t="str">
        <f t="shared" ca="1" si="309"/>
        <v/>
      </c>
      <c r="CD125" s="3">
        <f>IF(RTD("tos.rtd",,CD$83,"."&amp;$B$82&amp;$AS$82&amp;"C"&amp;$A125)="N/A",0,RTD("tos.rtd",,CD$83,"."&amp;$B$82&amp;$AS$82&amp;"C"&amp;$A125))</f>
        <v>1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1</v>
      </c>
      <c r="CG125" s="3">
        <f>-IF(RTD("tos.rtd",,CG$83,"."&amp;$C$82&amp;$AU$82&amp;"P"&amp;$A125)="N/A",0,RTD("tos.rtd",,CG$83,"."&amp;$C$82&amp;$AU$82&amp;"P"&amp;$A125))</f>
        <v>0.01</v>
      </c>
      <c r="CH125" s="3">
        <f>IF(RTD("tos.rtd",,CH$83,"."&amp;$D$82&amp;$AW$82&amp;"C"&amp;$A125)="N/A",0,RTD("tos.rtd",,CH$83,"."&amp;$D$82&amp;$AW$82&amp;"C"&amp;$A125))</f>
        <v>0.84</v>
      </c>
      <c r="CI125" s="3">
        <f>-IF(RTD("tos.rtd",,CI$83,"."&amp;$D$82&amp;$AW$82&amp;"P"&amp;$A125)="N/A",0,RTD("tos.rtd",,CI$83,"."&amp;$D$82&amp;$AW$82&amp;"P"&amp;$A125))</f>
        <v>0.18</v>
      </c>
      <c r="CK125" s="3">
        <f t="shared" si="294"/>
        <v>23741000</v>
      </c>
      <c r="CL125" s="3"/>
      <c r="CM125" s="3">
        <f t="shared" si="295"/>
        <v>256313771.25</v>
      </c>
      <c r="CN125" s="3"/>
      <c r="CO125" s="3">
        <f t="shared" si="296"/>
        <v>3464714058</v>
      </c>
      <c r="CP125" s="3">
        <f t="shared" si="262"/>
        <v>3744768829.25</v>
      </c>
      <c r="CQ125" s="3">
        <f t="shared" si="263"/>
        <v>0</v>
      </c>
      <c r="CR125" s="3"/>
      <c r="CS125" s="3">
        <f t="shared" si="264"/>
        <v>-315</v>
      </c>
      <c r="CT125" s="3"/>
      <c r="CU125" s="3">
        <f t="shared" si="265"/>
        <v>-14</v>
      </c>
      <c r="CV125" s="3"/>
      <c r="CW125" s="3">
        <f t="shared" ca="1" si="324"/>
        <v>-282658.39753059845</v>
      </c>
      <c r="CY125" s="3">
        <f t="shared" ca="1" si="266"/>
        <v>-41863.87502463095</v>
      </c>
      <c r="CZ125" s="70" t="str">
        <f t="shared" ca="1" si="310"/>
        <v/>
      </c>
      <c r="DA125" s="3">
        <f>IF(RTD("tos.rtd",,DA$83,"."&amp;$B$82&amp;$AS$82&amp;"C"&amp;$A125)="N/A",0,RTD("tos.rtd",,DA$83,"."&amp;$B$82&amp;$AS$82&amp;"C"&amp;$A125))</f>
        <v>267.41000000000003</v>
      </c>
      <c r="DB125" s="3">
        <f>IF(RTD("tos.rtd",,DB$83,"."&amp;$B$82&amp;$AS$82&amp;"P"&amp;$A125)="N/A",0,RTD("tos.rtd",,DB$83,"."&amp;$B$82&amp;$AS$82&amp;"P"&amp;$A125))</f>
        <v>0.03</v>
      </c>
      <c r="DC125" s="3">
        <f>IF(RTD("tos.rtd",,DC$83,"."&amp;$B$82&amp;$AS$82&amp;"C"&amp;$A125)="N/A",0,RTD("tos.rtd",,DC$83,"."&amp;$B$82&amp;$AS$82&amp;"C"&amp;$A125))</f>
        <v>270.7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268.7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298"/>
        <v>-265.25</v>
      </c>
      <c r="DH125" s="3">
        <f t="shared" si="267"/>
        <v>0</v>
      </c>
      <c r="DI125" s="3">
        <f t="shared" si="268"/>
        <v>0</v>
      </c>
      <c r="DJ125" s="3">
        <f t="shared" si="269"/>
        <v>0</v>
      </c>
      <c r="DK125" s="3">
        <f t="shared" si="270"/>
        <v>0</v>
      </c>
      <c r="DL125" s="3">
        <f t="shared" si="271"/>
        <v>0</v>
      </c>
      <c r="DM125" s="3">
        <f t="shared" si="272"/>
        <v>0</v>
      </c>
      <c r="DN125" s="64" t="str">
        <f t="shared" si="273"/>
        <v>UNKNOWN</v>
      </c>
      <c r="DO125" s="64" t="str">
        <f t="shared" si="274"/>
        <v>UNKNOWN</v>
      </c>
      <c r="DP125" s="3">
        <f t="shared" si="275"/>
        <v>0</v>
      </c>
      <c r="DQ125" s="3">
        <f t="shared" si="276"/>
        <v>0</v>
      </c>
      <c r="DR125" s="3">
        <f t="shared" ca="1" si="277"/>
        <v>0</v>
      </c>
      <c r="DS125" s="3">
        <f t="shared" si="278"/>
        <v>0</v>
      </c>
      <c r="DT125" s="3">
        <f t="shared" si="299"/>
        <v>0</v>
      </c>
      <c r="DU125" s="3">
        <f t="shared" si="300"/>
        <v>0</v>
      </c>
      <c r="DV125" s="3">
        <f t="shared" si="301"/>
        <v>1</v>
      </c>
      <c r="DW125" s="3">
        <f t="shared" si="302"/>
        <v>-2</v>
      </c>
      <c r="DX125" s="3">
        <f t="shared" ca="1" si="311"/>
        <v>1.0626019545880599E-52</v>
      </c>
      <c r="DY125" s="3">
        <f t="shared" ca="1" si="279"/>
        <v>-4.4844488731841595E-4</v>
      </c>
      <c r="DZ125" s="3">
        <f t="shared" ca="1" si="303"/>
        <v>5.532389216049697E-4</v>
      </c>
      <c r="EA125" s="3">
        <f t="shared" ca="1" si="304"/>
        <v>-4.7880463669989701E-4</v>
      </c>
      <c r="EB125" s="3">
        <f t="shared" ca="1" si="280"/>
        <v>1.9361837001000826E-4</v>
      </c>
      <c r="EC125" s="3">
        <f t="shared" ca="1" si="281"/>
        <v>-2.9046961132801839E-4</v>
      </c>
      <c r="ED125" s="63">
        <f t="shared" si="305"/>
        <v>-1</v>
      </c>
      <c r="EE125" s="59">
        <f t="shared" si="282"/>
        <v>0.25</v>
      </c>
      <c r="EF125" s="59">
        <f t="shared" si="283"/>
        <v>2.0019999999999998</v>
      </c>
      <c r="EG125" s="59">
        <f t="shared" si="284"/>
        <v>0.25</v>
      </c>
      <c r="EH125" s="59">
        <f t="shared" si="285"/>
        <v>0.23400000000000001</v>
      </c>
      <c r="EI125" s="59">
        <f t="shared" si="286"/>
        <v>0.1802</v>
      </c>
      <c r="EJ125" s="59">
        <f t="shared" si="287"/>
        <v>0.19839999999999999</v>
      </c>
      <c r="EK125" s="63">
        <f t="shared" ca="1" si="306"/>
        <v>31594.908798468907</v>
      </c>
      <c r="EL125" s="3" t="str">
        <f>RTD("tos.rtd",,EL$83,"."&amp;$B$82&amp;$AS$82&amp;"C"&amp;$A125)</f>
        <v>--</v>
      </c>
      <c r="EM125" s="3" t="str">
        <f>RTD("tos.rtd",,EM$83,"."&amp;$B$82&amp;$AS$82&amp;"P"&amp;$A125)</f>
        <v>200.20%</v>
      </c>
      <c r="EN125" s="3" t="str">
        <f>RTD("tos.rtd",,EN$83,"."&amp;$C$82&amp;$AU$82&amp;"C"&amp;$A125)</f>
        <v>--</v>
      </c>
      <c r="EO125" s="3" t="str">
        <f>RTD("tos.rtd",,EO$83,"."&amp;$C$82&amp;$AU$82&amp;"P"&amp;$A125)</f>
        <v>23.40%</v>
      </c>
      <c r="EP125" s="3" t="str">
        <f>RTD("tos.rtd",,EP$83,"."&amp;$D$82&amp;$AW$82&amp;"C"&amp;$A125)</f>
        <v>18.02%</v>
      </c>
      <c r="EQ125" s="3" t="str">
        <f>RTD("tos.rtd",,EQ$83,"."&amp;$D$82&amp;$AW$82&amp;"P"&amp;$A125)</f>
        <v>19.84%</v>
      </c>
      <c r="ES125" s="63" t="str">
        <f t="shared" si="288"/>
        <v>5670,-01.00</v>
      </c>
      <c r="ET125" s="63" t="str">
        <f t="shared" ca="1" si="289"/>
        <v>5670,-41.86</v>
      </c>
      <c r="EU125" s="67">
        <v>593.72</v>
      </c>
      <c r="EV125" s="67" t="s">
        <v>1020</v>
      </c>
      <c r="EW125" s="67">
        <v>520.49</v>
      </c>
      <c r="EX125" s="67" t="s">
        <v>1021</v>
      </c>
      <c r="EY125" s="67">
        <v>5947.25</v>
      </c>
      <c r="EZ125" s="67" t="s">
        <v>1022</v>
      </c>
      <c r="FA125" s="67">
        <v>21363.5</v>
      </c>
      <c r="FB125" s="67" t="s">
        <v>1023</v>
      </c>
      <c r="FC125" s="67" t="s">
        <v>1024</v>
      </c>
      <c r="FD125" s="67" t="s">
        <v>1025</v>
      </c>
      <c r="FE125" s="68" t="s">
        <v>1026</v>
      </c>
      <c r="FF125" s="68" t="s">
        <v>1027</v>
      </c>
    </row>
    <row r="126" spans="1:162" s="63" customFormat="1" ht="12" customHeight="1" thickBot="1" x14ac:dyDescent="0.25">
      <c r="A126" s="2">
        <f t="shared" si="307"/>
        <v>5660</v>
      </c>
      <c r="B126" s="3">
        <f t="shared" si="251"/>
        <v>188</v>
      </c>
      <c r="C126" s="3">
        <f t="shared" si="252"/>
        <v>0</v>
      </c>
      <c r="D126" s="3">
        <f t="shared" si="253"/>
        <v>9376</v>
      </c>
      <c r="E126" s="3">
        <f t="shared" si="314"/>
        <v>9564</v>
      </c>
      <c r="F126" s="4">
        <f t="shared" si="318"/>
        <v>5679.0724906280275</v>
      </c>
      <c r="G126" s="4">
        <f t="shared" si="315"/>
        <v>564.93670864748742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2</v>
      </c>
      <c r="AN126" s="20">
        <v>0</v>
      </c>
      <c r="AO126" s="20">
        <v>5660</v>
      </c>
      <c r="AP126" s="20">
        <v>8</v>
      </c>
      <c r="AQ126" s="20">
        <v>-5</v>
      </c>
      <c r="AR126" s="20"/>
      <c r="AS126" s="54">
        <f>IF(RTD("tos.rtd",,AS$83,"."&amp;$B$82&amp;$AS$82&amp;"C"&amp;$A126)="N/A",0,RTD("tos.rtd",,AS$83,"."&amp;$B$82&amp;$AS$82&amp;"C"&amp;$A126))</f>
        <v>77</v>
      </c>
      <c r="AT126" s="3">
        <f>-IF(RTD("tos.rtd",,AT$83,"."&amp;$B$82&amp;$AS$82&amp;"P"&amp;$A126)="N/A",0,RTD("tos.rtd",,AT$83,"."&amp;$B$82&amp;$AS$82&amp;"P"&amp;$A126))</f>
        <v>-111</v>
      </c>
      <c r="AU126" s="54">
        <f>IF(RTD("tos.rtd",,AU$83,"."&amp;$C$82&amp;$AU$82&amp;"C"&amp;$A126)="N/A",0,RTD("tos.rtd",,AU$83,"."&amp;$C$82&amp;$AU$82&amp;"C"&amp;$A126))</f>
        <v>0</v>
      </c>
      <c r="AV126" s="3">
        <f>-IF(RTD("tos.rtd",,AV$83,"."&amp;$C$82&amp;$AU$82&amp;"P"&amp;$A126)="N/A",0,RTD("tos.rtd",,AV$83,"."&amp;$C$82&amp;$AU$82&amp;"P"&amp;$A126))</f>
        <v>0</v>
      </c>
      <c r="AW126" s="54">
        <f>IF(RTD("tos.rtd",,AW$83,"."&amp;$D$82&amp;$AW$82&amp;"C"&amp;$A126)="N/A",0,RTD("tos.rtd",,AW$83,"."&amp;$D$82&amp;$AW$82&amp;"C"&amp;$A126))</f>
        <v>4765</v>
      </c>
      <c r="AX126" s="3">
        <f>-IF(RTD("tos.rtd",,AX$83,"."&amp;$D$82&amp;$AW$82&amp;"P"&amp;$A126)="N/A",0,RTD("tos.rtd",,AX$83,"."&amp;$D$82&amp;$AW$82&amp;"P"&amp;$A126))</f>
        <v>-4611</v>
      </c>
      <c r="AY126" s="79">
        <f t="shared" si="316"/>
        <v>120</v>
      </c>
      <c r="AZ126" s="8">
        <f t="shared" si="255"/>
        <v>5660</v>
      </c>
      <c r="BA126" s="54">
        <f>IF(RTD("tos.rtd",,BA$83,"."&amp;$B$82&amp;$AS$82&amp;"C"&amp;$A126)="N/A",0,RTD("tos.rtd",,BA$83,"."&amp;$B$82&amp;$AS$82&amp;"C"&amp;$A126))</f>
        <v>8</v>
      </c>
      <c r="BB126" s="3">
        <f>-IF(RTD("tos.rtd",,BB$83,"."&amp;$B$82&amp;$AS$82&amp;"P"&amp;$A126)="N/A",0,RTD("tos.rtd",,BB$83,"."&amp;$B$82&amp;$AS$82&amp;"P"&amp;$A126))</f>
        <v>-5</v>
      </c>
      <c r="BC126" s="54">
        <f>IF(RTD("tos.rtd",,BC$83,"."&amp;$C$82&amp;$AU$82&amp;"C"&amp;$A126)="N/A",0,RTD("tos.rtd",,BC$83,"."&amp;$C$82&amp;$AU$82&amp;"C"&amp;$A126))</f>
        <v>0</v>
      </c>
      <c r="BD126" s="3">
        <f>-IF(RTD("tos.rtd",,BD$83,"."&amp;$C$82&amp;$AU$82&amp;"P"&amp;$A126)="N/A",0,RTD("tos.rtd",,BD$83,"."&amp;$C$82&amp;$AU$82&amp;"P"&amp;$A126))</f>
        <v>0</v>
      </c>
      <c r="BE126" s="54">
        <f>IF(RTD("tos.rtd",,BE$83,"."&amp;$D$82&amp;$AW$82&amp;"C"&amp;$A126)="N/A",0,RTD("tos.rtd",,BE$83,"."&amp;$D$82&amp;$AW$82&amp;"C"&amp;$A126))</f>
        <v>0</v>
      </c>
      <c r="BF126" s="3">
        <f>-IF(RTD("tos.rtd",,BF$83,"."&amp;$D$82&amp;$AW$82&amp;"P"&amp;$A126)="N/A",0,RTD("tos.rtd",,BF$83,"."&amp;$D$82&amp;$AW$82&amp;"P"&amp;$A126))</f>
        <v>-30</v>
      </c>
      <c r="BG126" s="3">
        <f ca="1">+Hoja2!Y127</f>
        <v>-104</v>
      </c>
      <c r="BH126" s="55">
        <f t="shared" ca="1" si="292"/>
        <v>-131</v>
      </c>
      <c r="BI126" s="32" t="str">
        <f t="shared" ca="1" si="312"/>
        <v/>
      </c>
      <c r="BJ126" s="3">
        <f ca="1">IF($BP$1=1,DX126,IF(RTD("tos.rtd",,BJ$83,"."&amp;$B$82&amp;$AS$82&amp;"C"&amp;$A126)="N/A",0,RTD("tos.rtd",,BJ$83,"."&amp;$B$82&amp;$AS$82&amp;"C"&amp;$A126)))</f>
        <v>1.1651161880468121E-56</v>
      </c>
      <c r="BK126" s="3">
        <f ca="1">IF($BP$1=1,DY126,-IF(RTD("tos.rtd",,BK$83,"."&amp;$B$82&amp;$AS$82&amp;"P"&amp;$A126)="N/A",0,RTD("tos.rtd",,BK$83,"."&amp;$B$82&amp;$AS$82&amp;"P"&amp;$A126)))</f>
        <v>-4.2721762353966226E-4</v>
      </c>
      <c r="BL126" s="3">
        <f ca="1">IF($BP$1=1,DZ126,IF(RTD("tos.rtd",,BL$83,"."&amp;$C$82&amp;$AU$82&amp;"C"&amp;$A126)="N/A",0,RTD("tos.rtd",,BL$83,"."&amp;$C$82&amp;$AU$82&amp;"C"&amp;$A126)))</f>
        <v>4.9221646227100941E-4</v>
      </c>
      <c r="BM126" s="3">
        <f ca="1">IF($BP$1=1,EA126,-IF(RTD("tos.rtd",,BM$83,"."&amp;$C$82&amp;$AU$82&amp;"P"&amp;$A126)="N/A",0,RTD("tos.rtd",,BM$83,"."&amp;$C$82&amp;$AU$82&amp;"P"&amp;$A126)))</f>
        <v>-4.9221646227100941E-4</v>
      </c>
      <c r="BN126" s="3">
        <f ca="1">IF($BP$1=1,EB126,IF(RTD("tos.rtd",,BN$83,"."&amp;$D$82&amp;$AW$82&amp;"C"&amp;$A126)="N/A",0,RTD("tos.rtd",,BN$83,"."&amp;$D$82&amp;$AW$82&amp;"C"&amp;$A126)))</f>
        <v>1.5966137989732564E-4</v>
      </c>
      <c r="BO126" s="3">
        <f ca="1">IF($BP$1=1,EC126,-IF(RTD("tos.rtd",,BO$83,"."&amp;$D$82&amp;$AW$82&amp;"P"&amp;$A126)="N/A",0,RTD("tos.rtd",,BO$83,"."&amp;$D$82&amp;$AW$82&amp;"P"&amp;$A126)))</f>
        <v>-2.4889431877949769E-4</v>
      </c>
      <c r="BQ126" s="3">
        <f t="shared" ca="1" si="256"/>
        <v>-12804.439471014399</v>
      </c>
      <c r="BR126" s="3" t="str">
        <f t="shared" ca="1" si="293"/>
        <v/>
      </c>
      <c r="BS126" s="3">
        <f t="shared" ca="1" si="257"/>
        <v>0</v>
      </c>
      <c r="BT126" s="3" t="str">
        <f t="shared" ca="1" si="293"/>
        <v/>
      </c>
      <c r="BU126" s="3">
        <f t="shared" ca="1" si="258"/>
        <v>-104459.5450573327</v>
      </c>
      <c r="BV126" s="3" t="str">
        <f t="shared" ca="1" si="293"/>
        <v/>
      </c>
      <c r="BX126" s="3">
        <f t="shared" ca="1" si="259"/>
        <v>-576.7765527483964</v>
      </c>
      <c r="BY126" s="3" t="str">
        <f t="shared" ca="1" si="309"/>
        <v/>
      </c>
      <c r="BZ126" s="3">
        <f t="shared" ca="1" si="260"/>
        <v>0</v>
      </c>
      <c r="CA126" s="3" t="str">
        <f t="shared" ca="1" si="309"/>
        <v/>
      </c>
      <c r="CB126" s="3">
        <f t="shared" ca="1" si="261"/>
        <v>-2016.1585001322619</v>
      </c>
      <c r="CC126" s="3" t="str">
        <f t="shared" ca="1" si="309"/>
        <v/>
      </c>
      <c r="CD126" s="3">
        <f>IF(RTD("tos.rtd",,CD$83,"."&amp;$B$82&amp;$AS$82&amp;"C"&amp;$A126)="N/A",0,RTD("tos.rtd",,CD$83,"."&amp;$B$82&amp;$AS$82&amp;"C"&amp;$A126))</f>
        <v>1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</v>
      </c>
      <c r="CG126" s="3">
        <f>-IF(RTD("tos.rtd",,CG$83,"."&amp;$C$82&amp;$AU$82&amp;"P"&amp;$A126)="N/A",0,RTD("tos.rtd",,CG$83,"."&amp;$C$82&amp;$AU$82&amp;"P"&amp;$A126))</f>
        <v>0</v>
      </c>
      <c r="CH126" s="3">
        <f>IF(RTD("tos.rtd",,CH$83,"."&amp;$D$82&amp;$AW$82&amp;"C"&amp;$A126)="N/A",0,RTD("tos.rtd",,CH$83,"."&amp;$D$82&amp;$AW$82&amp;"C"&amp;$A126))</f>
        <v>0.85</v>
      </c>
      <c r="CI126" s="3">
        <f>-IF(RTD("tos.rtd",,CI$83,"."&amp;$D$82&amp;$AW$82&amp;"P"&amp;$A126)="N/A",0,RTD("tos.rtd",,CI$83,"."&amp;$D$82&amp;$AW$82&amp;"P"&amp;$A126))</f>
        <v>0.18</v>
      </c>
      <c r="CK126" s="3">
        <f t="shared" si="294"/>
        <v>45701425</v>
      </c>
      <c r="CL126" s="3"/>
      <c r="CM126" s="3">
        <f t="shared" si="295"/>
        <v>0</v>
      </c>
      <c r="CN126" s="3"/>
      <c r="CO126" s="3">
        <f t="shared" si="296"/>
        <v>1911310751.75</v>
      </c>
      <c r="CP126" s="3">
        <f t="shared" si="262"/>
        <v>1957012176.75</v>
      </c>
      <c r="CQ126" s="3">
        <f t="shared" si="263"/>
        <v>3</v>
      </c>
      <c r="CR126" s="3"/>
      <c r="CS126" s="3">
        <f t="shared" si="264"/>
        <v>0</v>
      </c>
      <c r="CT126" s="3"/>
      <c r="CU126" s="3">
        <f t="shared" si="265"/>
        <v>-30</v>
      </c>
      <c r="CV126" s="3"/>
      <c r="CW126" s="3">
        <f t="shared" ca="1" si="324"/>
        <v>-117263.98452834709</v>
      </c>
      <c r="CY126" s="3">
        <f t="shared" ca="1" si="266"/>
        <v>-2592.9350528806581</v>
      </c>
      <c r="CZ126" s="70" t="str">
        <f t="shared" ca="1" si="310"/>
        <v/>
      </c>
      <c r="DA126" s="3">
        <f>IF(RTD("tos.rtd",,DA$83,"."&amp;$B$82&amp;$AS$82&amp;"C"&amp;$A126)="N/A",0,RTD("tos.rtd",,DA$83,"."&amp;$B$82&amp;$AS$82&amp;"C"&amp;$A126))</f>
        <v>273.7</v>
      </c>
      <c r="DB126" s="3">
        <f>IF(RTD("tos.rtd",,DB$83,"."&amp;$B$82&amp;$AS$82&amp;"P"&amp;$A126)="N/A",0,RTD("tos.rtd",,DB$83,"."&amp;$B$82&amp;$AS$82&amp;"P"&amp;$A126))</f>
        <v>0.05</v>
      </c>
      <c r="DC126" s="3">
        <f>IF(RTD("tos.rtd",,DC$83,"."&amp;$B$82&amp;$AS$82&amp;"C"&amp;$A126)="N/A",0,RTD("tos.rtd",,DC$83,"."&amp;$B$82&amp;$AS$82&amp;"C"&amp;$A126))</f>
        <v>280.7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278.7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298"/>
        <v>-275.25</v>
      </c>
      <c r="DH126" s="3">
        <f t="shared" si="267"/>
        <v>0</v>
      </c>
      <c r="DI126" s="3">
        <f t="shared" si="268"/>
        <v>0</v>
      </c>
      <c r="DJ126" s="3">
        <f t="shared" si="269"/>
        <v>0</v>
      </c>
      <c r="DK126" s="3">
        <f t="shared" si="270"/>
        <v>0</v>
      </c>
      <c r="DL126" s="3">
        <f t="shared" si="271"/>
        <v>0</v>
      </c>
      <c r="DM126" s="3">
        <f t="shared" si="272"/>
        <v>0</v>
      </c>
      <c r="DN126" s="64" t="str">
        <f t="shared" si="273"/>
        <v>UNKNOWN</v>
      </c>
      <c r="DO126" s="64" t="str">
        <f t="shared" si="274"/>
        <v>UNKNOWN</v>
      </c>
      <c r="DP126" s="3">
        <f t="shared" si="275"/>
        <v>0</v>
      </c>
      <c r="DQ126" s="3">
        <f t="shared" si="276"/>
        <v>0</v>
      </c>
      <c r="DR126" s="3">
        <f t="shared" ca="1" si="277"/>
        <v>0</v>
      </c>
      <c r="DS126" s="3">
        <f t="shared" si="278"/>
        <v>0</v>
      </c>
      <c r="DT126" s="3">
        <f t="shared" si="299"/>
        <v>0</v>
      </c>
      <c r="DU126" s="3">
        <f t="shared" si="300"/>
        <v>0</v>
      </c>
      <c r="DV126" s="3">
        <f t="shared" si="301"/>
        <v>2</v>
      </c>
      <c r="DW126" s="3">
        <f t="shared" si="302"/>
        <v>0</v>
      </c>
      <c r="DX126" s="3">
        <f t="shared" ca="1" si="311"/>
        <v>1.1651161880468121E-56</v>
      </c>
      <c r="DY126" s="3">
        <f t="shared" ca="1" si="279"/>
        <v>-4.2721762353966226E-4</v>
      </c>
      <c r="DZ126" s="3">
        <f t="shared" ca="1" si="303"/>
        <v>4.9221646227100941E-4</v>
      </c>
      <c r="EA126" s="3">
        <f t="shared" ca="1" si="304"/>
        <v>-4.9221646227100941E-4</v>
      </c>
      <c r="EB126" s="3">
        <f t="shared" ca="1" si="280"/>
        <v>1.5966137989732564E-4</v>
      </c>
      <c r="EC126" s="3">
        <f t="shared" ca="1" si="281"/>
        <v>-2.4889431877949769E-4</v>
      </c>
      <c r="ED126" s="63">
        <f t="shared" si="305"/>
        <v>2</v>
      </c>
      <c r="EE126" s="59">
        <f t="shared" si="282"/>
        <v>0.25</v>
      </c>
      <c r="EF126" s="59">
        <f t="shared" si="283"/>
        <v>2.0716000000000001</v>
      </c>
      <c r="EG126" s="59">
        <f t="shared" si="284"/>
        <v>0.25</v>
      </c>
      <c r="EH126" s="59">
        <f t="shared" si="285"/>
        <v>0.25</v>
      </c>
      <c r="EI126" s="59">
        <f t="shared" si="286"/>
        <v>0.18129999999999999</v>
      </c>
      <c r="EJ126" s="59">
        <f t="shared" si="287"/>
        <v>0.19989999999999999</v>
      </c>
      <c r="EK126" s="63">
        <f t="shared" ca="1" si="306"/>
        <v>8.2087544628022024E-49</v>
      </c>
      <c r="EL126" s="3" t="str">
        <f>RTD("tos.rtd",,EL$83,"."&amp;$B$82&amp;$AS$82&amp;"C"&amp;$A126)</f>
        <v>--</v>
      </c>
      <c r="EM126" s="3" t="str">
        <f>RTD("tos.rtd",,EM$83,"."&amp;$B$82&amp;$AS$82&amp;"P"&amp;$A126)</f>
        <v>207.16%</v>
      </c>
      <c r="EN126" s="3" t="str">
        <f>RTD("tos.rtd",,EN$83,"."&amp;$C$82&amp;$AU$82&amp;"C"&amp;$A126)</f>
        <v>N/A</v>
      </c>
      <c r="EO126" s="3" t="str">
        <f>RTD("tos.rtd",,EO$83,"."&amp;$C$82&amp;$AU$82&amp;"P"&amp;$A126)</f>
        <v>N/A</v>
      </c>
      <c r="EP126" s="3" t="str">
        <f>RTD("tos.rtd",,EP$83,"."&amp;$D$82&amp;$AW$82&amp;"C"&amp;$A126)</f>
        <v>18.13%</v>
      </c>
      <c r="EQ126" s="3" t="str">
        <f>RTD("tos.rtd",,EQ$83,"."&amp;$D$82&amp;$AW$82&amp;"P"&amp;$A126)</f>
        <v>19.99%</v>
      </c>
      <c r="ES126" s="63" t="str">
        <f t="shared" si="288"/>
        <v>5660,02.00</v>
      </c>
      <c r="ET126" s="63" t="str">
        <f t="shared" ca="1" si="289"/>
        <v>5660,-02.59</v>
      </c>
      <c r="EU126" s="67">
        <v>593.55999999999995</v>
      </c>
      <c r="EV126" s="67" t="s">
        <v>1028</v>
      </c>
      <c r="EW126" s="67">
        <v>520.23</v>
      </c>
      <c r="EX126" s="67" t="s">
        <v>1029</v>
      </c>
      <c r="EY126" s="67">
        <v>5945.5</v>
      </c>
      <c r="EZ126" s="67" t="s">
        <v>1030</v>
      </c>
      <c r="FA126" s="67">
        <v>21353</v>
      </c>
      <c r="FB126" s="67" t="s">
        <v>1031</v>
      </c>
      <c r="FC126" s="67" t="s">
        <v>1032</v>
      </c>
      <c r="FD126" s="67" t="s">
        <v>1033</v>
      </c>
      <c r="FE126" s="68" t="s">
        <v>1034</v>
      </c>
      <c r="FF126" s="68" t="s">
        <v>1035</v>
      </c>
    </row>
    <row r="127" spans="1:162" s="63" customFormat="1" ht="12" customHeight="1" thickBot="1" x14ac:dyDescent="0.25">
      <c r="A127" s="2">
        <f t="shared" si="307"/>
        <v>5650</v>
      </c>
      <c r="B127" s="3">
        <f t="shared" si="251"/>
        <v>433</v>
      </c>
      <c r="C127" s="3">
        <f t="shared" si="252"/>
        <v>4573</v>
      </c>
      <c r="D127" s="3">
        <f t="shared" si="253"/>
        <v>139166</v>
      </c>
      <c r="E127" s="3">
        <f t="shared" si="314"/>
        <v>144172</v>
      </c>
      <c r="F127" s="4">
        <f t="shared" si="318"/>
        <v>5669.0387936481193</v>
      </c>
      <c r="G127" s="4">
        <f t="shared" si="315"/>
        <v>563.93858725411735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-6</v>
      </c>
      <c r="AN127" s="20">
        <v>-6</v>
      </c>
      <c r="AO127" s="20">
        <v>5650</v>
      </c>
      <c r="AP127" s="20">
        <v>14</v>
      </c>
      <c r="AQ127" s="20">
        <v>-6</v>
      </c>
      <c r="AR127" s="20"/>
      <c r="AS127" s="54">
        <f>IF(RTD("tos.rtd",,AS$83,"."&amp;$B$82&amp;$AS$82&amp;"C"&amp;$A127)="N/A",0,RTD("tos.rtd",,AS$83,"."&amp;$B$82&amp;$AS$82&amp;"C"&amp;$A127))</f>
        <v>56</v>
      </c>
      <c r="AT127" s="3">
        <f>-IF(RTD("tos.rtd",,AT$83,"."&amp;$B$82&amp;$AS$82&amp;"P"&amp;$A127)="N/A",0,RTD("tos.rtd",,AT$83,"."&amp;$B$82&amp;$AS$82&amp;"P"&amp;$A127))</f>
        <v>-377</v>
      </c>
      <c r="AU127" s="54">
        <f>IF(RTD("tos.rtd",,AU$83,"."&amp;$C$82&amp;$AU$82&amp;"C"&amp;$A127)="N/A",0,RTD("tos.rtd",,AU$83,"."&amp;$C$82&amp;$AU$82&amp;"C"&amp;$A127))</f>
        <v>1814</v>
      </c>
      <c r="AV127" s="3">
        <f>-IF(RTD("tos.rtd",,AV$83,"."&amp;$C$82&amp;$AU$82&amp;"P"&amp;$A127)="N/A",0,RTD("tos.rtd",,AV$83,"."&amp;$C$82&amp;$AU$82&amp;"P"&amp;$A127))</f>
        <v>-2759</v>
      </c>
      <c r="AW127" s="54">
        <f>IF(RTD("tos.rtd",,AW$83,"."&amp;$D$82&amp;$AW$82&amp;"C"&amp;$A127)="N/A",0,RTD("tos.rtd",,AW$83,"."&amp;$D$82&amp;$AW$82&amp;"C"&amp;$A127))</f>
        <v>69967</v>
      </c>
      <c r="AX127" s="3">
        <f>-IF(RTD("tos.rtd",,AX$83,"."&amp;$D$82&amp;$AW$82&amp;"P"&amp;$A127)="N/A",0,RTD("tos.rtd",,AX$83,"."&amp;$D$82&amp;$AW$82&amp;"P"&amp;$A127))</f>
        <v>-69199</v>
      </c>
      <c r="AY127" s="79">
        <f t="shared" si="316"/>
        <v>-498</v>
      </c>
      <c r="AZ127" s="8">
        <f t="shared" si="255"/>
        <v>5650</v>
      </c>
      <c r="BA127" s="54">
        <f>IF(RTD("tos.rtd",,BA$83,"."&amp;$B$82&amp;$AS$82&amp;"C"&amp;$A127)="N/A",0,RTD("tos.rtd",,BA$83,"."&amp;$B$82&amp;$AS$82&amp;"C"&amp;$A127))</f>
        <v>14</v>
      </c>
      <c r="BB127" s="3">
        <f>-IF(RTD("tos.rtd",,BB$83,"."&amp;$B$82&amp;$AS$82&amp;"P"&amp;$A127)="N/A",0,RTD("tos.rtd",,BB$83,"."&amp;$B$82&amp;$AS$82&amp;"P"&amp;$A127))</f>
        <v>-6</v>
      </c>
      <c r="BC127" s="54">
        <f>IF(RTD("tos.rtd",,BC$83,"."&amp;$C$82&amp;$AU$82&amp;"C"&amp;$A127)="N/A",0,RTD("tos.rtd",,BC$83,"."&amp;$C$82&amp;$AU$82&amp;"C"&amp;$A127))</f>
        <v>38</v>
      </c>
      <c r="BD127" s="3">
        <f>-IF(RTD("tos.rtd",,BD$83,"."&amp;$C$82&amp;$AU$82&amp;"P"&amp;$A127)="N/A",0,RTD("tos.rtd",,BD$83,"."&amp;$C$82&amp;$AU$82&amp;"P"&amp;$A127))</f>
        <v>-693</v>
      </c>
      <c r="BE127" s="54">
        <f>IF(RTD("tos.rtd",,BE$83,"."&amp;$D$82&amp;$AW$82&amp;"C"&amp;$A127)="N/A",0,RTD("tos.rtd",,BE$83,"."&amp;$D$82&amp;$AW$82&amp;"C"&amp;$A127))</f>
        <v>11</v>
      </c>
      <c r="BF127" s="3">
        <f>-IF(RTD("tos.rtd",,BF$83,"."&amp;$D$82&amp;$AW$82&amp;"P"&amp;$A127)="N/A",0,RTD("tos.rtd",,BF$83,"."&amp;$D$82&amp;$AW$82&amp;"P"&amp;$A127))</f>
        <v>-202</v>
      </c>
      <c r="BG127" s="3">
        <f ca="1">+Hoja2!Y128</f>
        <v>-1133</v>
      </c>
      <c r="BH127" s="55">
        <f t="shared" ca="1" si="292"/>
        <v>-1971</v>
      </c>
      <c r="BI127" s="32" t="str">
        <f t="shared" ca="1" si="312"/>
        <v/>
      </c>
      <c r="BJ127" s="3">
        <f ca="1">IF($BP$1=1,DX127,IF(RTD("tos.rtd",,BJ$83,"."&amp;$B$82&amp;$AS$82&amp;"C"&amp;$A127)="N/A",0,RTD("tos.rtd",,BJ$83,"."&amp;$B$82&amp;$AS$82&amp;"C"&amp;$A127)))</f>
        <v>8.8920806569598264E-61</v>
      </c>
      <c r="BK127" s="3">
        <f ca="1">IF($BP$1=1,DY127,-IF(RTD("tos.rtd",,BK$83,"."&amp;$B$82&amp;$AS$82&amp;"P"&amp;$A127)="N/A",0,RTD("tos.rtd",,BK$83,"."&amp;$B$82&amp;$AS$82&amp;"P"&amp;$A127)))</f>
        <v>-4.0769721489462656E-4</v>
      </c>
      <c r="BL127" s="3">
        <f ca="1">IF($BP$1=1,DZ127,IF(RTD("tos.rtd",,BL$83,"."&amp;$C$82&amp;$AU$82&amp;"C"&amp;$A127)="N/A",0,RTD("tos.rtd",,BL$83,"."&amp;$C$82&amp;$AU$82&amp;"C"&amp;$A127)))</f>
        <v>4.3592947963812191E-4</v>
      </c>
      <c r="BM127" s="3">
        <f ca="1">IF($BP$1=1,EA127,-IF(RTD("tos.rtd",,BM$83,"."&amp;$C$82&amp;$AU$82&amp;"P"&amp;$A127)="N/A",0,RTD("tos.rtd",,BM$83,"."&amp;$C$82&amp;$AU$82&amp;"P"&amp;$A127)))</f>
        <v>-4.0545630013751771E-4</v>
      </c>
      <c r="BN127" s="3">
        <f ca="1">IF($BP$1=1,EB127,IF(RTD("tos.rtd",,BN$83,"."&amp;$D$82&amp;$AW$82&amp;"C"&amp;$A127)="N/A",0,RTD("tos.rtd",,BN$83,"."&amp;$D$82&amp;$AW$82&amp;"C"&amp;$A127)))</f>
        <v>1.3154688609843827E-4</v>
      </c>
      <c r="BO127" s="3">
        <f ca="1">IF($BP$1=1,EC127,-IF(RTD("tos.rtd",,BO$83,"."&amp;$D$82&amp;$AW$82&amp;"P"&amp;$A127)="N/A",0,RTD("tos.rtd",,BO$83,"."&amp;$D$82&amp;$AW$82&amp;"P"&amp;$A127)))</f>
        <v>-2.1276231663397655E-4</v>
      </c>
      <c r="BQ127" s="3">
        <f t="shared" ca="1" si="256"/>
        <v>-41501.856814027538</v>
      </c>
      <c r="BR127" s="3" t="str">
        <f t="shared" ca="1" si="293"/>
        <v/>
      </c>
      <c r="BS127" s="3">
        <f t="shared" ca="1" si="257"/>
        <v>-88532.049754171632</v>
      </c>
      <c r="BT127" s="3" t="str">
        <f t="shared" ca="1" si="293"/>
        <v/>
      </c>
      <c r="BU127" s="3">
        <f t="shared" ca="1" si="258"/>
        <v>-1490214.2579875346</v>
      </c>
      <c r="BV127" s="3" t="str">
        <f t="shared" ca="1" si="293"/>
        <v/>
      </c>
      <c r="BX127" s="3">
        <f t="shared" ca="1" si="259"/>
        <v>-660.50700499778577</v>
      </c>
      <c r="BY127" s="3" t="str">
        <f t="shared" ca="1" si="309"/>
        <v/>
      </c>
      <c r="BZ127" s="3">
        <f t="shared" ca="1" si="260"/>
        <v>-71396.347177795615</v>
      </c>
      <c r="CA127" s="3" t="str">
        <f t="shared" ca="1" si="309"/>
        <v/>
      </c>
      <c r="CB127" s="3">
        <f t="shared" ca="1" si="261"/>
        <v>-11213.999453872453</v>
      </c>
      <c r="CC127" s="3" t="str">
        <f t="shared" ca="1" si="309"/>
        <v/>
      </c>
      <c r="CD127" s="3">
        <f>IF(RTD("tos.rtd",,CD$83,"."&amp;$B$82&amp;$AS$82&amp;"C"&amp;$A127)="N/A",0,RTD("tos.rtd",,CD$83,"."&amp;$B$82&amp;$AS$82&amp;"C"&amp;$A127))</f>
        <v>1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1</v>
      </c>
      <c r="CG127" s="3">
        <f>-IF(RTD("tos.rtd",,CG$83,"."&amp;$C$82&amp;$AU$82&amp;"P"&amp;$A127)="N/A",0,RTD("tos.rtd",,CG$83,"."&amp;$C$82&amp;$AU$82&amp;"P"&amp;$A127))</f>
        <v>0.01</v>
      </c>
      <c r="CH127" s="3">
        <f>IF(RTD("tos.rtd",,CH$83,"."&amp;$D$82&amp;$AW$82&amp;"C"&amp;$A127)="N/A",0,RTD("tos.rtd",,CH$83,"."&amp;$D$82&amp;$AW$82&amp;"C"&amp;$A127))</f>
        <v>0.85</v>
      </c>
      <c r="CI127" s="3">
        <f>-IF(RTD("tos.rtd",,CI$83,"."&amp;$D$82&amp;$AW$82&amp;"P"&amp;$A127)="N/A",0,RTD("tos.rtd",,CI$83,"."&amp;$D$82&amp;$AW$82&amp;"P"&amp;$A127))</f>
        <v>0.17</v>
      </c>
      <c r="CK127" s="3">
        <f t="shared" si="294"/>
        <v>33237400</v>
      </c>
      <c r="CL127" s="3"/>
      <c r="CM127" s="3">
        <f t="shared" si="295"/>
        <v>1060278995.25</v>
      </c>
      <c r="CN127" s="3"/>
      <c r="CO127" s="3">
        <f t="shared" si="296"/>
        <v>28315961923</v>
      </c>
      <c r="CP127" s="3">
        <f t="shared" si="262"/>
        <v>29409478318.25</v>
      </c>
      <c r="CQ127" s="3">
        <f t="shared" si="263"/>
        <v>8</v>
      </c>
      <c r="CR127" s="3"/>
      <c r="CS127" s="3">
        <f t="shared" si="264"/>
        <v>-655</v>
      </c>
      <c r="CT127" s="3"/>
      <c r="CU127" s="3">
        <f t="shared" si="265"/>
        <v>-191</v>
      </c>
      <c r="CV127" s="3"/>
      <c r="CW127" s="3">
        <f t="shared" ca="1" si="324"/>
        <v>-1620248.1645557338</v>
      </c>
      <c r="CY127" s="3">
        <f t="shared" ca="1" si="266"/>
        <v>-83270.853636665852</v>
      </c>
      <c r="CZ127" s="70" t="str">
        <f t="shared" ca="1" si="310"/>
        <v/>
      </c>
      <c r="DA127" s="3">
        <f>IF(RTD("tos.rtd",,DA$83,"."&amp;$B$82&amp;$AS$82&amp;"C"&amp;$A127)="N/A",0,RTD("tos.rtd",,DA$83,"."&amp;$B$82&amp;$AS$82&amp;"C"&amp;$A127))</f>
        <v>283.58</v>
      </c>
      <c r="DB127" s="3">
        <f>IF(RTD("tos.rtd",,DB$83,"."&amp;$B$82&amp;$AS$82&amp;"P"&amp;$A127)="N/A",0,RTD("tos.rtd",,DB$83,"."&amp;$B$82&amp;$AS$82&amp;"P"&amp;$A127))</f>
        <v>0.05</v>
      </c>
      <c r="DC127" s="3">
        <f>IF(RTD("tos.rtd",,DC$83,"."&amp;$B$82&amp;$AS$82&amp;"C"&amp;$A127)="N/A",0,RTD("tos.rtd",,DC$83,"."&amp;$B$82&amp;$AS$82&amp;"C"&amp;$A127))</f>
        <v>290.7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288.7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298"/>
        <v>-285.25</v>
      </c>
      <c r="DH127" s="3">
        <f t="shared" si="267"/>
        <v>0</v>
      </c>
      <c r="DI127" s="3">
        <f t="shared" si="268"/>
        <v>0</v>
      </c>
      <c r="DJ127" s="3">
        <f t="shared" si="269"/>
        <v>0</v>
      </c>
      <c r="DK127" s="3">
        <f t="shared" si="270"/>
        <v>0</v>
      </c>
      <c r="DL127" s="3">
        <f t="shared" si="271"/>
        <v>0</v>
      </c>
      <c r="DM127" s="3">
        <f t="shared" si="272"/>
        <v>0</v>
      </c>
      <c r="DN127" s="64" t="str">
        <f t="shared" si="273"/>
        <v>UNKNOWN</v>
      </c>
      <c r="DO127" s="64" t="str">
        <f t="shared" si="274"/>
        <v>UNKNOWN</v>
      </c>
      <c r="DP127" s="3">
        <f t="shared" si="275"/>
        <v>0</v>
      </c>
      <c r="DQ127" s="3">
        <f t="shared" si="276"/>
        <v>0</v>
      </c>
      <c r="DR127" s="3">
        <f t="shared" ca="1" si="277"/>
        <v>0</v>
      </c>
      <c r="DS127" s="3">
        <f t="shared" si="278"/>
        <v>0</v>
      </c>
      <c r="DT127" s="3">
        <f t="shared" si="299"/>
        <v>0</v>
      </c>
      <c r="DU127" s="3">
        <f t="shared" si="300"/>
        <v>0</v>
      </c>
      <c r="DV127" s="3">
        <f t="shared" si="301"/>
        <v>-6</v>
      </c>
      <c r="DW127" s="3">
        <f t="shared" si="302"/>
        <v>-6</v>
      </c>
      <c r="DX127" s="3">
        <f t="shared" ca="1" si="311"/>
        <v>8.8920806569598264E-61</v>
      </c>
      <c r="DY127" s="3">
        <f t="shared" ca="1" si="279"/>
        <v>-4.0769721489462656E-4</v>
      </c>
      <c r="DZ127" s="3">
        <f t="shared" ca="1" si="303"/>
        <v>4.3592947963812191E-4</v>
      </c>
      <c r="EA127" s="3">
        <f t="shared" ca="1" si="304"/>
        <v>-4.0545630013751771E-4</v>
      </c>
      <c r="EB127" s="3">
        <f t="shared" ca="1" si="280"/>
        <v>1.3154688609843827E-4</v>
      </c>
      <c r="EC127" s="3">
        <f t="shared" ca="1" si="281"/>
        <v>-2.1276231663397655E-4</v>
      </c>
      <c r="ED127" s="63">
        <f t="shared" si="305"/>
        <v>-12</v>
      </c>
      <c r="EE127" s="59">
        <f t="shared" si="282"/>
        <v>0.25</v>
      </c>
      <c r="EF127" s="59">
        <f t="shared" si="283"/>
        <v>2.1412</v>
      </c>
      <c r="EG127" s="59">
        <f t="shared" si="284"/>
        <v>0.25</v>
      </c>
      <c r="EH127" s="59">
        <f t="shared" si="285"/>
        <v>0.24299999999999999</v>
      </c>
      <c r="EI127" s="59">
        <f t="shared" si="286"/>
        <v>0.1825</v>
      </c>
      <c r="EJ127" s="59">
        <f t="shared" si="287"/>
        <v>0.2014</v>
      </c>
      <c r="EK127" s="63">
        <f t="shared" ca="1" si="306"/>
        <v>86172.169777727715</v>
      </c>
      <c r="EL127" s="3" t="str">
        <f>RTD("tos.rtd",,EL$83,"."&amp;$B$82&amp;$AS$82&amp;"C"&amp;$A127)</f>
        <v>--</v>
      </c>
      <c r="EM127" s="3" t="str">
        <f>RTD("tos.rtd",,EM$83,"."&amp;$B$82&amp;$AS$82&amp;"P"&amp;$A127)</f>
        <v>214.12%</v>
      </c>
      <c r="EN127" s="3" t="str">
        <f>RTD("tos.rtd",,EN$83,"."&amp;$C$82&amp;$AU$82&amp;"C"&amp;$A127)</f>
        <v>--</v>
      </c>
      <c r="EO127" s="3" t="str">
        <f>RTD("tos.rtd",,EO$83,"."&amp;$C$82&amp;$AU$82&amp;"P"&amp;$A127)</f>
        <v>24.30%</v>
      </c>
      <c r="EP127" s="3" t="str">
        <f>RTD("tos.rtd",,EP$83,"."&amp;$D$82&amp;$AW$82&amp;"C"&amp;$A127)</f>
        <v>18.25%</v>
      </c>
      <c r="EQ127" s="3" t="str">
        <f>RTD("tos.rtd",,EQ$83,"."&amp;$D$82&amp;$AW$82&amp;"P"&amp;$A127)</f>
        <v>20.14%</v>
      </c>
      <c r="ES127" s="63" t="str">
        <f t="shared" si="288"/>
        <v>5650,-12.00</v>
      </c>
      <c r="ET127" s="63" t="str">
        <f t="shared" ca="1" si="289"/>
        <v>5650,-83.27</v>
      </c>
      <c r="EU127" s="67">
        <v>593.5</v>
      </c>
      <c r="EV127" s="67" t="s">
        <v>1036</v>
      </c>
      <c r="EW127" s="67">
        <v>520.17999999999995</v>
      </c>
      <c r="EX127" s="67" t="s">
        <v>1037</v>
      </c>
      <c r="EY127" s="67">
        <v>5945</v>
      </c>
      <c r="EZ127" s="67" t="s">
        <v>1038</v>
      </c>
      <c r="FA127" s="67">
        <v>21350.75</v>
      </c>
      <c r="FB127" s="67" t="s">
        <v>1039</v>
      </c>
      <c r="FC127" s="67" t="s">
        <v>1040</v>
      </c>
      <c r="FD127" s="67" t="s">
        <v>1041</v>
      </c>
      <c r="FE127" s="68" t="s">
        <v>1042</v>
      </c>
      <c r="FF127" s="68" t="s">
        <v>1043</v>
      </c>
    </row>
    <row r="128" spans="1:162" s="63" customFormat="1" ht="12" customHeight="1" thickBot="1" x14ac:dyDescent="0.25">
      <c r="A128" s="2">
        <f t="shared" si="307"/>
        <v>5640</v>
      </c>
      <c r="B128" s="3">
        <f t="shared" si="251"/>
        <v>214</v>
      </c>
      <c r="C128" s="3">
        <f t="shared" si="252"/>
        <v>3246</v>
      </c>
      <c r="D128" s="3">
        <f t="shared" si="253"/>
        <v>9586</v>
      </c>
      <c r="E128" s="3">
        <f t="shared" si="314"/>
        <v>13046</v>
      </c>
      <c r="F128" s="4">
        <f t="shared" si="318"/>
        <v>5659.0050966682111</v>
      </c>
      <c r="G128" s="4">
        <f t="shared" si="315"/>
        <v>562.94046586074717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10</v>
      </c>
      <c r="AN128" s="20">
        <v>-9</v>
      </c>
      <c r="AO128" s="20">
        <v>5640</v>
      </c>
      <c r="AP128" s="20">
        <v>28</v>
      </c>
      <c r="AQ128" s="20">
        <v>-9</v>
      </c>
      <c r="AR128" s="20"/>
      <c r="AS128" s="54">
        <f>IF(RTD("tos.rtd",,AS$83,"."&amp;$B$82&amp;$AS$82&amp;"C"&amp;$A128)="N/A",0,RTD("tos.rtd",,AS$83,"."&amp;$B$82&amp;$AS$82&amp;"C"&amp;$A128))</f>
        <v>47</v>
      </c>
      <c r="AT128" s="3">
        <f>-IF(RTD("tos.rtd",,AT$83,"."&amp;$B$82&amp;$AS$82&amp;"P"&amp;$A128)="N/A",0,RTD("tos.rtd",,AT$83,"."&amp;$B$82&amp;$AS$82&amp;"P"&amp;$A128))</f>
        <v>-167</v>
      </c>
      <c r="AU128" s="54">
        <f>IF(RTD("tos.rtd",,AU$83,"."&amp;$C$82&amp;$AU$82&amp;"C"&amp;$A128)="N/A",0,RTD("tos.rtd",,AU$83,"."&amp;$C$82&amp;$AU$82&amp;"C"&amp;$A128))</f>
        <v>163</v>
      </c>
      <c r="AV128" s="3">
        <f>-IF(RTD("tos.rtd",,AV$83,"."&amp;$C$82&amp;$AU$82&amp;"P"&amp;$A128)="N/A",0,RTD("tos.rtd",,AV$83,"."&amp;$C$82&amp;$AU$82&amp;"P"&amp;$A128))</f>
        <v>-3083</v>
      </c>
      <c r="AW128" s="54">
        <f>IF(RTD("tos.rtd",,AW$83,"."&amp;$D$82&amp;$AW$82&amp;"C"&amp;$A128)="N/A",0,RTD("tos.rtd",,AW$83,"."&amp;$D$82&amp;$AW$82&amp;"C"&amp;$A128))</f>
        <v>4783</v>
      </c>
      <c r="AX128" s="3">
        <f>-IF(RTD("tos.rtd",,AX$83,"."&amp;$D$82&amp;$AW$82&amp;"P"&amp;$A128)="N/A",0,RTD("tos.rtd",,AX$83,"."&amp;$D$82&amp;$AW$82&amp;"P"&amp;$A128))</f>
        <v>-4803</v>
      </c>
      <c r="AY128" s="79">
        <f t="shared" si="316"/>
        <v>-3060</v>
      </c>
      <c r="AZ128" s="8">
        <f t="shared" si="255"/>
        <v>5640</v>
      </c>
      <c r="BA128" s="54">
        <f>IF(RTD("tos.rtd",,BA$83,"."&amp;$B$82&amp;$AS$82&amp;"C"&amp;$A128)="N/A",0,RTD("tos.rtd",,BA$83,"."&amp;$B$82&amp;$AS$82&amp;"C"&amp;$A128))</f>
        <v>28</v>
      </c>
      <c r="BB128" s="3">
        <f>-IF(RTD("tos.rtd",,BB$83,"."&amp;$B$82&amp;$AS$82&amp;"P"&amp;$A128)="N/A",0,RTD("tos.rtd",,BB$83,"."&amp;$B$82&amp;$AS$82&amp;"P"&amp;$A128))</f>
        <v>-9</v>
      </c>
      <c r="BC128" s="54">
        <f>IF(RTD("tos.rtd",,BC$83,"."&amp;$C$82&amp;$AU$82&amp;"C"&amp;$A128)="N/A",0,RTD("tos.rtd",,BC$83,"."&amp;$C$82&amp;$AU$82&amp;"C"&amp;$A128))</f>
        <v>31</v>
      </c>
      <c r="BD128" s="3">
        <f>-IF(RTD("tos.rtd",,BD$83,"."&amp;$C$82&amp;$AU$82&amp;"P"&amp;$A128)="N/A",0,RTD("tos.rtd",,BD$83,"."&amp;$C$82&amp;$AU$82&amp;"P"&amp;$A128))</f>
        <v>-540</v>
      </c>
      <c r="BE128" s="54">
        <f>IF(RTD("tos.rtd",,BE$83,"."&amp;$D$82&amp;$AW$82&amp;"C"&amp;$A128)="N/A",0,RTD("tos.rtd",,BE$83,"."&amp;$D$82&amp;$AW$82&amp;"C"&amp;$A128))</f>
        <v>0</v>
      </c>
      <c r="BF128" s="3">
        <f>-IF(RTD("tos.rtd",,BF$83,"."&amp;$D$82&amp;$AW$82&amp;"P"&amp;$A128)="N/A",0,RTD("tos.rtd",,BF$83,"."&amp;$D$82&amp;$AW$82&amp;"P"&amp;$A128))</f>
        <v>-22</v>
      </c>
      <c r="BG128" s="3">
        <f ca="1">+Hoja2!Y129</f>
        <v>-1295</v>
      </c>
      <c r="BH128" s="55">
        <f t="shared" ca="1" si="292"/>
        <v>-1807</v>
      </c>
      <c r="BI128" s="32" t="str">
        <f t="shared" ca="1" si="312"/>
        <v/>
      </c>
      <c r="BJ128" s="3">
        <f ca="1">IF($BP$1=1,DX128,IF(RTD("tos.rtd",,BJ$83,"."&amp;$B$82&amp;$AS$82&amp;"C"&amp;$A128)="N/A",0,RTD("tos.rtd",,BJ$83,"."&amp;$B$82&amp;$AS$82&amp;"C"&amp;$A128)))</f>
        <v>4.7146444488490724E-65</v>
      </c>
      <c r="BK128" s="3">
        <f ca="1">IF($BP$1=1,DY128,-IF(RTD("tos.rtd",,BK$83,"."&amp;$B$82&amp;$AS$82&amp;"P"&amp;$A128)="N/A",0,RTD("tos.rtd",,BK$83,"."&amp;$B$82&amp;$AS$82&amp;"P"&amp;$A128)))</f>
        <v>-3.8969019716598839E-4</v>
      </c>
      <c r="BL128" s="3">
        <f ca="1">IF($BP$1=1,DZ128,IF(RTD("tos.rtd",,BL$83,"."&amp;$C$82&amp;$AU$82&amp;"C"&amp;$A128)="N/A",0,RTD("tos.rtd",,BL$83,"."&amp;$C$82&amp;$AU$82&amp;"C"&amp;$A128)))</f>
        <v>3.8431085834345004E-4</v>
      </c>
      <c r="BM128" s="3">
        <f ca="1">IF($BP$1=1,EA128,-IF(RTD("tos.rtd",,BM$83,"."&amp;$C$82&amp;$AU$82&amp;"P"&amp;$A128)="N/A",0,RTD("tos.rtd",,BM$83,"."&amp;$C$82&amp;$AU$82&amp;"P"&amp;$A128)))</f>
        <v>-3.7135379800229851E-4</v>
      </c>
      <c r="BN128" s="3">
        <f ca="1">IF($BP$1=1,EB128,IF(RTD("tos.rtd",,BN$83,"."&amp;$D$82&amp;$AW$82&amp;"C"&amp;$A128)="N/A",0,RTD("tos.rtd",,BN$83,"."&amp;$D$82&amp;$AW$82&amp;"C"&amp;$A128)))</f>
        <v>1.069897560651864E-4</v>
      </c>
      <c r="BO128" s="3">
        <f ca="1">IF($BP$1=1,EC128,-IF(RTD("tos.rtd",,BO$83,"."&amp;$D$82&amp;$AW$82&amp;"P"&amp;$A128)="N/A",0,RTD("tos.rtd",,BO$83,"."&amp;$D$82&amp;$AW$82&amp;"P"&amp;$A128)))</f>
        <v>-1.8229130582732213E-4</v>
      </c>
      <c r="BQ128" s="3">
        <f t="shared" ca="1" si="256"/>
        <v>-17572.129089025097</v>
      </c>
      <c r="BR128" s="3" t="str">
        <f t="shared" ca="1" si="293"/>
        <v/>
      </c>
      <c r="BS128" s="3">
        <f t="shared" ca="1" si="257"/>
        <v>-292221.69234276097</v>
      </c>
      <c r="BT128" s="3" t="str">
        <f t="shared" ca="1" si="293"/>
        <v/>
      </c>
      <c r="BU128" s="3">
        <f t="shared" ca="1" si="258"/>
        <v>-98235.127195513051</v>
      </c>
      <c r="BV128" s="3" t="str">
        <f t="shared" ca="1" si="293"/>
        <v/>
      </c>
      <c r="BX128" s="3">
        <f t="shared" ca="1" si="259"/>
        <v>-947.00096886961603</v>
      </c>
      <c r="BY128" s="3" t="str">
        <f t="shared" ca="1" si="309"/>
        <v/>
      </c>
      <c r="BZ128" s="3">
        <f t="shared" ca="1" si="260"/>
        <v>-50929.594670822014</v>
      </c>
      <c r="CA128" s="3" t="str">
        <f t="shared" ca="1" si="309"/>
        <v/>
      </c>
      <c r="CB128" s="3">
        <f t="shared" ca="1" si="261"/>
        <v>-1082.8718638519169</v>
      </c>
      <c r="CC128" s="3" t="str">
        <f t="shared" ca="1" si="309"/>
        <v/>
      </c>
      <c r="CD128" s="3">
        <f>IF(RTD("tos.rtd",,CD$83,"."&amp;$B$82&amp;$AS$82&amp;"C"&amp;$A128)="N/A",0,RTD("tos.rtd",,CD$83,"."&amp;$B$82&amp;$AS$82&amp;"C"&amp;$A128))</f>
        <v>1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1</v>
      </c>
      <c r="CG128" s="3">
        <f>-IF(RTD("tos.rtd",,CG$83,"."&amp;$C$82&amp;$AU$82&amp;"P"&amp;$A128)="N/A",0,RTD("tos.rtd",,CG$83,"."&amp;$C$82&amp;$AU$82&amp;"P"&amp;$A128))</f>
        <v>0.01</v>
      </c>
      <c r="CH128" s="3">
        <f>IF(RTD("tos.rtd",,CH$83,"."&amp;$D$82&amp;$AW$82&amp;"C"&amp;$A128)="N/A",0,RTD("tos.rtd",,CH$83,"."&amp;$D$82&amp;$AW$82&amp;"C"&amp;$A128))</f>
        <v>0.86</v>
      </c>
      <c r="CI128" s="3">
        <f>-IF(RTD("tos.rtd",,CI$83,"."&amp;$D$82&amp;$AW$82&amp;"P"&amp;$A128)="N/A",0,RTD("tos.rtd",,CI$83,"."&amp;$D$82&amp;$AW$82&amp;"P"&amp;$A128))</f>
        <v>0.16</v>
      </c>
      <c r="CK128" s="3">
        <f t="shared" si="294"/>
        <v>27895675</v>
      </c>
      <c r="CL128" s="3"/>
      <c r="CM128" s="3">
        <f t="shared" si="295"/>
        <v>78446199.25</v>
      </c>
      <c r="CN128" s="3"/>
      <c r="CO128" s="3">
        <f t="shared" si="296"/>
        <v>1985281772.5</v>
      </c>
      <c r="CP128" s="3">
        <f t="shared" si="262"/>
        <v>2091623646.75</v>
      </c>
      <c r="CQ128" s="3">
        <f t="shared" si="263"/>
        <v>19</v>
      </c>
      <c r="CR128" s="3"/>
      <c r="CS128" s="3">
        <f t="shared" si="264"/>
        <v>-509</v>
      </c>
      <c r="CT128" s="3"/>
      <c r="CU128" s="3">
        <f t="shared" si="265"/>
        <v>-22</v>
      </c>
      <c r="CV128" s="3"/>
      <c r="CW128" s="3">
        <f t="shared" ca="1" si="324"/>
        <v>-408028.94862729911</v>
      </c>
      <c r="CY128" s="3">
        <f t="shared" ca="1" si="266"/>
        <v>-52959.46750354355</v>
      </c>
      <c r="CZ128" s="70" t="str">
        <f t="shared" ca="1" si="310"/>
        <v/>
      </c>
      <c r="DA128" s="3">
        <f>IF(RTD("tos.rtd",,DA$83,"."&amp;$B$82&amp;$AS$82&amp;"C"&amp;$A128)="N/A",0,RTD("tos.rtd",,DA$83,"."&amp;$B$82&amp;$AS$82&amp;"C"&amp;$A128))</f>
        <v>293.08</v>
      </c>
      <c r="DB128" s="3">
        <f>IF(RTD("tos.rtd",,DB$83,"."&amp;$B$82&amp;$AS$82&amp;"P"&amp;$A128)="N/A",0,RTD("tos.rtd",,DB$83,"."&amp;$B$82&amp;$AS$82&amp;"P"&amp;$A128))</f>
        <v>0.03</v>
      </c>
      <c r="DC128" s="3">
        <f>IF(RTD("tos.rtd",,DC$83,"."&amp;$B$82&amp;$AS$82&amp;"C"&amp;$A128)="N/A",0,RTD("tos.rtd",,DC$83,"."&amp;$B$82&amp;$AS$82&amp;"C"&amp;$A128))</f>
        <v>300.7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298.7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298"/>
        <v>-295.25</v>
      </c>
      <c r="DH128" s="3">
        <f t="shared" si="267"/>
        <v>0</v>
      </c>
      <c r="DI128" s="3">
        <f t="shared" si="268"/>
        <v>0</v>
      </c>
      <c r="DJ128" s="3">
        <f t="shared" si="269"/>
        <v>0</v>
      </c>
      <c r="DK128" s="3">
        <f t="shared" si="270"/>
        <v>0</v>
      </c>
      <c r="DL128" s="3">
        <f t="shared" si="271"/>
        <v>0</v>
      </c>
      <c r="DM128" s="3">
        <f t="shared" si="272"/>
        <v>0</v>
      </c>
      <c r="DN128" s="64" t="str">
        <f t="shared" si="273"/>
        <v>UNKNOWN</v>
      </c>
      <c r="DO128" s="64" t="str">
        <f t="shared" si="274"/>
        <v>UNKNOWN</v>
      </c>
      <c r="DP128" s="3">
        <f t="shared" si="275"/>
        <v>0</v>
      </c>
      <c r="DQ128" s="3">
        <f t="shared" si="276"/>
        <v>0</v>
      </c>
      <c r="DR128" s="3">
        <f t="shared" ca="1" si="277"/>
        <v>0</v>
      </c>
      <c r="DS128" s="3">
        <f t="shared" si="278"/>
        <v>0</v>
      </c>
      <c r="DT128" s="3">
        <f t="shared" si="299"/>
        <v>0</v>
      </c>
      <c r="DU128" s="3">
        <f t="shared" si="300"/>
        <v>0</v>
      </c>
      <c r="DV128" s="3">
        <f t="shared" si="301"/>
        <v>10</v>
      </c>
      <c r="DW128" s="3">
        <f t="shared" si="302"/>
        <v>-9</v>
      </c>
      <c r="DX128" s="3">
        <f t="shared" ca="1" si="311"/>
        <v>4.7146444488490724E-65</v>
      </c>
      <c r="DY128" s="3">
        <f t="shared" ca="1" si="279"/>
        <v>-3.8969019716598839E-4</v>
      </c>
      <c r="DZ128" s="3">
        <f t="shared" ca="1" si="303"/>
        <v>3.8431085834345004E-4</v>
      </c>
      <c r="EA128" s="3">
        <f t="shared" ca="1" si="304"/>
        <v>-3.7135379800229851E-4</v>
      </c>
      <c r="EB128" s="3">
        <f t="shared" ca="1" si="280"/>
        <v>1.069897560651864E-4</v>
      </c>
      <c r="EC128" s="3">
        <f t="shared" ca="1" si="281"/>
        <v>-1.8229130582732213E-4</v>
      </c>
      <c r="ED128" s="63">
        <f t="shared" si="305"/>
        <v>1</v>
      </c>
      <c r="EE128" s="59">
        <f t="shared" si="282"/>
        <v>0.25</v>
      </c>
      <c r="EF128" s="59">
        <f t="shared" si="283"/>
        <v>2.2107999999999999</v>
      </c>
      <c r="EG128" s="59">
        <f t="shared" si="284"/>
        <v>0.25</v>
      </c>
      <c r="EH128" s="59">
        <f t="shared" si="285"/>
        <v>0.24690000000000001</v>
      </c>
      <c r="EI128" s="59">
        <f t="shared" si="286"/>
        <v>0.18340000000000001</v>
      </c>
      <c r="EJ128" s="59">
        <f t="shared" si="287"/>
        <v>0.2031</v>
      </c>
      <c r="EK128" s="63">
        <f t="shared" ca="1" si="306"/>
        <v>123549.22453756377</v>
      </c>
      <c r="EL128" s="3" t="str">
        <f>RTD("tos.rtd",,EL$83,"."&amp;$B$82&amp;$AS$82&amp;"C"&amp;$A128)</f>
        <v>--</v>
      </c>
      <c r="EM128" s="3" t="str">
        <f>RTD("tos.rtd",,EM$83,"."&amp;$B$82&amp;$AS$82&amp;"P"&amp;$A128)</f>
        <v>221.08%</v>
      </c>
      <c r="EN128" s="3" t="str">
        <f>RTD("tos.rtd",,EN$83,"."&amp;$C$82&amp;$AU$82&amp;"C"&amp;$A128)</f>
        <v>--</v>
      </c>
      <c r="EO128" s="3" t="str">
        <f>RTD("tos.rtd",,EO$83,"."&amp;$C$82&amp;$AU$82&amp;"P"&amp;$A128)</f>
        <v>24.69%</v>
      </c>
      <c r="EP128" s="3" t="str">
        <f>RTD("tos.rtd",,EP$83,"."&amp;$D$82&amp;$AW$82&amp;"C"&amp;$A128)</f>
        <v>18.34%</v>
      </c>
      <c r="EQ128" s="3" t="str">
        <f>RTD("tos.rtd",,EQ$83,"."&amp;$D$82&amp;$AW$82&amp;"P"&amp;$A128)</f>
        <v>20.31%</v>
      </c>
      <c r="ES128" s="63" t="str">
        <f t="shared" si="288"/>
        <v>5640,01.00</v>
      </c>
      <c r="ET128" s="63" t="str">
        <f t="shared" ca="1" si="289"/>
        <v>5640,-52.96</v>
      </c>
      <c r="EU128" s="67">
        <v>593.48</v>
      </c>
      <c r="EV128" s="67" t="s">
        <v>1044</v>
      </c>
      <c r="EW128" s="67">
        <v>520.14</v>
      </c>
      <c r="EX128" s="67" t="s">
        <v>1045</v>
      </c>
      <c r="EY128" s="67">
        <v>5944.75</v>
      </c>
      <c r="EZ128" s="67" t="s">
        <v>1046</v>
      </c>
      <c r="FA128" s="67">
        <v>21349</v>
      </c>
      <c r="FB128" s="67" t="s">
        <v>1047</v>
      </c>
      <c r="FC128" s="67" t="s">
        <v>1048</v>
      </c>
      <c r="FD128" s="67" t="s">
        <v>1049</v>
      </c>
      <c r="FE128" s="68" t="s">
        <v>1050</v>
      </c>
      <c r="FF128" s="68" t="s">
        <v>1051</v>
      </c>
    </row>
    <row r="129" spans="1:162" s="63" customFormat="1" ht="12" customHeight="1" thickBot="1" x14ac:dyDescent="0.25">
      <c r="A129" s="2">
        <f t="shared" si="307"/>
        <v>5630</v>
      </c>
      <c r="B129" s="3">
        <f t="shared" si="251"/>
        <v>2730</v>
      </c>
      <c r="C129" s="3">
        <f t="shared" si="252"/>
        <v>0</v>
      </c>
      <c r="D129" s="3">
        <f t="shared" si="253"/>
        <v>11550</v>
      </c>
      <c r="E129" s="3">
        <f t="shared" si="314"/>
        <v>14280</v>
      </c>
      <c r="F129" s="11">
        <f t="shared" si="318"/>
        <v>5648.9713996883029</v>
      </c>
      <c r="G129" s="4">
        <f t="shared" si="315"/>
        <v>561.9423444673771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-2</v>
      </c>
      <c r="AN129" s="20">
        <v>0</v>
      </c>
      <c r="AO129" s="20">
        <v>5630</v>
      </c>
      <c r="AP129" s="20">
        <v>4</v>
      </c>
      <c r="AQ129" s="20">
        <v>0</v>
      </c>
      <c r="AR129" s="20"/>
      <c r="AS129" s="54">
        <f>IF(RTD("tos.rtd",,AS$83,"."&amp;$B$82&amp;$AS$82&amp;"C"&amp;$A129)="N/A",0,RTD("tos.rtd",,AS$83,"."&amp;$B$82&amp;$AS$82&amp;"C"&amp;$A129))</f>
        <v>79</v>
      </c>
      <c r="AT129" s="3">
        <f>-IF(RTD("tos.rtd",,AT$83,"."&amp;$B$82&amp;$AS$82&amp;"P"&amp;$A129)="N/A",0,RTD("tos.rtd",,AT$83,"."&amp;$B$82&amp;$AS$82&amp;"P"&amp;$A129))</f>
        <v>-2651</v>
      </c>
      <c r="AU129" s="54">
        <f>IF(RTD("tos.rtd",,AU$83,"."&amp;$C$82&amp;$AU$82&amp;"C"&amp;$A129)="N/A",0,RTD("tos.rtd",,AU$83,"."&amp;$C$82&amp;$AU$82&amp;"C"&amp;$A129))</f>
        <v>0</v>
      </c>
      <c r="AV129" s="3">
        <f>-IF(RTD("tos.rtd",,AV$83,"."&amp;$C$82&amp;$AU$82&amp;"P"&amp;$A129)="N/A",0,RTD("tos.rtd",,AV$83,"."&amp;$C$82&amp;$AU$82&amp;"P"&amp;$A129))</f>
        <v>0</v>
      </c>
      <c r="AW129" s="54">
        <f>IF(RTD("tos.rtd",,AW$83,"."&amp;$D$82&amp;$AW$82&amp;"C"&amp;$A129)="N/A",0,RTD("tos.rtd",,AW$83,"."&amp;$D$82&amp;$AW$82&amp;"C"&amp;$A129))</f>
        <v>5479</v>
      </c>
      <c r="AX129" s="3">
        <f>-IF(RTD("tos.rtd",,AX$83,"."&amp;$D$82&amp;$AW$82&amp;"P"&amp;$A129)="N/A",0,RTD("tos.rtd",,AX$83,"."&amp;$D$82&amp;$AW$82&amp;"P"&amp;$A129))</f>
        <v>-6071</v>
      </c>
      <c r="AY129" s="79">
        <f t="shared" si="316"/>
        <v>-3164</v>
      </c>
      <c r="AZ129" s="8">
        <f t="shared" si="255"/>
        <v>5630</v>
      </c>
      <c r="BA129" s="54">
        <f>IF(RTD("tos.rtd",,BA$83,"."&amp;$B$82&amp;$AS$82&amp;"C"&amp;$A129)="N/A",0,RTD("tos.rtd",,BA$83,"."&amp;$B$82&amp;$AS$82&amp;"C"&amp;$A129))</f>
        <v>4</v>
      </c>
      <c r="BB129" s="3">
        <f>-IF(RTD("tos.rtd",,BB$83,"."&amp;$B$82&amp;$AS$82&amp;"P"&amp;$A129)="N/A",0,RTD("tos.rtd",,BB$83,"."&amp;$B$82&amp;$AS$82&amp;"P"&amp;$A129))</f>
        <v>0</v>
      </c>
      <c r="BC129" s="54">
        <f>IF(RTD("tos.rtd",,BC$83,"."&amp;$C$82&amp;$AU$82&amp;"C"&amp;$A129)="N/A",0,RTD("tos.rtd",,BC$83,"."&amp;$C$82&amp;$AU$82&amp;"C"&amp;$A129))</f>
        <v>0</v>
      </c>
      <c r="BD129" s="3">
        <f>-IF(RTD("tos.rtd",,BD$83,"."&amp;$C$82&amp;$AU$82&amp;"P"&amp;$A129)="N/A",0,RTD("tos.rtd",,BD$83,"."&amp;$C$82&amp;$AU$82&amp;"P"&amp;$A129))</f>
        <v>0</v>
      </c>
      <c r="BE129" s="54">
        <f>IF(RTD("tos.rtd",,BE$83,"."&amp;$D$82&amp;$AW$82&amp;"C"&amp;$A129)="N/A",0,RTD("tos.rtd",,BE$83,"."&amp;$D$82&amp;$AW$82&amp;"C"&amp;$A129))</f>
        <v>14</v>
      </c>
      <c r="BF129" s="3">
        <f>-IF(RTD("tos.rtd",,BF$83,"."&amp;$D$82&amp;$AW$82&amp;"P"&amp;$A129)="N/A",0,RTD("tos.rtd",,BF$83,"."&amp;$D$82&amp;$AW$82&amp;"P"&amp;$A129))</f>
        <v>-339</v>
      </c>
      <c r="BG129" s="3">
        <f ca="1">+Hoja2!Y130</f>
        <v>-171</v>
      </c>
      <c r="BH129" s="55">
        <f t="shared" ca="1" si="292"/>
        <v>-492</v>
      </c>
      <c r="BI129" s="32" t="str">
        <f t="shared" ca="1" si="312"/>
        <v/>
      </c>
      <c r="BJ129" s="3">
        <f ca="1">IF($BP$1=1,DX129,IF(RTD("tos.rtd",,BJ$83,"."&amp;$B$82&amp;$AS$82&amp;"C"&amp;$A129)="N/A",0,RTD("tos.rtd",,BJ$83,"."&amp;$B$82&amp;$AS$82&amp;"C"&amp;$A129)))</f>
        <v>1.7333107296423198E-69</v>
      </c>
      <c r="BK129" s="3">
        <f ca="1">IF($BP$1=1,DY129,-IF(RTD("tos.rtd",,BK$83,"."&amp;$B$82&amp;$AS$82&amp;"P"&amp;$A129)="N/A",0,RTD("tos.rtd",,BK$83,"."&amp;$B$82&amp;$AS$82&amp;"P"&amp;$A129)))</f>
        <v>-3.7298645281473748E-4</v>
      </c>
      <c r="BL129" s="3">
        <f ca="1">IF($BP$1=1,DZ129,IF(RTD("tos.rtd",,BL$83,"."&amp;$C$82&amp;$AU$82&amp;"C"&amp;$A129)="N/A",0,RTD("tos.rtd",,BL$83,"."&amp;$C$82&amp;$AU$82&amp;"C"&amp;$A129)))</f>
        <v>3.3724454356535657E-4</v>
      </c>
      <c r="BM129" s="3">
        <f ca="1">IF($BP$1=1,EA129,-IF(RTD("tos.rtd",,BM$83,"."&amp;$C$82&amp;$AU$82&amp;"P"&amp;$A129)="N/A",0,RTD("tos.rtd",,BM$83,"."&amp;$C$82&amp;$AU$82&amp;"P"&amp;$A129)))</f>
        <v>-3.3724454356535657E-4</v>
      </c>
      <c r="BN129" s="3">
        <f ca="1">IF($BP$1=1,EB129,IF(RTD("tos.rtd",,BN$83,"."&amp;$D$82&amp;$AW$82&amp;"C"&amp;$A129)="N/A",0,RTD("tos.rtd",,BN$83,"."&amp;$D$82&amp;$AW$82&amp;"C"&amp;$A129)))</f>
        <v>8.6930970411242908E-5</v>
      </c>
      <c r="BO129" s="3">
        <f ca="1">IF($BP$1=1,EC129,-IF(RTD("tos.rtd",,BO$83,"."&amp;$D$82&amp;$AW$82&amp;"P"&amp;$A129)="N/A",0,RTD("tos.rtd",,BO$83,"."&amp;$D$82&amp;$AW$82&amp;"P"&amp;$A129)))</f>
        <v>-1.5481025320247558E-4</v>
      </c>
      <c r="BQ129" s="3">
        <f t="shared" ca="1" si="256"/>
        <v>-266987.67825987021</v>
      </c>
      <c r="BR129" s="3" t="str">
        <f t="shared" ca="1" si="293"/>
        <v/>
      </c>
      <c r="BS129" s="3">
        <f t="shared" ca="1" si="257"/>
        <v>0</v>
      </c>
      <c r="BT129" s="3" t="str">
        <f t="shared" ca="1" si="293"/>
        <v/>
      </c>
      <c r="BU129" s="3">
        <f t="shared" ca="1" si="258"/>
        <v>-125167.83983012047</v>
      </c>
      <c r="BV129" s="3" t="str">
        <f t="shared" ca="1" si="293"/>
        <v/>
      </c>
      <c r="BX129" s="3">
        <f t="shared" ca="1" si="259"/>
        <v>1.8720819224670231E-63</v>
      </c>
      <c r="BY129" s="3" t="str">
        <f t="shared" ca="1" si="309"/>
        <v>Cruce +</v>
      </c>
      <c r="BZ129" s="3">
        <f t="shared" ca="1" si="260"/>
        <v>0</v>
      </c>
      <c r="CA129" s="3" t="str">
        <f t="shared" ca="1" si="309"/>
        <v/>
      </c>
      <c r="CB129" s="3">
        <f t="shared" ca="1" si="261"/>
        <v>-13841.969632822913</v>
      </c>
      <c r="CC129" s="3" t="str">
        <f t="shared" ca="1" si="309"/>
        <v/>
      </c>
      <c r="CD129" s="3">
        <f>IF(RTD("tos.rtd",,CD$83,"."&amp;$B$82&amp;$AS$82&amp;"C"&amp;$A129)="N/A",0,RTD("tos.rtd",,CD$83,"."&amp;$B$82&amp;$AS$82&amp;"C"&amp;$A129))</f>
        <v>1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</v>
      </c>
      <c r="CG129" s="3">
        <f>-IF(RTD("tos.rtd",,CG$83,"."&amp;$C$82&amp;$AU$82&amp;"P"&amp;$A129)="N/A",0,RTD("tos.rtd",,CG$83,"."&amp;$C$82&amp;$AU$82&amp;"P"&amp;$A129))</f>
        <v>0</v>
      </c>
      <c r="CH129" s="3">
        <f>IF(RTD("tos.rtd",,CH$83,"."&amp;$D$82&amp;$AW$82&amp;"C"&amp;$A129)="N/A",0,RTD("tos.rtd",,CH$83,"."&amp;$D$82&amp;$AW$82&amp;"C"&amp;$A129))</f>
        <v>0.86</v>
      </c>
      <c r="CI129" s="3">
        <f>-IF(RTD("tos.rtd",,CI$83,"."&amp;$D$82&amp;$AW$82&amp;"P"&amp;$A129)="N/A",0,RTD("tos.rtd",,CI$83,"."&amp;$D$82&amp;$AW$82&amp;"P"&amp;$A129))</f>
        <v>0.16</v>
      </c>
      <c r="CK129" s="3">
        <f t="shared" si="294"/>
        <v>46888475</v>
      </c>
      <c r="CL129" s="3"/>
      <c r="CM129" s="3">
        <f t="shared" si="295"/>
        <v>0</v>
      </c>
      <c r="CN129" s="3"/>
      <c r="CO129" s="3">
        <f t="shared" si="296"/>
        <v>2220127744.4999995</v>
      </c>
      <c r="CP129" s="3">
        <f t="shared" si="262"/>
        <v>2267016219.4999995</v>
      </c>
      <c r="CQ129" s="3">
        <f t="shared" si="263"/>
        <v>4</v>
      </c>
      <c r="CR129" s="3"/>
      <c r="CS129" s="3">
        <f t="shared" si="264"/>
        <v>0</v>
      </c>
      <c r="CT129" s="3"/>
      <c r="CU129" s="3">
        <f t="shared" si="265"/>
        <v>-325</v>
      </c>
      <c r="CV129" s="3"/>
      <c r="CW129" s="3">
        <f t="shared" ca="1" si="324"/>
        <v>-392155.51808999071</v>
      </c>
      <c r="CY129" s="3">
        <f t="shared" ca="1" si="266"/>
        <v>-13841.969632822913</v>
      </c>
      <c r="CZ129" s="70" t="str">
        <f t="shared" ca="1" si="310"/>
        <v/>
      </c>
      <c r="DA129" s="3">
        <f>IF(RTD("tos.rtd",,DA$83,"."&amp;$B$82&amp;$AS$82&amp;"C"&amp;$A129)="N/A",0,RTD("tos.rtd",,DA$83,"."&amp;$B$82&amp;$AS$82&amp;"C"&amp;$A129))</f>
        <v>298.89999999999998</v>
      </c>
      <c r="DB129" s="3">
        <f>IF(RTD("tos.rtd",,DB$83,"."&amp;$B$82&amp;$AS$82&amp;"P"&amp;$A129)="N/A",0,RTD("tos.rtd",,DB$83,"."&amp;$B$82&amp;$AS$82&amp;"P"&amp;$A129))</f>
        <v>0.05</v>
      </c>
      <c r="DC129" s="3">
        <f>IF(RTD("tos.rtd",,DC$83,"."&amp;$B$82&amp;$AS$82&amp;"C"&amp;$A129)="N/A",0,RTD("tos.rtd",,DC$83,"."&amp;$B$82&amp;$AS$82&amp;"C"&amp;$A129))</f>
        <v>310.7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308.7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298"/>
        <v>-305.25</v>
      </c>
      <c r="DH129" s="3">
        <f t="shared" si="267"/>
        <v>0</v>
      </c>
      <c r="DI129" s="3">
        <f t="shared" si="268"/>
        <v>0</v>
      </c>
      <c r="DJ129" s="3">
        <f t="shared" si="269"/>
        <v>0</v>
      </c>
      <c r="DK129" s="3">
        <f t="shared" si="270"/>
        <v>0</v>
      </c>
      <c r="DL129" s="3">
        <f t="shared" si="271"/>
        <v>0</v>
      </c>
      <c r="DM129" s="3">
        <f t="shared" si="272"/>
        <v>0</v>
      </c>
      <c r="DN129" s="64" t="str">
        <f t="shared" si="273"/>
        <v>UNKNOWN</v>
      </c>
      <c r="DO129" s="64" t="str">
        <f t="shared" si="274"/>
        <v>UNKNOWN</v>
      </c>
      <c r="DP129" s="3">
        <f t="shared" si="275"/>
        <v>0</v>
      </c>
      <c r="DQ129" s="3">
        <f t="shared" si="276"/>
        <v>0</v>
      </c>
      <c r="DR129" s="3">
        <f t="shared" ca="1" si="277"/>
        <v>0</v>
      </c>
      <c r="DS129" s="3">
        <f t="shared" si="278"/>
        <v>0</v>
      </c>
      <c r="DT129" s="3">
        <f t="shared" si="299"/>
        <v>0</v>
      </c>
      <c r="DU129" s="3">
        <f t="shared" si="300"/>
        <v>0</v>
      </c>
      <c r="DV129" s="3">
        <f t="shared" si="301"/>
        <v>-2</v>
      </c>
      <c r="DW129" s="3">
        <f t="shared" si="302"/>
        <v>0</v>
      </c>
      <c r="DX129" s="3">
        <f t="shared" ca="1" si="311"/>
        <v>1.7333107296423198E-69</v>
      </c>
      <c r="DY129" s="3">
        <f t="shared" ca="1" si="279"/>
        <v>-3.7298645281473748E-4</v>
      </c>
      <c r="DZ129" s="3">
        <f t="shared" ca="1" si="303"/>
        <v>3.3724454356535657E-4</v>
      </c>
      <c r="EA129" s="3">
        <f t="shared" ca="1" si="304"/>
        <v>-3.3724454356535657E-4</v>
      </c>
      <c r="EB129" s="3">
        <f t="shared" ca="1" si="280"/>
        <v>8.6930970411242908E-5</v>
      </c>
      <c r="EC129" s="3">
        <f t="shared" ca="1" si="281"/>
        <v>-1.5481025320247558E-4</v>
      </c>
      <c r="ED129" s="63">
        <f t="shared" si="305"/>
        <v>-2</v>
      </c>
      <c r="EE129" s="59">
        <f t="shared" si="282"/>
        <v>0.25</v>
      </c>
      <c r="EF129" s="59">
        <f t="shared" si="283"/>
        <v>2.2803</v>
      </c>
      <c r="EG129" s="59">
        <f t="shared" si="284"/>
        <v>0.25</v>
      </c>
      <c r="EH129" s="59">
        <f t="shared" si="285"/>
        <v>0.25</v>
      </c>
      <c r="EI129" s="59">
        <f t="shared" si="286"/>
        <v>0.18440000000000001</v>
      </c>
      <c r="EJ129" s="59">
        <f t="shared" si="287"/>
        <v>0.20449999999999999</v>
      </c>
      <c r="EK129" s="63">
        <f t="shared" ca="1" si="306"/>
        <v>-1.2211934168751474E-61</v>
      </c>
      <c r="EL129" s="3" t="str">
        <f>RTD("tos.rtd",,EL$83,"."&amp;$B$82&amp;$AS$82&amp;"C"&amp;$A129)</f>
        <v>--</v>
      </c>
      <c r="EM129" s="3" t="str">
        <f>RTD("tos.rtd",,EM$83,"."&amp;$B$82&amp;$AS$82&amp;"P"&amp;$A129)</f>
        <v>228.03%</v>
      </c>
      <c r="EN129" s="3" t="str">
        <f>RTD("tos.rtd",,EN$83,"."&amp;$C$82&amp;$AU$82&amp;"C"&amp;$A129)</f>
        <v>N/A</v>
      </c>
      <c r="EO129" s="3" t="str">
        <f>RTD("tos.rtd",,EO$83,"."&amp;$C$82&amp;$AU$82&amp;"P"&amp;$A129)</f>
        <v>N/A</v>
      </c>
      <c r="EP129" s="3" t="str">
        <f>RTD("tos.rtd",,EP$83,"."&amp;$D$82&amp;$AW$82&amp;"C"&amp;$A129)</f>
        <v>18.44%</v>
      </c>
      <c r="EQ129" s="3" t="str">
        <f>RTD("tos.rtd",,EQ$83,"."&amp;$D$82&amp;$AW$82&amp;"P"&amp;$A129)</f>
        <v>20.45%</v>
      </c>
      <c r="ES129" s="63" t="str">
        <f t="shared" si="288"/>
        <v>5630,-02.00</v>
      </c>
      <c r="ET129" s="63" t="str">
        <f t="shared" ca="1" si="289"/>
        <v>5630,-13.84</v>
      </c>
      <c r="EU129" s="67">
        <v>593.34</v>
      </c>
      <c r="EV129" s="67" t="s">
        <v>1052</v>
      </c>
      <c r="EW129" s="67">
        <v>520.05999999999995</v>
      </c>
      <c r="EX129" s="67" t="s">
        <v>1053</v>
      </c>
      <c r="EY129" s="67">
        <v>5943.5</v>
      </c>
      <c r="EZ129" s="67" t="s">
        <v>1054</v>
      </c>
      <c r="FA129" s="67">
        <v>21345.75</v>
      </c>
      <c r="FB129" s="67" t="s">
        <v>1055</v>
      </c>
      <c r="FC129" s="67" t="s">
        <v>1056</v>
      </c>
      <c r="FD129" s="67" t="s">
        <v>1057</v>
      </c>
      <c r="FE129" s="68" t="s">
        <v>1058</v>
      </c>
      <c r="FF129" s="68" t="s">
        <v>1059</v>
      </c>
    </row>
    <row r="130" spans="1:162" s="63" customFormat="1" ht="12" customHeight="1" thickBot="1" x14ac:dyDescent="0.25">
      <c r="A130" s="2">
        <f t="shared" si="307"/>
        <v>5620</v>
      </c>
      <c r="B130" s="3">
        <f t="shared" si="251"/>
        <v>354</v>
      </c>
      <c r="C130" s="3">
        <f t="shared" si="252"/>
        <v>1012</v>
      </c>
      <c r="D130" s="3">
        <f t="shared" si="253"/>
        <v>8323</v>
      </c>
      <c r="E130" s="3">
        <f>SUM(B130:D130)</f>
        <v>9689</v>
      </c>
      <c r="F130" s="11">
        <f>+$F$84/$A$84*A130</f>
        <v>5638.9377027083947</v>
      </c>
      <c r="G130" s="4">
        <f t="shared" si="315"/>
        <v>560.94422307400691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7</v>
      </c>
      <c r="AN130" s="20">
        <v>0</v>
      </c>
      <c r="AO130" s="20">
        <v>5620</v>
      </c>
      <c r="AP130" s="20">
        <v>21</v>
      </c>
      <c r="AQ130" s="20">
        <v>0</v>
      </c>
      <c r="AR130" s="20"/>
      <c r="AS130" s="56">
        <f>IF(RTD("tos.rtd",,AS$83,"."&amp;$B$82&amp;$AS$82&amp;"C"&amp;$A130)="N/A",0,RTD("tos.rtd",,AS$83,"."&amp;$B$82&amp;$AS$82&amp;"C"&amp;$A130))</f>
        <v>72</v>
      </c>
      <c r="AT130" s="35">
        <f>-IF(RTD("tos.rtd",,AT$83,"."&amp;$B$82&amp;$AS$82&amp;"P"&amp;$A130)="N/A",0,RTD("tos.rtd",,AT$83,"."&amp;$B$82&amp;$AS$82&amp;"P"&amp;$A130))</f>
        <v>-282</v>
      </c>
      <c r="AU130" s="56">
        <f>IF(RTD("tos.rtd",,AU$83,"."&amp;$C$82&amp;$AU$82&amp;"C"&amp;$A130)="N/A",0,RTD("tos.rtd",,AU$83,"."&amp;$C$82&amp;$AU$82&amp;"C"&amp;$A130))</f>
        <v>218</v>
      </c>
      <c r="AV130" s="35">
        <f>-IF(RTD("tos.rtd",,AV$83,"."&amp;$C$82&amp;$AU$82&amp;"P"&amp;$A130)="N/A",0,RTD("tos.rtd",,AV$83,"."&amp;$C$82&amp;$AU$82&amp;"P"&amp;$A130))</f>
        <v>-794</v>
      </c>
      <c r="AW130" s="56">
        <f>IF(RTD("tos.rtd",,AW$83,"."&amp;$D$82&amp;$AW$82&amp;"C"&amp;$A130)="N/A",0,RTD("tos.rtd",,AW$83,"."&amp;$D$82&amp;$AW$82&amp;"C"&amp;$A130))</f>
        <v>3777</v>
      </c>
      <c r="AX130" s="35">
        <f>-IF(RTD("tos.rtd",,AX$83,"."&amp;$D$82&amp;$AW$82&amp;"P"&amp;$A130)="N/A",0,RTD("tos.rtd",,AX$83,"."&amp;$D$82&amp;$AW$82&amp;"P"&amp;$A130))</f>
        <v>-4546</v>
      </c>
      <c r="AY130" s="81">
        <f t="shared" si="316"/>
        <v>-1555</v>
      </c>
      <c r="AZ130" s="8">
        <f t="shared" si="255"/>
        <v>5620</v>
      </c>
      <c r="BA130" s="56">
        <f>IF(RTD("tos.rtd",,BA$83,"."&amp;$B$82&amp;$AS$82&amp;"C"&amp;$A130)="N/A",0,RTD("tos.rtd",,BA$83,"."&amp;$B$82&amp;$AS$82&amp;"C"&amp;$A130))</f>
        <v>21</v>
      </c>
      <c r="BB130" s="35">
        <f>-IF(RTD("tos.rtd",,BB$83,"."&amp;$B$82&amp;$AS$82&amp;"P"&amp;$A130)="N/A",0,RTD("tos.rtd",,BB$83,"."&amp;$B$82&amp;$AS$82&amp;"P"&amp;$A130))</f>
        <v>0</v>
      </c>
      <c r="BC130" s="56">
        <f>IF(RTD("tos.rtd",,BC$83,"."&amp;$C$82&amp;$AU$82&amp;"C"&amp;$A130)="N/A",0,RTD("tos.rtd",,BC$83,"."&amp;$C$82&amp;$AU$82&amp;"C"&amp;$A130))</f>
        <v>1</v>
      </c>
      <c r="BD130" s="35">
        <f>-IF(RTD("tos.rtd",,BD$83,"."&amp;$C$82&amp;$AU$82&amp;"P"&amp;$A130)="N/A",0,RTD("tos.rtd",,BD$83,"."&amp;$C$82&amp;$AU$82&amp;"P"&amp;$A130))</f>
        <v>-24</v>
      </c>
      <c r="BE130" s="56">
        <f>IF(RTD("tos.rtd",,BE$83,"."&amp;$D$82&amp;$AW$82&amp;"C"&amp;$A130)="N/A",0,RTD("tos.rtd",,BE$83,"."&amp;$D$82&amp;$AW$82&amp;"C"&amp;$A130))</f>
        <v>1</v>
      </c>
      <c r="BF130" s="35">
        <f>-IF(RTD("tos.rtd",,BF$83,"."&amp;$D$82&amp;$AW$82&amp;"P"&amp;$A130)="N/A",0,RTD("tos.rtd",,BF$83,"."&amp;$D$82&amp;$AW$82&amp;"P"&amp;$A130))</f>
        <v>-16</v>
      </c>
      <c r="BG130" s="3">
        <f ca="1">+Hoja2!Y131</f>
        <v>-100</v>
      </c>
      <c r="BH130" s="57">
        <f t="shared" ca="1" si="292"/>
        <v>-117</v>
      </c>
      <c r="BI130" s="32" t="str">
        <f t="shared" ca="1" si="312"/>
        <v/>
      </c>
      <c r="BJ130" s="3">
        <f ca="1">IF($BP$1=1,DX130,IF(RTD("tos.rtd",,BJ$83,"."&amp;$B$82&amp;$AS$82&amp;"C"&amp;$A130)="N/A",0,RTD("tos.rtd",,BJ$83,"."&amp;$B$82&amp;$AS$82&amp;"C"&amp;$A130)))</f>
        <v>4.4101258524475571E-74</v>
      </c>
      <c r="BK130" s="3">
        <f ca="1">IF($BP$1=1,DY130,-IF(RTD("tos.rtd",,BK$83,"."&amp;$B$82&amp;$AS$82&amp;"P"&amp;$A130)="N/A",0,RTD("tos.rtd",,BK$83,"."&amp;$B$82&amp;$AS$82&amp;"P"&amp;$A130)))</f>
        <v>-3.5590957319530704E-4</v>
      </c>
      <c r="BL130" s="3">
        <f ca="1">IF($BP$1=1,DZ130,IF(RTD("tos.rtd",,BL$83,"."&amp;$C$82&amp;$AU$82&amp;"C"&amp;$A130)="N/A",0,RTD("tos.rtd",,BL$83,"."&amp;$C$82&amp;$AU$82&amp;"C"&amp;$A130)))</f>
        <v>2.9457273672943635E-4</v>
      </c>
      <c r="BM130" s="3">
        <f ca="1">IF($BP$1=1,EA130,-IF(RTD("tos.rtd",,BM$83,"."&amp;$C$82&amp;$AU$82&amp;"P"&amp;$A130)="N/A",0,RTD("tos.rtd",,BM$83,"."&amp;$C$82&amp;$AU$82&amp;"P"&amp;$A130)))</f>
        <v>-3.23289027502202E-4</v>
      </c>
      <c r="BN130" s="3">
        <f ca="1">IF($BP$1=1,EB130,IF(RTD("tos.rtd",,BN$83,"."&amp;$D$82&amp;$AW$82&amp;"C"&amp;$A130)="N/A",0,RTD("tos.rtd",,BN$83,"."&amp;$D$82&amp;$AW$82&amp;"C"&amp;$A130)))</f>
        <v>7.0359849983663161E-5</v>
      </c>
      <c r="BO130" s="3">
        <f ca="1">IF($BP$1=1,EC130,-IF(RTD("tos.rtd",,BO$83,"."&amp;$D$82&amp;$AW$82&amp;"P"&amp;$A130)="N/A",0,RTD("tos.rtd",,BO$83,"."&amp;$D$82&amp;$AW$82&amp;"P"&amp;$A130)))</f>
        <v>-1.3183612536246019E-4</v>
      </c>
      <c r="BQ130" s="3">
        <f t="shared" ca="1" si="256"/>
        <v>-27100.494214059021</v>
      </c>
      <c r="BR130" s="3" t="str">
        <f t="shared" ca="1" si="293"/>
        <v/>
      </c>
      <c r="BS130" s="3">
        <f t="shared" ca="1" si="257"/>
        <v>-51971.102396199145</v>
      </c>
      <c r="BT130" s="3" t="str">
        <f t="shared" ca="1" si="293"/>
        <v/>
      </c>
      <c r="BU130" s="3">
        <f t="shared" ca="1" si="258"/>
        <v>-90071.141628023921</v>
      </c>
      <c r="BV130" s="3" t="str">
        <f t="shared" ca="1" si="293"/>
        <v/>
      </c>
      <c r="BX130" s="3">
        <f t="shared" ca="1" si="259"/>
        <v>2.5006833974220561E-67</v>
      </c>
      <c r="BY130" s="3" t="str">
        <f t="shared" ca="1" si="309"/>
        <v/>
      </c>
      <c r="BZ130" s="3">
        <f t="shared" ca="1" si="260"/>
        <v>-2015.4927395003767</v>
      </c>
      <c r="CA130" s="3" t="str">
        <f t="shared" ca="1" si="309"/>
        <v/>
      </c>
      <c r="CB130" s="3">
        <f t="shared" ca="1" si="261"/>
        <v>-550.56617428779293</v>
      </c>
      <c r="CC130" s="3" t="str">
        <f t="shared" ca="1" si="309"/>
        <v/>
      </c>
      <c r="CD130" s="3">
        <f>IF(RTD("tos.rtd",,CD$83,"."&amp;$B$82&amp;$AS$82&amp;"C"&amp;$A130)="N/A",0,RTD("tos.rtd",,CD$83,"."&amp;$B$82&amp;$AS$82&amp;"C"&amp;$A130))</f>
        <v>1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1</v>
      </c>
      <c r="CG130" s="3">
        <f>-IF(RTD("tos.rtd",,CG$83,"."&amp;$C$82&amp;$AU$82&amp;"P"&amp;$A130)="N/A",0,RTD("tos.rtd",,CG$83,"."&amp;$C$82&amp;$AU$82&amp;"P"&amp;$A130))</f>
        <v>0.01</v>
      </c>
      <c r="CH130" s="3">
        <f>IF(RTD("tos.rtd",,CH$83,"."&amp;$D$82&amp;$AW$82&amp;"C"&amp;$A130)="N/A",0,RTD("tos.rtd",,CH$83,"."&amp;$D$82&amp;$AW$82&amp;"C"&amp;$A130))</f>
        <v>0.87</v>
      </c>
      <c r="CI130" s="3">
        <f>-IF(RTD("tos.rtd",,CI$83,"."&amp;$D$82&amp;$AW$82&amp;"P"&amp;$A130)="N/A",0,RTD("tos.rtd",,CI$83,"."&amp;$D$82&amp;$AW$82&amp;"P"&amp;$A130))</f>
        <v>0.15</v>
      </c>
      <c r="CK130" s="3">
        <f t="shared" si="294"/>
        <v>42733800</v>
      </c>
      <c r="CL130" s="3"/>
      <c r="CM130" s="3">
        <f t="shared" si="295"/>
        <v>124675861.5</v>
      </c>
      <c r="CN130" s="3"/>
      <c r="CO130" s="3">
        <f t="shared" si="296"/>
        <v>1545592517.25</v>
      </c>
      <c r="CP130" s="3">
        <f t="shared" si="262"/>
        <v>1713002178.75</v>
      </c>
      <c r="CQ130" s="3">
        <f t="shared" si="263"/>
        <v>21</v>
      </c>
      <c r="CR130" s="3"/>
      <c r="CS130" s="3">
        <f t="shared" si="264"/>
        <v>-23</v>
      </c>
      <c r="CT130" s="3"/>
      <c r="CU130" s="3">
        <f t="shared" si="265"/>
        <v>-15</v>
      </c>
      <c r="CV130" s="3"/>
      <c r="CW130" s="3">
        <f t="shared" ca="1" si="324"/>
        <v>-169142.73823828209</v>
      </c>
      <c r="CY130" s="3">
        <f t="shared" ca="1" si="266"/>
        <v>-2566.0589137881698</v>
      </c>
      <c r="CZ130" s="70" t="str">
        <f t="shared" ca="1" si="310"/>
        <v/>
      </c>
      <c r="DA130" s="3">
        <f>IF(RTD("tos.rtd",,DA$83,"."&amp;$B$82&amp;$AS$82&amp;"C"&amp;$A130)="N/A",0,RTD("tos.rtd",,DA$83,"."&amp;$B$82&amp;$AS$82&amp;"C"&amp;$A130))</f>
        <v>305</v>
      </c>
      <c r="DB130" s="3">
        <f>IF(RTD("tos.rtd",,DB$83,"."&amp;$B$82&amp;$AS$82&amp;"P"&amp;$A130)="N/A",0,RTD("tos.rtd",,DB$83,"."&amp;$B$82&amp;$AS$82&amp;"P"&amp;$A130))</f>
        <v>0.1</v>
      </c>
      <c r="DC130" s="3">
        <f>IF(RTD("tos.rtd",,DC$83,"."&amp;$B$82&amp;$AS$82&amp;"C"&amp;$A130)="N/A",0,RTD("tos.rtd",,DC$83,"."&amp;$B$82&amp;$AS$82&amp;"C"&amp;$A130))</f>
        <v>320.7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318.7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298"/>
        <v>-315.25</v>
      </c>
      <c r="DH130" s="3">
        <f t="shared" si="267"/>
        <v>0</v>
      </c>
      <c r="DI130" s="3">
        <f t="shared" si="268"/>
        <v>0</v>
      </c>
      <c r="DJ130" s="3">
        <f t="shared" si="269"/>
        <v>0</v>
      </c>
      <c r="DK130" s="3">
        <f t="shared" si="270"/>
        <v>0</v>
      </c>
      <c r="DL130" s="3">
        <f t="shared" si="271"/>
        <v>0</v>
      </c>
      <c r="DM130" s="3">
        <f t="shared" si="272"/>
        <v>0</v>
      </c>
      <c r="DN130" s="64" t="str">
        <f t="shared" si="273"/>
        <v>UNKNOWN</v>
      </c>
      <c r="DO130" s="64" t="str">
        <f t="shared" si="274"/>
        <v>UNKNOWN</v>
      </c>
      <c r="DP130" s="3">
        <f t="shared" si="275"/>
        <v>0</v>
      </c>
      <c r="DQ130" s="3">
        <f t="shared" si="276"/>
        <v>0</v>
      </c>
      <c r="DR130" s="3">
        <f t="shared" ca="1" si="277"/>
        <v>0</v>
      </c>
      <c r="DS130" s="3">
        <f t="shared" si="278"/>
        <v>0</v>
      </c>
      <c r="DT130" s="3">
        <f t="shared" si="299"/>
        <v>0</v>
      </c>
      <c r="DU130" s="3">
        <f t="shared" si="300"/>
        <v>0</v>
      </c>
      <c r="DV130" s="3">
        <f t="shared" si="301"/>
        <v>7</v>
      </c>
      <c r="DW130" s="3">
        <f t="shared" si="302"/>
        <v>0</v>
      </c>
      <c r="DX130" s="3">
        <f t="shared" ca="1" si="311"/>
        <v>4.4101258524475571E-74</v>
      </c>
      <c r="DY130" s="3">
        <f t="shared" ca="1" si="279"/>
        <v>-3.5590957319530704E-4</v>
      </c>
      <c r="DZ130" s="3">
        <f t="shared" ca="1" si="303"/>
        <v>2.9457273672943635E-4</v>
      </c>
      <c r="EA130" s="3">
        <f t="shared" ca="1" si="304"/>
        <v>-3.23289027502202E-4</v>
      </c>
      <c r="EB130" s="3">
        <f t="shared" ca="1" si="280"/>
        <v>7.0359849983663161E-5</v>
      </c>
      <c r="EC130" s="3">
        <f t="shared" ca="1" si="281"/>
        <v>-1.3183612536246019E-4</v>
      </c>
      <c r="ED130" s="63">
        <f t="shared" si="305"/>
        <v>7</v>
      </c>
      <c r="EE130" s="59">
        <f t="shared" si="282"/>
        <v>0.25</v>
      </c>
      <c r="EF130" s="59">
        <f t="shared" si="283"/>
        <v>2.3460000000000001</v>
      </c>
      <c r="EG130" s="59">
        <f t="shared" si="284"/>
        <v>0.25</v>
      </c>
      <c r="EH130" s="59">
        <f t="shared" si="285"/>
        <v>0.2576</v>
      </c>
      <c r="EI130" s="59">
        <f t="shared" si="286"/>
        <v>0.18540000000000001</v>
      </c>
      <c r="EJ130" s="59">
        <f t="shared" si="287"/>
        <v>0.20610000000000001</v>
      </c>
      <c r="EK130" s="63">
        <f t="shared" ca="1" si="306"/>
        <v>1.087494468403207E-65</v>
      </c>
      <c r="EL130" s="3" t="str">
        <f>RTD("tos.rtd",,EL$83,"."&amp;$B$82&amp;$AS$82&amp;"C"&amp;$A130)</f>
        <v>--</v>
      </c>
      <c r="EM130" s="3" t="str">
        <f>RTD("tos.rtd",,EM$83,"."&amp;$B$82&amp;$AS$82&amp;"P"&amp;$A130)</f>
        <v>234.60%</v>
      </c>
      <c r="EN130" s="3" t="str">
        <f>RTD("tos.rtd",,EN$83,"."&amp;$C$82&amp;$AU$82&amp;"C"&amp;$A130)</f>
        <v>--</v>
      </c>
      <c r="EO130" s="3" t="str">
        <f>RTD("tos.rtd",,EO$83,"."&amp;$C$82&amp;$AU$82&amp;"P"&amp;$A130)</f>
        <v>25.76%</v>
      </c>
      <c r="EP130" s="3" t="str">
        <f>RTD("tos.rtd",,EP$83,"."&amp;$D$82&amp;$AW$82&amp;"C"&amp;$A130)</f>
        <v>18.54%</v>
      </c>
      <c r="EQ130" s="3" t="str">
        <f>RTD("tos.rtd",,EQ$83,"."&amp;$D$82&amp;$AW$82&amp;"P"&amp;$A130)</f>
        <v>20.61%</v>
      </c>
      <c r="ES130" s="63" t="str">
        <f t="shared" si="288"/>
        <v>5620,07.00</v>
      </c>
      <c r="ET130" s="63" t="str">
        <f t="shared" ca="1" si="289"/>
        <v>5620,-02.57</v>
      </c>
      <c r="EU130" s="67">
        <v>593.29999999999995</v>
      </c>
      <c r="EV130" s="67" t="s">
        <v>1060</v>
      </c>
      <c r="EW130" s="67">
        <v>519.99</v>
      </c>
      <c r="EX130" s="67" t="s">
        <v>1061</v>
      </c>
      <c r="EY130" s="67">
        <v>5943.25</v>
      </c>
      <c r="EZ130" s="67" t="s">
        <v>1062</v>
      </c>
      <c r="FA130" s="67">
        <v>21343.25</v>
      </c>
      <c r="FB130" s="67" t="s">
        <v>1063</v>
      </c>
      <c r="FC130" s="67" t="s">
        <v>1064</v>
      </c>
      <c r="FD130" s="67" t="s">
        <v>1065</v>
      </c>
      <c r="FE130" s="68" t="s">
        <v>1066</v>
      </c>
      <c r="FF130" s="68" t="s">
        <v>1067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-104747</v>
      </c>
      <c r="BI131" s="1">
        <f ca="1">IFERROR(IF(MIN(BH85:BH130)&lt;&gt;0,INDEX(A85:A130,MATCH(MIN(BH85:BH130),BH85:BH130,0)),""),"")</f>
        <v>5900</v>
      </c>
      <c r="BP131" s="64">
        <f ca="1">INDEX(BQ131:BU131,MATCH(MAX(BQ84:BU84),BQ84:BU84,0))</f>
        <v>6000</v>
      </c>
      <c r="BQ131" s="1" t="str">
        <f ca="1">IF(AND(BQ84&gt;0,ABS(MAX(BQ85:BQ130))&gt;ABS(MIN(BQ85:BQ130))),IF(MAX(BQ85:BQ130)&lt;&gt;0,INDEX($A85:$A130,MATCH(MAX(BQ85:BQ130),BQ85:BQ130,0)),""),"")</f>
        <v/>
      </c>
      <c r="BS131" s="1" t="str">
        <f ca="1">IF(AND(BS84&gt;0,ABS(MAX(BS85:BS130))&gt;ABS(MIN(BS85:BS130))),IF(MAX(BS85:BS130)&lt;&gt;0,INDEX($A85:$A130,MATCH(MAX(BS85:BS130),BS85:BS130,0)),""),"")</f>
        <v/>
      </c>
      <c r="BU131" s="1">
        <f ca="1">IF(AND(BU84&gt;0,ABS(MAX(BU85:BU130))&gt;ABS(MIN(BU85:BU130))),IF(MAX(BU85:BU130)&lt;&gt;0,INDEX($A85:$A130,MATCH(MAX(BU85:BU130),BU85:BU130,0)),""),"")</f>
        <v>6000</v>
      </c>
      <c r="BW131" s="64">
        <f ca="1">INDEX(BX131:CB131,MATCH(MAX(BX84:CB84),BX84:CB84,0))</f>
        <v>6000</v>
      </c>
      <c r="BX131" s="1" t="str">
        <f ca="1">IF(AND(BX84&gt;0,ABS(MAX(BX85:BX130))&gt;ABS(MIN(BX85:BX130))),IF(MAX(BX85:BX130)&lt;&gt;0,INDEX($A85:$A130,MATCH(MAX(BX85:BX130),BX85:BX130,0)),""),"")</f>
        <v/>
      </c>
      <c r="BY131" s="1">
        <f ca="1">INDEX($A$85:$A$130,MATCH("Cruce -",BY85:BY130,)+1)</f>
        <v>5930</v>
      </c>
      <c r="BZ131" s="1">
        <f ca="1">IF(AND(BZ84&gt;0,ABS(MAX(BZ85:BZ130))&gt;ABS(MIN(BZ85:BZ130))),IF(MAX(BZ85:BZ130)&lt;&gt;0,INDEX($A85:$A130,MATCH(MAX(BZ85:BZ130),BZ85:BZ130,0)),""),"")</f>
        <v>6000</v>
      </c>
      <c r="CB131" s="1" t="str">
        <f ca="1">IF(AND(CB84&gt;0,ABS(MAX(CB85:CB130))&gt;ABS(MIN(CB85:CB130))),IF(MAX(CB85:CB130)&lt;&gt;0,INDEX($A85:$A130,MATCH(MAX(CB85:CB130),CB85:CB130,0)),""),"")</f>
        <v/>
      </c>
      <c r="CJ131" s="64">
        <f>INDEX(CK131:CO131,MATCH(MAX(CK84:CO84),CK84:CO84,0))</f>
        <v>5700</v>
      </c>
      <c r="CK131" s="1" t="str">
        <f>IF(AND(CK84&gt;0,ABS(MAX(CK85:CK130))&gt;ABS(MIN(CK85:CK130))),IF(MAX(CK85:CK130)&lt;&gt;0,INDEX($A85:$A130,MATCH(MAX(CK85:CK130),CK85:CK130,0)),""),"")</f>
        <v/>
      </c>
      <c r="CM131" s="1">
        <f>IF(AND(CM84&gt;0,ABS(MAX(CM85:CM130))&gt;ABS(MIN(CM85:CM130))),IF(MAX(CM85:CM130)&lt;&gt;0,INDEX($A85:$A130,MATCH(MAX(CM85:CM130),CM85:CM130,0)),""),"")</f>
        <v>5800</v>
      </c>
      <c r="CO131" s="1">
        <f>IF(AND(CO84&gt;0,ABS(MAX(CO85:CO130))&gt;ABS(MIN(CO85:CO130))),IF(MAX(CO85:CO130)&lt;&gt;0,INDEX($A85:$A130,MATCH(MAX(CO85:CO130),CO85:CO130,0)),""),"")</f>
        <v>5700</v>
      </c>
      <c r="CP131" s="1">
        <f>IF(ABS(MAX(CP85:CP130))&gt;ABS(MIN(CP85:CP130)),IF(MAX(CP85:CP130)&lt;&gt;0,INDEX($A85:$A130,MATCH(MAX(CP85:CP130),CP85:CP130,0)),""),"")</f>
        <v>5700</v>
      </c>
      <c r="CW131" s="1">
        <f ca="1">IF(ABS(MAX(CW85:CW130))&gt;ABS(MIN(CW85:CW130)),IF(MAX(CW85:CW130)&lt;&gt;0,INDEX($A85:$A130,MATCH(MAX(CW85:CW130),CW85:CW130,0)),""),"")</f>
        <v>6000</v>
      </c>
      <c r="CY131" s="1" t="str">
        <f ca="1">IF(ABS(MAX(CY85:CY130))&gt;ABS(MIN(CY85:CY130)),IF(MAX(CY85:CY130)&lt;&gt;0,INDEX($A85:$A130,MATCH(MAX(CY85:CY130),CY85:CY130,0)),""),"")</f>
        <v/>
      </c>
      <c r="DH131" s="1" t="str">
        <f t="shared" ref="DH131:DM131" si="325">IF(ABS(MAX(DH85:DH130))&gt;ABS(MIN(DH85:DH130)),IF(MAX(DH85:DH130)&lt;&gt;0,INDEX($A85:$A130,MATCH(MAX(DH85:DH130),DH85:DH130,0)),""),"")</f>
        <v/>
      </c>
      <c r="DI131" s="1" t="str">
        <f t="shared" si="325"/>
        <v/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str">
        <f t="shared" si="325"/>
        <v/>
      </c>
      <c r="DM131" s="1" t="str">
        <f t="shared" si="325"/>
        <v/>
      </c>
      <c r="DN131" s="64" t="str">
        <f>DJ131&amp;","&amp;DJ132&amp;","&amp;DK131&amp;","&amp;DK132</f>
        <v>,,,</v>
      </c>
      <c r="DP131" s="1" t="str">
        <f>IF(ABS(MAX(DP85:DP130))&gt;ABS(MIN(DP85:DP130)),IF(MAX(DP85:DP130)&lt;&gt;0,INDEX($A85:$A130,MATCH(MAX(DP85:DP130),DP85:DP130,0)),""),"")</f>
        <v/>
      </c>
      <c r="DQ131" s="1" t="str">
        <f>IF(ABS(MAX(DQ85:DQ130))&gt;ABS(MIN(DQ85:DQ130)),IF(MAX(DQ85:DQ130)&lt;&gt;0,INDEX($A85:$A130,MATCH(MAX(DQ85:DQ130),DQ85:DQ130,0)),""),"")</f>
        <v/>
      </c>
      <c r="DR131" s="1" t="str">
        <f ca="1">IF(ABS(MAX(DR85:DR130))&gt;ABS(MIN(DR85:DR130)),IF(MAX(DR85:DR130)&lt;&gt;0,INDEX($A85:$A130,MATCH(MAX(DR85:DR130),DR85:DR130,0)),""),"")</f>
        <v/>
      </c>
      <c r="DS131" s="1" t="str">
        <f>IF(ABS(MAX(DS85:DS130))&gt;ABS(MIN(DS85:DS130)),IF(MAX(DS85:DS130)&lt;&gt;0,INDEX($A85:$A130,MATCH(MAX(DS85:DS130),DS85:DS130,0)),""),"")</f>
        <v/>
      </c>
      <c r="ED131" s="103">
        <f>IFERROR(IF(MAX(ED85:ED130)&lt;&gt;0,INDEX($A85:$A130,MATCH(MAX(ED85:ED130),ED85:ED130,0)),""),"")</f>
        <v>5900</v>
      </c>
      <c r="EU131" s="67">
        <v>593.32000000000005</v>
      </c>
      <c r="EV131" s="67" t="s">
        <v>1068</v>
      </c>
      <c r="EW131" s="67">
        <v>519.99</v>
      </c>
      <c r="EX131" s="67" t="s">
        <v>1069</v>
      </c>
      <c r="EY131" s="67">
        <v>5943.25</v>
      </c>
      <c r="EZ131" s="67" t="s">
        <v>1070</v>
      </c>
      <c r="FA131" s="67">
        <v>21343.5</v>
      </c>
      <c r="FB131" s="67" t="s">
        <v>1071</v>
      </c>
      <c r="FC131" s="67" t="s">
        <v>1072</v>
      </c>
      <c r="FD131" s="67" t="s">
        <v>1073</v>
      </c>
      <c r="FE131" s="68" t="s">
        <v>1074</v>
      </c>
      <c r="FF131" s="68" t="s">
        <v>1075</v>
      </c>
    </row>
    <row r="132" spans="1:162" x14ac:dyDescent="0.2">
      <c r="AP132" s="1">
        <v>5950</v>
      </c>
      <c r="AQ132" s="1">
        <v>5900</v>
      </c>
      <c r="BA132" s="1">
        <f>INDEX($A$85:$A$130,MATCH(MAX(BA85:BA130),BA85:BA130,0))</f>
        <v>5950</v>
      </c>
      <c r="BB132" s="38">
        <f>INDEX($A$85:$A$130,MATCH(MIN(BB85:BB130),BB85:BB130,0))</f>
        <v>5900</v>
      </c>
      <c r="BC132" s="1">
        <f>INDEX($A$85:$A$130,MATCH(MAX(BC85:BC130),BC85:BC130,0))</f>
        <v>6050</v>
      </c>
      <c r="BD132" s="38">
        <f>INDEX($A$85:$A$130,MATCH(MIN(BD85:BD130),BD85:BD130,0))</f>
        <v>5750</v>
      </c>
      <c r="BE132" s="1">
        <f>INDEX($A$85:$A$130,MATCH(MAX(BE85:BE130),BE85:BE130,0))</f>
        <v>6000</v>
      </c>
      <c r="BF132" s="38">
        <f>INDEX($A$85:$A$130,MATCH(MIN(BF85:BF130),BF85:BF130,0))</f>
        <v>6000</v>
      </c>
      <c r="BG132" s="38"/>
      <c r="BK132" s="38"/>
      <c r="BM132" s="38"/>
      <c r="BO132" s="38"/>
      <c r="BP132" s="64">
        <f ca="1">INDEX(BQ132:BU132,MATCH(MIN(BQ84:BU84),BQ84:BU84,0))</f>
        <v>5930</v>
      </c>
      <c r="BQ132" s="1">
        <f ca="1">IF(AND(BQ84&lt;0,ABS(MIN(BQ85:BQ130))&gt;ABS(MAX(BQ85:BQ130))),IF(MIN(BQ85:BQ130)&lt;&gt;0,INDEX($A85:$A130,MATCH(MIN(BQ85:BQ130),BQ85:BQ130,0)),""),"")</f>
        <v>5930</v>
      </c>
      <c r="BR132" s="38"/>
      <c r="BS132" s="1">
        <f ca="1">IF(AND(BS84&lt;0,ABS(MIN(BS85:BS130))&gt;ABS(MAX(BS85:BS130))),IF(MIN(BS85:BS130)&lt;&gt;0,INDEX($A85:$A130,MATCH(MIN(BS85:BS130),BS85:BS130,0)),""),"")</f>
        <v>5900</v>
      </c>
      <c r="BT132" s="38"/>
      <c r="BU132" s="1" t="str">
        <f ca="1">IF(AND(BU84&lt;0,ABS(MIN(BU85:BU130))&gt;ABS(MAX(BU85:BU130))),IF(MIN(BU85:BU130)&lt;&gt;0,INDEX($A85:$A130,MATCH(MIN(BU85:BU130),BU85:BU130,0)),""),"")</f>
        <v/>
      </c>
      <c r="BV132" s="38"/>
      <c r="BW132" s="64">
        <f ca="1">INDEX(BX132:CB132,MATCH(MIN(BX84:CB84),BX84:CB84,0))</f>
        <v>5930</v>
      </c>
      <c r="BX132" s="1">
        <f ca="1">IF(AND(BX84&lt;0,ABS(MIN(BX85:BX130))&gt;ABS(MAX(BX85:BX130))),IF(MIN(BX85:BX130)&lt;&gt;0,INDEX($A85:$A130,MATCH(MIN(BX85:BX130),BX85:BX130,0)),""),"")</f>
        <v>5930</v>
      </c>
      <c r="BY132" s="38">
        <f ca="1">INDEX($A$85:$A$130,MATCH("Cruce -",BY85:BY130,)-1)</f>
        <v>5950</v>
      </c>
      <c r="BZ132" s="1" t="str">
        <f ca="1">IF(AND(BZ84&lt;0,ABS(MIN(BZ85:BZ130))&gt;ABS(MAX(BZ85:BZ130))),IF(MIN(BZ85:BZ130)&lt;&gt;0,INDEX($A85:$A130,MATCH(MIN(BZ85:BZ130),BZ85:BZ130,0)),""),"")</f>
        <v/>
      </c>
      <c r="CA132" s="38"/>
      <c r="CB132" s="1" t="str">
        <f ca="1">IF(AND(CB84&lt;0,ABS(MIN(CB85:CB130))&gt;ABS(MAX(CB85:CB130))),IF(MIN(CB85:CB130)&lt;&gt;0,INDEX($A85:$A130,MATCH(MIN(CB85:CB130),CB85:CB130,0)),""),"")</f>
        <v/>
      </c>
      <c r="CC132" s="38"/>
      <c r="CE132" s="38"/>
      <c r="CG132" s="38"/>
      <c r="CI132" s="38"/>
      <c r="CJ132" s="64" t="str">
        <f>INDEX(CK132:CO132,MATCH(MIN(CK84:CO84),CK84:CO84,0))</f>
        <v/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 t="str">
        <f>IF(AND(CO84&lt;0,ABS(MIN(CO85:CO130))&gt;ABS(MAX(CO85:CO130))),IF(MIN(CO85:CO130)&lt;&gt;0,INDEX($A85:$A130,MATCH(MIN(CO85:CO130),CO85:CO130,0)),""),"")</f>
        <v/>
      </c>
      <c r="CP132" s="38" t="str">
        <f>IF(ABS(MIN(CP85:CP130))&gt;ABS(MAX(CP85:CP130)),IF(MIN(CP85:CP130)&lt;&gt;0,INDEX($A85:$A130,MATCH(MIN(CP85:CP130),CP85:CP130,0)),""),"")</f>
        <v/>
      </c>
      <c r="CR132" s="38"/>
      <c r="CT132" s="38"/>
      <c r="CV132" s="38"/>
      <c r="CW132" s="38" t="str">
        <f ca="1">IF(ABS(MIN(CW85:CW130))&gt;ABS(MAX(CW85:CW130)),IF(MIN(CW85:CW130)&lt;&gt;0,INDEX($A85:$A130,MATCH(MIN(CW85:CW130),CW85:CW130,0)),""),"")</f>
        <v/>
      </c>
      <c r="CY132" s="38">
        <f ca="1">IF(ABS(MIN(CY85:CY130))&gt;ABS(MAX(CY85:CY130)),IF(MIN(CY85:CY130)&lt;&gt;0,INDEX($A85:$A130,MATCH(MIN(CY85:CY130),CY85:CY130,0)),""),"")</f>
        <v>5930</v>
      </c>
      <c r="DB132" s="38"/>
      <c r="DD132" s="38"/>
      <c r="DH132" s="1" t="str">
        <f t="shared" ref="DH132:DM132" si="326">IF(ABS(MIN(DH85:DH130))&gt;ABS(MAX(DH85:DH130)),IF(MIN(DH85:DH130)&lt;&gt;0,INDEX($A85:$A130,MATCH(MIN(DH85:DH130),DH85:DH130,0)),""),"")</f>
        <v/>
      </c>
      <c r="DI132" s="38" t="str">
        <f t="shared" si="326"/>
        <v/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str">
        <f t="shared" si="326"/>
        <v/>
      </c>
      <c r="DM132" s="1" t="str">
        <f t="shared" si="326"/>
        <v/>
      </c>
      <c r="DN132" s="64" t="str">
        <f ca="1">BI82&amp;","&amp;BI131&amp;","&amp;ED131&amp;","&amp;ED132</f>
        <v>5950,5900,5900,5950</v>
      </c>
      <c r="DP132" s="1" t="str">
        <f>IF(ABS(MIN(DP85:DP130))&gt;ABS(MAX(DP85:DP130)),IF(MIN(DP85:DP130)&lt;&gt;0,INDEX($A85:$A130,MATCH(MIN(DP85:DP130),DP85:DP130,0)),""),"")</f>
        <v/>
      </c>
      <c r="DQ132" s="38" t="str">
        <f>IF(ABS(MIN(DQ85:DQ130))&gt;ABS(MAX(DQ85:DQ130)),IF(MIN(DQ85:DQ130)&lt;&gt;0,INDEX($A85:$A130,MATCH(MIN(DQ85:DQ130),DQ85:DQ130,0)),""),"")</f>
        <v/>
      </c>
      <c r="DR132" s="1" t="str">
        <f ca="1">IF(ABS(MIN(DR85:DR130))&gt;ABS(MAX(DR85:DR130)),IF(MIN(DR85:DR130)&lt;&gt;0,INDEX($A85:$A130,MATCH(MIN(DR85:DR130),DR85:DR130,0)),""),"")</f>
        <v/>
      </c>
      <c r="DS132" s="38" t="str">
        <f>IF(ABS(MIN(DS85:DS130))&gt;ABS(MAX(DS85:DS130)),IF(MIN(DS85:DS130)&lt;&gt;0,INDEX($A85:$A130,MATCH(MIN(DS85:DS130),DS85:DS130,0)),""),"")</f>
        <v/>
      </c>
      <c r="DW132" s="38"/>
      <c r="DY132" s="38"/>
      <c r="EA132" s="38"/>
      <c r="ED132" s="103">
        <f>IFERROR(IF(MIN(ED85:ED130)&lt;&gt;0,INDEX($A85:$A130,MATCH(MIN(ED85:ED130),ED85:ED130,0)),""),"")</f>
        <v>5950</v>
      </c>
      <c r="EF132" s="38"/>
      <c r="EH132" s="38"/>
      <c r="EM132" s="38"/>
      <c r="EO132" s="38"/>
      <c r="EU132" s="67">
        <v>593.29</v>
      </c>
      <c r="EV132" s="67" t="s">
        <v>1076</v>
      </c>
      <c r="EW132" s="67">
        <v>519.9</v>
      </c>
      <c r="EX132" s="67" t="s">
        <v>1077</v>
      </c>
      <c r="EY132" s="67">
        <v>5942.75</v>
      </c>
      <c r="EZ132" s="67" t="s">
        <v>1078</v>
      </c>
      <c r="FA132" s="67">
        <v>21340</v>
      </c>
      <c r="FB132" s="67" t="s">
        <v>1079</v>
      </c>
      <c r="FC132" s="67" t="s">
        <v>1080</v>
      </c>
      <c r="FD132" s="67" t="s">
        <v>1081</v>
      </c>
      <c r="FE132" s="68" t="s">
        <v>1082</v>
      </c>
      <c r="FF132" s="68" t="s">
        <v>1083</v>
      </c>
    </row>
    <row r="133" spans="1:162" ht="13.5" thickBot="1" x14ac:dyDescent="0.25">
      <c r="A133" s="49">
        <v>25</v>
      </c>
      <c r="D133" s="50">
        <f>+F136-90</f>
        <v>21330.75</v>
      </c>
      <c r="E133" s="82">
        <v>21000</v>
      </c>
      <c r="EU133" s="67">
        <v>592.86</v>
      </c>
      <c r="EV133" s="67" t="s">
        <v>1084</v>
      </c>
      <c r="EW133" s="67">
        <v>519.44000000000005</v>
      </c>
      <c r="EX133" s="67" t="s">
        <v>1085</v>
      </c>
      <c r="EY133" s="67">
        <v>5938.5</v>
      </c>
      <c r="EZ133" s="67" t="s">
        <v>1086</v>
      </c>
      <c r="FA133" s="67">
        <v>21320</v>
      </c>
      <c r="FB133" s="67" t="s">
        <v>1087</v>
      </c>
      <c r="FC133" s="67" t="s">
        <v>1088</v>
      </c>
      <c r="FD133" s="67" t="s">
        <v>1089</v>
      </c>
      <c r="FE133" s="68" t="s">
        <v>1090</v>
      </c>
      <c r="FF133" s="68" t="s">
        <v>1091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21367.374</v>
      </c>
      <c r="F134" s="20">
        <f>+[3]Sheet1!$AD$2</f>
        <v>5822.2879135898766</v>
      </c>
      <c r="AP134" s="1">
        <v>250520</v>
      </c>
      <c r="AS134" s="22" t="str">
        <f>+B135</f>
        <v>250520</v>
      </c>
      <c r="AT134" s="22"/>
      <c r="AU134" s="22" t="str">
        <f>+C135</f>
        <v>250523</v>
      </c>
      <c r="AV134" s="22"/>
      <c r="AW134" s="22" t="str">
        <f>+D135</f>
        <v>250620</v>
      </c>
      <c r="AX134" s="22"/>
      <c r="BA134" s="22" t="str">
        <f>+B135</f>
        <v>250520</v>
      </c>
      <c r="BB134" s="22"/>
      <c r="BC134" s="22" t="str">
        <f>+C135</f>
        <v>250523</v>
      </c>
      <c r="BD134" s="22"/>
      <c r="BE134" s="22" t="str">
        <f>+D135</f>
        <v>250620</v>
      </c>
      <c r="BF134" s="22"/>
      <c r="BG134" s="96"/>
      <c r="BH134" s="1">
        <f ca="1">MAX(BH137:BH189)</f>
        <v>1275</v>
      </c>
      <c r="BI134" s="1">
        <f ca="1">IFERROR(IF(MAX(BH137:BH189)&lt;&gt;0,INDEX(A137:A189,MATCH(MAX(BH137:BH189),BH137:BH189,0)),""),"")</f>
        <v>21400</v>
      </c>
      <c r="BJ134" s="22"/>
      <c r="BK134" s="22"/>
      <c r="BL134" s="22"/>
      <c r="BM134" s="22"/>
      <c r="BN134" s="22"/>
      <c r="BO134" s="22"/>
      <c r="BQ134" s="22">
        <f ca="1">IF(BR134&gt;BS134,IF(MAX(BQ137:BQ189)&lt;&gt;0,INDEX(A137:A189,MATCH(MAX(BQ137:BQ189),BQ137:BQ189,0)),A136),IF(MIN(BQ137:BQ189)&lt;&gt;0,INDEX(A137:A189,MATCH(MIN(BQ137:BQ189),BQ137:BQ189,0))))</f>
        <v>21350</v>
      </c>
      <c r="BR134" s="22">
        <f ca="1">+MAX(BQ137:BQ189)</f>
        <v>476523.18682743399</v>
      </c>
      <c r="BS134" s="22">
        <f ca="1">ABS(MIN(BQ137:BQ189))</f>
        <v>8682691.1315072048</v>
      </c>
      <c r="BT134" s="22"/>
      <c r="BU134" s="22"/>
      <c r="BV134" s="22"/>
      <c r="BX134" s="22">
        <f ca="1">IF(BY134&gt;BZ134,IF(MAX(BX137:BX189)&lt;&gt;0,INDEX(G137:G189,MATCH(MAX(BX137:BX189),BX137:BX189,0)),G136),IF(MIN(BX137:BX189)&lt;&gt;0,INDEX(G137:G189,MATCH(MIN(BX137:BX189),BX137:BX189,0))))</f>
        <v>518.88091136035996</v>
      </c>
      <c r="BY134" s="22">
        <f ca="1">+MAX(BX137:BX189)</f>
        <v>614042.95495089493</v>
      </c>
      <c r="BZ134" s="22">
        <f ca="1">ABS(MIN(BX137:BX189))</f>
        <v>1409818.0657390081</v>
      </c>
      <c r="CA134" s="22"/>
      <c r="CB134" s="22"/>
      <c r="CC134" s="22">
        <f ca="1">+AVERAGE(BY190:BY191,CA190:CA191,CC190:CC191)</f>
        <v>21325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35174406.749999993</v>
      </c>
      <c r="CM134" s="22">
        <f>ABS(MIN(CK137:CK189))</f>
        <v>49956616.5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512.7907598185717</v>
      </c>
      <c r="CR134" s="22">
        <f>+MAX(CQ137:CQ189)</f>
        <v>1237</v>
      </c>
      <c r="CS134" s="22">
        <f>ABS(MIN(CQ137:CQ189))</f>
        <v>1863</v>
      </c>
      <c r="CT134" s="22"/>
      <c r="CU134" s="22"/>
      <c r="CV134" s="22"/>
      <c r="CW134" s="22">
        <f ca="1">IF(CX134&gt;CY134,IF(MAX(CW137:CW189)&lt;&gt;0,INDEX(M137:M189,MATCH(MAX(CW137:CW189),CW137:CW189,0)),M136),IF(MIN(CW137:CW189)&lt;&gt;0,INDEX(M137:M189,MATCH(MIN(CW137:CW189),CW137:CW189,0))))</f>
        <v>0</v>
      </c>
      <c r="CX134" s="61">
        <f ca="1">+MAX(CW137:CW189)</f>
        <v>150660457.96531236</v>
      </c>
      <c r="CY134" s="22">
        <f ca="1">ABS(MIN(CW137:CW189))</f>
        <v>7294549.0563595565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592.86</v>
      </c>
      <c r="EV134" s="67" t="s">
        <v>1092</v>
      </c>
      <c r="EW134" s="67">
        <v>519.5</v>
      </c>
      <c r="EX134" s="67" t="s">
        <v>1093</v>
      </c>
      <c r="EY134" s="67">
        <v>5938.5</v>
      </c>
      <c r="EZ134" s="67" t="s">
        <v>1094</v>
      </c>
      <c r="FA134" s="67">
        <v>21322.25</v>
      </c>
      <c r="FB134" s="67" t="s">
        <v>1095</v>
      </c>
      <c r="FC134" s="67" t="s">
        <v>1096</v>
      </c>
      <c r="FD134" s="67" t="s">
        <v>1097</v>
      </c>
      <c r="FE134" s="68" t="s">
        <v>1098</v>
      </c>
      <c r="FF134" s="68" t="s">
        <v>1099</v>
      </c>
    </row>
    <row r="135" spans="1:162" ht="13.5" thickBot="1" x14ac:dyDescent="0.25">
      <c r="A135" s="45" t="s">
        <v>14</v>
      </c>
      <c r="B135" s="45" t="str">
        <f>+B83</f>
        <v>250520</v>
      </c>
      <c r="C135" s="45" t="str">
        <f>+C83</f>
        <v>250523</v>
      </c>
      <c r="D135" s="45" t="str">
        <f>+D83</f>
        <v>250620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25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592.87</v>
      </c>
      <c r="EV135" s="67" t="s">
        <v>1100</v>
      </c>
      <c r="EW135" s="67">
        <v>519.44000000000005</v>
      </c>
      <c r="EX135" s="67" t="s">
        <v>1101</v>
      </c>
      <c r="EY135" s="67">
        <v>5938.5</v>
      </c>
      <c r="EZ135" s="67" t="s">
        <v>1102</v>
      </c>
      <c r="FA135" s="67">
        <v>21320</v>
      </c>
      <c r="FB135" s="67" t="s">
        <v>1103</v>
      </c>
      <c r="FC135" s="67" t="s">
        <v>1104</v>
      </c>
      <c r="FD135" s="67" t="s">
        <v>1105</v>
      </c>
      <c r="FE135" s="68" t="s">
        <v>1106</v>
      </c>
      <c r="FF135" s="68" t="s">
        <v>1107</v>
      </c>
    </row>
    <row r="136" spans="1:162" ht="13.5" thickBot="1" x14ac:dyDescent="0.25">
      <c r="A136" s="46">
        <f>+D133</f>
        <v>21330.75</v>
      </c>
      <c r="B136" s="27">
        <f>+AS136/AT136</f>
        <v>-0.46122448979591835</v>
      </c>
      <c r="C136" s="27">
        <f>+AU136/AV136</f>
        <v>-1.0831578947368421</v>
      </c>
      <c r="D136" s="27">
        <f>+AW136/AX136</f>
        <v>-2.6935834692767808</v>
      </c>
      <c r="E136" s="28">
        <v>0</v>
      </c>
      <c r="F136" s="47">
        <f>RTD("tos.rtd", ,"MARK", F135)</f>
        <v>21420.75</v>
      </c>
      <c r="G136" s="58">
        <f>RTD("tos.rtd", ,"MARK", G135)</f>
        <v>519.63</v>
      </c>
      <c r="AO136" s="1">
        <v>0</v>
      </c>
      <c r="AP136" s="1">
        <v>6268</v>
      </c>
      <c r="AQ136" s="1">
        <v>-10765</v>
      </c>
      <c r="AS136" s="13">
        <f t="shared" ref="AS136:AX136" si="327">SUM(AS137:AS189)</f>
        <v>339</v>
      </c>
      <c r="AT136" s="29">
        <f t="shared" si="327"/>
        <v>-735</v>
      </c>
      <c r="AU136" s="13">
        <f t="shared" si="327"/>
        <v>1029</v>
      </c>
      <c r="AV136" s="29">
        <f t="shared" si="327"/>
        <v>-950</v>
      </c>
      <c r="AW136" s="13">
        <f t="shared" si="327"/>
        <v>9907</v>
      </c>
      <c r="AX136" s="29">
        <f t="shared" si="327"/>
        <v>-3678</v>
      </c>
      <c r="AY136" s="29">
        <f>SUM(AY137:AY189)</f>
        <v>5912</v>
      </c>
      <c r="AZ136" s="1">
        <v>0</v>
      </c>
      <c r="BA136" s="13">
        <f t="shared" ref="BA136:BF136" si="328">SUM(BA137:BA189)</f>
        <v>6268</v>
      </c>
      <c r="BB136" s="29">
        <f t="shared" si="328"/>
        <v>-10765</v>
      </c>
      <c r="BC136" s="13">
        <f t="shared" si="328"/>
        <v>152</v>
      </c>
      <c r="BD136" s="29">
        <f t="shared" si="328"/>
        <v>-333</v>
      </c>
      <c r="BE136" s="13">
        <f t="shared" si="328"/>
        <v>191</v>
      </c>
      <c r="BF136" s="29">
        <f t="shared" si="328"/>
        <v>-297</v>
      </c>
      <c r="BG136" s="29"/>
      <c r="BH136" s="29">
        <f ca="1">SUM(BH137:BH189)</f>
        <v>-5204</v>
      </c>
      <c r="BJ136" s="30">
        <f t="shared" ref="BJ136:BO136" ca="1" si="329">SUM(BJ137:BJ189)</f>
        <v>4.3019549129647908E-2</v>
      </c>
      <c r="BK136" s="31">
        <f t="shared" ca="1" si="329"/>
        <v>-6.6019522333931768E-2</v>
      </c>
      <c r="BL136" s="30">
        <f t="shared" ca="1" si="329"/>
        <v>2.9426696558352339E-2</v>
      </c>
      <c r="BM136" s="31">
        <f t="shared" ca="1" si="329"/>
        <v>-2.6243842764312936E-2</v>
      </c>
      <c r="BN136" s="30">
        <f t="shared" ca="1" si="329"/>
        <v>2.8416877833534894E-2</v>
      </c>
      <c r="BO136" s="31">
        <f t="shared" ca="1" si="329"/>
        <v>-2.7294996580295681E-2</v>
      </c>
      <c r="BQ136" s="30">
        <f ca="1">SUM(BQ137:BQ189)</f>
        <v>-30243837.445683781</v>
      </c>
      <c r="BR136" s="31"/>
      <c r="BS136" s="30">
        <f ca="1">SUM(BS137:BS189)</f>
        <v>14203143.708156848</v>
      </c>
      <c r="BT136" s="31"/>
      <c r="BU136" s="30">
        <f ca="1">SUM(BU137:BU189)</f>
        <v>198612510.92943543</v>
      </c>
      <c r="BV136" s="31"/>
      <c r="BX136" s="30">
        <f ca="1">SUM(BX137:BX189)</f>
        <v>-3506524.0358496197</v>
      </c>
      <c r="BY136" s="31"/>
      <c r="BZ136" s="30">
        <f ca="1">SUM(BZ137:BZ189)</f>
        <v>-4486.6807712709051</v>
      </c>
      <c r="CA136" s="31"/>
      <c r="CB136" s="30">
        <f ca="1">SUM(CB137:CB189)</f>
        <v>-8417.1464932795916</v>
      </c>
      <c r="CC136" s="31"/>
      <c r="CD136" s="30">
        <f t="shared" ref="CD136:CI136" si="330">SUM(CD154:CD188)</f>
        <v>34.33</v>
      </c>
      <c r="CE136" s="31">
        <f t="shared" si="330"/>
        <v>1.6900000000000011</v>
      </c>
      <c r="CF136" s="30">
        <f t="shared" si="330"/>
        <v>33.28</v>
      </c>
      <c r="CG136" s="31">
        <f t="shared" si="330"/>
        <v>3.8299999999999992</v>
      </c>
      <c r="CH136" s="30">
        <f t="shared" si="330"/>
        <v>25.51</v>
      </c>
      <c r="CI136" s="31">
        <f t="shared" si="330"/>
        <v>10.020000000000001</v>
      </c>
      <c r="CK136" s="30">
        <f>SUM(CK137:CK188)</f>
        <v>124827549</v>
      </c>
      <c r="CL136" s="31"/>
      <c r="CM136" s="30">
        <f>SUM(CM137:CM188)</f>
        <v>1016922175.5</v>
      </c>
      <c r="CN136" s="31"/>
      <c r="CO136" s="30">
        <f>SUM(CO137:CO188)</f>
        <v>9826671240.75</v>
      </c>
      <c r="CP136" s="31">
        <f t="shared" ref="CP136:CP189" si="331">+CK136+CM136+CO136</f>
        <v>10968420965.25</v>
      </c>
      <c r="CQ136" s="30">
        <f>SUM(CQ137:CQ189)</f>
        <v>-4497</v>
      </c>
      <c r="CR136" s="31"/>
      <c r="CS136" s="30">
        <f>SUM(CS137:CS189)</f>
        <v>-181</v>
      </c>
      <c r="CT136" s="31"/>
      <c r="CU136" s="30">
        <f>SUM(CU137:CU189)</f>
        <v>-106</v>
      </c>
      <c r="CV136" s="31"/>
      <c r="CW136" s="31">
        <f ca="1">SUM(CW137:CW189)</f>
        <v>182571817.19190863</v>
      </c>
      <c r="CY136" s="31">
        <f ca="1">SUM(CY137:CY189)</f>
        <v>-3519427.8631141689</v>
      </c>
      <c r="DA136" s="30">
        <f t="shared" ref="DA136:DF136" si="332">SUM(DA137:DA189)</f>
        <v>13493.18</v>
      </c>
      <c r="DB136" s="31">
        <f t="shared" si="332"/>
        <v>894.78999999999974</v>
      </c>
      <c r="DC136" s="30">
        <f t="shared" si="332"/>
        <v>27355.600000000002</v>
      </c>
      <c r="DD136" s="31">
        <f t="shared" si="332"/>
        <v>1283.5999999999983</v>
      </c>
      <c r="DE136" s="30">
        <f t="shared" si="332"/>
        <v>23819.25</v>
      </c>
      <c r="DF136" s="30">
        <f t="shared" si="332"/>
        <v>519.00000000000011</v>
      </c>
      <c r="DH136" s="30">
        <f t="shared" ref="DH136:DM136" si="333">SUM(DH137:DH189)</f>
        <v>0</v>
      </c>
      <c r="DI136" s="31">
        <f t="shared" si="333"/>
        <v>0</v>
      </c>
      <c r="DJ136" s="30">
        <f t="shared" si="333"/>
        <v>0</v>
      </c>
      <c r="DK136" s="31">
        <f t="shared" si="333"/>
        <v>0</v>
      </c>
      <c r="DL136" s="30">
        <f t="shared" si="333"/>
        <v>0</v>
      </c>
      <c r="DM136" s="30">
        <f t="shared" si="333"/>
        <v>0</v>
      </c>
      <c r="DP136" s="30">
        <f>SUM(DP137:DP189)</f>
        <v>0</v>
      </c>
      <c r="DQ136" s="31">
        <f>SUM(DQ137:DQ189)</f>
        <v>0</v>
      </c>
      <c r="DR136" s="30">
        <f ca="1">SUM(DR137:DR189)</f>
        <v>0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334">SUM(EE137:EE189)</f>
        <v>52.135999999999996</v>
      </c>
      <c r="EF136" s="31">
        <f t="shared" si="334"/>
        <v>94.527000000000001</v>
      </c>
      <c r="EG136" s="30">
        <f t="shared" si="334"/>
        <v>11.125399999999999</v>
      </c>
      <c r="EH136" s="31">
        <f t="shared" si="334"/>
        <v>13.313200000000004</v>
      </c>
      <c r="EI136" s="30">
        <f t="shared" si="334"/>
        <v>10.5489</v>
      </c>
      <c r="EJ136" s="30">
        <f t="shared" si="334"/>
        <v>11.569299999999997</v>
      </c>
      <c r="EK136" s="63">
        <f ca="1">SUM(EK137:EK189)</f>
        <v>697101307.04068375</v>
      </c>
      <c r="EL136" s="30">
        <f t="shared" ref="EL136:EQ136" si="335">SUM(EL137:EL189)</f>
        <v>0</v>
      </c>
      <c r="EM136" s="31">
        <f t="shared" si="335"/>
        <v>0</v>
      </c>
      <c r="EN136" s="30">
        <f t="shared" si="335"/>
        <v>0</v>
      </c>
      <c r="EO136" s="31">
        <f t="shared" si="335"/>
        <v>0</v>
      </c>
      <c r="EP136" s="30">
        <f t="shared" si="335"/>
        <v>0</v>
      </c>
      <c r="EQ136" s="30">
        <f t="shared" si="335"/>
        <v>0</v>
      </c>
      <c r="EU136" s="67">
        <v>592.9</v>
      </c>
      <c r="EV136" s="67" t="s">
        <v>1108</v>
      </c>
      <c r="EW136" s="67">
        <v>519.51</v>
      </c>
      <c r="EX136" s="67" t="s">
        <v>1109</v>
      </c>
      <c r="EY136" s="67">
        <v>5939</v>
      </c>
      <c r="EZ136" s="67" t="s">
        <v>1110</v>
      </c>
      <c r="FA136" s="67">
        <v>21322.75</v>
      </c>
      <c r="FB136" s="67" t="s">
        <v>1111</v>
      </c>
      <c r="FC136" s="67" t="s">
        <v>1112</v>
      </c>
      <c r="FD136" s="67" t="s">
        <v>1113</v>
      </c>
      <c r="FE136" s="68" t="s">
        <v>1114</v>
      </c>
      <c r="FF136" s="68" t="s">
        <v>1115</v>
      </c>
    </row>
    <row r="137" spans="1:162" ht="11.1" customHeight="1" thickBot="1" x14ac:dyDescent="0.25">
      <c r="A137" s="2">
        <f>ROUND(E133/A133,0)*A133+22*A133</f>
        <v>21550</v>
      </c>
      <c r="B137" s="3">
        <f>+IF($A$1="ABS",AS137-AT137,AS137+AT137)</f>
        <v>32</v>
      </c>
      <c r="C137" s="3">
        <f>+IF($A$1="ABS",AU137-AV137,AU137+AV137)</f>
        <v>9</v>
      </c>
      <c r="D137" s="3">
        <f t="shared" ref="D137:D144" si="336">+IF($A$1="ABS",AW137-AX137,AW137+AX137)</f>
        <v>6</v>
      </c>
      <c r="E137" s="3">
        <f>SUM(B137:D137)</f>
        <v>47</v>
      </c>
      <c r="F137" s="4">
        <f>+$F$136/$A$136*A137</f>
        <v>21640.925072958053</v>
      </c>
      <c r="G137" s="5">
        <f>+$G$136/$A$136*A137</f>
        <v>524.97106290214822</v>
      </c>
      <c r="AM137" s="1">
        <v>-25</v>
      </c>
      <c r="AN137" s="1">
        <v>0</v>
      </c>
      <c r="AO137" s="1">
        <v>21550</v>
      </c>
      <c r="AP137" s="1">
        <v>434</v>
      </c>
      <c r="AQ137" s="1">
        <v>-21</v>
      </c>
      <c r="AS137" s="73">
        <f>IF(RTD("tos.rtd",,AS$83,"."&amp;$B$134&amp;$AS$82&amp;"C"&amp;$A137)="N/A",0,RTD("tos.rtd",,AS$83,"."&amp;$B$134&amp;$AS$82&amp;"C"&amp;$A137))</f>
        <v>29</v>
      </c>
      <c r="AT137" s="28">
        <f>-IF(RTD("tos.rtd",,AT$83,"."&amp;$B$134&amp;$AS$82&amp;"P"&amp;$A137)="N/A",0,RTD("tos.rtd",,AT$83,"."&amp;$B$134&amp;$AS$82&amp;"P"&amp;$A137))</f>
        <v>-3</v>
      </c>
      <c r="AU137" s="73">
        <f>IF(RTD("tos.rtd",,AU$2,"."&amp;$C$134&amp;$AU$134&amp;"C"&amp;$A137)="N/A",0,RTD("tos.rtd",,AU$2,"."&amp;$C$134&amp;$AU$134&amp;"C"&amp;$A137))</f>
        <v>6</v>
      </c>
      <c r="AV137" s="28">
        <f>-IF(RTD("tos.rtd",,AV$2,"."&amp;$C$134&amp;$AU$134&amp;"P"&amp;$A137)="N/A",0,RTD("tos.rtd",,AV$2,"."&amp;$C$134&amp;$AU$134&amp;"P"&amp;$A137))</f>
        <v>-3</v>
      </c>
      <c r="AW137" s="73">
        <f>IF(RTD("tos.rtd",,AW$2,"."&amp;$D$134&amp;$AW$134&amp;"C"&amp;$A137)="N/A",0,RTD("tos.rtd",,AW$2,"."&amp;$D$134&amp;$AW$134&amp;"C"&amp;$A137))</f>
        <v>5</v>
      </c>
      <c r="AX137" s="28">
        <f>-IF(RTD("tos.rtd",,AX$2,"."&amp;$D$134&amp;$AW$134&amp;"P"&amp;$A137)="N/A",0,RTD("tos.rtd",,AX$2,"."&amp;$D$134&amp;$AW$134&amp;"P"&amp;$A137))</f>
        <v>-1</v>
      </c>
      <c r="AY137" s="75">
        <f>SUM(AS137:AX137)</f>
        <v>33</v>
      </c>
      <c r="AZ137" s="8">
        <f t="shared" ref="AZ137:AZ189" si="337">+A137</f>
        <v>21550</v>
      </c>
      <c r="BA137" s="73">
        <f>IF(RTD("tos.rtd",,BA$43,"."&amp;$B$134&amp;$AS$82&amp;"C"&amp;$A137)="N/A",0,RTD("tos.rtd",,BA$43,"."&amp;$B$134&amp;$AS$82&amp;"C"&amp;$A137))</f>
        <v>434</v>
      </c>
      <c r="BB137" s="28">
        <f>-IF(RTD("tos.rtd",,BB$43,"."&amp;$B$134&amp;$AS$82&amp;"P"&amp;$A137)="N/A",0,RTD("tos.rtd",,BB$43,"."&amp;$B$134&amp;$AS$82&amp;"P"&amp;$A137))</f>
        <v>-21</v>
      </c>
      <c r="BC137" s="73">
        <f>IF(RTD("tos.rtd",,BC$2,"."&amp;$C$134&amp;$AU$82&amp;"C"&amp;$A137)="N/A",0,RTD("tos.rtd",,BC$2,"."&amp;$C$134&amp;$AU$82&amp;"C"&amp;$A137))</f>
        <v>2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1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37</v>
      </c>
      <c r="BH137" s="31">
        <f t="shared" ref="BH137:BH189" ca="1" si="338">SUM(BA137:BG137)</f>
        <v>453</v>
      </c>
      <c r="BJ137" s="3">
        <f ca="1">IF($BP$1=1,DX137,IF(RTD("tos.rtd",,BJ$43,"."&amp;$B$134&amp;$AS$82&amp;"C"&amp;$A137)="N/A",0,RTD("tos.rtd",,BJ$43,"."&amp;$B$134&amp;$AS$82&amp;"C"&amp;$A137)))</f>
        <v>3.2955572937269591E-4</v>
      </c>
      <c r="BK137" s="3">
        <f ca="1">IF($BP$1=1,DY137,-IF(RTD("tos.rtd",,BK$43,"."&amp;$B$134&amp;$AS$82&amp;"P"&amp;$A137)="N/A",0,RTD("tos.rtd",,BK$43,"."&amp;$B$134&amp;$AS$82&amp;"P"&amp;$A137)))</f>
        <v>-1.9187420103162829E-5</v>
      </c>
      <c r="BL137" s="3">
        <f ca="1">IF($BP$1=1,DZ137,IF(RTD("tos.rtd",,BL$2,"."&amp;$C$134&amp;$AU$82&amp;"C"&amp;$A137)="N/A",0,RTD("tos.rtd",,BL$2,"."&amp;$C$134&amp;$AU$82&amp;"C"&amp;$A137)))</f>
        <v>8.5737394224881915E-4</v>
      </c>
      <c r="BM137" s="3">
        <f ca="1">IF($BP$1=1,EA137,-IF(RTD("tos.rtd",,BM$2,"."&amp;$C$134&amp;$AU$82&amp;"P"&amp;$A137)="N/A",0,RTD("tos.rtd",,BM$2,"."&amp;$C$134&amp;$AU$82&amp;"P"&amp;$A137)))</f>
        <v>-7.2226046312603564E-4</v>
      </c>
      <c r="BN137" s="3">
        <f ca="1">IF($BP$1=1,EB137,IF(RTD("tos.rtd",,BN$2,"."&amp;$D$134&amp;$AW$82&amp;"C"&amp;$A137)="N/A",0,RTD("tos.rtd",,BN$2,"."&amp;$D$134&amp;$AW$82&amp;"C"&amp;$A137)))</f>
        <v>8.5950457913730027E-4</v>
      </c>
      <c r="BO137" s="3">
        <f ca="1">IF($BP$1=1,EC137,-IF(RTD("tos.rtd",,BO$2,"."&amp;$D$134&amp;$AW$82&amp;"P"&amp;$A137)="N/A",0,RTD("tos.rtd",,BO$2,"."&amp;$D$134&amp;$AW$82&amp;"P"&amp;$A137)))</f>
        <v>-7.969300725531981E-4</v>
      </c>
      <c r="BQ137" s="3">
        <f ca="1">+$A$84*$A$84*AS137*BJ137-$A$84*$A$84*AT137*BK137</f>
        <v>334642.61419367068</v>
      </c>
      <c r="BR137" s="3" t="str">
        <f t="shared" ref="BR137:BR188" ca="1" si="339">IF(AND(BQ137&lt;0,BQ136&gt;0), "Cruce -", IF(AND(BQ137&gt;0,BQ136&lt;0),"Cruce +", ""))</f>
        <v>Cruce +</v>
      </c>
      <c r="BS137" s="3">
        <f ca="1">+$A$84*$A$84*AU137*BL137-$A$84*$A$84*AV137*BM137</f>
        <v>104887.63652554956</v>
      </c>
      <c r="BT137" s="3" t="str">
        <f t="shared" ref="BT137:BV188" ca="1" si="340">IF(AND(BS137&lt;0,BS136&gt;0), "Cruce -", IF(AND(BS137&gt;0,BS136&lt;0),"Cruce +", ""))</f>
        <v/>
      </c>
      <c r="BU137" s="3">
        <f ca="1">+$A$84*$A$84*AW137*BN137-$A$84*$A$84*AX137*BO137</f>
        <v>123316.05746342237</v>
      </c>
      <c r="BV137" s="3"/>
      <c r="BX137" s="3">
        <f ca="1">+$A$44*$A$44*BA137*BJ137-$A$44*$A$44*BB137*BK137</f>
        <v>38510.735109778521</v>
      </c>
      <c r="BY137" s="3"/>
      <c r="BZ137" s="3">
        <f ca="1">+$A$44*$A$44*BC137*BL137-$A$44*$A$44*BD137*BM137</f>
        <v>463.00822773119211</v>
      </c>
      <c r="CA137" s="3"/>
      <c r="CB137" s="3">
        <f ca="1">+$A$44*$A$44*BE137*BN137-$A$44*$A$44*BF137*BO137</f>
        <v>232.07941850285084</v>
      </c>
      <c r="CC137" s="3"/>
      <c r="CD137" s="3">
        <f>IF(RTD("tos.rtd",,CD$43,"."&amp;$B$134&amp;$AS$82&amp;"C"&amp;$A137)="N/A",0,RTD("tos.rtd",,CD$43,"."&amp;$B$134&amp;$AS$82&amp;"C"&amp;$A137))</f>
        <v>0</v>
      </c>
      <c r="CE137" s="3">
        <f>-IF(RTD("tos.rtd",,CE$43,"."&amp;$B$134&amp;$AS$82&amp;"P"&amp;$A137)="N/A",0,RTD("tos.rtd",,CE$43,"."&amp;$B$134&amp;$AS$82&amp;"P"&amp;$A137))</f>
        <v>1</v>
      </c>
      <c r="CF137" s="3">
        <f>IF(RTD("tos.rtd",,CF$2,"."&amp;$C$134&amp;$AU$82&amp;"C"&amp;$A137)="N/A",0,RTD("tos.rtd",,CF$2,"."&amp;$C$134&amp;$AU$82&amp;"C"&amp;$A137))</f>
        <v>0.31</v>
      </c>
      <c r="CG137" s="3">
        <f>-IF(RTD("tos.rtd",,CG$2,"."&amp;$C$134&amp;$AU$82&amp;"P"&amp;$A137)="N/A",0,RTD("tos.rtd",,CG$2,"."&amp;$C$134&amp;$AU$82&amp;"P"&amp;$A137))</f>
        <v>0.65</v>
      </c>
      <c r="CH137" s="3">
        <f>IF(RTD("tos.rtd",,CH$2,"."&amp;$D$134&amp;$AW$82&amp;"C"&amp;$A137)="N/A",0,RTD("tos.rtd",,CH$2,"."&amp;$D$134&amp;$AW$82&amp;"C"&amp;$A137))</f>
        <v>0.47</v>
      </c>
      <c r="CI137" s="3">
        <f>-IF(RTD("tos.rtd",,CI$2,"."&amp;$D$134&amp;$AW$82&amp;"P"&amp;$A137)="N/A",0,RTD("tos.rtd",,CI$2,"."&amp;$D$134&amp;$AW$82&amp;"P"&amp;$A137))</f>
        <v>0.52</v>
      </c>
      <c r="CK137" s="3">
        <f>+AS137*CD137*100*$A$136+AT137*CE137*100*$A$136</f>
        <v>-6399225</v>
      </c>
      <c r="CL137" s="3"/>
      <c r="CM137" s="3">
        <f>+AU137*CF137*100*$A$136+AV137*CG137*100*$A$136</f>
        <v>-191976.75000000047</v>
      </c>
      <c r="CN137" s="3"/>
      <c r="CO137" s="3">
        <f>+AW137*CH137*100*$A$136+AX137*CI137*100*$A$136</f>
        <v>3903527.2499999991</v>
      </c>
      <c r="CP137" s="3">
        <f t="shared" si="331"/>
        <v>-2687674.5000000009</v>
      </c>
      <c r="CQ137" s="3">
        <f t="shared" ref="CQ137:CQ189" si="341">+BA137+BB137</f>
        <v>413</v>
      </c>
      <c r="CR137" s="3"/>
      <c r="CS137" s="3">
        <f t="shared" ref="CS137:CS189" si="342">+BC137+BD137</f>
        <v>2</v>
      </c>
      <c r="CT137" s="3"/>
      <c r="CU137" s="3">
        <f t="shared" ref="CU137:CU189" si="343">+BE137+BF137</f>
        <v>1</v>
      </c>
      <c r="CV137" s="3"/>
      <c r="CW137" s="3">
        <f t="shared" ref="CW137:CW189" ca="1" si="344">+BQ137+BS137+BU137</f>
        <v>562846.30818264268</v>
      </c>
      <c r="CY137" s="3">
        <f t="shared" ref="CY137:CY189" ca="1" si="345">+BX137+BZ137+CB137</f>
        <v>39205.82275601256</v>
      </c>
      <c r="DA137" s="3">
        <f>IF(RTD("tos.rtd",,DA$43,"."&amp;$B$134&amp;$AS$82&amp;"C"&amp;$A137)="N/A",0,RTD("tos.rtd",,DA$43,"."&amp;$B$134&amp;$AS$82&amp;"C"&amp;$A137))</f>
        <v>0.03</v>
      </c>
      <c r="DB137" s="3">
        <f>IF(RTD("tos.rtd",,DB$43,"."&amp;$B$134&amp;$AS$82&amp;"P"&amp;$A137)="N/A",0,RTD("tos.rtd",,DB$43,"."&amp;$B$134&amp;$AS$82&amp;"P"&amp;$A137))</f>
        <v>215</v>
      </c>
      <c r="DC137" s="3">
        <f>IF(RTD("tos.rtd",,DC$43,"."&amp;$B$134&amp;$AS$82&amp;"C"&amp;$A137)="N/A",0,RTD("tos.rtd",,DC$43,"."&amp;$B$134&amp;$AS$82&amp;"C"&amp;$A137))</f>
        <v>0.05</v>
      </c>
      <c r="DD137" s="3">
        <f>IF(RTD("tos.rtd",,DD$43,"."&amp;$B$134&amp;$AS$82&amp;"P"&amp;$A137)="N/A",0,RTD("tos.rtd",,DD$43,"."&amp;$B$134&amp;$AS$82&amp;"P"&amp;$A137))</f>
        <v>188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169.3</v>
      </c>
      <c r="DG137" s="86">
        <f>+$A137-$A$136</f>
        <v>219.25</v>
      </c>
      <c r="DH137" s="3">
        <f>IFERROR(((DA137-DE137)/(DC137-DE137))*(BA137-AP137),0)</f>
        <v>0</v>
      </c>
      <c r="DI137" s="3">
        <f>IFERROR(((DB137-DF137)/(DD137-DF137))*(BB137-AQ137),0)</f>
        <v>0</v>
      </c>
      <c r="DJ137" s="3">
        <f t="shared" ref="DJ137:DJ188" si="346">IF(DA137&gt;=(DE137+(DC137-DE137)*0.6),(BA137-AP137),IF(DA137&lt;=(DE137+(DC137-DE137)*0.4),-(BA137-AP137),0))</f>
        <v>0</v>
      </c>
      <c r="DK137" s="3">
        <f t="shared" ref="DK137:DK188" si="347">IF(DB137&lt;=(DF137+(DD137-DF137)*0.4),-(BB137-AQ137),IF(DB137&gt;=(DF137+(DD137-DF137)*0.6),(BB137-AQ137),0))</f>
        <v>0</v>
      </c>
      <c r="DL137" s="3">
        <f>IFERROR(DH137+DI137,0)</f>
        <v>0</v>
      </c>
      <c r="DM137" s="3">
        <f>IFERROR(DJ137+DK137,0)</f>
        <v>0</v>
      </c>
      <c r="DN137" s="64" t="str">
        <f t="shared" ref="DN137:DN189" si="348">IF(AND(DA137&gt;=(DE137+(DC137-DE137)*0.6),BA137&gt;AP137),"BUY",IF(AND(DA137&lt;=(DE137+(DC137-DE137)*0.4),BA137&gt;AP137),"SELL","UNKNOWN"))</f>
        <v>UNKNOWN</v>
      </c>
      <c r="DO137" s="64" t="str">
        <f t="shared" ref="DO137:DO189" si="349">IF(AND(DB137&gt;=(DF137+(DD137-DF137)*0.6),ABS(BB137)&gt;ABS(AQ137)),"BUY",IF(AND(DB137&lt;=(DF137+(DD137-DF137)*0.4),ABS(BB137)&gt;ABS(AQ137)),"SELL","UNKNOWN"))</f>
        <v>UNKNOWN</v>
      </c>
      <c r="DP137" s="3">
        <f t="shared" ref="DP137:DP189" si="350">+DH137*DA137+DI137*DB137</f>
        <v>0</v>
      </c>
      <c r="DQ137" s="3">
        <f t="shared" ref="DQ137:DQ189" si="351">+DA137*DJ137+DB137*DK137</f>
        <v>0</v>
      </c>
      <c r="DR137" s="3">
        <f t="shared" ref="DR137:DR189" ca="1" si="352">+BJ137*DJ137+BK137*DK137</f>
        <v>0</v>
      </c>
      <c r="DS137" s="3">
        <f t="shared" ref="DS137:DS189" si="353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354">AM137+IF(DN137="BUY",DT137,IF(DN137="SELL",-DT137,0))</f>
        <v>-25</v>
      </c>
      <c r="DW137" s="3">
        <f t="shared" ref="DW137:DW189" si="355">AN137+IF(DO137="BUY",DU137,IF(DO137="SELL",-DU137,0))</f>
        <v>0</v>
      </c>
      <c r="DX137" s="3">
        <f t="shared" ref="DX137:DX168" ca="1" si="356">(EXP(-POWER((LN($A$136/$A137)+($EC$1+POWER($EE137,2)/2)*($EM$1/$DY$1))/($EE137*SQRT($EM$1/$DY$1)),2)/2)/SQRT(2*PI())/($A$136*$EE137*SQRT($EM$1/$DY$1)))</f>
        <v>3.2955572937269591E-4</v>
      </c>
      <c r="DY137" s="3">
        <f t="shared" ref="DY137:DY168" ca="1" si="357">-(EXP(-POWER((LN($A$136/$A137)+($EC$1+POWER($EF137,2)/2)*($EM$1/$DY$1))/($EF137*SQRT($EM$1/$DY$1)),2)/2)/SQRT(2*PI())/($A$136*$EF137*SQRT($EM$1/$DY$1)))</f>
        <v>-1.9187420103162829E-5</v>
      </c>
      <c r="DZ137" s="3">
        <f t="shared" ref="DZ137:DZ168" ca="1" si="358">(EXP(-POWER((LN($A$136/$A137)+($EC$1+POWER($EG137,2)/2)*($EO$1/$DY$1))/($EG137*SQRT($EO$1/$DY$1)),2)/2)/SQRT(2*PI())/($A$136*$EG137*SQRT($EO$1/$DY$1)))</f>
        <v>8.5737394224881915E-4</v>
      </c>
      <c r="EA137" s="3">
        <f t="shared" ref="EA137:EA168" ca="1" si="359">-(EXP(-POWER((LN($A$136/$A137)+($EC$1+POWER($EH137,2)/2)*($EO$1/$DY$1))/($EH137*SQRT($EO$1/$DY$1)),2)/2)/SQRT(2*PI())/($A$136*$EH137*SQRT($EO$1/$DY$1)))</f>
        <v>-7.2226046312603564E-4</v>
      </c>
      <c r="EB137" s="3">
        <f t="shared" ref="EB137:EB168" ca="1" si="360">(EXP(-POWER((LN($A$136/$A137)+($EC$1+POWER($EI137,2)/2)*($EO$1/$DY$1))/($EI137*SQRT($EO$1/$DY$1)),2)/2)/SQRT(2*PI())/($A$136*$EI137*SQRT($EO$1/$DY$1)))</f>
        <v>8.5950457913730027E-4</v>
      </c>
      <c r="EC137" s="3">
        <f t="shared" ref="EC137:EC168" ca="1" si="361">-(EXP(-POWER((LN($A$136/$A137)+($EC$1+POWER($EJ137,2)/2)*($EO$1/$DY$1))/($EJ137*SQRT($EO$1/$DY$1)),2)/2)/SQRT(2*PI())/($A$136*$EJ137*SQRT($EO$1/$DY$1)))</f>
        <v>-7.969300725531981E-4</v>
      </c>
      <c r="ED137" s="63">
        <f>+DV137+DW137</f>
        <v>-25</v>
      </c>
      <c r="EE137" s="59">
        <f t="shared" ref="EE137:EE189" si="362">IFERROR(VALUE(IF(OR(EL137="--",EL137="0.00%"),$EE$1,EL137)),$EE$1)</f>
        <v>0.37809999999999999</v>
      </c>
      <c r="EF137" s="59">
        <f t="shared" ref="EF137:EF189" si="363">IFERROR(VALUE(IF(OR(EM137="--",EM137="0.00%"),$EE$1,EM137)),$EE$1)</f>
        <v>0.25</v>
      </c>
      <c r="EG137" s="59">
        <f t="shared" ref="EG137:EG189" si="364">IFERROR(VALUE(IF(OR(EN137="--",EN137="0.00%"),$EE$1,EN137)),$EE$1)</f>
        <v>0.1802</v>
      </c>
      <c r="EH137" s="59">
        <f t="shared" ref="EH137:EH189" si="365">IFERROR(VALUE(IF(OR(EO137="--",EO137="0.00%"),$EE$1,EO137)),$EE$1)</f>
        <v>0.22370000000000001</v>
      </c>
      <c r="EI137" s="59">
        <f t="shared" ref="EI137:EI189" si="366">IFERROR(VALUE(IF(OR(EP137="--",EP137="0.00%"),$EE$1,EP137)),$EE$1)</f>
        <v>0.17960000000000001</v>
      </c>
      <c r="EJ137" s="59">
        <f t="shared" ref="EJ137:EJ189" si="367">IFERROR(VALUE(IF(OR(EQ137="--",EQ137="0.00%"),$EE$1,EQ137)),$EE$1)</f>
        <v>0.19819999999999999</v>
      </c>
      <c r="EK137" s="63">
        <f ca="1">+DV137*DX137*$A$136*$A$136+DW137*DY137*$A$136*$A$136</f>
        <v>-3748703.8000582382</v>
      </c>
      <c r="EL137" s="3" t="str">
        <f>RTD("tos.rtd",,EL$43,"."&amp;$B$134&amp;$AS$82&amp;"C"&amp;$A137)</f>
        <v>37.81%</v>
      </c>
      <c r="EM137" s="3" t="str">
        <f>RTD("tos.rtd",,EM$43,"."&amp;$B$134&amp;$AS$82&amp;"P"&amp;$A137)</f>
        <v>--</v>
      </c>
      <c r="EN137" s="3" t="str">
        <f>RTD("tos.rtd",,EN$2,"."&amp;$C$134&amp;$AU$82&amp;"C"&amp;$A137)</f>
        <v>18.02%</v>
      </c>
      <c r="EO137" s="3" t="str">
        <f>RTD("tos.rtd",,EO$2,"."&amp;$C$134&amp;$AU$82&amp;"P"&amp;$A137)</f>
        <v>22.37%</v>
      </c>
      <c r="EP137" s="3" t="str">
        <f>RTD("tos.rtd",,EP$2,"."&amp;$D$134&amp;$AW$82&amp;"C"&amp;$A137)</f>
        <v>17.96%</v>
      </c>
      <c r="EQ137" s="3" t="str">
        <f>RTD("tos.rtd",,EQ$2,"."&amp;$D$134&amp;$AW$82&amp;"P"&amp;$A137)</f>
        <v>19.82%</v>
      </c>
      <c r="ES137" s="63" t="str">
        <f t="shared" ref="ES137:ES189" si="368">IFERROR(
    A137 &amp; "," &amp; TEXT(IF(ISNUMBER(DV137+DW137), DV137+DW137, 0), "00.00"),    "Error"
)</f>
        <v>21550,-25.00</v>
      </c>
      <c r="ET137" s="63" t="str">
        <f t="shared" ref="ET137:ET189" ca="1" si="369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IF(ISNUMBER(EK137), (EK137),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IF(ISNUMBER(EK137), (EK137), 0)
        )))),
    "00.00")
)</f>
        <v>21550,39.21</v>
      </c>
      <c r="EU137" s="67">
        <v>592.86</v>
      </c>
      <c r="EV137" s="67" t="s">
        <v>1116</v>
      </c>
      <c r="EW137" s="67">
        <v>519.51</v>
      </c>
      <c r="EX137" s="67" t="s">
        <v>1117</v>
      </c>
      <c r="EY137" s="67">
        <v>5938.5</v>
      </c>
      <c r="EZ137" s="67" t="s">
        <v>1118</v>
      </c>
      <c r="FA137" s="67">
        <v>21323.25</v>
      </c>
      <c r="FB137" s="67" t="s">
        <v>1119</v>
      </c>
      <c r="FC137" s="67" t="s">
        <v>1120</v>
      </c>
      <c r="FD137" s="67" t="s">
        <v>1121</v>
      </c>
      <c r="FE137" s="68" t="s">
        <v>1122</v>
      </c>
      <c r="FF137" s="68" t="s">
        <v>1123</v>
      </c>
    </row>
    <row r="138" spans="1:162" ht="11.1" customHeight="1" thickBot="1" x14ac:dyDescent="0.25">
      <c r="A138" s="2">
        <f>+A137-$A$133</f>
        <v>21525</v>
      </c>
      <c r="B138" s="3">
        <f>+IF($A$1="ABS",AS138-AT138,AS138+AT138)</f>
        <v>0</v>
      </c>
      <c r="C138" s="3">
        <f>+IF($A$1="ABS",AU138-AV138,AU138+AV138)</f>
        <v>4</v>
      </c>
      <c r="D138" s="3">
        <f t="shared" si="336"/>
        <v>40</v>
      </c>
      <c r="E138" s="3">
        <f>SUM(B138:D138)</f>
        <v>44</v>
      </c>
      <c r="F138" s="4">
        <f>+$F$136/$A$136*A138</f>
        <v>21615.819591434902</v>
      </c>
      <c r="G138" s="5">
        <f>+$G$136/$A$136*A138</f>
        <v>524.36204774796943</v>
      </c>
      <c r="AM138" s="1">
        <v>0</v>
      </c>
      <c r="AN138" s="1">
        <v>0</v>
      </c>
      <c r="AO138" s="1">
        <v>21525</v>
      </c>
      <c r="AP138" s="1">
        <v>0</v>
      </c>
      <c r="AQ138" s="1">
        <v>0</v>
      </c>
      <c r="AS138" s="54">
        <f>IF(RTD("tos.rtd",,AS$83,"."&amp;$B$134&amp;$AS$82&amp;"C"&amp;$A138)="N/A",0,RTD("tos.rtd",,AS$83,"."&amp;$B$134&amp;$AS$82&amp;"C"&amp;$A138))</f>
        <v>0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4</v>
      </c>
      <c r="AV138" s="3">
        <f>-IF(RTD("tos.rtd",,AV$2,"."&amp;$C$134&amp;$AU$134&amp;"P"&amp;$A138)="N/A",0,RTD("tos.rtd",,AV$2,"."&amp;$C$134&amp;$AU$134&amp;"P"&amp;$A138))</f>
        <v>0</v>
      </c>
      <c r="AW138" s="54">
        <f>IF(RTD("tos.rtd",,AW$2,"."&amp;$D$134&amp;$AW$134&amp;"C"&amp;$A138)="N/A",0,RTD("tos.rtd",,AW$2,"."&amp;$D$134&amp;$AW$134&amp;"C"&amp;$A138))</f>
        <v>24</v>
      </c>
      <c r="AX138" s="3">
        <f>-IF(RTD("tos.rtd",,AX$2,"."&amp;$D$134&amp;$AW$134&amp;"P"&amp;$A138)="N/A",0,RTD("tos.rtd",,AX$2,"."&amp;$D$134&amp;$AW$134&amp;"P"&amp;$A138))</f>
        <v>-16</v>
      </c>
      <c r="AY138" s="76">
        <f>SUM(AS138:AX138)</f>
        <v>12</v>
      </c>
      <c r="AZ138" s="8">
        <f t="shared" si="337"/>
        <v>21525</v>
      </c>
      <c r="BA138" s="54">
        <f>IF(RTD("tos.rtd",,BA$43,"."&amp;$B$134&amp;$AS$82&amp;"C"&amp;$A138)="N/A",0,RTD("tos.rtd",,BA$43,"."&amp;$B$134&amp;$AS$82&amp;"C"&amp;$A138))</f>
        <v>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0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1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1</v>
      </c>
      <c r="BH138" s="7">
        <f t="shared" ca="1" si="338"/>
        <v>2</v>
      </c>
      <c r="BI138" s="32"/>
      <c r="BJ138" s="3">
        <f ca="1">IF($BP$1=1,DX138,IF(RTD("tos.rtd",,BJ$43,"."&amp;$B$134&amp;$AS$82&amp;"C"&amp;$A138)="N/A",0,RTD("tos.rtd",,BJ$43,"."&amp;$B$134&amp;$AS$82&amp;"C"&amp;$A138)))</f>
        <v>6.6263417754071474E-5</v>
      </c>
      <c r="BK138" s="3">
        <f ca="1">IF($BP$1=1,DY138,-IF(RTD("tos.rtd",,BK$43,"."&amp;$B$134&amp;$AS$82&amp;"P"&amp;$A138)="N/A",0,RTD("tos.rtd",,BK$43,"."&amp;$B$134&amp;$AS$82&amp;"P"&amp;$A138)))</f>
        <v>-6.6263417754071474E-5</v>
      </c>
      <c r="BL138" s="3">
        <f ca="1">IF($BP$1=1,DZ138,IF(RTD("tos.rtd",,BL$2,"."&amp;$C$134&amp;$AU$82&amp;"C"&amp;$A138)="N/A",0,RTD("tos.rtd",,BL$2,"."&amp;$C$134&amp;$AU$82&amp;"C"&amp;$A138)))</f>
        <v>8.8053661861854117E-4</v>
      </c>
      <c r="BM138" s="3">
        <f ca="1">IF($BP$1=1,EA138,-IF(RTD("tos.rtd",,BM$2,"."&amp;$C$134&amp;$AU$82&amp;"P"&amp;$A138)="N/A",0,RTD("tos.rtd",,BM$2,"."&amp;$C$134&amp;$AU$82&amp;"P"&amp;$A138)))</f>
        <v>-7.4316087481919753E-4</v>
      </c>
      <c r="BN138" s="3">
        <f ca="1">IF($BP$1=1,EB138,IF(RTD("tos.rtd",,BN$2,"."&amp;$D$134&amp;$AW$82&amp;"C"&amp;$A138)="N/A",0,RTD("tos.rtd",,BN$2,"."&amp;$D$134&amp;$AW$82&amp;"C"&amp;$A138)))</f>
        <v>8.8171285053602344E-4</v>
      </c>
      <c r="BO138" s="3">
        <f ca="1">IF($BP$1=1,EC138,-IF(RTD("tos.rtd",,BO$2,"."&amp;$D$134&amp;$AW$82&amp;"P"&amp;$A138)="N/A",0,RTD("tos.rtd",,BO$2,"."&amp;$D$134&amp;$AW$82&amp;"P"&amp;$A138)))</f>
        <v>-8.1344236834835588E-4</v>
      </c>
      <c r="BQ138" s="3">
        <f ca="1">+$A$84*$A$84*AS138*BJ138-$A$84*$A$84*AT138*BK138</f>
        <v>0</v>
      </c>
      <c r="BR138" s="3" t="str">
        <f t="shared" ca="1" si="339"/>
        <v/>
      </c>
      <c r="BS138" s="3">
        <f ca="1">+$A$84*$A$84*AU138*BL138-$A$84*$A$84*AV138*BM138</f>
        <v>124075.33208963189</v>
      </c>
      <c r="BT138" s="3" t="str">
        <f t="shared" ca="1" si="340"/>
        <v/>
      </c>
      <c r="BU138" s="3">
        <f ca="1">+$A$84*$A$84*AW138*BN138-$A$84*$A$84*AX138*BO138</f>
        <v>286961.78572306124</v>
      </c>
      <c r="BV138" s="3" t="str">
        <f t="shared" ca="1" si="340"/>
        <v/>
      </c>
      <c r="BX138" s="3">
        <f t="shared" ref="BX138:BX189" ca="1" si="370">+$A$44*$A$44*BA138*BJ138-$A$44*$A$44*BB138*BK138</f>
        <v>0</v>
      </c>
      <c r="BY138" s="3" t="str">
        <f t="shared" ref="BY138:CC189" ca="1" si="371">IF(AND(BX138&lt;0,BX137&gt;0), "Cruce -", IF(AND(BX138&gt;0,BX137&lt;0),"Cruce +", ""))</f>
        <v/>
      </c>
      <c r="BZ138" s="3">
        <f t="shared" ref="BZ138:BZ189" ca="1" si="372">+$A$44*$A$44*BC138*BL138-$A$44*$A$44*BD138*BM138</f>
        <v>0</v>
      </c>
      <c r="CA138" s="3" t="str">
        <f t="shared" ca="1" si="371"/>
        <v/>
      </c>
      <c r="CB138" s="3">
        <f t="shared" ref="CB138:CB189" ca="1" si="373">+$A$44*$A$44*BE138*BN138-$A$44*$A$44*BF138*BO138</f>
        <v>238.0759923865437</v>
      </c>
      <c r="CC138" s="3" t="str">
        <f t="shared" ca="1" si="371"/>
        <v/>
      </c>
      <c r="CD138" s="3">
        <f>IF(RTD("tos.rtd",,CD$43,"."&amp;$B$134&amp;$AS$82&amp;"C"&amp;$A138)="N/A",0,RTD("tos.rtd",,CD$43,"."&amp;$B$134&amp;$AS$82&amp;"C"&amp;$A138))</f>
        <v>0</v>
      </c>
      <c r="CE138" s="3">
        <f>-IF(RTD("tos.rtd",,CE$43,"."&amp;$B$134&amp;$AS$82&amp;"P"&amp;$A138)="N/A",0,RTD("tos.rtd",,CE$43,"."&amp;$B$134&amp;$AS$82&amp;"P"&amp;$A138))</f>
        <v>0</v>
      </c>
      <c r="CF138" s="3">
        <f>IF(RTD("tos.rtd",,CF$2,"."&amp;$C$134&amp;$AU$82&amp;"C"&amp;$A138)="N/A",0,RTD("tos.rtd",,CF$2,"."&amp;$C$134&amp;$AU$82&amp;"C"&amp;$A138))</f>
        <v>0.34</v>
      </c>
      <c r="CG138" s="3">
        <f>-IF(RTD("tos.rtd",,CG$2,"."&amp;$C$134&amp;$AU$82&amp;"P"&amp;$A138)="N/A",0,RTD("tos.rtd",,CG$2,"."&amp;$C$134&amp;$AU$82&amp;"P"&amp;$A138))</f>
        <v>0.63</v>
      </c>
      <c r="CH138" s="3">
        <f>IF(RTD("tos.rtd",,CH$2,"."&amp;$D$134&amp;$AW$82&amp;"C"&amp;$A138)="N/A",0,RTD("tos.rtd",,CH$2,"."&amp;$D$134&amp;$AW$82&amp;"C"&amp;$A138))</f>
        <v>0.48</v>
      </c>
      <c r="CI138" s="3">
        <f>-IF(RTD("tos.rtd",,CI$2,"."&amp;$D$134&amp;$AW$82&amp;"P"&amp;$A138)="N/A",0,RTD("tos.rtd",,CI$2,"."&amp;$D$134&amp;$AW$82&amp;"P"&amp;$A138))</f>
        <v>0.51</v>
      </c>
      <c r="CK138" s="3">
        <f t="shared" ref="CK138:CK189" si="374">+AS138*CD138*100*$A$136+AT138*CE138*100*$A$136</f>
        <v>0</v>
      </c>
      <c r="CL138" s="3"/>
      <c r="CM138" s="3">
        <f t="shared" ref="CM138:CM189" si="375">+AU138*CF138*100*$A$136+AV138*CG138*100*$A$136</f>
        <v>2900982</v>
      </c>
      <c r="CN138" s="3"/>
      <c r="CO138" s="3">
        <f t="shared" ref="CO138:CO189" si="376">+AW138*CH138*100*$A$136+AX138*CI138*100*$A$136</f>
        <v>7167132</v>
      </c>
      <c r="CP138" s="3">
        <f t="shared" si="331"/>
        <v>10068114</v>
      </c>
      <c r="CQ138" s="3">
        <f t="shared" si="341"/>
        <v>0</v>
      </c>
      <c r="CR138" s="3"/>
      <c r="CS138" s="3">
        <f t="shared" si="342"/>
        <v>0</v>
      </c>
      <c r="CT138" s="3"/>
      <c r="CU138" s="3">
        <f t="shared" si="343"/>
        <v>1</v>
      </c>
      <c r="CV138" s="3"/>
      <c r="CW138" s="3">
        <f t="shared" ca="1" si="344"/>
        <v>411037.11781269312</v>
      </c>
      <c r="CY138" s="3">
        <f t="shared" ca="1" si="345"/>
        <v>238.0759923865437</v>
      </c>
      <c r="CZ138" s="70" t="str">
        <f t="shared" ref="CZ138:CZ189" ca="1" si="377">IF(AND(CY138&lt;0,CY137&gt;0), "Cruce -", IF(AND(CY138&gt;0,CY137&lt;0),"Cruce +", ""))</f>
        <v/>
      </c>
      <c r="DA138" s="3">
        <f>IF(RTD("tos.rtd",,DA$43,"."&amp;$B$134&amp;$AS$82&amp;"C"&amp;$A138)="N/A",0,RTD("tos.rtd",,DA$43,"."&amp;$B$134&amp;$AS$82&amp;"C"&amp;$A138))</f>
        <v>0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0</v>
      </c>
      <c r="DD138" s="3">
        <f>IF(RTD("tos.rtd",,DD$43,"."&amp;$B$134&amp;$AS$82&amp;"P"&amp;$A138)="N/A",0,RTD("tos.rtd",,DD$43,"."&amp;$B$134&amp;$AS$82&amp;"P"&amp;$A138))</f>
        <v>0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0</v>
      </c>
      <c r="DG138" s="86">
        <f t="shared" ref="DG138:DG189" si="378">+$A138-$A$136</f>
        <v>194.25</v>
      </c>
      <c r="DH138" s="3">
        <f t="shared" ref="DH138:DH189" si="379">IFERROR(((DA138-DE138)/(DC138-DE138))*(BA138-AP138),0)</f>
        <v>0</v>
      </c>
      <c r="DI138" s="3">
        <f t="shared" ref="DI138:DI189" si="380">IFERROR(((DB138-DF138)/(DD138-DF138))*(BB138-AQ138),0)</f>
        <v>0</v>
      </c>
      <c r="DJ138" s="3">
        <f t="shared" si="346"/>
        <v>0</v>
      </c>
      <c r="DK138" s="3">
        <f t="shared" si="347"/>
        <v>0</v>
      </c>
      <c r="DL138" s="3">
        <f t="shared" ref="DL138:DL189" si="381">IFERROR(DH138+DI138,0)</f>
        <v>0</v>
      </c>
      <c r="DM138" s="3">
        <f t="shared" ref="DM138:DM189" si="382">IFERROR(DJ138+DK138,0)</f>
        <v>0</v>
      </c>
      <c r="DN138" s="64" t="str">
        <f t="shared" si="348"/>
        <v>UNKNOWN</v>
      </c>
      <c r="DO138" s="64" t="str">
        <f t="shared" si="349"/>
        <v>UNKNOWN</v>
      </c>
      <c r="DP138" s="3">
        <f t="shared" si="350"/>
        <v>0</v>
      </c>
      <c r="DQ138" s="3">
        <f t="shared" si="351"/>
        <v>0</v>
      </c>
      <c r="DR138" s="3">
        <f t="shared" ca="1" si="352"/>
        <v>0</v>
      </c>
      <c r="DS138" s="3">
        <f t="shared" si="353"/>
        <v>0</v>
      </c>
      <c r="DT138" s="3">
        <f t="shared" ref="DT138:DT189" si="383">BA138-VLOOKUP(AZ138,$AO$137:$AQ$189,2,FALSE)</f>
        <v>0</v>
      </c>
      <c r="DU138" s="3">
        <f t="shared" ref="DU138:DU189" si="384">BB138-VLOOKUP(AZ138,$AO$137:$AQ$189,3,FALSE)</f>
        <v>0</v>
      </c>
      <c r="DV138" s="3">
        <f t="shared" si="354"/>
        <v>0</v>
      </c>
      <c r="DW138" s="3">
        <f t="shared" si="355"/>
        <v>0</v>
      </c>
      <c r="DX138" s="3">
        <f t="shared" ca="1" si="356"/>
        <v>6.6263417754071474E-5</v>
      </c>
      <c r="DY138" s="3">
        <f t="shared" ca="1" si="357"/>
        <v>-6.6263417754071474E-5</v>
      </c>
      <c r="DZ138" s="3">
        <f t="shared" ca="1" si="358"/>
        <v>8.8053661861854117E-4</v>
      </c>
      <c r="EA138" s="3">
        <f t="shared" ca="1" si="359"/>
        <v>-7.4316087481919753E-4</v>
      </c>
      <c r="EB138" s="3">
        <f t="shared" ca="1" si="360"/>
        <v>8.8171285053602344E-4</v>
      </c>
      <c r="EC138" s="3">
        <f t="shared" ca="1" si="361"/>
        <v>-8.1344236834835588E-4</v>
      </c>
      <c r="ED138" s="63">
        <f t="shared" ref="ED138:ED189" si="385">+DV138+DW138</f>
        <v>0</v>
      </c>
      <c r="EE138" s="59">
        <f t="shared" si="362"/>
        <v>0.25</v>
      </c>
      <c r="EF138" s="59">
        <f t="shared" si="363"/>
        <v>0.25</v>
      </c>
      <c r="EG138" s="59">
        <f t="shared" si="364"/>
        <v>0.18049999999999999</v>
      </c>
      <c r="EH138" s="59">
        <f t="shared" si="365"/>
        <v>0.221</v>
      </c>
      <c r="EI138" s="59">
        <f t="shared" si="366"/>
        <v>0.1802</v>
      </c>
      <c r="EJ138" s="59">
        <f t="shared" si="367"/>
        <v>0.1988</v>
      </c>
      <c r="EK138" s="63">
        <f t="shared" ref="EK138:EK189" ca="1" si="386">+DV138*DX138*$A$136*$A$136+DW138*DY138*$A$136*$A$136</f>
        <v>0</v>
      </c>
      <c r="EL138" s="3" t="str">
        <f>RTD("tos.rtd",,EL$43,"."&amp;$B$134&amp;$AS$82&amp;"C"&amp;$A138)</f>
        <v>N/A</v>
      </c>
      <c r="EM138" s="3" t="str">
        <f>RTD("tos.rtd",,EM$43,"."&amp;$B$134&amp;$AS$82&amp;"P"&amp;$A138)</f>
        <v>N/A</v>
      </c>
      <c r="EN138" s="3" t="str">
        <f>RTD("tos.rtd",,EN$2,"."&amp;$C$134&amp;$AU$82&amp;"C"&amp;$A138)</f>
        <v>18.05%</v>
      </c>
      <c r="EO138" s="3" t="str">
        <f>RTD("tos.rtd",,EO$2,"."&amp;$C$134&amp;$AU$82&amp;"P"&amp;$A138)</f>
        <v>22.10%</v>
      </c>
      <c r="EP138" s="3" t="str">
        <f>RTD("tos.rtd",,EP$2,"."&amp;$D$134&amp;$AW$82&amp;"C"&amp;$A138)</f>
        <v>18.02%</v>
      </c>
      <c r="EQ138" s="3" t="str">
        <f>RTD("tos.rtd",,EQ$2,"."&amp;$D$134&amp;$AW$82&amp;"P"&amp;$A138)</f>
        <v>19.88%</v>
      </c>
      <c r="ES138" s="63" t="str">
        <f t="shared" si="368"/>
        <v>21525,00.00</v>
      </c>
      <c r="ET138" s="63" t="str">
        <f t="shared" ca="1" si="369"/>
        <v>21525,00.24</v>
      </c>
      <c r="EU138" s="67">
        <v>592.74</v>
      </c>
      <c r="EV138" s="67" t="s">
        <v>1124</v>
      </c>
      <c r="EW138" s="67">
        <v>519.35</v>
      </c>
      <c r="EX138" s="67" t="s">
        <v>1125</v>
      </c>
      <c r="EY138" s="67">
        <v>5937.25</v>
      </c>
      <c r="EZ138" s="67" t="s">
        <v>1126</v>
      </c>
      <c r="FA138" s="67">
        <v>21317.25</v>
      </c>
      <c r="FB138" s="67" t="s">
        <v>1127</v>
      </c>
      <c r="FC138" s="67" t="s">
        <v>1128</v>
      </c>
      <c r="FD138" s="67" t="s">
        <v>1129</v>
      </c>
      <c r="FE138" s="68" t="s">
        <v>1130</v>
      </c>
      <c r="FF138" s="68" t="s">
        <v>1131</v>
      </c>
    </row>
    <row r="139" spans="1:162" ht="11.1" customHeight="1" thickBot="1" x14ac:dyDescent="0.25">
      <c r="A139" s="2">
        <f t="shared" ref="A139:A189" si="387">+A138-$A$133</f>
        <v>21500</v>
      </c>
      <c r="B139" s="3">
        <f t="shared" ref="B139:B144" si="388">+IF($A$1="ABS",AS139-AT139,AS139+AT139)</f>
        <v>39</v>
      </c>
      <c r="C139" s="3">
        <f t="shared" ref="C139:C144" si="389">+IF($A$1="ABS",AU139-AV139,AU139+AV139)</f>
        <v>27</v>
      </c>
      <c r="D139" s="3">
        <f t="shared" si="336"/>
        <v>1244</v>
      </c>
      <c r="E139" s="3">
        <f t="shared" ref="E139:E147" si="390">SUM(B139:D139)</f>
        <v>1310</v>
      </c>
      <c r="F139" s="4">
        <f t="shared" ref="F139:F147" si="391">+$F$136/$A$136*A139</f>
        <v>21590.714109911747</v>
      </c>
      <c r="G139" s="5">
        <f t="shared" ref="G139:G147" si="392">+$G$136/$A$136*A139</f>
        <v>523.75303259379064</v>
      </c>
      <c r="AM139" s="1">
        <v>74</v>
      </c>
      <c r="AN139" s="1">
        <v>-5</v>
      </c>
      <c r="AO139" s="1">
        <v>21500</v>
      </c>
      <c r="AP139" s="1">
        <v>962</v>
      </c>
      <c r="AQ139" s="1">
        <v>-19</v>
      </c>
      <c r="AS139" s="54">
        <f>IF(RTD("tos.rtd",,AS$83,"."&amp;$B$134&amp;$AS$82&amp;"C"&amp;$A139)="N/A",0,RTD("tos.rtd",,AS$83,"."&amp;$B$134&amp;$AS$82&amp;"C"&amp;$A139))</f>
        <v>31</v>
      </c>
      <c r="AT139" s="3">
        <f>-IF(RTD("tos.rtd",,AT$83,"."&amp;$B$134&amp;$AS$82&amp;"P"&amp;$A139)="N/A",0,RTD("tos.rtd",,AT$83,"."&amp;$B$134&amp;$AS$82&amp;"P"&amp;$A139))</f>
        <v>-8</v>
      </c>
      <c r="AU139" s="54">
        <f>IF(RTD("tos.rtd",,AU$2,"."&amp;$C$134&amp;$AU$134&amp;"C"&amp;$A139)="N/A",0,RTD("tos.rtd",,AU$2,"."&amp;$C$134&amp;$AU$134&amp;"C"&amp;$A139))</f>
        <v>22</v>
      </c>
      <c r="AV139" s="3">
        <f>-IF(RTD("tos.rtd",,AV$2,"."&amp;$C$134&amp;$AU$134&amp;"P"&amp;$A139)="N/A",0,RTD("tos.rtd",,AV$2,"."&amp;$C$134&amp;$AU$134&amp;"P"&amp;$A139))</f>
        <v>-5</v>
      </c>
      <c r="AW139" s="54">
        <f>IF(RTD("tos.rtd",,AW$2,"."&amp;$D$134&amp;$AW$134&amp;"C"&amp;$A139)="N/A",0,RTD("tos.rtd",,AW$2,"."&amp;$D$134&amp;$AW$134&amp;"C"&amp;$A139))</f>
        <v>775</v>
      </c>
      <c r="AX139" s="3">
        <f>-IF(RTD("tos.rtd",,AX$2,"."&amp;$D$134&amp;$AW$134&amp;"P"&amp;$A139)="N/A",0,RTD("tos.rtd",,AX$2,"."&amp;$D$134&amp;$AW$134&amp;"P"&amp;$A139))</f>
        <v>-469</v>
      </c>
      <c r="AY139" s="76">
        <f t="shared" ref="AY139:AY147" si="393">SUM(AS139:AX139)</f>
        <v>346</v>
      </c>
      <c r="AZ139" s="8">
        <f t="shared" si="337"/>
        <v>21500</v>
      </c>
      <c r="BA139" s="54">
        <f>IF(RTD("tos.rtd",,BA$43,"."&amp;$B$134&amp;$AS$82&amp;"C"&amp;$A139)="N/A",0,RTD("tos.rtd",,BA$43,"."&amp;$B$134&amp;$AS$82&amp;"C"&amp;$A139))</f>
        <v>962</v>
      </c>
      <c r="BB139" s="3">
        <f>-IF(RTD("tos.rtd",,BB$43,"."&amp;$B$134&amp;$AS$82&amp;"P"&amp;$A139)="N/A",0,RTD("tos.rtd",,BB$43,"."&amp;$B$134&amp;$AS$82&amp;"P"&amp;$A139))</f>
        <v>-19</v>
      </c>
      <c r="BC139" s="54">
        <f>IF(RTD("tos.rtd",,BC$2,"."&amp;$C$134&amp;$AU$82&amp;"C"&amp;$A139)="N/A",0,RTD("tos.rtd",,BC$2,"."&amp;$C$134&amp;$AU$82&amp;"C"&amp;$A139))</f>
        <v>30</v>
      </c>
      <c r="BD139" s="3">
        <f>-IF(RTD("tos.rtd",,BD$2,"."&amp;$C$134&amp;$AU$82&amp;"P"&amp;$A139)="N/A",0,RTD("tos.rtd",,BD$2,"."&amp;$C$134&amp;$AU$82&amp;"P"&amp;$A139))</f>
        <v>-1</v>
      </c>
      <c r="BE139" s="54">
        <f>IF(RTD("tos.rtd",,BE$2,"."&amp;$D$134&amp;$AW$82&amp;"C"&amp;$A139)="N/A",0,RTD("tos.rtd",,BE$2,"."&amp;$D$134&amp;$AW$82&amp;"C"&amp;$A139))</f>
        <v>42</v>
      </c>
      <c r="BF139" s="3">
        <f>-IF(RTD("tos.rtd",,BF$2,"."&amp;$D$134&amp;$AW$82&amp;"P"&amp;$A139)="N/A",0,RTD("tos.rtd",,BF$2,"."&amp;$D$134&amp;$AW$82&amp;"P"&amp;$A139))</f>
        <v>-4</v>
      </c>
      <c r="BG139" s="3">
        <f ca="1">+Hoja2!Y140</f>
        <v>245</v>
      </c>
      <c r="BH139" s="7">
        <f t="shared" ca="1" si="338"/>
        <v>1255</v>
      </c>
      <c r="BI139" s="32" t="str">
        <f ca="1">IF(AND(BH139&lt;0,BH138&gt;0), "Cruce -", IF(AND(BH139&gt;0,BH138&lt;0),"Cruce +", ""))</f>
        <v/>
      </c>
      <c r="BJ139" s="3">
        <f ca="1">IF($BP$1=1,DX139,IF(RTD("tos.rtd",,BJ$43,"."&amp;$B$134&amp;$AS$82&amp;"C"&amp;$A139)="N/A",0,RTD("tos.rtd",,BJ$43,"."&amp;$B$134&amp;$AS$82&amp;"C"&amp;$A139)))</f>
        <v>3.7060501555295403E-4</v>
      </c>
      <c r="BK139" s="3">
        <f ca="1">IF($BP$1=1,DY139,-IF(RTD("tos.rtd",,BK$43,"."&amp;$B$134&amp;$AS$82&amp;"P"&amp;$A139)="N/A",0,RTD("tos.rtd",,BK$43,"."&amp;$B$134&amp;$AS$82&amp;"P"&amp;$A139)))</f>
        <v>-1.9733251810334193E-4</v>
      </c>
      <c r="BL139" s="3">
        <f ca="1">IF($BP$1=1,DZ139,IF(RTD("tos.rtd",,BL$2,"."&amp;$C$134&amp;$AU$82&amp;"C"&amp;$A139)="N/A",0,RTD("tos.rtd",,BL$2,"."&amp;$C$134&amp;$AU$82&amp;"C"&amp;$A139)))</f>
        <v>9.0135892026837149E-4</v>
      </c>
      <c r="BM139" s="3">
        <f ca="1">IF($BP$1=1,EA139,-IF(RTD("tos.rtd",,BM$2,"."&amp;$C$134&amp;$AU$82&amp;"P"&amp;$A139)="N/A",0,RTD("tos.rtd",,BM$2,"."&amp;$C$134&amp;$AU$82&amp;"P"&amp;$A139)))</f>
        <v>-7.5702073554703361E-4</v>
      </c>
      <c r="BN139" s="3">
        <f ca="1">IF($BP$1=1,EB139,IF(RTD("tos.rtd",,BN$2,"."&amp;$D$134&amp;$AW$82&amp;"C"&amp;$A139)="N/A",0,RTD("tos.rtd",,BN$2,"."&amp;$D$134&amp;$AW$82&amp;"C"&amp;$A139)))</f>
        <v>9.0093362837263217E-4</v>
      </c>
      <c r="BO139" s="3">
        <f ca="1">IF($BP$1=1,EC139,-IF(RTD("tos.rtd",,BO$2,"."&amp;$D$134&amp;$AW$82&amp;"P"&amp;$A139)="N/A",0,RTD("tos.rtd",,BO$2,"."&amp;$D$134&amp;$AW$82&amp;"P"&amp;$A139)))</f>
        <v>-8.2763319931758732E-4</v>
      </c>
      <c r="BQ139" s="3">
        <f t="shared" ref="BQ139:BQ147" ca="1" si="394">+$A$84*$A$84*AS139*BJ139-$A$84*$A$84*AT139*BK139</f>
        <v>349104.83676032326</v>
      </c>
      <c r="BR139" s="3" t="str">
        <f t="shared" ca="1" si="339"/>
        <v/>
      </c>
      <c r="BS139" s="3">
        <f t="shared" ref="BS139:BS147" ca="1" si="395">+$A$84*$A$84*AU139*BL139-$A$84*$A$84*AV139*BM139</f>
        <v>565212.99742425838</v>
      </c>
      <c r="BT139" s="3" t="str">
        <f t="shared" ca="1" si="340"/>
        <v/>
      </c>
      <c r="BU139" s="3">
        <f t="shared" ref="BU139:BU147" ca="1" si="396">+$A$84*$A$84*AW139*BN139-$A$84*$A$84*AX139*BO139</f>
        <v>10922669.844702298</v>
      </c>
      <c r="BV139" s="3" t="str">
        <f t="shared" ca="1" si="340"/>
        <v/>
      </c>
      <c r="BX139" s="3">
        <f t="shared" ca="1" si="370"/>
        <v>95254.041361585929</v>
      </c>
      <c r="BY139" s="3" t="str">
        <f t="shared" ca="1" si="371"/>
        <v/>
      </c>
      <c r="BZ139" s="3">
        <f t="shared" ca="1" si="372"/>
        <v>7097.0147667735182</v>
      </c>
      <c r="CA139" s="3" t="str">
        <f t="shared" ca="1" si="371"/>
        <v/>
      </c>
      <c r="CB139" s="3">
        <f t="shared" ca="1" si="373"/>
        <v>9323.2730533887243</v>
      </c>
      <c r="CC139" s="3" t="str">
        <f t="shared" ca="1" si="371"/>
        <v/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1</v>
      </c>
      <c r="CF139" s="3">
        <f>IF(RTD("tos.rtd",,CF$2,"."&amp;$C$134&amp;$AU$82&amp;"C"&amp;$A139)="N/A",0,RTD("tos.rtd",,CF$2,"."&amp;$C$134&amp;$AU$82&amp;"C"&amp;$A139))</f>
        <v>0.36</v>
      </c>
      <c r="CG139" s="3">
        <f>-IF(RTD("tos.rtd",,CG$2,"."&amp;$C$134&amp;$AU$82&amp;"P"&amp;$A139)="N/A",0,RTD("tos.rtd",,CG$2,"."&amp;$C$134&amp;$AU$82&amp;"P"&amp;$A139))</f>
        <v>0.61</v>
      </c>
      <c r="CH139" s="3">
        <f>IF(RTD("tos.rtd",,CH$2,"."&amp;$D$134&amp;$AW$82&amp;"C"&amp;$A139)="N/A",0,RTD("tos.rtd",,CH$2,"."&amp;$D$134&amp;$AW$82&amp;"C"&amp;$A139))</f>
        <v>0.49</v>
      </c>
      <c r="CI139" s="3">
        <f>-IF(RTD("tos.rtd",,CI$2,"."&amp;$D$134&amp;$AW$82&amp;"P"&amp;$A139)="N/A",0,RTD("tos.rtd",,CI$2,"."&amp;$D$134&amp;$AW$82&amp;"P"&amp;$A139))</f>
        <v>0.51</v>
      </c>
      <c r="CK139" s="3">
        <f t="shared" si="374"/>
        <v>-17064600</v>
      </c>
      <c r="CL139" s="3"/>
      <c r="CM139" s="3">
        <f t="shared" si="375"/>
        <v>10388075.25</v>
      </c>
      <c r="CN139" s="3"/>
      <c r="CO139" s="3">
        <f t="shared" si="376"/>
        <v>299825022</v>
      </c>
      <c r="CP139" s="3">
        <f t="shared" si="331"/>
        <v>293148497.25</v>
      </c>
      <c r="CQ139" s="3">
        <f t="shared" si="341"/>
        <v>943</v>
      </c>
      <c r="CR139" s="3"/>
      <c r="CS139" s="3">
        <f t="shared" si="342"/>
        <v>29</v>
      </c>
      <c r="CT139" s="3"/>
      <c r="CU139" s="3">
        <f t="shared" si="343"/>
        <v>38</v>
      </c>
      <c r="CV139" s="3"/>
      <c r="CW139" s="3">
        <f t="shared" ca="1" si="344"/>
        <v>11836987.678886879</v>
      </c>
      <c r="CY139" s="3">
        <f t="shared" ca="1" si="345"/>
        <v>111674.32918174817</v>
      </c>
      <c r="CZ139" s="70" t="str">
        <f t="shared" ca="1" si="377"/>
        <v/>
      </c>
      <c r="DA139" s="3">
        <f>IF(RTD("tos.rtd",,DA$43,"."&amp;$B$134&amp;$AS$82&amp;"C"&amp;$A139)="N/A",0,RTD("tos.rtd",,DA$43,"."&amp;$B$134&amp;$AS$82&amp;"C"&amp;$A139))</f>
        <v>0.25</v>
      </c>
      <c r="DB139" s="3">
        <f>IF(RTD("tos.rtd",,DB$43,"."&amp;$B$134&amp;$AS$82&amp;"P"&amp;$A139)="N/A",0,RTD("tos.rtd",,DB$43,"."&amp;$B$134&amp;$AS$82&amp;"P"&amp;$A139))</f>
        <v>143.9</v>
      </c>
      <c r="DC139" s="3">
        <f>IF(RTD("tos.rtd",,DC$43,"."&amp;$B$134&amp;$AS$82&amp;"C"&amp;$A139)="N/A",0,RTD("tos.rtd",,DC$43,"."&amp;$B$134&amp;$AS$82&amp;"C"&amp;$A139))</f>
        <v>0.05</v>
      </c>
      <c r="DD139" s="3">
        <f>IF(RTD("tos.rtd",,DD$43,"."&amp;$B$134&amp;$AS$82&amp;"P"&amp;$A139)="N/A",0,RTD("tos.rtd",,DD$43,"."&amp;$B$134&amp;$AS$82&amp;"P"&amp;$A139))</f>
        <v>136.1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120</v>
      </c>
      <c r="DG139" s="86">
        <f t="shared" si="378"/>
        <v>169.25</v>
      </c>
      <c r="DH139" s="3">
        <f t="shared" si="379"/>
        <v>0</v>
      </c>
      <c r="DI139" s="3">
        <f t="shared" si="380"/>
        <v>0</v>
      </c>
      <c r="DJ139" s="3">
        <f t="shared" si="346"/>
        <v>0</v>
      </c>
      <c r="DK139" s="3">
        <f t="shared" si="347"/>
        <v>0</v>
      </c>
      <c r="DL139" s="3">
        <f t="shared" si="381"/>
        <v>0</v>
      </c>
      <c r="DM139" s="3">
        <f t="shared" si="382"/>
        <v>0</v>
      </c>
      <c r="DN139" s="64" t="str">
        <f t="shared" si="348"/>
        <v>UNKNOWN</v>
      </c>
      <c r="DO139" s="64" t="str">
        <f t="shared" si="349"/>
        <v>UNKNOWN</v>
      </c>
      <c r="DP139" s="3">
        <f t="shared" si="350"/>
        <v>0</v>
      </c>
      <c r="DQ139" s="3">
        <f t="shared" si="351"/>
        <v>0</v>
      </c>
      <c r="DR139" s="3">
        <f t="shared" ca="1" si="352"/>
        <v>0</v>
      </c>
      <c r="DS139" s="3">
        <f t="shared" si="353"/>
        <v>0</v>
      </c>
      <c r="DT139" s="3">
        <f t="shared" si="383"/>
        <v>0</v>
      </c>
      <c r="DU139" s="3">
        <f t="shared" si="384"/>
        <v>0</v>
      </c>
      <c r="DV139" s="3">
        <f t="shared" si="354"/>
        <v>74</v>
      </c>
      <c r="DW139" s="3">
        <f t="shared" si="355"/>
        <v>-5</v>
      </c>
      <c r="DX139" s="3">
        <f t="shared" ca="1" si="356"/>
        <v>3.7060501555295403E-4</v>
      </c>
      <c r="DY139" s="3">
        <f t="shared" ca="1" si="357"/>
        <v>-1.9733251810334193E-4</v>
      </c>
      <c r="DZ139" s="3">
        <f t="shared" ca="1" si="358"/>
        <v>9.0135892026837149E-4</v>
      </c>
      <c r="EA139" s="3">
        <f t="shared" ca="1" si="359"/>
        <v>-7.5702073554703361E-4</v>
      </c>
      <c r="EB139" s="3">
        <f t="shared" ca="1" si="360"/>
        <v>9.0093362837263217E-4</v>
      </c>
      <c r="EC139" s="3">
        <f t="shared" ca="1" si="361"/>
        <v>-8.2763319931758732E-4</v>
      </c>
      <c r="ED139" s="63">
        <f t="shared" si="385"/>
        <v>69</v>
      </c>
      <c r="EE139" s="59">
        <f t="shared" si="362"/>
        <v>0.28270000000000001</v>
      </c>
      <c r="EF139" s="59">
        <f t="shared" si="363"/>
        <v>0.25</v>
      </c>
      <c r="EG139" s="59">
        <f t="shared" si="364"/>
        <v>0.1807</v>
      </c>
      <c r="EH139" s="59">
        <f t="shared" si="365"/>
        <v>0.22040000000000001</v>
      </c>
      <c r="EI139" s="59">
        <f t="shared" si="366"/>
        <v>0.18079999999999999</v>
      </c>
      <c r="EJ139" s="59">
        <f t="shared" si="367"/>
        <v>0.19939999999999999</v>
      </c>
      <c r="EK139" s="63">
        <f t="shared" ca="1" si="386"/>
        <v>12927227.796567695</v>
      </c>
      <c r="EL139" s="3" t="str">
        <f>RTD("tos.rtd",,EL$43,"."&amp;$B$134&amp;$AS$82&amp;"C"&amp;$A139)</f>
        <v>28.27%</v>
      </c>
      <c r="EM139" s="3" t="str">
        <f>RTD("tos.rtd",,EM$43,"."&amp;$B$134&amp;$AS$82&amp;"P"&amp;$A139)</f>
        <v>--</v>
      </c>
      <c r="EN139" s="3" t="str">
        <f>RTD("tos.rtd",,EN$2,"."&amp;$C$134&amp;$AU$82&amp;"C"&amp;$A139)</f>
        <v>18.07%</v>
      </c>
      <c r="EO139" s="3" t="str">
        <f>RTD("tos.rtd",,EO$2,"."&amp;$C$134&amp;$AU$82&amp;"P"&amp;$A139)</f>
        <v>22.04%</v>
      </c>
      <c r="EP139" s="3" t="str">
        <f>RTD("tos.rtd",,EP$2,"."&amp;$D$134&amp;$AW$82&amp;"C"&amp;$A139)</f>
        <v>18.08%</v>
      </c>
      <c r="EQ139" s="3" t="str">
        <f>RTD("tos.rtd",,EQ$2,"."&amp;$D$134&amp;$AW$82&amp;"P"&amp;$A139)</f>
        <v>19.94%</v>
      </c>
      <c r="ES139" s="63" t="str">
        <f t="shared" si="368"/>
        <v>21500,69.00</v>
      </c>
      <c r="ET139" s="63" t="str">
        <f t="shared" ca="1" si="369"/>
        <v>21500,111.67</v>
      </c>
      <c r="EU139" s="67">
        <v>592.76</v>
      </c>
      <c r="EV139" s="67" t="s">
        <v>1132</v>
      </c>
      <c r="EW139" s="67">
        <v>519.37</v>
      </c>
      <c r="EX139" s="67" t="s">
        <v>1133</v>
      </c>
      <c r="EY139" s="67">
        <v>5937.5</v>
      </c>
      <c r="EZ139" s="67" t="s">
        <v>1134</v>
      </c>
      <c r="FA139" s="67">
        <v>21317.25</v>
      </c>
      <c r="FB139" s="67" t="s">
        <v>1135</v>
      </c>
      <c r="FC139" s="67" t="s">
        <v>1136</v>
      </c>
      <c r="FD139" s="67" t="s">
        <v>1137</v>
      </c>
      <c r="FE139" s="68" t="s">
        <v>1138</v>
      </c>
      <c r="FF139" s="68" t="s">
        <v>1139</v>
      </c>
    </row>
    <row r="140" spans="1:162" ht="11.1" customHeight="1" thickBot="1" x14ac:dyDescent="0.25">
      <c r="A140" s="2">
        <f t="shared" si="387"/>
        <v>21475</v>
      </c>
      <c r="B140" s="3">
        <f t="shared" si="388"/>
        <v>9</v>
      </c>
      <c r="C140" s="3">
        <f t="shared" si="389"/>
        <v>11</v>
      </c>
      <c r="D140" s="3">
        <f t="shared" si="336"/>
        <v>67</v>
      </c>
      <c r="E140" s="3">
        <f t="shared" si="390"/>
        <v>87</v>
      </c>
      <c r="F140" s="4">
        <f t="shared" si="391"/>
        <v>21565.608628388592</v>
      </c>
      <c r="G140" s="5">
        <f t="shared" si="392"/>
        <v>523.14401743961173</v>
      </c>
      <c r="AM140" s="1">
        <v>-59</v>
      </c>
      <c r="AN140" s="1">
        <v>4</v>
      </c>
      <c r="AO140" s="1">
        <v>21475</v>
      </c>
      <c r="AP140" s="1">
        <v>311</v>
      </c>
      <c r="AQ140" s="1">
        <v>-5</v>
      </c>
      <c r="AS140" s="54">
        <f>IF(RTD("tos.rtd",,AS$83,"."&amp;$B$134&amp;$AS$82&amp;"C"&amp;$A140)="N/A",0,RTD("tos.rtd",,AS$83,"."&amp;$B$134&amp;$AS$82&amp;"C"&amp;$A140))</f>
        <v>9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7</v>
      </c>
      <c r="AV140" s="3">
        <f>-IF(RTD("tos.rtd",,AV$2,"."&amp;$C$134&amp;$AU$134&amp;"P"&amp;$A140)="N/A",0,RTD("tos.rtd",,AV$2,"."&amp;$C$134&amp;$AU$134&amp;"P"&amp;$A140))</f>
        <v>-4</v>
      </c>
      <c r="AW140" s="54">
        <f>IF(RTD("tos.rtd",,AW$2,"."&amp;$D$134&amp;$AW$134&amp;"C"&amp;$A140)="N/A",0,RTD("tos.rtd",,AW$2,"."&amp;$D$134&amp;$AW$134&amp;"C"&amp;$A140))</f>
        <v>39</v>
      </c>
      <c r="AX140" s="3">
        <f>-IF(RTD("tos.rtd",,AX$2,"."&amp;$D$134&amp;$AW$134&amp;"P"&amp;$A140)="N/A",0,RTD("tos.rtd",,AX$2,"."&amp;$D$134&amp;$AW$134&amp;"P"&amp;$A140))</f>
        <v>-28</v>
      </c>
      <c r="AY140" s="76">
        <f t="shared" si="393"/>
        <v>23</v>
      </c>
      <c r="AZ140" s="8">
        <f t="shared" si="337"/>
        <v>21475</v>
      </c>
      <c r="BA140" s="54">
        <f>IF(RTD("tos.rtd",,BA$43,"."&amp;$B$134&amp;$AS$82&amp;"C"&amp;$A140)="N/A",0,RTD("tos.rtd",,BA$43,"."&amp;$B$134&amp;$AS$82&amp;"C"&amp;$A140))</f>
        <v>311</v>
      </c>
      <c r="BB140" s="3">
        <f>-IF(RTD("tos.rtd",,BB$43,"."&amp;$B$134&amp;$AS$82&amp;"P"&amp;$A140)="N/A",0,RTD("tos.rtd",,BB$43,"."&amp;$B$134&amp;$AS$82&amp;"P"&amp;$A140))</f>
        <v>-5</v>
      </c>
      <c r="BC140" s="54">
        <f>IF(RTD("tos.rtd",,BC$2,"."&amp;$C$134&amp;$AU$82&amp;"C"&amp;$A140)="N/A",0,RTD("tos.rtd",,BC$2,"."&amp;$C$134&amp;$AU$82&amp;"C"&amp;$A140))</f>
        <v>0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3</v>
      </c>
      <c r="BF140" s="3">
        <f>-IF(RTD("tos.rtd",,BF$2,"."&amp;$D$134&amp;$AW$82&amp;"P"&amp;$A140)="N/A",0,RTD("tos.rtd",,BF$2,"."&amp;$D$134&amp;$AW$82&amp;"P"&amp;$A140))</f>
        <v>-3</v>
      </c>
      <c r="BG140" s="3">
        <f ca="1">+Hoja2!Y141</f>
        <v>15</v>
      </c>
      <c r="BH140" s="7">
        <f t="shared" ca="1" si="338"/>
        <v>321</v>
      </c>
      <c r="BI140" s="32" t="str">
        <f t="shared" ref="BI140:BI189" ca="1" si="397">IF(AND(BH140&lt;0,BH139&gt;0), "Cruce -", IF(AND(BH140&gt;0,BH139&lt;0),"Cruce +", ""))</f>
        <v/>
      </c>
      <c r="BJ140" s="3">
        <f ca="1">IF($BP$1=1,DX140,IF(RTD("tos.rtd",,BJ$43,"."&amp;$B$134&amp;$AS$82&amp;"C"&amp;$A140)="N/A",0,RTD("tos.rtd",,BJ$43,"."&amp;$B$134&amp;$AS$82&amp;"C"&amp;$A140)))</f>
        <v>1.5030156225099489E-3</v>
      </c>
      <c r="BK140" s="3">
        <f ca="1">IF($BP$1=1,DY140,-IF(RTD("tos.rtd",,BK$43,"."&amp;$B$134&amp;$AS$82&amp;"P"&amp;$A140)="N/A",0,RTD("tos.rtd",,BK$43,"."&amp;$B$134&amp;$AS$82&amp;"P"&amp;$A140)))</f>
        <v>-5.0648401496152678E-4</v>
      </c>
      <c r="BL140" s="3">
        <f ca="1">IF($BP$1=1,DZ140,IF(RTD("tos.rtd",,BL$2,"."&amp;$C$134&amp;$AU$82&amp;"C"&amp;$A140)="N/A",0,RTD("tos.rtd",,BL$2,"."&amp;$C$134&amp;$AU$82&amp;"C"&amp;$A140)))</f>
        <v>9.1927805458672559E-4</v>
      </c>
      <c r="BM140" s="3">
        <f ca="1">IF($BP$1=1,EA140,-IF(RTD("tos.rtd",,BM$2,"."&amp;$C$134&amp;$AU$82&amp;"P"&amp;$A140)="N/A",0,RTD("tos.rtd",,BM$2,"."&amp;$C$134&amp;$AU$82&amp;"P"&amp;$A140)))</f>
        <v>-7.5160055287819196E-4</v>
      </c>
      <c r="BN140" s="3">
        <f ca="1">IF($BP$1=1,EB140,IF(RTD("tos.rtd",,BN$2,"."&amp;$D$134&amp;$AW$82&amp;"C"&amp;$A140)="N/A",0,RTD("tos.rtd",,BN$2,"."&amp;$D$134&amp;$AW$82&amp;"C"&amp;$A140)))</f>
        <v>9.165545427149474E-4</v>
      </c>
      <c r="BO140" s="3">
        <f ca="1">IF($BP$1=1,EC140,-IF(RTD("tos.rtd",,BO$2,"."&amp;$D$134&amp;$AW$82&amp;"P"&amp;$A140)="N/A",0,RTD("tos.rtd",,BO$2,"."&amp;$D$134&amp;$AW$82&amp;"P"&amp;$A140)))</f>
        <v>-8.3902537044500255E-4</v>
      </c>
      <c r="BQ140" s="3">
        <f t="shared" ca="1" si="394"/>
        <v>476523.18682743399</v>
      </c>
      <c r="BR140" s="3" t="str">
        <f t="shared" ca="1" si="339"/>
        <v/>
      </c>
      <c r="BS140" s="3">
        <f t="shared" ca="1" si="395"/>
        <v>120777.98570656264</v>
      </c>
      <c r="BT140" s="3" t="str">
        <f t="shared" ca="1" si="340"/>
        <v/>
      </c>
      <c r="BU140" s="3">
        <f t="shared" ca="1" si="396"/>
        <v>431635.85933419771</v>
      </c>
      <c r="BV140" s="3" t="str">
        <f t="shared" ca="1" si="340"/>
        <v/>
      </c>
      <c r="BX140" s="3">
        <f t="shared" ca="1" si="370"/>
        <v>125531.59861018245</v>
      </c>
      <c r="BY140" s="3" t="str">
        <f t="shared" ca="1" si="371"/>
        <v/>
      </c>
      <c r="BZ140" s="3">
        <f t="shared" ca="1" si="372"/>
        <v>0</v>
      </c>
      <c r="CA140" s="3" t="str">
        <f t="shared" ca="1" si="371"/>
        <v/>
      </c>
      <c r="CB140" s="3">
        <f t="shared" ca="1" si="373"/>
        <v>62.80219671014197</v>
      </c>
      <c r="CC140" s="3" t="str">
        <f t="shared" ca="1" si="371"/>
        <v/>
      </c>
      <c r="CD140" s="3">
        <f>IF(RTD("tos.rtd",,CD$43,"."&amp;$B$134&amp;$AS$82&amp;"C"&amp;$A140)="N/A",0,RTD("tos.rtd",,CD$43,"."&amp;$B$134&amp;$AS$82&amp;"C"&amp;$A140))</f>
        <v>0.05</v>
      </c>
      <c r="CE140" s="3">
        <f>-IF(RTD("tos.rtd",,CE$43,"."&amp;$B$134&amp;$AS$82&amp;"P"&amp;$A140)="N/A",0,RTD("tos.rtd",,CE$43,"."&amp;$B$134&amp;$AS$82&amp;"P"&amp;$A140))</f>
        <v>1</v>
      </c>
      <c r="CF140" s="3">
        <f>IF(RTD("tos.rtd",,CF$2,"."&amp;$C$134&amp;$AU$82&amp;"C"&amp;$A140)="N/A",0,RTD("tos.rtd",,CF$2,"."&amp;$C$134&amp;$AU$82&amp;"C"&amp;$A140))</f>
        <v>0.39</v>
      </c>
      <c r="CG140" s="3">
        <f>-IF(RTD("tos.rtd",,CG$2,"."&amp;$C$134&amp;$AU$82&amp;"P"&amp;$A140)="N/A",0,RTD("tos.rtd",,CG$2,"."&amp;$C$134&amp;$AU$82&amp;"P"&amp;$A140))</f>
        <v>0.59</v>
      </c>
      <c r="CH140" s="3">
        <f>IF(RTD("tos.rtd",,CH$2,"."&amp;$D$134&amp;$AW$82&amp;"C"&amp;$A140)="N/A",0,RTD("tos.rtd",,CH$2,"."&amp;$D$134&amp;$AW$82&amp;"C"&amp;$A140))</f>
        <v>0.5</v>
      </c>
      <c r="CI140" s="3">
        <f>-IF(RTD("tos.rtd",,CI$2,"."&amp;$D$134&amp;$AW$82&amp;"P"&amp;$A140)="N/A",0,RTD("tos.rtd",,CI$2,"."&amp;$D$134&amp;$AW$82&amp;"P"&amp;$A140))</f>
        <v>0.5</v>
      </c>
      <c r="CK140" s="3">
        <f t="shared" si="374"/>
        <v>959883.75</v>
      </c>
      <c r="CL140" s="3"/>
      <c r="CM140" s="3">
        <f t="shared" si="375"/>
        <v>789237.75</v>
      </c>
      <c r="CN140" s="3"/>
      <c r="CO140" s="3">
        <f t="shared" si="376"/>
        <v>11731912.5</v>
      </c>
      <c r="CP140" s="3">
        <f t="shared" si="331"/>
        <v>13481034</v>
      </c>
      <c r="CQ140" s="3">
        <f t="shared" si="341"/>
        <v>306</v>
      </c>
      <c r="CR140" s="3"/>
      <c r="CS140" s="3">
        <f t="shared" si="342"/>
        <v>0</v>
      </c>
      <c r="CT140" s="3"/>
      <c r="CU140" s="3">
        <f t="shared" si="343"/>
        <v>0</v>
      </c>
      <c r="CV140" s="3"/>
      <c r="CW140" s="3">
        <f t="shared" ca="1" si="344"/>
        <v>1028937.0318681943</v>
      </c>
      <c r="CY140" s="3">
        <f t="shared" ca="1" si="345"/>
        <v>125594.40080689259</v>
      </c>
      <c r="CZ140" s="70" t="str">
        <f t="shared" ca="1" si="377"/>
        <v/>
      </c>
      <c r="DA140" s="3">
        <f>IF(RTD("tos.rtd",,DA$43,"."&amp;$B$134&amp;$AS$82&amp;"C"&amp;$A140)="N/A",0,RTD("tos.rtd",,DA$43,"."&amp;$B$134&amp;$AS$82&amp;"C"&amp;$A140))</f>
        <v>0.05</v>
      </c>
      <c r="DB140" s="3">
        <f>IF(RTD("tos.rtd",,DB$43,"."&amp;$B$134&amp;$AS$82&amp;"P"&amp;$A140)="N/A",0,RTD("tos.rtd",,DB$43,"."&amp;$B$134&amp;$AS$82&amp;"P"&amp;$A140))</f>
        <v>195.1</v>
      </c>
      <c r="DC140" s="3">
        <f>IF(RTD("tos.rtd",,DC$43,"."&amp;$B$134&amp;$AS$82&amp;"C"&amp;$A140)="N/A",0,RTD("tos.rtd",,DC$43,"."&amp;$B$134&amp;$AS$82&amp;"C"&amp;$A140))</f>
        <v>3</v>
      </c>
      <c r="DD140" s="3">
        <f>IF(RTD("tos.rtd",,DD$43,"."&amp;$B$134&amp;$AS$82&amp;"P"&amp;$A140)="N/A",0,RTD("tos.rtd",,DD$43,"."&amp;$B$134&amp;$AS$82&amp;"P"&amp;$A140))</f>
        <v>113.3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94.3</v>
      </c>
      <c r="DG140" s="86">
        <f t="shared" si="378"/>
        <v>144.25</v>
      </c>
      <c r="DH140" s="3">
        <f t="shared" si="379"/>
        <v>0</v>
      </c>
      <c r="DI140" s="3">
        <f t="shared" si="380"/>
        <v>0</v>
      </c>
      <c r="DJ140" s="3">
        <f t="shared" si="346"/>
        <v>0</v>
      </c>
      <c r="DK140" s="3">
        <f t="shared" si="347"/>
        <v>0</v>
      </c>
      <c r="DL140" s="3">
        <f t="shared" si="381"/>
        <v>0</v>
      </c>
      <c r="DM140" s="3">
        <f t="shared" si="382"/>
        <v>0</v>
      </c>
      <c r="DN140" s="64" t="str">
        <f t="shared" si="348"/>
        <v>UNKNOWN</v>
      </c>
      <c r="DO140" s="64" t="str">
        <f t="shared" si="349"/>
        <v>UNKNOWN</v>
      </c>
      <c r="DP140" s="3">
        <f t="shared" si="350"/>
        <v>0</v>
      </c>
      <c r="DQ140" s="3">
        <f t="shared" si="351"/>
        <v>0</v>
      </c>
      <c r="DR140" s="3">
        <f t="shared" ca="1" si="352"/>
        <v>0</v>
      </c>
      <c r="DS140" s="3">
        <f t="shared" si="353"/>
        <v>0</v>
      </c>
      <c r="DT140" s="3">
        <f t="shared" si="383"/>
        <v>0</v>
      </c>
      <c r="DU140" s="3">
        <f t="shared" si="384"/>
        <v>0</v>
      </c>
      <c r="DV140" s="3">
        <f t="shared" si="354"/>
        <v>-59</v>
      </c>
      <c r="DW140" s="3">
        <f t="shared" si="355"/>
        <v>4</v>
      </c>
      <c r="DX140" s="3">
        <f t="shared" ca="1" si="356"/>
        <v>1.5030156225099489E-3</v>
      </c>
      <c r="DY140" s="3">
        <f t="shared" ca="1" si="357"/>
        <v>-5.0648401496152678E-4</v>
      </c>
      <c r="DZ140" s="3">
        <f t="shared" ca="1" si="358"/>
        <v>9.1927805458672559E-4</v>
      </c>
      <c r="EA140" s="3">
        <f t="shared" ca="1" si="359"/>
        <v>-7.5160055287819196E-4</v>
      </c>
      <c r="EB140" s="3">
        <f t="shared" ca="1" si="360"/>
        <v>9.165545427149474E-4</v>
      </c>
      <c r="EC140" s="3">
        <f t="shared" ca="1" si="361"/>
        <v>-8.3902537044500255E-4</v>
      </c>
      <c r="ED140" s="63">
        <f t="shared" si="385"/>
        <v>-55</v>
      </c>
      <c r="EE140" s="59">
        <f t="shared" si="362"/>
        <v>0.41199999999999998</v>
      </c>
      <c r="EF140" s="59">
        <f t="shared" si="363"/>
        <v>0.25</v>
      </c>
      <c r="EG140" s="59">
        <f t="shared" si="364"/>
        <v>0.18090000000000001</v>
      </c>
      <c r="EH140" s="59">
        <f t="shared" si="365"/>
        <v>0.22539999999999999</v>
      </c>
      <c r="EI140" s="59">
        <f t="shared" si="366"/>
        <v>0.18149999999999999</v>
      </c>
      <c r="EJ140" s="59">
        <f t="shared" si="367"/>
        <v>0.2001</v>
      </c>
      <c r="EK140" s="63">
        <f t="shared" ca="1" si="386"/>
        <v>-41270336.524483196</v>
      </c>
      <c r="EL140" s="3" t="str">
        <f>RTD("tos.rtd",,EL$43,"."&amp;$B$134&amp;$AS$82&amp;"C"&amp;$A140)</f>
        <v>41.20%</v>
      </c>
      <c r="EM140" s="3" t="str">
        <f>RTD("tos.rtd",,EM$43,"."&amp;$B$134&amp;$AS$82&amp;"P"&amp;$A140)</f>
        <v>--</v>
      </c>
      <c r="EN140" s="3" t="str">
        <f>RTD("tos.rtd",,EN$2,"."&amp;$C$134&amp;$AU$82&amp;"C"&amp;$A140)</f>
        <v>18.09%</v>
      </c>
      <c r="EO140" s="3" t="str">
        <f>RTD("tos.rtd",,EO$2,"."&amp;$C$134&amp;$AU$82&amp;"P"&amp;$A140)</f>
        <v>22.54%</v>
      </c>
      <c r="EP140" s="3" t="str">
        <f>RTD("tos.rtd",,EP$2,"."&amp;$D$134&amp;$AW$82&amp;"C"&amp;$A140)</f>
        <v>18.15%</v>
      </c>
      <c r="EQ140" s="3" t="str">
        <f>RTD("tos.rtd",,EQ$2,"."&amp;$D$134&amp;$AW$82&amp;"P"&amp;$A140)</f>
        <v>20.01%</v>
      </c>
      <c r="ES140" s="63" t="str">
        <f t="shared" si="368"/>
        <v>21475,-55.00</v>
      </c>
      <c r="ET140" s="63" t="str">
        <f t="shared" ca="1" si="369"/>
        <v>21475,125.59</v>
      </c>
      <c r="EU140" s="67">
        <v>593.11</v>
      </c>
      <c r="EV140" s="67" t="s">
        <v>1140</v>
      </c>
      <c r="EW140" s="67">
        <v>519.71</v>
      </c>
      <c r="EX140" s="67" t="s">
        <v>1141</v>
      </c>
      <c r="EY140" s="67">
        <v>5941</v>
      </c>
      <c r="EZ140" s="67" t="s">
        <v>1142</v>
      </c>
      <c r="FA140" s="67">
        <v>21331.5</v>
      </c>
      <c r="FB140" s="67" t="s">
        <v>1143</v>
      </c>
      <c r="FC140" s="67" t="s">
        <v>1144</v>
      </c>
      <c r="FD140" s="67" t="s">
        <v>1145</v>
      </c>
      <c r="FE140" s="68" t="s">
        <v>1146</v>
      </c>
      <c r="FF140" s="68" t="s">
        <v>1147</v>
      </c>
    </row>
    <row r="141" spans="1:162" ht="11.1" customHeight="1" thickBot="1" x14ac:dyDescent="0.25">
      <c r="A141" s="2">
        <f t="shared" si="387"/>
        <v>21450</v>
      </c>
      <c r="B141" s="3">
        <f t="shared" si="388"/>
        <v>26</v>
      </c>
      <c r="C141" s="3">
        <f t="shared" si="389"/>
        <v>57</v>
      </c>
      <c r="D141" s="3">
        <f t="shared" si="336"/>
        <v>162</v>
      </c>
      <c r="E141" s="3">
        <f t="shared" si="390"/>
        <v>245</v>
      </c>
      <c r="F141" s="4">
        <f t="shared" si="391"/>
        <v>21540.503146865442</v>
      </c>
      <c r="G141" s="5">
        <f t="shared" si="392"/>
        <v>522.53500228543294</v>
      </c>
      <c r="AM141" s="1">
        <v>-260</v>
      </c>
      <c r="AN141" s="1">
        <v>3</v>
      </c>
      <c r="AO141" s="1">
        <v>21450</v>
      </c>
      <c r="AP141" s="1">
        <v>836</v>
      </c>
      <c r="AQ141" s="1">
        <v>-17</v>
      </c>
      <c r="AS141" s="54">
        <f>IF(RTD("tos.rtd",,AS$83,"."&amp;$B$134&amp;$AS$82&amp;"C"&amp;$A141)="N/A",0,RTD("tos.rtd",,AS$83,"."&amp;$B$134&amp;$AS$82&amp;"C"&amp;$A141))</f>
        <v>15</v>
      </c>
      <c r="AT141" s="3">
        <f>-IF(RTD("tos.rtd",,AT$83,"."&amp;$B$134&amp;$AS$82&amp;"P"&amp;$A141)="N/A",0,RTD("tos.rtd",,AT$83,"."&amp;$B$134&amp;$AS$82&amp;"P"&amp;$A141))</f>
        <v>-11</v>
      </c>
      <c r="AU141" s="54">
        <f>IF(RTD("tos.rtd",,AU$2,"."&amp;$C$134&amp;$AU$134&amp;"C"&amp;$A141)="N/A",0,RTD("tos.rtd",,AU$2,"."&amp;$C$134&amp;$AU$134&amp;"C"&amp;$A141))</f>
        <v>51</v>
      </c>
      <c r="AV141" s="3">
        <f>-IF(RTD("tos.rtd",,AV$2,"."&amp;$C$134&amp;$AU$134&amp;"P"&amp;$A141)="N/A",0,RTD("tos.rtd",,AV$2,"."&amp;$C$134&amp;$AU$134&amp;"P"&amp;$A141))</f>
        <v>-6</v>
      </c>
      <c r="AW141" s="54">
        <f>IF(RTD("tos.rtd",,AW$2,"."&amp;$D$134&amp;$AW$134&amp;"C"&amp;$A141)="N/A",0,RTD("tos.rtd",,AW$2,"."&amp;$D$134&amp;$AW$134&amp;"C"&amp;$A141))</f>
        <v>93</v>
      </c>
      <c r="AX141" s="3">
        <f>-IF(RTD("tos.rtd",,AX$2,"."&amp;$D$134&amp;$AW$134&amp;"P"&amp;$A141)="N/A",0,RTD("tos.rtd",,AX$2,"."&amp;$D$134&amp;$AW$134&amp;"P"&amp;$A141))</f>
        <v>-69</v>
      </c>
      <c r="AY141" s="76">
        <f t="shared" si="393"/>
        <v>73</v>
      </c>
      <c r="AZ141" s="8">
        <f t="shared" si="337"/>
        <v>21450</v>
      </c>
      <c r="BA141" s="54">
        <f>IF(RTD("tos.rtd",,BA$43,"."&amp;$B$134&amp;$AS$82&amp;"C"&amp;$A141)="N/A",0,RTD("tos.rtd",,BA$43,"."&amp;$B$134&amp;$AS$82&amp;"C"&amp;$A141))</f>
        <v>836</v>
      </c>
      <c r="BB141" s="3">
        <f>-IF(RTD("tos.rtd",,BB$43,"."&amp;$B$134&amp;$AS$82&amp;"P"&amp;$A141)="N/A",0,RTD("tos.rtd",,BB$43,"."&amp;$B$134&amp;$AS$82&amp;"P"&amp;$A141))</f>
        <v>-17</v>
      </c>
      <c r="BC141" s="54">
        <f>IF(RTD("tos.rtd",,BC$2,"."&amp;$C$134&amp;$AU$82&amp;"C"&amp;$A141)="N/A",0,RTD("tos.rtd",,BC$2,"."&amp;$C$134&amp;$AU$82&amp;"C"&amp;$A141))</f>
        <v>7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41</v>
      </c>
      <c r="BF141" s="3">
        <f>-IF(RTD("tos.rtd",,BF$2,"."&amp;$D$134&amp;$AW$82&amp;"P"&amp;$A141)="N/A",0,RTD("tos.rtd",,BF$2,"."&amp;$D$134&amp;$AW$82&amp;"P"&amp;$A141))</f>
        <v>-45</v>
      </c>
      <c r="BG141" s="3">
        <f ca="1">+Hoja2!Y142</f>
        <v>63</v>
      </c>
      <c r="BH141" s="7">
        <f t="shared" ca="1" si="338"/>
        <v>885</v>
      </c>
      <c r="BI141" s="32" t="str">
        <f t="shared" ca="1" si="397"/>
        <v/>
      </c>
      <c r="BJ141" s="3">
        <f ca="1">IF($BP$1=1,DX141,IF(RTD("tos.rtd",,BJ$43,"."&amp;$B$134&amp;$AS$82&amp;"C"&amp;$A141)="N/A",0,RTD("tos.rtd",,BJ$43,"."&amp;$B$134&amp;$AS$82&amp;"C"&amp;$A141)))</f>
        <v>5.0930104596802158E-4</v>
      </c>
      <c r="BK141" s="3">
        <f ca="1">IF($BP$1=1,DY141,-IF(RTD("tos.rtd",,BK$43,"."&amp;$B$134&amp;$AS$82&amp;"P"&amp;$A141)="N/A",0,RTD("tos.rtd",,BK$43,"."&amp;$B$134&amp;$AS$82&amp;"P"&amp;$A141)))</f>
        <v>-1.1198215144739164E-3</v>
      </c>
      <c r="BL141" s="3">
        <f ca="1">IF($BP$1=1,DZ141,IF(RTD("tos.rtd",,BL$2,"."&amp;$C$134&amp;$AU$82&amp;"C"&amp;$A141)="N/A",0,RTD("tos.rtd",,BL$2,"."&amp;$C$134&amp;$AU$82&amp;"C"&amp;$A141)))</f>
        <v>9.3363403195816271E-4</v>
      </c>
      <c r="BM141" s="3">
        <f ca="1">IF($BP$1=1,EA141,-IF(RTD("tos.rtd",,BM$2,"."&amp;$C$134&amp;$AU$82&amp;"P"&amp;$A141)="N/A",0,RTD("tos.rtd",,BM$2,"."&amp;$C$134&amp;$AU$82&amp;"P"&amp;$A141)))</f>
        <v>-7.5113660831211478E-4</v>
      </c>
      <c r="BN141" s="3">
        <f ca="1">IF($BP$1=1,EB141,IF(RTD("tos.rtd",,BN$2,"."&amp;$D$134&amp;$AW$82&amp;"C"&amp;$A141)="N/A",0,RTD("tos.rtd",,BN$2,"."&amp;$D$134&amp;$AW$82&amp;"C"&amp;$A141)))</f>
        <v>9.2933496368437457E-4</v>
      </c>
      <c r="BO141" s="3">
        <f ca="1">IF($BP$1=1,EC141,-IF(RTD("tos.rtd",,BO$2,"."&amp;$D$134&amp;$AW$82&amp;"P"&amp;$A141)="N/A",0,RTD("tos.rtd",,BO$2,"."&amp;$D$134&amp;$AW$82&amp;"P"&amp;$A141)))</f>
        <v>-8.4790144051455254E-4</v>
      </c>
      <c r="BQ141" s="3">
        <f t="shared" ca="1" si="394"/>
        <v>-164811.15910706099</v>
      </c>
      <c r="BR141" s="3" t="str">
        <f t="shared" ca="1" si="339"/>
        <v>Cruce -</v>
      </c>
      <c r="BS141" s="3">
        <f t="shared" ca="1" si="395"/>
        <v>1518591.9935108433</v>
      </c>
      <c r="BT141" s="3" t="str">
        <f t="shared" ca="1" si="340"/>
        <v/>
      </c>
      <c r="BU141" s="3">
        <f t="shared" ca="1" si="396"/>
        <v>983647.21501904447</v>
      </c>
      <c r="BV141" s="3" t="str">
        <f t="shared" ca="1" si="340"/>
        <v/>
      </c>
      <c r="BX141" s="3">
        <f t="shared" ca="1" si="370"/>
        <v>109825.68945536777</v>
      </c>
      <c r="BY141" s="3" t="str">
        <f t="shared" ca="1" si="371"/>
        <v/>
      </c>
      <c r="BZ141" s="3">
        <f t="shared" ca="1" si="372"/>
        <v>1764.6685537634207</v>
      </c>
      <c r="CA141" s="3" t="str">
        <f t="shared" ca="1" si="371"/>
        <v/>
      </c>
      <c r="CB141" s="3">
        <f t="shared" ca="1" si="373"/>
        <v>-14.265264534336893</v>
      </c>
      <c r="CC141" s="3" t="str">
        <f t="shared" ca="1" si="371"/>
        <v>Cruce -</v>
      </c>
      <c r="CD141" s="3">
        <f>IF(RTD("tos.rtd",,CD$43,"."&amp;$B$134&amp;$AS$82&amp;"C"&amp;$A141)="N/A",0,RTD("tos.rtd",,CD$43,"."&amp;$B$134&amp;$AS$82&amp;"C"&amp;$A141))</f>
        <v>0</v>
      </c>
      <c r="CE141" s="3">
        <f>-IF(RTD("tos.rtd",,CE$43,"."&amp;$B$134&amp;$AS$82&amp;"P"&amp;$A141)="N/A",0,RTD("tos.rtd",,CE$43,"."&amp;$B$134&amp;$AS$82&amp;"P"&amp;$A141))</f>
        <v>1</v>
      </c>
      <c r="CF141" s="3">
        <f>IF(RTD("tos.rtd",,CF$2,"."&amp;$C$134&amp;$AU$82&amp;"C"&amp;$A141)="N/A",0,RTD("tos.rtd",,CF$2,"."&amp;$C$134&amp;$AU$82&amp;"C"&amp;$A141))</f>
        <v>0.42</v>
      </c>
      <c r="CG141" s="3">
        <f>-IF(RTD("tos.rtd",,CG$2,"."&amp;$C$134&amp;$AU$82&amp;"P"&amp;$A141)="N/A",0,RTD("tos.rtd",,CG$2,"."&amp;$C$134&amp;$AU$82&amp;"P"&amp;$A141))</f>
        <v>0.56000000000000005</v>
      </c>
      <c r="CH141" s="3">
        <f>IF(RTD("tos.rtd",,CH$2,"."&amp;$D$134&amp;$AW$82&amp;"C"&amp;$A141)="N/A",0,RTD("tos.rtd",,CH$2,"."&amp;$D$134&amp;$AW$82&amp;"C"&amp;$A141))</f>
        <v>0.51</v>
      </c>
      <c r="CI141" s="3">
        <f>-IF(RTD("tos.rtd",,CI$2,"."&amp;$D$134&amp;$AW$82&amp;"P"&amp;$A141)="N/A",0,RTD("tos.rtd",,CI$2,"."&amp;$D$134&amp;$AW$82&amp;"P"&amp;$A141))</f>
        <v>0.49</v>
      </c>
      <c r="CK141" s="3">
        <f t="shared" si="374"/>
        <v>-23463825</v>
      </c>
      <c r="CL141" s="3"/>
      <c r="CM141" s="3">
        <f t="shared" si="375"/>
        <v>38523334.5</v>
      </c>
      <c r="CN141" s="3"/>
      <c r="CO141" s="3">
        <f t="shared" si="376"/>
        <v>29052481.5</v>
      </c>
      <c r="CP141" s="3">
        <f t="shared" si="331"/>
        <v>44111991</v>
      </c>
      <c r="CQ141" s="3">
        <f t="shared" si="341"/>
        <v>819</v>
      </c>
      <c r="CR141" s="3"/>
      <c r="CS141" s="3">
        <f t="shared" si="342"/>
        <v>7</v>
      </c>
      <c r="CT141" s="3"/>
      <c r="CU141" s="3">
        <f t="shared" si="343"/>
        <v>-4</v>
      </c>
      <c r="CV141" s="3"/>
      <c r="CW141" s="3">
        <f t="shared" ca="1" si="344"/>
        <v>2337428.0494228266</v>
      </c>
      <c r="CY141" s="3">
        <f t="shared" ca="1" si="345"/>
        <v>111576.09274459686</v>
      </c>
      <c r="CZ141" s="70" t="str">
        <f t="shared" ca="1" si="377"/>
        <v/>
      </c>
      <c r="DA141" s="3">
        <f>IF(RTD("tos.rtd",,DA$43,"."&amp;$B$134&amp;$AS$82&amp;"C"&amp;$A141)="N/A",0,RTD("tos.rtd",,DA$43,"."&amp;$B$134&amp;$AS$82&amp;"C"&amp;$A141))</f>
        <v>0.05</v>
      </c>
      <c r="DB141" s="3">
        <f>IF(RTD("tos.rtd",,DB$43,"."&amp;$B$134&amp;$AS$82&amp;"P"&amp;$A141)="N/A",0,RTD("tos.rtd",,DB$43,"."&amp;$B$134&amp;$AS$82&amp;"P"&amp;$A141))</f>
        <v>150</v>
      </c>
      <c r="DC141" s="3">
        <f>IF(RTD("tos.rtd",,DC$43,"."&amp;$B$134&amp;$AS$82&amp;"C"&amp;$A141)="N/A",0,RTD("tos.rtd",,DC$43,"."&amp;$B$134&amp;$AS$82&amp;"C"&amp;$A141))</f>
        <v>0.1</v>
      </c>
      <c r="DD141" s="3">
        <f>IF(RTD("tos.rtd",,DD$43,"."&amp;$B$134&amp;$AS$82&amp;"P"&amp;$A141)="N/A",0,RTD("tos.rtd",,DD$43,"."&amp;$B$134&amp;$AS$82&amp;"P"&amp;$A141))</f>
        <v>88.3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70</v>
      </c>
      <c r="DG141" s="86">
        <f t="shared" si="378"/>
        <v>119.25</v>
      </c>
      <c r="DH141" s="3">
        <f t="shared" si="379"/>
        <v>0</v>
      </c>
      <c r="DI141" s="3">
        <f t="shared" si="380"/>
        <v>0</v>
      </c>
      <c r="DJ141" s="3">
        <f t="shared" si="346"/>
        <v>0</v>
      </c>
      <c r="DK141" s="3">
        <f t="shared" si="347"/>
        <v>0</v>
      </c>
      <c r="DL141" s="3">
        <f t="shared" si="381"/>
        <v>0</v>
      </c>
      <c r="DM141" s="3">
        <f t="shared" si="382"/>
        <v>0</v>
      </c>
      <c r="DN141" s="64" t="str">
        <f t="shared" si="348"/>
        <v>UNKNOWN</v>
      </c>
      <c r="DO141" s="64" t="str">
        <f t="shared" si="349"/>
        <v>UNKNOWN</v>
      </c>
      <c r="DP141" s="3">
        <f t="shared" si="350"/>
        <v>0</v>
      </c>
      <c r="DQ141" s="3">
        <f t="shared" si="351"/>
        <v>0</v>
      </c>
      <c r="DR141" s="3">
        <f t="shared" ca="1" si="352"/>
        <v>0</v>
      </c>
      <c r="DS141" s="3">
        <f t="shared" si="353"/>
        <v>0</v>
      </c>
      <c r="DT141" s="3">
        <f t="shared" si="383"/>
        <v>0</v>
      </c>
      <c r="DU141" s="3">
        <f t="shared" si="384"/>
        <v>0</v>
      </c>
      <c r="DV141" s="3">
        <f t="shared" si="354"/>
        <v>-260</v>
      </c>
      <c r="DW141" s="3">
        <f t="shared" si="355"/>
        <v>3</v>
      </c>
      <c r="DX141" s="3">
        <f t="shared" ca="1" si="356"/>
        <v>5.0930104596802158E-4</v>
      </c>
      <c r="DY141" s="3">
        <f t="shared" ca="1" si="357"/>
        <v>-1.1198215144739164E-3</v>
      </c>
      <c r="DZ141" s="3">
        <f t="shared" ca="1" si="358"/>
        <v>9.3363403195816271E-4</v>
      </c>
      <c r="EA141" s="3">
        <f t="shared" ca="1" si="359"/>
        <v>-7.5113660831211478E-4</v>
      </c>
      <c r="EB141" s="3">
        <f t="shared" ca="1" si="360"/>
        <v>9.2933496368437457E-4</v>
      </c>
      <c r="EC141" s="3">
        <f t="shared" ca="1" si="361"/>
        <v>-8.4790144051455254E-4</v>
      </c>
      <c r="ED141" s="63">
        <f t="shared" si="385"/>
        <v>-257</v>
      </c>
      <c r="EE141" s="59">
        <f t="shared" si="362"/>
        <v>0.19800000000000001</v>
      </c>
      <c r="EF141" s="59">
        <f t="shared" si="363"/>
        <v>0.25</v>
      </c>
      <c r="EG141" s="59">
        <f t="shared" si="364"/>
        <v>0.1812</v>
      </c>
      <c r="EH141" s="59">
        <f t="shared" si="365"/>
        <v>0.2281</v>
      </c>
      <c r="EI141" s="59">
        <f t="shared" si="366"/>
        <v>0.18210000000000001</v>
      </c>
      <c r="EJ141" s="59">
        <f t="shared" si="367"/>
        <v>0.20080000000000001</v>
      </c>
      <c r="EK141" s="63">
        <f t="shared" ca="1" si="386"/>
        <v>-61778991.702722989</v>
      </c>
      <c r="EL141" s="3" t="str">
        <f>RTD("tos.rtd",,EL$43,"."&amp;$B$134&amp;$AS$82&amp;"C"&amp;$A141)</f>
        <v>19.80%</v>
      </c>
      <c r="EM141" s="3" t="str">
        <f>RTD("tos.rtd",,EM$43,"."&amp;$B$134&amp;$AS$82&amp;"P"&amp;$A141)</f>
        <v>--</v>
      </c>
      <c r="EN141" s="3" t="str">
        <f>RTD("tos.rtd",,EN$2,"."&amp;$C$134&amp;$AU$82&amp;"C"&amp;$A141)</f>
        <v>18.12%</v>
      </c>
      <c r="EO141" s="3" t="str">
        <f>RTD("tos.rtd",,EO$2,"."&amp;$C$134&amp;$AU$82&amp;"P"&amp;$A141)</f>
        <v>22.81%</v>
      </c>
      <c r="EP141" s="3" t="str">
        <f>RTD("tos.rtd",,EP$2,"."&amp;$D$134&amp;$AW$82&amp;"C"&amp;$A141)</f>
        <v>18.21%</v>
      </c>
      <c r="EQ141" s="3" t="str">
        <f>RTD("tos.rtd",,EQ$2,"."&amp;$D$134&amp;$AW$82&amp;"P"&amp;$A141)</f>
        <v>20.08%</v>
      </c>
      <c r="ES141" s="63" t="str">
        <f t="shared" si="368"/>
        <v>21450,-257.00</v>
      </c>
      <c r="ET141" s="63" t="str">
        <f t="shared" ca="1" si="369"/>
        <v>21450,111.58</v>
      </c>
      <c r="EU141" s="67">
        <v>592.86</v>
      </c>
      <c r="EV141" s="67" t="s">
        <v>1148</v>
      </c>
      <c r="EW141" s="67">
        <v>519.42999999999995</v>
      </c>
      <c r="EX141" s="67" t="s">
        <v>1149</v>
      </c>
      <c r="EY141" s="67">
        <v>5938.5</v>
      </c>
      <c r="EZ141" s="67" t="s">
        <v>1150</v>
      </c>
      <c r="FA141" s="67">
        <v>21319.75</v>
      </c>
      <c r="FB141" s="67" t="s">
        <v>1151</v>
      </c>
      <c r="FC141" s="67" t="s">
        <v>1152</v>
      </c>
      <c r="FD141" s="67" t="s">
        <v>1153</v>
      </c>
      <c r="FE141" s="68" t="s">
        <v>1154</v>
      </c>
      <c r="FF141" s="68" t="s">
        <v>1155</v>
      </c>
    </row>
    <row r="142" spans="1:162" ht="11.1" customHeight="1" thickBot="1" x14ac:dyDescent="0.25">
      <c r="A142" s="2">
        <f t="shared" si="387"/>
        <v>21425</v>
      </c>
      <c r="B142" s="3">
        <f t="shared" si="388"/>
        <v>52</v>
      </c>
      <c r="C142" s="3">
        <f t="shared" si="389"/>
        <v>56</v>
      </c>
      <c r="D142" s="3">
        <f t="shared" si="336"/>
        <v>363</v>
      </c>
      <c r="E142" s="3">
        <f t="shared" si="390"/>
        <v>471</v>
      </c>
      <c r="F142" s="4">
        <f t="shared" si="391"/>
        <v>21515.397665342287</v>
      </c>
      <c r="G142" s="5">
        <f t="shared" si="392"/>
        <v>521.92598713125415</v>
      </c>
      <c r="AM142" s="1">
        <v>32</v>
      </c>
      <c r="AN142" s="1">
        <v>-2</v>
      </c>
      <c r="AO142" s="1">
        <v>21425</v>
      </c>
      <c r="AP142" s="1">
        <v>155</v>
      </c>
      <c r="AQ142" s="1">
        <v>-4</v>
      </c>
      <c r="AS142" s="54">
        <f>IF(RTD("tos.rtd",,AS$83,"."&amp;$B$134&amp;$AS$82&amp;"C"&amp;$A142)="N/A",0,RTD("tos.rtd",,AS$83,"."&amp;$B$134&amp;$AS$82&amp;"C"&amp;$A142))</f>
        <v>46</v>
      </c>
      <c r="AT142" s="3">
        <f>-IF(RTD("tos.rtd",,AT$83,"."&amp;$B$134&amp;$AS$82&amp;"P"&amp;$A142)="N/A",0,RTD("tos.rtd",,AT$83,"."&amp;$B$134&amp;$AS$82&amp;"P"&amp;$A142))</f>
        <v>-6</v>
      </c>
      <c r="AU142" s="54">
        <f>IF(RTD("tos.rtd",,AU$2,"."&amp;$C$134&amp;$AU$134&amp;"C"&amp;$A142)="N/A",0,RTD("tos.rtd",,AU$2,"."&amp;$C$134&amp;$AU$134&amp;"C"&amp;$A142))</f>
        <v>51</v>
      </c>
      <c r="AV142" s="3">
        <f>-IF(RTD("tos.rtd",,AV$2,"."&amp;$C$134&amp;$AU$134&amp;"P"&amp;$A142)="N/A",0,RTD("tos.rtd",,AV$2,"."&amp;$C$134&amp;$AU$134&amp;"P"&amp;$A142))</f>
        <v>-5</v>
      </c>
      <c r="AW142" s="54">
        <f>IF(RTD("tos.rtd",,AW$2,"."&amp;$D$134&amp;$AW$134&amp;"C"&amp;$A142)="N/A",0,RTD("tos.rtd",,AW$2,"."&amp;$D$134&amp;$AW$134&amp;"C"&amp;$A142))</f>
        <v>179</v>
      </c>
      <c r="AX142" s="3">
        <f>-IF(RTD("tos.rtd",,AX$2,"."&amp;$D$134&amp;$AW$134&amp;"P"&amp;$A142)="N/A",0,RTD("tos.rtd",,AX$2,"."&amp;$D$134&amp;$AW$134&amp;"P"&amp;$A142))</f>
        <v>-184</v>
      </c>
      <c r="AY142" s="76">
        <f t="shared" si="393"/>
        <v>81</v>
      </c>
      <c r="AZ142" s="8">
        <f t="shared" si="337"/>
        <v>21425</v>
      </c>
      <c r="BA142" s="54">
        <f>IF(RTD("tos.rtd",,BA$43,"."&amp;$B$134&amp;$AS$82&amp;"C"&amp;$A142)="N/A",0,RTD("tos.rtd",,BA$43,"."&amp;$B$134&amp;$AS$82&amp;"C"&amp;$A142))</f>
        <v>155</v>
      </c>
      <c r="BB142" s="3">
        <f>-IF(RTD("tos.rtd",,BB$43,"."&amp;$B$134&amp;$AS$82&amp;"P"&amp;$A142)="N/A",0,RTD("tos.rtd",,BB$43,"."&amp;$B$134&amp;$AS$82&amp;"P"&amp;$A142))</f>
        <v>-4</v>
      </c>
      <c r="BC142" s="54">
        <f>IF(RTD("tos.rtd",,BC$2,"."&amp;$C$134&amp;$AU$82&amp;"C"&amp;$A142)="N/A",0,RTD("tos.rtd",,BC$2,"."&amp;$C$134&amp;$AU$82&amp;"C"&amp;$A142))</f>
        <v>3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23</v>
      </c>
      <c r="BF142" s="3">
        <f>-IF(RTD("tos.rtd",,BF$2,"."&amp;$D$134&amp;$AW$82&amp;"P"&amp;$A142)="N/A",0,RTD("tos.rtd",,BF$2,"."&amp;$D$134&amp;$AW$82&amp;"P"&amp;$A142))</f>
        <v>-23</v>
      </c>
      <c r="BG142" s="3">
        <f ca="1">+Hoja2!Y143</f>
        <v>23</v>
      </c>
      <c r="BH142" s="7">
        <f t="shared" ca="1" si="338"/>
        <v>177</v>
      </c>
      <c r="BI142" s="32" t="str">
        <f t="shared" ca="1" si="397"/>
        <v/>
      </c>
      <c r="BJ142" s="3">
        <f ca="1">IF($BP$1=1,DX142,IF(RTD("tos.rtd",,BJ$43,"."&amp;$B$134&amp;$AS$82&amp;"C"&amp;$A142)="N/A",0,RTD("tos.rtd",,BJ$43,"."&amp;$B$134&amp;$AS$82&amp;"C"&amp;$A142)))</f>
        <v>5.421939194857967E-4</v>
      </c>
      <c r="BK142" s="3">
        <f ca="1">IF($BP$1=1,DY142,-IF(RTD("tos.rtd",,BK$43,"."&amp;$B$134&amp;$AS$82&amp;"P"&amp;$A142)="N/A",0,RTD("tos.rtd",,BK$43,"."&amp;$B$134&amp;$AS$82&amp;"P"&amp;$A142)))</f>
        <v>-2.1316730726169257E-3</v>
      </c>
      <c r="BL142" s="3">
        <f ca="1">IF($BP$1=1,DZ142,IF(RTD("tos.rtd",,BL$2,"."&amp;$C$134&amp;$AU$82&amp;"C"&amp;$A142)="N/A",0,RTD("tos.rtd",,BL$2,"."&amp;$C$134&amp;$AU$82&amp;"C"&amp;$A142)))</f>
        <v>9.4521836050647889E-4</v>
      </c>
      <c r="BM142" s="3">
        <f ca="1">IF($BP$1=1,EA142,-IF(RTD("tos.rtd",,BM$2,"."&amp;$C$134&amp;$AU$82&amp;"P"&amp;$A142)="N/A",0,RTD("tos.rtd",,BM$2,"."&amp;$C$134&amp;$AU$82&amp;"P"&amp;$A142)))</f>
        <v>-7.5573323862742237E-4</v>
      </c>
      <c r="BN142" s="3">
        <f ca="1">IF($BP$1=1,EB142,IF(RTD("tos.rtd",,BN$2,"."&amp;$D$134&amp;$AW$82&amp;"C"&amp;$A142)="N/A",0,RTD("tos.rtd",,BN$2,"."&amp;$D$134&amp;$AW$82&amp;"C"&amp;$A142)))</f>
        <v>9.387640957801808E-4</v>
      </c>
      <c r="BO142" s="3">
        <f ca="1">IF($BP$1=1,EC142,-IF(RTD("tos.rtd",,BO$2,"."&amp;$D$134&amp;$AW$82&amp;"P"&amp;$A142)="N/A",0,RTD("tos.rtd",,BO$2,"."&amp;$D$134&amp;$AW$82&amp;"P"&amp;$A142)))</f>
        <v>-8.5422501813926094E-4</v>
      </c>
      <c r="BQ142" s="3">
        <f t="shared" ca="1" si="394"/>
        <v>428041.45510913298</v>
      </c>
      <c r="BR142" s="3" t="str">
        <f t="shared" ca="1" si="339"/>
        <v>Cruce +</v>
      </c>
      <c r="BS142" s="3">
        <f t="shared" ca="1" si="395"/>
        <v>1565055.0475427364</v>
      </c>
      <c r="BT142" s="3" t="str">
        <f t="shared" ca="1" si="340"/>
        <v/>
      </c>
      <c r="BU142" s="3">
        <f t="shared" ca="1" si="396"/>
        <v>382615.56568471156</v>
      </c>
      <c r="BV142" s="3" t="str">
        <f t="shared" ca="1" si="340"/>
        <v/>
      </c>
      <c r="BX142" s="3">
        <f t="shared" ca="1" si="370"/>
        <v>20389.766752985503</v>
      </c>
      <c r="BY142" s="3" t="str">
        <f t="shared" ca="1" si="371"/>
        <v/>
      </c>
      <c r="BZ142" s="3">
        <f t="shared" ca="1" si="372"/>
        <v>765.67036216866768</v>
      </c>
      <c r="CA142" s="3" t="str">
        <f t="shared" ca="1" si="371"/>
        <v/>
      </c>
      <c r="CB142" s="3">
        <f t="shared" ca="1" si="373"/>
        <v>525.01749319984901</v>
      </c>
      <c r="CC142" s="3" t="str">
        <f t="shared" ca="1" si="371"/>
        <v>Cruce +</v>
      </c>
      <c r="CD142" s="3">
        <f>IF(RTD("tos.rtd",,CD$43,"."&amp;$B$134&amp;$AS$82&amp;"C"&amp;$A142)="N/A",0,RTD("tos.rtd",,CD$43,"."&amp;$B$134&amp;$AS$82&amp;"C"&amp;$A142))</f>
        <v>0.01</v>
      </c>
      <c r="CE142" s="3">
        <f>-IF(RTD("tos.rtd",,CE$43,"."&amp;$B$134&amp;$AS$82&amp;"P"&amp;$A142)="N/A",0,RTD("tos.rtd",,CE$43,"."&amp;$B$134&amp;$AS$82&amp;"P"&amp;$A142))</f>
        <v>1</v>
      </c>
      <c r="CF142" s="3">
        <f>IF(RTD("tos.rtd",,CF$2,"."&amp;$C$134&amp;$AU$82&amp;"C"&amp;$A142)="N/A",0,RTD("tos.rtd",,CF$2,"."&amp;$C$134&amp;$AU$82&amp;"C"&amp;$A142))</f>
        <v>0.45</v>
      </c>
      <c r="CG142" s="3">
        <f>-IF(RTD("tos.rtd",,CG$2,"."&amp;$C$134&amp;$AU$82&amp;"P"&amp;$A142)="N/A",0,RTD("tos.rtd",,CG$2,"."&amp;$C$134&amp;$AU$82&amp;"P"&amp;$A142))</f>
        <v>0.54</v>
      </c>
      <c r="CH142" s="3">
        <f>IF(RTD("tos.rtd",,CH$2,"."&amp;$D$134&amp;$AW$82&amp;"C"&amp;$A142)="N/A",0,RTD("tos.rtd",,CH$2,"."&amp;$D$134&amp;$AW$82&amp;"C"&amp;$A142))</f>
        <v>0.52</v>
      </c>
      <c r="CI142" s="3">
        <f>-IF(RTD("tos.rtd",,CI$2,"."&amp;$D$134&amp;$AW$82&amp;"P"&amp;$A142)="N/A",0,RTD("tos.rtd",,CI$2,"."&amp;$D$134&amp;$AW$82&amp;"P"&amp;$A142))</f>
        <v>0.48</v>
      </c>
      <c r="CK142" s="3">
        <f t="shared" si="374"/>
        <v>-11817235.5</v>
      </c>
      <c r="CL142" s="3"/>
      <c r="CM142" s="3">
        <f t="shared" si="375"/>
        <v>43194768.75</v>
      </c>
      <c r="CN142" s="3"/>
      <c r="CO142" s="3">
        <f t="shared" si="376"/>
        <v>10153437</v>
      </c>
      <c r="CP142" s="3">
        <f t="shared" si="331"/>
        <v>41530970.25</v>
      </c>
      <c r="CQ142" s="3">
        <f t="shared" si="341"/>
        <v>151</v>
      </c>
      <c r="CR142" s="3"/>
      <c r="CS142" s="3">
        <f t="shared" si="342"/>
        <v>3</v>
      </c>
      <c r="CT142" s="3"/>
      <c r="CU142" s="3">
        <f t="shared" si="343"/>
        <v>0</v>
      </c>
      <c r="CV142" s="3"/>
      <c r="CW142" s="3">
        <f t="shared" ca="1" si="344"/>
        <v>2375712.0683365809</v>
      </c>
      <c r="CY142" s="3">
        <f t="shared" ca="1" si="345"/>
        <v>21680.454608354019</v>
      </c>
      <c r="CZ142" s="70" t="str">
        <f t="shared" ca="1" si="377"/>
        <v/>
      </c>
      <c r="DA142" s="3">
        <f>IF(RTD("tos.rtd",,DA$43,"."&amp;$B$134&amp;$AS$82&amp;"C"&amp;$A142)="N/A",0,RTD("tos.rtd",,DA$43,"."&amp;$B$134&amp;$AS$82&amp;"C"&amp;$A142))</f>
        <v>0.33</v>
      </c>
      <c r="DB142" s="3">
        <f>IF(RTD("tos.rtd",,DB$43,"."&amp;$B$134&amp;$AS$82&amp;"P"&amp;$A142)="N/A",0,RTD("tos.rtd",,DB$43,"."&amp;$B$134&amp;$AS$82&amp;"P"&amp;$A142))</f>
        <v>106.47</v>
      </c>
      <c r="DC142" s="3">
        <f>IF(RTD("tos.rtd",,DC$43,"."&amp;$B$134&amp;$AS$82&amp;"C"&amp;$A142)="N/A",0,RTD("tos.rtd",,DC$43,"."&amp;$B$134&amp;$AS$82&amp;"C"&amp;$A142))</f>
        <v>0.15</v>
      </c>
      <c r="DD142" s="3">
        <f>IF(RTD("tos.rtd",,DD$43,"."&amp;$B$134&amp;$AS$82&amp;"P"&amp;$A142)="N/A",0,RTD("tos.rtd",,DD$43,"."&amp;$B$134&amp;$AS$82&amp;"P"&amp;$A142))</f>
        <v>63.3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44.3</v>
      </c>
      <c r="DG142" s="86">
        <f t="shared" si="378"/>
        <v>94.25</v>
      </c>
      <c r="DH142" s="3">
        <f t="shared" si="379"/>
        <v>0</v>
      </c>
      <c r="DI142" s="3">
        <f t="shared" si="380"/>
        <v>0</v>
      </c>
      <c r="DJ142" s="3">
        <f t="shared" si="346"/>
        <v>0</v>
      </c>
      <c r="DK142" s="3">
        <f t="shared" si="347"/>
        <v>0</v>
      </c>
      <c r="DL142" s="3">
        <f t="shared" si="381"/>
        <v>0</v>
      </c>
      <c r="DM142" s="3">
        <f t="shared" si="382"/>
        <v>0</v>
      </c>
      <c r="DN142" s="64" t="str">
        <f t="shared" si="348"/>
        <v>UNKNOWN</v>
      </c>
      <c r="DO142" s="64" t="str">
        <f t="shared" si="349"/>
        <v>UNKNOWN</v>
      </c>
      <c r="DP142" s="3">
        <f t="shared" si="350"/>
        <v>0</v>
      </c>
      <c r="DQ142" s="3">
        <f t="shared" si="351"/>
        <v>0</v>
      </c>
      <c r="DR142" s="3">
        <f t="shared" ca="1" si="352"/>
        <v>0</v>
      </c>
      <c r="DS142" s="3">
        <f t="shared" si="353"/>
        <v>0</v>
      </c>
      <c r="DT142" s="3">
        <f t="shared" si="383"/>
        <v>0</v>
      </c>
      <c r="DU142" s="3">
        <f t="shared" si="384"/>
        <v>0</v>
      </c>
      <c r="DV142" s="3">
        <f t="shared" si="354"/>
        <v>32</v>
      </c>
      <c r="DW142" s="3">
        <f t="shared" si="355"/>
        <v>-2</v>
      </c>
      <c r="DX142" s="3">
        <f t="shared" ca="1" si="356"/>
        <v>5.421939194857967E-4</v>
      </c>
      <c r="DY142" s="3">
        <f t="shared" ca="1" si="357"/>
        <v>-2.1316730726169257E-3</v>
      </c>
      <c r="DZ142" s="3">
        <f t="shared" ca="1" si="358"/>
        <v>9.4521836050647889E-4</v>
      </c>
      <c r="EA142" s="3">
        <f t="shared" ca="1" si="359"/>
        <v>-7.5573323862742237E-4</v>
      </c>
      <c r="EB142" s="3">
        <f t="shared" ca="1" si="360"/>
        <v>9.387640957801808E-4</v>
      </c>
      <c r="EC142" s="3">
        <f t="shared" ca="1" si="361"/>
        <v>-8.5422501813926094E-4</v>
      </c>
      <c r="ED142" s="63">
        <f t="shared" si="385"/>
        <v>30</v>
      </c>
      <c r="EE142" s="59">
        <f t="shared" si="362"/>
        <v>0.15090000000000001</v>
      </c>
      <c r="EF142" s="59">
        <f t="shared" si="363"/>
        <v>0.25</v>
      </c>
      <c r="EG142" s="59">
        <f t="shared" si="364"/>
        <v>0.18140000000000001</v>
      </c>
      <c r="EH142" s="59">
        <f t="shared" si="365"/>
        <v>0.2286</v>
      </c>
      <c r="EI142" s="59">
        <f t="shared" si="366"/>
        <v>0.1827</v>
      </c>
      <c r="EJ142" s="59">
        <f t="shared" si="367"/>
        <v>0.20150000000000001</v>
      </c>
      <c r="EK142" s="63">
        <f t="shared" ca="1" si="386"/>
        <v>9834185.3200808801</v>
      </c>
      <c r="EL142" s="3" t="str">
        <f>RTD("tos.rtd",,EL$43,"."&amp;$B$134&amp;$AS$82&amp;"C"&amp;$A142)</f>
        <v>15.09%</v>
      </c>
      <c r="EM142" s="3" t="str">
        <f>RTD("tos.rtd",,EM$43,"."&amp;$B$134&amp;$AS$82&amp;"P"&amp;$A142)</f>
        <v>--</v>
      </c>
      <c r="EN142" s="3" t="str">
        <f>RTD("tos.rtd",,EN$2,"."&amp;$C$134&amp;$AU$82&amp;"C"&amp;$A142)</f>
        <v>18.14%</v>
      </c>
      <c r="EO142" s="3" t="str">
        <f>RTD("tos.rtd",,EO$2,"."&amp;$C$134&amp;$AU$82&amp;"P"&amp;$A142)</f>
        <v>22.86%</v>
      </c>
      <c r="EP142" s="3" t="str">
        <f>RTD("tos.rtd",,EP$2,"."&amp;$D$134&amp;$AW$82&amp;"C"&amp;$A142)</f>
        <v>18.27%</v>
      </c>
      <c r="EQ142" s="3" t="str">
        <f>RTD("tos.rtd",,EQ$2,"."&amp;$D$134&amp;$AW$82&amp;"P"&amp;$A142)</f>
        <v>20.15%</v>
      </c>
      <c r="ES142" s="63" t="str">
        <f t="shared" si="368"/>
        <v>21425,30.00</v>
      </c>
      <c r="ET142" s="63" t="str">
        <f t="shared" ca="1" si="369"/>
        <v>21425,21.68</v>
      </c>
      <c r="EU142" s="67">
        <v>592.85</v>
      </c>
      <c r="EV142" s="67" t="s">
        <v>1156</v>
      </c>
      <c r="EW142" s="67">
        <v>519.4</v>
      </c>
      <c r="EX142" s="67" t="s">
        <v>1157</v>
      </c>
      <c r="EY142" s="67">
        <v>5938.25</v>
      </c>
      <c r="EZ142" s="67" t="s">
        <v>1158</v>
      </c>
      <c r="FA142" s="67">
        <v>21319.25</v>
      </c>
      <c r="FB142" s="67" t="s">
        <v>1159</v>
      </c>
      <c r="FC142" s="67" t="s">
        <v>1160</v>
      </c>
      <c r="FD142" s="67" t="s">
        <v>1161</v>
      </c>
      <c r="FE142" s="68" t="s">
        <v>1162</v>
      </c>
      <c r="FF142" s="68" t="s">
        <v>1163</v>
      </c>
    </row>
    <row r="143" spans="1:162" ht="11.1" customHeight="1" thickBot="1" x14ac:dyDescent="0.25">
      <c r="A143" s="2">
        <f t="shared" si="387"/>
        <v>21400</v>
      </c>
      <c r="B143" s="3">
        <f t="shared" si="388"/>
        <v>53</v>
      </c>
      <c r="C143" s="3">
        <f t="shared" si="389"/>
        <v>383</v>
      </c>
      <c r="D143" s="3">
        <f t="shared" si="336"/>
        <v>268</v>
      </c>
      <c r="E143" s="3">
        <f t="shared" si="390"/>
        <v>704</v>
      </c>
      <c r="F143" s="4">
        <f t="shared" si="391"/>
        <v>21490.292183819136</v>
      </c>
      <c r="G143" s="5">
        <f t="shared" si="392"/>
        <v>521.31697197707535</v>
      </c>
      <c r="AM143" s="1">
        <v>22</v>
      </c>
      <c r="AN143" s="1">
        <v>-9</v>
      </c>
      <c r="AO143" s="1">
        <v>21400</v>
      </c>
      <c r="AP143" s="1">
        <v>1346</v>
      </c>
      <c r="AQ143" s="1">
        <v>-109</v>
      </c>
      <c r="AS143" s="54">
        <f>IF(RTD("tos.rtd",,AS$83,"."&amp;$B$134&amp;$AS$82&amp;"C"&amp;$A143)="N/A",0,RTD("tos.rtd",,AS$83,"."&amp;$B$134&amp;$AS$82&amp;"C"&amp;$A143))</f>
        <v>29</v>
      </c>
      <c r="AT143" s="3">
        <f>-IF(RTD("tos.rtd",,AT$83,"."&amp;$B$134&amp;$AS$82&amp;"P"&amp;$A143)="N/A",0,RTD("tos.rtd",,AT$83,"."&amp;$B$134&amp;$AS$82&amp;"P"&amp;$A143))</f>
        <v>-24</v>
      </c>
      <c r="AU143" s="54">
        <f>IF(RTD("tos.rtd",,AU$2,"."&amp;$C$134&amp;$AU$134&amp;"C"&amp;$A143)="N/A",0,RTD("tos.rtd",,AU$2,"."&amp;$C$134&amp;$AU$134&amp;"C"&amp;$A143))</f>
        <v>365</v>
      </c>
      <c r="AV143" s="3">
        <f>-IF(RTD("tos.rtd",,AV$2,"."&amp;$C$134&amp;$AU$134&amp;"P"&amp;$A143)="N/A",0,RTD("tos.rtd",,AV$2,"."&amp;$C$134&amp;$AU$134&amp;"P"&amp;$A143))</f>
        <v>-18</v>
      </c>
      <c r="AW143" s="54">
        <f>IF(RTD("tos.rtd",,AW$2,"."&amp;$D$134&amp;$AW$134&amp;"C"&amp;$A143)="N/A",0,RTD("tos.rtd",,AW$2,"."&amp;$D$134&amp;$AW$134&amp;"C"&amp;$A143))</f>
        <v>139</v>
      </c>
      <c r="AX143" s="3">
        <f>-IF(RTD("tos.rtd",,AX$2,"."&amp;$D$134&amp;$AW$134&amp;"P"&amp;$A143)="N/A",0,RTD("tos.rtd",,AX$2,"."&amp;$D$134&amp;$AW$134&amp;"P"&amp;$A143))</f>
        <v>-129</v>
      </c>
      <c r="AY143" s="76">
        <f t="shared" si="393"/>
        <v>362</v>
      </c>
      <c r="AZ143" s="8">
        <f t="shared" si="337"/>
        <v>21400</v>
      </c>
      <c r="BA143" s="54">
        <f>IF(RTD("tos.rtd",,BA$43,"."&amp;$B$134&amp;$AS$82&amp;"C"&amp;$A143)="N/A",0,RTD("tos.rtd",,BA$43,"."&amp;$B$134&amp;$AS$82&amp;"C"&amp;$A143))</f>
        <v>1346</v>
      </c>
      <c r="BB143" s="3">
        <f>-IF(RTD("tos.rtd",,BB$43,"."&amp;$B$134&amp;$AS$82&amp;"P"&amp;$A143)="N/A",0,RTD("tos.rtd",,BB$43,"."&amp;$B$134&amp;$AS$82&amp;"P"&amp;$A143))</f>
        <v>-109</v>
      </c>
      <c r="BC143" s="54">
        <f>IF(RTD("tos.rtd",,BC$2,"."&amp;$C$134&amp;$AU$82&amp;"C"&amp;$A143)="N/A",0,RTD("tos.rtd",,BC$2,"."&amp;$C$134&amp;$AU$82&amp;"C"&amp;$A143))</f>
        <v>8</v>
      </c>
      <c r="BD143" s="3">
        <f>-IF(RTD("tos.rtd",,BD$2,"."&amp;$C$134&amp;$AU$82&amp;"P"&amp;$A143)="N/A",0,RTD("tos.rtd",,BD$2,"."&amp;$C$134&amp;$AU$82&amp;"P"&amp;$A143))</f>
        <v>-1</v>
      </c>
      <c r="BE143" s="54">
        <f>IF(RTD("tos.rtd",,BE$2,"."&amp;$D$134&amp;$AW$82&amp;"C"&amp;$A143)="N/A",0,RTD("tos.rtd",,BE$2,"."&amp;$D$134&amp;$AW$82&amp;"C"&amp;$A143))</f>
        <v>8</v>
      </c>
      <c r="BF143" s="3">
        <f>-IF(RTD("tos.rtd",,BF$2,"."&amp;$D$134&amp;$AW$82&amp;"P"&amp;$A143)="N/A",0,RTD("tos.rtd",,BF$2,"."&amp;$D$134&amp;$AW$82&amp;"P"&amp;$A143))</f>
        <v>-28</v>
      </c>
      <c r="BG143" s="3">
        <f ca="1">+Hoja2!Y144</f>
        <v>51</v>
      </c>
      <c r="BH143" s="7">
        <f t="shared" ca="1" si="338"/>
        <v>1275</v>
      </c>
      <c r="BI143" s="32" t="str">
        <f t="shared" ca="1" si="397"/>
        <v/>
      </c>
      <c r="BJ143" s="3">
        <f ca="1">IF($BP$1=1,DX143,IF(RTD("tos.rtd",,BJ$43,"."&amp;$B$134&amp;$AS$82&amp;"C"&amp;$A143)="N/A",0,RTD("tos.rtd",,BJ$43,"."&amp;$B$134&amp;$AS$82&amp;"C"&amp;$A143)))</f>
        <v>3.1811366237096783E-4</v>
      </c>
      <c r="BK143" s="3">
        <f ca="1">IF($BP$1=1,DY143,-IF(RTD("tos.rtd",,BK$43,"."&amp;$B$134&amp;$AS$82&amp;"P"&amp;$A143)="N/A",0,RTD("tos.rtd",,BK$43,"."&amp;$B$134&amp;$AS$82&amp;"P"&amp;$A143)))</f>
        <v>-3.4918284212617514E-3</v>
      </c>
      <c r="BL143" s="3">
        <f ca="1">IF($BP$1=1,DZ143,IF(RTD("tos.rtd",,BL$2,"."&amp;$C$134&amp;$AU$82&amp;"C"&amp;$A143)="N/A",0,RTD("tos.rtd",,BL$2,"."&amp;$C$134&amp;$AU$82&amp;"C"&amp;$A143)))</f>
        <v>9.5294761259773967E-4</v>
      </c>
      <c r="BM143" s="3">
        <f ca="1">IF($BP$1=1,EA143,-IF(RTD("tos.rtd",,BM$2,"."&amp;$C$134&amp;$AU$82&amp;"P"&amp;$A143)="N/A",0,RTD("tos.rtd",,BM$2,"."&amp;$C$134&amp;$AU$82&amp;"P"&amp;$A143)))</f>
        <v>-7.6852777605570242E-4</v>
      </c>
      <c r="BN143" s="3">
        <f ca="1">IF($BP$1=1,EB143,IF(RTD("tos.rtd",,BN$2,"."&amp;$D$134&amp;$AW$82&amp;"C"&amp;$A143)="N/A",0,RTD("tos.rtd",,BN$2,"."&amp;$D$134&amp;$AW$82&amp;"C"&amp;$A143)))</f>
        <v>9.4529943054540773E-4</v>
      </c>
      <c r="BO143" s="3">
        <f ca="1">IF($BP$1=1,EC143,-IF(RTD("tos.rtd",,BO$2,"."&amp;$D$134&amp;$AW$82&amp;"P"&amp;$A143)="N/A",0,RTD("tos.rtd",,BO$2,"."&amp;$D$134&amp;$AW$82&amp;"P"&amp;$A143)))</f>
        <v>-8.5798343806249707E-4</v>
      </c>
      <c r="BQ143" s="3">
        <f t="shared" ca="1" si="394"/>
        <v>-2627194.2065919326</v>
      </c>
      <c r="BR143" s="3" t="str">
        <f t="shared" ca="1" si="339"/>
        <v>Cruce -</v>
      </c>
      <c r="BS143" s="3">
        <f t="shared" ca="1" si="395"/>
        <v>11765613.836377263</v>
      </c>
      <c r="BT143" s="3" t="str">
        <f t="shared" ca="1" si="340"/>
        <v/>
      </c>
      <c r="BU143" s="3">
        <f t="shared" ca="1" si="396"/>
        <v>729793.1999370344</v>
      </c>
      <c r="BV143" s="3" t="str">
        <f t="shared" ca="1" si="340"/>
        <v/>
      </c>
      <c r="BX143" s="3">
        <f t="shared" ca="1" si="370"/>
        <v>12845.086343401214</v>
      </c>
      <c r="BY143" s="3" t="str">
        <f t="shared" ca="1" si="371"/>
        <v/>
      </c>
      <c r="BZ143" s="3">
        <f t="shared" ca="1" si="372"/>
        <v>1850.9694789403466</v>
      </c>
      <c r="CA143" s="3" t="str">
        <f t="shared" ca="1" si="371"/>
        <v/>
      </c>
      <c r="CB143" s="3">
        <f t="shared" ca="1" si="373"/>
        <v>-4444.7604846450604</v>
      </c>
      <c r="CC143" s="3" t="str">
        <f t="shared" ca="1" si="371"/>
        <v>Cruce -</v>
      </c>
      <c r="CD143" s="3">
        <f>IF(RTD("tos.rtd",,CD$43,"."&amp;$B$134&amp;$AS$82&amp;"C"&amp;$A143)="N/A",0,RTD("tos.rtd",,CD$43,"."&amp;$B$134&amp;$AS$82&amp;"C"&amp;$A143))</f>
        <v>0.02</v>
      </c>
      <c r="CE143" s="3">
        <f>-IF(RTD("tos.rtd",,CE$43,"."&amp;$B$134&amp;$AS$82&amp;"P"&amp;$A143)="N/A",0,RTD("tos.rtd",,CE$43,"."&amp;$B$134&amp;$AS$82&amp;"P"&amp;$A143))</f>
        <v>1</v>
      </c>
      <c r="CF143" s="3">
        <f>IF(RTD("tos.rtd",,CF$2,"."&amp;$C$134&amp;$AU$82&amp;"C"&amp;$A143)="N/A",0,RTD("tos.rtd",,CF$2,"."&amp;$C$134&amp;$AU$82&amp;"C"&amp;$A143))</f>
        <v>0.48</v>
      </c>
      <c r="CG143" s="3">
        <f>-IF(RTD("tos.rtd",,CG$2,"."&amp;$C$134&amp;$AU$82&amp;"P"&amp;$A143)="N/A",0,RTD("tos.rtd",,CG$2,"."&amp;$C$134&amp;$AU$82&amp;"P"&amp;$A143))</f>
        <v>0.52</v>
      </c>
      <c r="CH143" s="3">
        <f>IF(RTD("tos.rtd",,CH$2,"."&amp;$D$134&amp;$AW$82&amp;"C"&amp;$A143)="N/A",0,RTD("tos.rtd",,CH$2,"."&amp;$D$134&amp;$AW$82&amp;"C"&amp;$A143))</f>
        <v>0.53</v>
      </c>
      <c r="CI143" s="3">
        <f>-IF(RTD("tos.rtd",,CI$2,"."&amp;$D$134&amp;$AW$82&amp;"P"&amp;$A143)="N/A",0,RTD("tos.rtd",,CI$2,"."&amp;$D$134&amp;$AW$82&amp;"P"&amp;$A143))</f>
        <v>0.47</v>
      </c>
      <c r="CK143" s="3">
        <f t="shared" si="374"/>
        <v>-49956616.5</v>
      </c>
      <c r="CL143" s="3"/>
      <c r="CM143" s="3">
        <f t="shared" si="375"/>
        <v>353749158</v>
      </c>
      <c r="CN143" s="3"/>
      <c r="CO143" s="3">
        <f t="shared" si="376"/>
        <v>27815298</v>
      </c>
      <c r="CP143" s="3">
        <f t="shared" si="331"/>
        <v>331607839.5</v>
      </c>
      <c r="CQ143" s="3">
        <f t="shared" si="341"/>
        <v>1237</v>
      </c>
      <c r="CR143" s="3"/>
      <c r="CS143" s="3">
        <f t="shared" si="342"/>
        <v>7</v>
      </c>
      <c r="CT143" s="3"/>
      <c r="CU143" s="3">
        <f t="shared" si="343"/>
        <v>-20</v>
      </c>
      <c r="CV143" s="3"/>
      <c r="CW143" s="3">
        <f t="shared" ca="1" si="344"/>
        <v>9868212.8297223654</v>
      </c>
      <c r="CY143" s="3">
        <f t="shared" ca="1" si="345"/>
        <v>10251.295337696502</v>
      </c>
      <c r="CZ143" s="70" t="str">
        <f t="shared" ca="1" si="377"/>
        <v/>
      </c>
      <c r="DA143" s="3">
        <f>IF(RTD("tos.rtd",,DA$43,"."&amp;$B$134&amp;$AS$82&amp;"C"&amp;$A143)="N/A",0,RTD("tos.rtd",,DA$43,"."&amp;$B$134&amp;$AS$82&amp;"C"&amp;$A143))</f>
        <v>0.05</v>
      </c>
      <c r="DB143" s="3">
        <f>IF(RTD("tos.rtd",,DB$43,"."&amp;$B$134&amp;$AS$82&amp;"P"&amp;$A143)="N/A",0,RTD("tos.rtd",,DB$43,"."&amp;$B$134&amp;$AS$82&amp;"P"&amp;$A143))</f>
        <v>51.05</v>
      </c>
      <c r="DC143" s="3">
        <f>IF(RTD("tos.rtd",,DC$43,"."&amp;$B$134&amp;$AS$82&amp;"C"&amp;$A143)="N/A",0,RTD("tos.rtd",,DC$43,"."&amp;$B$134&amp;$AS$82&amp;"C"&amp;$A143))</f>
        <v>0.15</v>
      </c>
      <c r="DD143" s="3">
        <f>IF(RTD("tos.rtd",,DD$43,"."&amp;$B$134&amp;$AS$82&amp;"P"&amp;$A143)="N/A",0,RTD("tos.rtd",,DD$43,"."&amp;$B$134&amp;$AS$82&amp;"P"&amp;$A143))</f>
        <v>36.799999999999997</v>
      </c>
      <c r="DE143" s="3">
        <f>IF(RTD("tos.rtd",,DE$43,"."&amp;$B$134&amp;$AS$82&amp;"C"&amp;$A143)="N/A",0,RTD("tos.rtd",,DE$43,"."&amp;$B$134&amp;$AS$82&amp;"C"&amp;$A143))</f>
        <v>0.05</v>
      </c>
      <c r="DF143" s="3">
        <f>IF(RTD("tos.rtd",,DF$43,"."&amp;$B$134&amp;$AS$82&amp;"P"&amp;$A143)="N/A",0,RTD("tos.rtd",,DF$43,"."&amp;$B$134&amp;$AS$82&amp;"P"&amp;$A143))</f>
        <v>20</v>
      </c>
      <c r="DG143" s="86">
        <f t="shared" si="378"/>
        <v>69.25</v>
      </c>
      <c r="DH143" s="3">
        <f t="shared" si="379"/>
        <v>0</v>
      </c>
      <c r="DI143" s="3">
        <f t="shared" si="380"/>
        <v>0</v>
      </c>
      <c r="DJ143" s="3">
        <f t="shared" si="346"/>
        <v>0</v>
      </c>
      <c r="DK143" s="3">
        <f t="shared" si="347"/>
        <v>0</v>
      </c>
      <c r="DL143" s="3">
        <f t="shared" si="381"/>
        <v>0</v>
      </c>
      <c r="DM143" s="3">
        <f t="shared" si="382"/>
        <v>0</v>
      </c>
      <c r="DN143" s="64" t="str">
        <f t="shared" si="348"/>
        <v>UNKNOWN</v>
      </c>
      <c r="DO143" s="64" t="str">
        <f t="shared" si="349"/>
        <v>UNKNOWN</v>
      </c>
      <c r="DP143" s="3">
        <f t="shared" si="350"/>
        <v>0</v>
      </c>
      <c r="DQ143" s="3">
        <f t="shared" si="351"/>
        <v>0</v>
      </c>
      <c r="DR143" s="3">
        <f t="shared" ca="1" si="352"/>
        <v>0</v>
      </c>
      <c r="DS143" s="3">
        <f t="shared" si="353"/>
        <v>0</v>
      </c>
      <c r="DT143" s="3">
        <f t="shared" si="383"/>
        <v>0</v>
      </c>
      <c r="DU143" s="3">
        <f t="shared" si="384"/>
        <v>0</v>
      </c>
      <c r="DV143" s="3">
        <f t="shared" si="354"/>
        <v>22</v>
      </c>
      <c r="DW143" s="3">
        <f t="shared" si="355"/>
        <v>-9</v>
      </c>
      <c r="DX143" s="3">
        <f t="shared" ca="1" si="356"/>
        <v>3.1811366237096783E-4</v>
      </c>
      <c r="DY143" s="3">
        <f t="shared" ca="1" si="357"/>
        <v>-3.4918284212617514E-3</v>
      </c>
      <c r="DZ143" s="3">
        <f t="shared" ca="1" si="358"/>
        <v>9.5294761259773967E-4</v>
      </c>
      <c r="EA143" s="3">
        <f t="shared" ca="1" si="359"/>
        <v>-7.6852777605570242E-4</v>
      </c>
      <c r="EB143" s="3">
        <f t="shared" ca="1" si="360"/>
        <v>9.4529943054540773E-4</v>
      </c>
      <c r="EC143" s="3">
        <f t="shared" ca="1" si="361"/>
        <v>-8.5798343806249707E-4</v>
      </c>
      <c r="ED143" s="63">
        <f t="shared" si="385"/>
        <v>13</v>
      </c>
      <c r="EE143" s="59">
        <f t="shared" si="362"/>
        <v>9.6000000000000002E-2</v>
      </c>
      <c r="EF143" s="59">
        <f t="shared" si="363"/>
        <v>0.25</v>
      </c>
      <c r="EG143" s="59">
        <f t="shared" si="364"/>
        <v>0.1817</v>
      </c>
      <c r="EH143" s="59">
        <f t="shared" si="365"/>
        <v>0.2261</v>
      </c>
      <c r="EI143" s="59">
        <f t="shared" si="366"/>
        <v>0.1832</v>
      </c>
      <c r="EJ143" s="59">
        <f t="shared" si="367"/>
        <v>0.20219999999999999</v>
      </c>
      <c r="EK143" s="63">
        <f t="shared" ca="1" si="386"/>
        <v>17483389.557350244</v>
      </c>
      <c r="EL143" s="3" t="str">
        <f>RTD("tos.rtd",,EL$43,"."&amp;$B$134&amp;$AS$82&amp;"C"&amp;$A143)</f>
        <v>9.60%</v>
      </c>
      <c r="EM143" s="3" t="str">
        <f>RTD("tos.rtd",,EM$43,"."&amp;$B$134&amp;$AS$82&amp;"P"&amp;$A143)</f>
        <v>--</v>
      </c>
      <c r="EN143" s="3" t="str">
        <f>RTD("tos.rtd",,EN$2,"."&amp;$C$134&amp;$AU$82&amp;"C"&amp;$A143)</f>
        <v>18.17%</v>
      </c>
      <c r="EO143" s="3" t="str">
        <f>RTD("tos.rtd",,EO$2,"."&amp;$C$134&amp;$AU$82&amp;"P"&amp;$A143)</f>
        <v>22.61%</v>
      </c>
      <c r="EP143" s="3" t="str">
        <f>RTD("tos.rtd",,EP$2,"."&amp;$D$134&amp;$AW$82&amp;"C"&amp;$A143)</f>
        <v>18.32%</v>
      </c>
      <c r="EQ143" s="3" t="str">
        <f>RTD("tos.rtd",,EQ$2,"."&amp;$D$134&amp;$AW$82&amp;"P"&amp;$A143)</f>
        <v>20.22%</v>
      </c>
      <c r="ES143" s="63" t="str">
        <f t="shared" si="368"/>
        <v>21400,13.00</v>
      </c>
      <c r="ET143" s="63" t="str">
        <f t="shared" ca="1" si="369"/>
        <v>21400,10.25</v>
      </c>
      <c r="EU143" s="67">
        <v>592.59</v>
      </c>
      <c r="EV143" s="67" t="s">
        <v>1164</v>
      </c>
      <c r="EW143" s="67">
        <v>519.13</v>
      </c>
      <c r="EX143" s="67" t="s">
        <v>1165</v>
      </c>
      <c r="EY143" s="67">
        <v>5935.75</v>
      </c>
      <c r="EZ143" s="67" t="s">
        <v>1166</v>
      </c>
      <c r="FA143" s="67">
        <v>21307.25</v>
      </c>
      <c r="FB143" s="67" t="s">
        <v>1167</v>
      </c>
      <c r="FC143" s="67" t="s">
        <v>1168</v>
      </c>
      <c r="FD143" s="67" t="s">
        <v>1169</v>
      </c>
      <c r="FE143" s="68" t="s">
        <v>1170</v>
      </c>
      <c r="FF143" s="68" t="s">
        <v>1171</v>
      </c>
    </row>
    <row r="144" spans="1:162" ht="11.1" customHeight="1" thickBot="1" x14ac:dyDescent="0.25">
      <c r="A144" s="2">
        <f t="shared" si="387"/>
        <v>21375</v>
      </c>
      <c r="B144" s="3">
        <f t="shared" si="388"/>
        <v>34</v>
      </c>
      <c r="C144" s="3">
        <f t="shared" si="389"/>
        <v>35</v>
      </c>
      <c r="D144" s="3">
        <f t="shared" si="336"/>
        <v>71</v>
      </c>
      <c r="E144" s="3">
        <f t="shared" si="390"/>
        <v>140</v>
      </c>
      <c r="F144" s="4">
        <f t="shared" si="391"/>
        <v>21465.186702295981</v>
      </c>
      <c r="G144" s="5">
        <f t="shared" si="392"/>
        <v>520.70795682289645</v>
      </c>
      <c r="AM144" s="1">
        <v>136</v>
      </c>
      <c r="AN144" s="1">
        <v>-11</v>
      </c>
      <c r="AO144" s="1">
        <v>21375</v>
      </c>
      <c r="AP144" s="1">
        <v>430</v>
      </c>
      <c r="AQ144" s="1">
        <v>-53</v>
      </c>
      <c r="AS144" s="54">
        <f>IF(RTD("tos.rtd",,AS$83,"."&amp;$B$134&amp;$AS$82&amp;"C"&amp;$A144)="N/A",0,RTD("tos.rtd",,AS$83,"."&amp;$B$134&amp;$AS$82&amp;"C"&amp;$A144))</f>
        <v>20</v>
      </c>
      <c r="AT144" s="3">
        <f>-IF(RTD("tos.rtd",,AT$83,"."&amp;$B$134&amp;$AS$82&amp;"P"&amp;$A144)="N/A",0,RTD("tos.rtd",,AT$83,"."&amp;$B$134&amp;$AS$82&amp;"P"&amp;$A144))</f>
        <v>-14</v>
      </c>
      <c r="AU144" s="54">
        <f>IF(RTD("tos.rtd",,AU$2,"."&amp;$C$134&amp;$AU$134&amp;"C"&amp;$A144)="N/A",0,RTD("tos.rtd",,AU$2,"."&amp;$C$134&amp;$AU$134&amp;"C"&amp;$A144))</f>
        <v>19</v>
      </c>
      <c r="AV144" s="3">
        <f>-IF(RTD("tos.rtd",,AV$2,"."&amp;$C$134&amp;$AU$134&amp;"P"&amp;$A144)="N/A",0,RTD("tos.rtd",,AV$2,"."&amp;$C$134&amp;$AU$134&amp;"P"&amp;$A144))</f>
        <v>-16</v>
      </c>
      <c r="AW144" s="54">
        <f>IF(RTD("tos.rtd",,AW$2,"."&amp;$D$134&amp;$AW$134&amp;"C"&amp;$A144)="N/A",0,RTD("tos.rtd",,AW$2,"."&amp;$D$134&amp;$AW$134&amp;"C"&amp;$A144))</f>
        <v>38</v>
      </c>
      <c r="AX144" s="3">
        <f>-IF(RTD("tos.rtd",,AX$2,"."&amp;$D$134&amp;$AW$134&amp;"P"&amp;$A144)="N/A",0,RTD("tos.rtd",,AX$2,"."&amp;$D$134&amp;$AW$134&amp;"P"&amp;$A144))</f>
        <v>-33</v>
      </c>
      <c r="AY144" s="76">
        <f t="shared" si="393"/>
        <v>14</v>
      </c>
      <c r="AZ144" s="8">
        <f t="shared" si="337"/>
        <v>21375</v>
      </c>
      <c r="BA144" s="54">
        <f>IF(RTD("tos.rtd",,BA$43,"."&amp;$B$134&amp;$AS$82&amp;"C"&amp;$A144)="N/A",0,RTD("tos.rtd",,BA$43,"."&amp;$B$134&amp;$AS$82&amp;"C"&amp;$A144))</f>
        <v>430</v>
      </c>
      <c r="BB144" s="3">
        <f>-IF(RTD("tos.rtd",,BB$43,"."&amp;$B$134&amp;$AS$82&amp;"P"&amp;$A144)="N/A",0,RTD("tos.rtd",,BB$43,"."&amp;$B$134&amp;$AS$82&amp;"P"&amp;$A144))</f>
        <v>-53</v>
      </c>
      <c r="BC144" s="54">
        <f>IF(RTD("tos.rtd",,BC$2,"."&amp;$C$134&amp;$AU$82&amp;"C"&amp;$A144)="N/A",0,RTD("tos.rtd",,BC$2,"."&amp;$C$134&amp;$AU$82&amp;"C"&amp;$A144))</f>
        <v>1</v>
      </c>
      <c r="BD144" s="3">
        <f>-IF(RTD("tos.rtd",,BD$2,"."&amp;$C$134&amp;$AU$82&amp;"P"&amp;$A144)="N/A",0,RTD("tos.rtd",,BD$2,"."&amp;$C$134&amp;$AU$82&amp;"P"&amp;$A144))</f>
        <v>-1</v>
      </c>
      <c r="BE144" s="54">
        <f>IF(RTD("tos.rtd",,BE$2,"."&amp;$D$134&amp;$AW$82&amp;"C"&amp;$A144)="N/A",0,RTD("tos.rtd",,BE$2,"."&amp;$D$134&amp;$AW$82&amp;"C"&amp;$A144))</f>
        <v>26</v>
      </c>
      <c r="BF144" s="3">
        <f>-IF(RTD("tos.rtd",,BF$2,"."&amp;$D$134&amp;$AW$82&amp;"P"&amp;$A144)="N/A",0,RTD("tos.rtd",,BF$2,"."&amp;$D$134&amp;$AW$82&amp;"P"&amp;$A144))</f>
        <v>-31</v>
      </c>
      <c r="BG144" s="3">
        <f ca="1">+Hoja2!Y145</f>
        <v>10</v>
      </c>
      <c r="BH144" s="7">
        <f t="shared" ca="1" si="338"/>
        <v>382</v>
      </c>
      <c r="BI144" s="32" t="str">
        <f t="shared" ca="1" si="397"/>
        <v/>
      </c>
      <c r="BJ144" s="3">
        <f ca="1">IF($BP$1=1,DX144,IF(RTD("tos.rtd",,BJ$43,"."&amp;$B$134&amp;$AS$82&amp;"C"&amp;$A144)="N/A",0,RTD("tos.rtd",,BJ$43,"."&amp;$B$134&amp;$AS$82&amp;"C"&amp;$A144)))</f>
        <v>6.2762370629352234E-5</v>
      </c>
      <c r="BK144" s="3">
        <f ca="1">IF($BP$1=1,DY144,-IF(RTD("tos.rtd",,BK$43,"."&amp;$B$134&amp;$AS$82&amp;"P"&amp;$A144)="N/A",0,RTD("tos.rtd",,BK$43,"."&amp;$B$134&amp;$AS$82&amp;"P"&amp;$A144)))</f>
        <v>-5.4339863363855264E-5</v>
      </c>
      <c r="BL144" s="3">
        <f ca="1">IF($BP$1=1,DZ144,IF(RTD("tos.rtd",,BL$2,"."&amp;$C$134&amp;$AU$82&amp;"C"&amp;$A144)="N/A",0,RTD("tos.rtd",,BL$2,"."&amp;$C$134&amp;$AU$82&amp;"C"&amp;$A144)))</f>
        <v>9.5776261791074365E-4</v>
      </c>
      <c r="BM144" s="3">
        <f ca="1">IF($BP$1=1,EA144,-IF(RTD("tos.rtd",,BM$2,"."&amp;$C$134&amp;$AU$82&amp;"P"&amp;$A144)="N/A",0,RTD("tos.rtd",,BM$2,"."&amp;$C$134&amp;$AU$82&amp;"P"&amp;$A144)))</f>
        <v>-7.6535031770639855E-4</v>
      </c>
      <c r="BN144" s="3">
        <f ca="1">IF($BP$1=1,EB144,IF(RTD("tos.rtd",,BN$2,"."&amp;$D$134&amp;$AW$82&amp;"C"&amp;$A144)="N/A",0,RTD("tos.rtd",,BN$2,"."&amp;$D$134&amp;$AW$82&amp;"C"&amp;$A144)))</f>
        <v>9.474138574247121E-4</v>
      </c>
      <c r="BO144" s="3">
        <f ca="1">IF($BP$1=1,EC144,-IF(RTD("tos.rtd",,BO$2,"."&amp;$D$134&amp;$AW$82&amp;"P"&amp;$A144)="N/A",0,RTD("tos.rtd",,BO$2,"."&amp;$D$134&amp;$AW$82&amp;"P"&amp;$A144)))</f>
        <v>-8.5918727244689954E-4</v>
      </c>
      <c r="BQ144" s="3">
        <f t="shared" ca="1" si="394"/>
        <v>17419.470689245154</v>
      </c>
      <c r="BR144" s="3" t="str">
        <f t="shared" ca="1" si="339"/>
        <v>Cruce +</v>
      </c>
      <c r="BS144" s="3">
        <f t="shared" ca="1" si="395"/>
        <v>209668.18692199001</v>
      </c>
      <c r="BT144" s="3" t="str">
        <f t="shared" ca="1" si="340"/>
        <v/>
      </c>
      <c r="BU144" s="3">
        <f t="shared" ca="1" si="396"/>
        <v>269436.82359819685</v>
      </c>
      <c r="BV144" s="3" t="str">
        <f t="shared" ca="1" si="340"/>
        <v/>
      </c>
      <c r="BX144" s="3">
        <f t="shared" ca="1" si="370"/>
        <v>6509.4775243502581</v>
      </c>
      <c r="BY144" s="3" t="str">
        <f t="shared" ca="1" si="371"/>
        <v/>
      </c>
      <c r="BZ144" s="3">
        <f t="shared" ca="1" si="372"/>
        <v>51.954272063380159</v>
      </c>
      <c r="CA144" s="3" t="str">
        <f t="shared" ca="1" si="371"/>
        <v/>
      </c>
      <c r="CB144" s="3">
        <f t="shared" ca="1" si="373"/>
        <v>-540.58289642537511</v>
      </c>
      <c r="CC144" s="3" t="str">
        <f t="shared" ca="1" si="371"/>
        <v/>
      </c>
      <c r="CD144" s="3">
        <f>IF(RTD("tos.rtd",,CD$43,"."&amp;$B$134&amp;$AS$82&amp;"C"&amp;$A144)="N/A",0,RTD("tos.rtd",,CD$43,"."&amp;$B$134&amp;$AS$82&amp;"C"&amp;$A144))</f>
        <v>0.17</v>
      </c>
      <c r="CE144" s="3">
        <f>-IF(RTD("tos.rtd",,CE$43,"."&amp;$B$134&amp;$AS$82&amp;"P"&amp;$A144)="N/A",0,RTD("tos.rtd",,CE$43,"."&amp;$B$134&amp;$AS$82&amp;"P"&amp;$A144))</f>
        <v>0.84</v>
      </c>
      <c r="CF144" s="3">
        <f>IF(RTD("tos.rtd",,CF$2,"."&amp;$C$134&amp;$AU$82&amp;"C"&amp;$A144)="N/A",0,RTD("tos.rtd",,CF$2,"."&amp;$C$134&amp;$AU$82&amp;"C"&amp;$A144))</f>
        <v>0.5</v>
      </c>
      <c r="CG144" s="3">
        <f>-IF(RTD("tos.rtd",,CG$2,"."&amp;$C$134&amp;$AU$82&amp;"P"&amp;$A144)="N/A",0,RTD("tos.rtd",,CG$2,"."&amp;$C$134&amp;$AU$82&amp;"P"&amp;$A144))</f>
        <v>0.5</v>
      </c>
      <c r="CH144" s="3">
        <f>IF(RTD("tos.rtd",,CH$2,"."&amp;$D$134&amp;$AW$82&amp;"C"&amp;$A144)="N/A",0,RTD("tos.rtd",,CH$2,"."&amp;$D$134&amp;$AW$82&amp;"C"&amp;$A144))</f>
        <v>0.54</v>
      </c>
      <c r="CI144" s="3">
        <f>-IF(RTD("tos.rtd",,CI$2,"."&amp;$D$134&amp;$AW$82&amp;"P"&amp;$A144)="N/A",0,RTD("tos.rtd",,CI$2,"."&amp;$D$134&amp;$AW$82&amp;"P"&amp;$A144))</f>
        <v>0.47</v>
      </c>
      <c r="CK144" s="3">
        <f t="shared" si="374"/>
        <v>-17832507</v>
      </c>
      <c r="CL144" s="3"/>
      <c r="CM144" s="3">
        <f t="shared" si="375"/>
        <v>3199612.5</v>
      </c>
      <c r="CN144" s="3"/>
      <c r="CO144" s="3">
        <f t="shared" si="376"/>
        <v>10686705.750000007</v>
      </c>
      <c r="CP144" s="3">
        <f t="shared" si="331"/>
        <v>-3946188.7499999925</v>
      </c>
      <c r="CQ144" s="3">
        <f t="shared" si="341"/>
        <v>377</v>
      </c>
      <c r="CR144" s="3"/>
      <c r="CS144" s="3">
        <f t="shared" si="342"/>
        <v>0</v>
      </c>
      <c r="CT144" s="3"/>
      <c r="CU144" s="3">
        <f t="shared" si="343"/>
        <v>-5</v>
      </c>
      <c r="CV144" s="3"/>
      <c r="CW144" s="3">
        <f t="shared" ca="1" si="344"/>
        <v>496524.48120943201</v>
      </c>
      <c r="CY144" s="3">
        <f t="shared" ca="1" si="345"/>
        <v>6020.8488999882629</v>
      </c>
      <c r="CZ144" s="70" t="str">
        <f t="shared" ca="1" si="377"/>
        <v/>
      </c>
      <c r="DA144" s="3">
        <f>IF(RTD("tos.rtd",,DA$43,"."&amp;$B$134&amp;$AS$82&amp;"C"&amp;$A144)="N/A",0,RTD("tos.rtd",,DA$43,"."&amp;$B$134&amp;$AS$82&amp;"C"&amp;$A144))</f>
        <v>0.7</v>
      </c>
      <c r="DB144" s="3">
        <f>IF(RTD("tos.rtd",,DB$43,"."&amp;$B$134&amp;$AS$82&amp;"P"&amp;$A144)="N/A",0,RTD("tos.rtd",,DB$43,"."&amp;$B$134&amp;$AS$82&amp;"P"&amp;$A144))</f>
        <v>18.41</v>
      </c>
      <c r="DC144" s="3">
        <f>IF(RTD("tos.rtd",,DC$43,"."&amp;$B$134&amp;$AS$82&amp;"C"&amp;$A144)="N/A",0,RTD("tos.rtd",,DC$43,"."&amp;$B$134&amp;$AS$82&amp;"C"&amp;$A144))</f>
        <v>1.3</v>
      </c>
      <c r="DD144" s="3">
        <f>IF(RTD("tos.rtd",,DD$43,"."&amp;$B$134&amp;$AS$82&amp;"P"&amp;$A144)="N/A",0,RTD("tos.rtd",,DD$43,"."&amp;$B$134&amp;$AS$82&amp;"P"&amp;$A144))</f>
        <v>15.5</v>
      </c>
      <c r="DE144" s="3">
        <f>IF(RTD("tos.rtd",,DE$43,"."&amp;$B$134&amp;$AS$82&amp;"C"&amp;$A144)="N/A",0,RTD("tos.rtd",,DE$43,"."&amp;$B$134&amp;$AS$82&amp;"C"&amp;$A144))</f>
        <v>0.1</v>
      </c>
      <c r="DF144" s="3">
        <f>IF(RTD("tos.rtd",,DF$43,"."&amp;$B$134&amp;$AS$82&amp;"P"&amp;$A144)="N/A",0,RTD("tos.rtd",,DF$43,"."&amp;$B$134&amp;$AS$82&amp;"P"&amp;$A144))</f>
        <v>1</v>
      </c>
      <c r="DG144" s="86">
        <f t="shared" si="378"/>
        <v>44.25</v>
      </c>
      <c r="DH144" s="3">
        <f t="shared" si="379"/>
        <v>0</v>
      </c>
      <c r="DI144" s="3">
        <f t="shared" si="380"/>
        <v>0</v>
      </c>
      <c r="DJ144" s="3">
        <f t="shared" si="346"/>
        <v>0</v>
      </c>
      <c r="DK144" s="3">
        <f t="shared" si="347"/>
        <v>0</v>
      </c>
      <c r="DL144" s="3">
        <f t="shared" si="381"/>
        <v>0</v>
      </c>
      <c r="DM144" s="3">
        <f t="shared" si="382"/>
        <v>0</v>
      </c>
      <c r="DN144" s="64" t="str">
        <f t="shared" si="348"/>
        <v>UNKNOWN</v>
      </c>
      <c r="DO144" s="64" t="str">
        <f t="shared" si="349"/>
        <v>UNKNOWN</v>
      </c>
      <c r="DP144" s="3">
        <f t="shared" si="350"/>
        <v>0</v>
      </c>
      <c r="DQ144" s="3">
        <f t="shared" si="351"/>
        <v>0</v>
      </c>
      <c r="DR144" s="3">
        <f t="shared" ca="1" si="352"/>
        <v>0</v>
      </c>
      <c r="DS144" s="3">
        <f t="shared" si="353"/>
        <v>0</v>
      </c>
      <c r="DT144" s="3">
        <f t="shared" si="383"/>
        <v>0</v>
      </c>
      <c r="DU144" s="3">
        <f t="shared" si="384"/>
        <v>0</v>
      </c>
      <c r="DV144" s="3">
        <f t="shared" si="354"/>
        <v>136</v>
      </c>
      <c r="DW144" s="3">
        <f t="shared" si="355"/>
        <v>-11</v>
      </c>
      <c r="DX144" s="3">
        <f t="shared" ca="1" si="356"/>
        <v>6.2762370629352234E-5</v>
      </c>
      <c r="DY144" s="3">
        <f t="shared" ca="1" si="357"/>
        <v>-5.4339863363855264E-5</v>
      </c>
      <c r="DZ144" s="3">
        <f t="shared" ca="1" si="358"/>
        <v>9.5776261791074365E-4</v>
      </c>
      <c r="EA144" s="3">
        <f t="shared" ca="1" si="359"/>
        <v>-7.6535031770639855E-4</v>
      </c>
      <c r="EB144" s="3">
        <f t="shared" ca="1" si="360"/>
        <v>9.474138574247121E-4</v>
      </c>
      <c r="EC144" s="3">
        <f t="shared" ca="1" si="361"/>
        <v>-8.5918727244689954E-4</v>
      </c>
      <c r="ED144" s="63">
        <f t="shared" si="385"/>
        <v>125</v>
      </c>
      <c r="EE144" s="59">
        <f t="shared" si="362"/>
        <v>4.87E-2</v>
      </c>
      <c r="EF144" s="59">
        <f t="shared" si="363"/>
        <v>4.8099999999999997E-2</v>
      </c>
      <c r="EG144" s="59">
        <f t="shared" si="364"/>
        <v>0.18190000000000001</v>
      </c>
      <c r="EH144" s="59">
        <f t="shared" si="365"/>
        <v>0.22789999999999999</v>
      </c>
      <c r="EI144" s="59">
        <f t="shared" si="366"/>
        <v>0.18390000000000001</v>
      </c>
      <c r="EJ144" s="59">
        <f t="shared" si="367"/>
        <v>0.2029</v>
      </c>
      <c r="EK144" s="63">
        <f t="shared" ca="1" si="386"/>
        <v>4155714.6902296687</v>
      </c>
      <c r="EL144" s="3" t="str">
        <f>RTD("tos.rtd",,EL$43,"."&amp;$B$134&amp;$AS$82&amp;"C"&amp;$A144)</f>
        <v>4.87%</v>
      </c>
      <c r="EM144" s="3" t="str">
        <f>RTD("tos.rtd",,EM$43,"."&amp;$B$134&amp;$AS$82&amp;"P"&amp;$A144)</f>
        <v>4.81%</v>
      </c>
      <c r="EN144" s="3" t="str">
        <f>RTD("tos.rtd",,EN$2,"."&amp;$C$134&amp;$AU$82&amp;"C"&amp;$A144)</f>
        <v>18.19%</v>
      </c>
      <c r="EO144" s="3" t="str">
        <f>RTD("tos.rtd",,EO$2,"."&amp;$C$134&amp;$AU$82&amp;"P"&amp;$A144)</f>
        <v>22.79%</v>
      </c>
      <c r="EP144" s="3" t="str">
        <f>RTD("tos.rtd",,EP$2,"."&amp;$D$134&amp;$AW$82&amp;"C"&amp;$A144)</f>
        <v>18.39%</v>
      </c>
      <c r="EQ144" s="3" t="str">
        <f>RTD("tos.rtd",,EQ$2,"."&amp;$D$134&amp;$AW$82&amp;"P"&amp;$A144)</f>
        <v>20.29%</v>
      </c>
      <c r="ES144" s="63" t="str">
        <f t="shared" si="368"/>
        <v>21375,125.00</v>
      </c>
      <c r="ET144" s="63" t="str">
        <f t="shared" ca="1" si="369"/>
        <v>21375,06.02</v>
      </c>
      <c r="EU144" s="67">
        <v>592.64</v>
      </c>
      <c r="EV144" s="67" t="s">
        <v>1172</v>
      </c>
      <c r="EW144" s="67">
        <v>519.11</v>
      </c>
      <c r="EX144" s="67" t="s">
        <v>1173</v>
      </c>
      <c r="EY144" s="67">
        <v>5936.25</v>
      </c>
      <c r="EZ144" s="67" t="s">
        <v>1174</v>
      </c>
      <c r="FA144" s="67">
        <v>21309.5</v>
      </c>
      <c r="FB144" s="67" t="s">
        <v>1175</v>
      </c>
      <c r="FC144" s="67" t="s">
        <v>1176</v>
      </c>
      <c r="FD144" s="67" t="s">
        <v>1177</v>
      </c>
      <c r="FE144" s="68" t="s">
        <v>1178</v>
      </c>
      <c r="FF144" s="68" t="s">
        <v>1179</v>
      </c>
    </row>
    <row r="145" spans="1:162" ht="11.1" customHeight="1" thickBot="1" x14ac:dyDescent="0.25">
      <c r="A145" s="2">
        <f t="shared" si="387"/>
        <v>21350</v>
      </c>
      <c r="B145" s="3">
        <f t="shared" ref="B145:B154" si="398">+IF($A$1="ABS",AS145-AT145,AS145+AT145)</f>
        <v>41</v>
      </c>
      <c r="C145" s="3">
        <f t="shared" ref="C145:C154" si="399">+IF($A$1="ABS",AU145-AV145,AU145+AV145)</f>
        <v>27</v>
      </c>
      <c r="D145" s="3">
        <f t="shared" ref="D145:D154" si="400">+IF($A$1="ABS",AW145-AX145,AW145+AX145)</f>
        <v>123</v>
      </c>
      <c r="E145" s="3">
        <f t="shared" si="390"/>
        <v>191</v>
      </c>
      <c r="F145" s="4">
        <f t="shared" si="391"/>
        <v>21440.081220772827</v>
      </c>
      <c r="G145" s="5">
        <f t="shared" si="392"/>
        <v>520.09894166871766</v>
      </c>
      <c r="AM145" s="1">
        <v>83</v>
      </c>
      <c r="AN145" s="1">
        <v>-27</v>
      </c>
      <c r="AO145" s="1">
        <v>21350</v>
      </c>
      <c r="AP145" s="1">
        <v>932</v>
      </c>
      <c r="AQ145" s="1">
        <v>-447</v>
      </c>
      <c r="AS145" s="54">
        <f>IF(RTD("tos.rtd",,AS$83,"."&amp;$B$134&amp;$AS$82&amp;"C"&amp;$A145)="N/A",0,RTD("tos.rtd",,AS$83,"."&amp;$B$134&amp;$AS$82&amp;"C"&amp;$A145))</f>
        <v>12</v>
      </c>
      <c r="AT145" s="3">
        <f>-IF(RTD("tos.rtd",,AT$83,"."&amp;$B$134&amp;$AS$82&amp;"P"&amp;$A145)="N/A",0,RTD("tos.rtd",,AT$83,"."&amp;$B$134&amp;$AS$82&amp;"P"&amp;$A145))</f>
        <v>-29</v>
      </c>
      <c r="AU145" s="54">
        <f>IF(RTD("tos.rtd",,AU$2,"."&amp;$C$134&amp;$AU$134&amp;"C"&amp;$A145)="N/A",0,RTD("tos.rtd",,AU$2,"."&amp;$C$134&amp;$AU$134&amp;"C"&amp;$A145))</f>
        <v>22</v>
      </c>
      <c r="AV145" s="3">
        <f>-IF(RTD("tos.rtd",,AV$2,"."&amp;$C$134&amp;$AU$134&amp;"P"&amp;$A145)="N/A",0,RTD("tos.rtd",,AV$2,"."&amp;$C$134&amp;$AU$134&amp;"P"&amp;$A145))</f>
        <v>-5</v>
      </c>
      <c r="AW145" s="54">
        <f>IF(RTD("tos.rtd",,AW$2,"."&amp;$D$134&amp;$AW$134&amp;"C"&amp;$A145)="N/A",0,RTD("tos.rtd",,AW$2,"."&amp;$D$134&amp;$AW$134&amp;"C"&amp;$A145))</f>
        <v>70</v>
      </c>
      <c r="AX145" s="3">
        <f>-IF(RTD("tos.rtd",,AX$2,"."&amp;$D$134&amp;$AW$134&amp;"P"&amp;$A145)="N/A",0,RTD("tos.rtd",,AX$2,"."&amp;$D$134&amp;$AW$134&amp;"P"&amp;$A145))</f>
        <v>-53</v>
      </c>
      <c r="AY145" s="76">
        <f t="shared" si="393"/>
        <v>17</v>
      </c>
      <c r="AZ145" s="8">
        <f t="shared" si="337"/>
        <v>21350</v>
      </c>
      <c r="BA145" s="54">
        <f>IF(RTD("tos.rtd",,BA$43,"."&amp;$B$134&amp;$AS$82&amp;"C"&amp;$A145)="N/A",0,RTD("tos.rtd",,BA$43,"."&amp;$B$134&amp;$AS$82&amp;"C"&amp;$A145))</f>
        <v>932</v>
      </c>
      <c r="BB145" s="3">
        <f>-IF(RTD("tos.rtd",,BB$43,"."&amp;$B$134&amp;$AS$82&amp;"P"&amp;$A145)="N/A",0,RTD("tos.rtd",,BB$43,"."&amp;$B$134&amp;$AS$82&amp;"P"&amp;$A145))</f>
        <v>-447</v>
      </c>
      <c r="BC145" s="54">
        <f>IF(RTD("tos.rtd",,BC$2,"."&amp;$C$134&amp;$AU$82&amp;"C"&amp;$A145)="N/A",0,RTD("tos.rtd",,BC$2,"."&amp;$C$134&amp;$AU$82&amp;"C"&amp;$A145))</f>
        <v>8</v>
      </c>
      <c r="BD145" s="3">
        <f>-IF(RTD("tos.rtd",,BD$2,"."&amp;$C$134&amp;$AU$82&amp;"P"&amp;$A145)="N/A",0,RTD("tos.rtd",,BD$2,"."&amp;$C$134&amp;$AU$82&amp;"P"&amp;$A145))</f>
        <v>-7</v>
      </c>
      <c r="BE145" s="54">
        <f>IF(RTD("tos.rtd",,BE$2,"."&amp;$D$134&amp;$AW$82&amp;"C"&amp;$A145)="N/A",0,RTD("tos.rtd",,BE$2,"."&amp;$D$134&amp;$AW$82&amp;"C"&amp;$A145))</f>
        <v>6</v>
      </c>
      <c r="BF145" s="3">
        <f>-IF(RTD("tos.rtd",,BF$2,"."&amp;$D$134&amp;$AW$82&amp;"P"&amp;$A145)="N/A",0,RTD("tos.rtd",,BF$2,"."&amp;$D$134&amp;$AW$82&amp;"P"&amp;$A145))</f>
        <v>-10</v>
      </c>
      <c r="BG145" s="3">
        <f ca="1">+Hoja2!Y146</f>
        <v>84</v>
      </c>
      <c r="BH145" s="7">
        <f t="shared" ca="1" si="338"/>
        <v>566</v>
      </c>
      <c r="BI145" s="32" t="str">
        <f t="shared" ca="1" si="397"/>
        <v/>
      </c>
      <c r="BJ145" s="3">
        <f ca="1">IF($BP$1=1,DX145,IF(RTD("tos.rtd",,BJ$43,"."&amp;$B$134&amp;$AS$82&amp;"C"&amp;$A145)="N/A",0,RTD("tos.rtd",,BJ$43,"."&amp;$B$134&amp;$AS$82&amp;"C"&amp;$A145)))</f>
        <v>8.1298104818270031E-3</v>
      </c>
      <c r="BK145" s="3">
        <f ca="1">IF($BP$1=1,DY145,-IF(RTD("tos.rtd",,BK$43,"."&amp;$B$134&amp;$AS$82&amp;"P"&amp;$A145)="N/A",0,RTD("tos.rtd",,BK$43,"."&amp;$B$134&amp;$AS$82&amp;"P"&amp;$A145)))</f>
        <v>-1.1863264830570331E-2</v>
      </c>
      <c r="BL145" s="3">
        <f ca="1">IF($BP$1=1,DZ145,IF(RTD("tos.rtd",,BL$2,"."&amp;$C$134&amp;$AU$82&amp;"C"&amp;$A145)="N/A",0,RTD("tos.rtd",,BL$2,"."&amp;$C$134&amp;$AU$82&amp;"C"&amp;$A145)))</f>
        <v>9.5912236692218401E-4</v>
      </c>
      <c r="BM145" s="3">
        <f ca="1">IF($BP$1=1,EA145,-IF(RTD("tos.rtd",,BM$2,"."&amp;$C$134&amp;$AU$82&amp;"P"&amp;$A145)="N/A",0,RTD("tos.rtd",,BM$2,"."&amp;$C$134&amp;$AU$82&amp;"P"&amp;$A145)))</f>
        <v>-7.7149290482916963E-4</v>
      </c>
      <c r="BN145" s="3">
        <f ca="1">IF($BP$1=1,EB145,IF(RTD("tos.rtd",,BN$2,"."&amp;$D$134&amp;$AW$82&amp;"C"&amp;$A145)="N/A",0,RTD("tos.rtd",,BN$2,"."&amp;$D$134&amp;$AW$82&amp;"C"&amp;$A145)))</f>
        <v>9.6869401697932331E-4</v>
      </c>
      <c r="BO145" s="3">
        <f ca="1">IF($BP$1=1,EC145,-IF(RTD("tos.rtd",,BO$2,"."&amp;$D$134&amp;$AW$82&amp;"P"&amp;$A145)="N/A",0,RTD("tos.rtd",,BO$2,"."&amp;$D$134&amp;$AW$82&amp;"P"&amp;$A145)))</f>
        <v>-8.6125274793228377E-4</v>
      </c>
      <c r="BQ145" s="3">
        <f t="shared" ca="1" si="394"/>
        <v>-8682691.1315072048</v>
      </c>
      <c r="BR145" s="3" t="str">
        <f t="shared" ca="1" si="339"/>
        <v>Cruce -</v>
      </c>
      <c r="BS145" s="3">
        <f t="shared" ca="1" si="395"/>
        <v>607430.49723740993</v>
      </c>
      <c r="BT145" s="3" t="str">
        <f t="shared" ca="1" si="340"/>
        <v/>
      </c>
      <c r="BU145" s="3">
        <f t="shared" ca="1" si="396"/>
        <v>780711.57791023818</v>
      </c>
      <c r="BV145" s="3" t="str">
        <f t="shared" ca="1" si="340"/>
        <v/>
      </c>
      <c r="BX145" s="3">
        <f t="shared" ca="1" si="370"/>
        <v>614042.95495089493</v>
      </c>
      <c r="BY145" s="3" t="str">
        <f t="shared" ca="1" si="371"/>
        <v/>
      </c>
      <c r="BZ145" s="3">
        <f t="shared" ca="1" si="372"/>
        <v>613.6175759686962</v>
      </c>
      <c r="CA145" s="3" t="str">
        <f t="shared" ca="1" si="371"/>
        <v/>
      </c>
      <c r="CB145" s="3">
        <f t="shared" ca="1" si="373"/>
        <v>-756.14106080374609</v>
      </c>
      <c r="CC145" s="3" t="str">
        <f t="shared" ca="1" si="371"/>
        <v/>
      </c>
      <c r="CD145" s="3">
        <f>IF(RTD("tos.rtd",,CD$43,"."&amp;$B$134&amp;$AS$82&amp;"C"&amp;$A145)="N/A",0,RTD("tos.rtd",,CD$43,"."&amp;$B$134&amp;$AS$82&amp;"C"&amp;$A145))</f>
        <v>0.73</v>
      </c>
      <c r="CE145" s="3">
        <f>-IF(RTD("tos.rtd",,CE$43,"."&amp;$B$134&amp;$AS$82&amp;"P"&amp;$A145)="N/A",0,RTD("tos.rtd",,CE$43,"."&amp;$B$134&amp;$AS$82&amp;"P"&amp;$A145))</f>
        <v>0.03</v>
      </c>
      <c r="CF145" s="3">
        <f>IF(RTD("tos.rtd",,CF$2,"."&amp;$C$134&amp;$AU$82&amp;"C"&amp;$A145)="N/A",0,RTD("tos.rtd",,CF$2,"."&amp;$C$134&amp;$AU$82&amp;"C"&amp;$A145))</f>
        <v>0.53</v>
      </c>
      <c r="CG145" s="3">
        <f>-IF(RTD("tos.rtd",,CG$2,"."&amp;$C$134&amp;$AU$82&amp;"P"&amp;$A145)="N/A",0,RTD("tos.rtd",,CG$2,"."&amp;$C$134&amp;$AU$82&amp;"P"&amp;$A145))</f>
        <v>0.47</v>
      </c>
      <c r="CH145" s="3">
        <f>IF(RTD("tos.rtd",,CH$2,"."&amp;$D$134&amp;$AW$82&amp;"C"&amp;$A145)="N/A",0,RTD("tos.rtd",,CH$2,"."&amp;$D$134&amp;$AW$82&amp;"C"&amp;$A145))</f>
        <v>0.55000000000000004</v>
      </c>
      <c r="CI145" s="3">
        <f>-IF(RTD("tos.rtd",,CI$2,"."&amp;$D$134&amp;$AW$82&amp;"P"&amp;$A145)="N/A",0,RTD("tos.rtd",,CI$2,"."&amp;$D$134&amp;$AW$82&amp;"P"&amp;$A145))</f>
        <v>0.46</v>
      </c>
      <c r="CK145" s="3">
        <f t="shared" si="374"/>
        <v>16829961.75</v>
      </c>
      <c r="CL145" s="3"/>
      <c r="CM145" s="3">
        <f t="shared" si="375"/>
        <v>19858928.25</v>
      </c>
      <c r="CN145" s="3"/>
      <c r="CO145" s="3">
        <f t="shared" si="376"/>
        <v>30119018.999999993</v>
      </c>
      <c r="CP145" s="3">
        <f t="shared" si="331"/>
        <v>66807908.999999993</v>
      </c>
      <c r="CQ145" s="3">
        <f t="shared" si="341"/>
        <v>485</v>
      </c>
      <c r="CR145" s="3"/>
      <c r="CS145" s="3">
        <f t="shared" si="342"/>
        <v>1</v>
      </c>
      <c r="CT145" s="3"/>
      <c r="CU145" s="3">
        <f t="shared" si="343"/>
        <v>-4</v>
      </c>
      <c r="CV145" s="3"/>
      <c r="CW145" s="3">
        <f t="shared" ca="1" si="344"/>
        <v>-7294549.0563595565</v>
      </c>
      <c r="CY145" s="3">
        <f t="shared" ca="1" si="345"/>
        <v>613900.43146605988</v>
      </c>
      <c r="CZ145" s="70" t="str">
        <f t="shared" ca="1" si="377"/>
        <v/>
      </c>
      <c r="DA145" s="3">
        <f>IF(RTD("tos.rtd",,DA$43,"."&amp;$B$134&amp;$AS$82&amp;"C"&amp;$A145)="N/A",0,RTD("tos.rtd",,DA$43,"."&amp;$B$134&amp;$AS$82&amp;"C"&amp;$A145))</f>
        <v>20</v>
      </c>
      <c r="DB145" s="3">
        <f>IF(RTD("tos.rtd",,DB$43,"."&amp;$B$134&amp;$AS$82&amp;"P"&amp;$A145)="N/A",0,RTD("tos.rtd",,DB$43,"."&amp;$B$134&amp;$AS$82&amp;"P"&amp;$A145))</f>
        <v>0.1</v>
      </c>
      <c r="DC145" s="3">
        <f>IF(RTD("tos.rtd",,DC$43,"."&amp;$B$134&amp;$AS$82&amp;"C"&amp;$A145)="N/A",0,RTD("tos.rtd",,DC$43,"."&amp;$B$134&amp;$AS$82&amp;"C"&amp;$A145))</f>
        <v>29.2</v>
      </c>
      <c r="DD145" s="3">
        <f>IF(RTD("tos.rtd",,DD$43,"."&amp;$B$134&amp;$AS$82&amp;"P"&amp;$A145)="N/A",0,RTD("tos.rtd",,DD$43,"."&amp;$B$134&amp;$AS$82&amp;"P"&amp;$A145))</f>
        <v>0.15</v>
      </c>
      <c r="DE145" s="3">
        <f>IF(RTD("tos.rtd",,DE$43,"."&amp;$B$134&amp;$AS$82&amp;"C"&amp;$A145)="N/A",0,RTD("tos.rtd",,DE$43,"."&amp;$B$134&amp;$AS$82&amp;"C"&amp;$A145))</f>
        <v>14.9</v>
      </c>
      <c r="DF145" s="3">
        <f>IF(RTD("tos.rtd",,DF$43,"."&amp;$B$134&amp;$AS$82&amp;"P"&amp;$A145)="N/A",0,RTD("tos.rtd",,DF$43,"."&amp;$B$134&amp;$AS$82&amp;"P"&amp;$A145))</f>
        <v>0.1</v>
      </c>
      <c r="DG145" s="86">
        <f t="shared" si="378"/>
        <v>19.25</v>
      </c>
      <c r="DH145" s="3">
        <f t="shared" si="379"/>
        <v>0</v>
      </c>
      <c r="DI145" s="3">
        <f t="shared" si="380"/>
        <v>0</v>
      </c>
      <c r="DJ145" s="3">
        <f t="shared" si="346"/>
        <v>0</v>
      </c>
      <c r="DK145" s="3">
        <f t="shared" si="347"/>
        <v>0</v>
      </c>
      <c r="DL145" s="3">
        <f t="shared" si="381"/>
        <v>0</v>
      </c>
      <c r="DM145" s="3">
        <f t="shared" si="382"/>
        <v>0</v>
      </c>
      <c r="DN145" s="64" t="str">
        <f t="shared" si="348"/>
        <v>UNKNOWN</v>
      </c>
      <c r="DO145" s="64" t="str">
        <f t="shared" si="349"/>
        <v>UNKNOWN</v>
      </c>
      <c r="DP145" s="3">
        <f t="shared" si="350"/>
        <v>0</v>
      </c>
      <c r="DQ145" s="3">
        <f t="shared" si="351"/>
        <v>0</v>
      </c>
      <c r="DR145" s="3">
        <f t="shared" ca="1" si="352"/>
        <v>0</v>
      </c>
      <c r="DS145" s="3">
        <f t="shared" si="353"/>
        <v>0</v>
      </c>
      <c r="DT145" s="3">
        <f t="shared" si="383"/>
        <v>0</v>
      </c>
      <c r="DU145" s="3">
        <f t="shared" si="384"/>
        <v>0</v>
      </c>
      <c r="DV145" s="3">
        <f t="shared" si="354"/>
        <v>83</v>
      </c>
      <c r="DW145" s="3">
        <f t="shared" si="355"/>
        <v>-27</v>
      </c>
      <c r="DX145" s="3">
        <f t="shared" ca="1" si="356"/>
        <v>8.1298104818270031E-3</v>
      </c>
      <c r="DY145" s="3">
        <f t="shared" ca="1" si="357"/>
        <v>-1.1863264830570331E-2</v>
      </c>
      <c r="DZ145" s="3">
        <f t="shared" ca="1" si="358"/>
        <v>9.5912236692218401E-4</v>
      </c>
      <c r="EA145" s="3">
        <f t="shared" ca="1" si="359"/>
        <v>-7.7149290482916963E-4</v>
      </c>
      <c r="EB145" s="3">
        <f t="shared" ca="1" si="360"/>
        <v>9.6869401697932331E-4</v>
      </c>
      <c r="EC145" s="3">
        <f t="shared" ca="1" si="361"/>
        <v>-8.6125274793228377E-4</v>
      </c>
      <c r="ED145" s="63">
        <f t="shared" si="385"/>
        <v>56</v>
      </c>
      <c r="EE145" s="59">
        <f t="shared" si="362"/>
        <v>0.1749</v>
      </c>
      <c r="EF145" s="59">
        <f t="shared" si="363"/>
        <v>5.8900000000000001E-2</v>
      </c>
      <c r="EG145" s="59">
        <f t="shared" si="364"/>
        <v>0.18210000000000001</v>
      </c>
      <c r="EH145" s="59">
        <f t="shared" si="365"/>
        <v>0.22639999999999999</v>
      </c>
      <c r="EI145" s="59">
        <f t="shared" si="366"/>
        <v>0.18029999999999999</v>
      </c>
      <c r="EJ145" s="59">
        <f t="shared" si="367"/>
        <v>0.20280000000000001</v>
      </c>
      <c r="EK145" s="63">
        <f t="shared" ca="1" si="386"/>
        <v>452763392.44825345</v>
      </c>
      <c r="EL145" s="3" t="str">
        <f>RTD("tos.rtd",,EL$43,"."&amp;$B$134&amp;$AS$82&amp;"C"&amp;$A145)</f>
        <v>17.49%</v>
      </c>
      <c r="EM145" s="3" t="str">
        <f>RTD("tos.rtd",,EM$43,"."&amp;$B$134&amp;$AS$82&amp;"P"&amp;$A145)</f>
        <v>5.89%</v>
      </c>
      <c r="EN145" s="3" t="str">
        <f>RTD("tos.rtd",,EN$2,"."&amp;$C$134&amp;$AU$82&amp;"C"&amp;$A145)</f>
        <v>18.21%</v>
      </c>
      <c r="EO145" s="3" t="str">
        <f>RTD("tos.rtd",,EO$2,"."&amp;$C$134&amp;$AU$82&amp;"P"&amp;$A145)</f>
        <v>22.64%</v>
      </c>
      <c r="EP145" s="3" t="str">
        <f>RTD("tos.rtd",,EP$2,"."&amp;$D$134&amp;$AW$82&amp;"C"&amp;$A145)</f>
        <v>18.03%</v>
      </c>
      <c r="EQ145" s="3" t="str">
        <f>RTD("tos.rtd",,EQ$2,"."&amp;$D$134&amp;$AW$82&amp;"P"&amp;$A145)</f>
        <v>20.28%</v>
      </c>
      <c r="ES145" s="63" t="str">
        <f t="shared" si="368"/>
        <v>21350,56.00</v>
      </c>
      <c r="ET145" s="63" t="str">
        <f t="shared" ca="1" si="369"/>
        <v>21350,613.90</v>
      </c>
      <c r="EU145" s="68">
        <v>592.64</v>
      </c>
      <c r="EV145" s="68" t="s">
        <v>1172</v>
      </c>
      <c r="EW145" s="68">
        <v>519.11</v>
      </c>
      <c r="EX145" s="68" t="s">
        <v>1173</v>
      </c>
      <c r="EY145" s="68">
        <v>5936.25</v>
      </c>
      <c r="EZ145" s="68" t="s">
        <v>1174</v>
      </c>
      <c r="FA145" s="68">
        <v>21309.5</v>
      </c>
      <c r="FB145" s="68" t="s">
        <v>1175</v>
      </c>
      <c r="FC145" s="68" t="s">
        <v>1180</v>
      </c>
      <c r="FD145" s="68" t="s">
        <v>1181</v>
      </c>
      <c r="FE145" s="68" t="s">
        <v>1182</v>
      </c>
      <c r="FF145" s="68" t="s">
        <v>1183</v>
      </c>
    </row>
    <row r="146" spans="1:162" ht="11.1" customHeight="1" thickBot="1" x14ac:dyDescent="0.25">
      <c r="A146" s="2">
        <f t="shared" si="387"/>
        <v>21325</v>
      </c>
      <c r="B146" s="3">
        <f t="shared" si="398"/>
        <v>32</v>
      </c>
      <c r="C146" s="3">
        <f t="shared" si="399"/>
        <v>46</v>
      </c>
      <c r="D146" s="3">
        <f t="shared" si="400"/>
        <v>4848</v>
      </c>
      <c r="E146" s="3">
        <f t="shared" si="390"/>
        <v>4926</v>
      </c>
      <c r="F146" s="4">
        <f t="shared" si="391"/>
        <v>21414.975739249676</v>
      </c>
      <c r="G146" s="5">
        <f t="shared" si="392"/>
        <v>519.48992651453887</v>
      </c>
      <c r="AM146" s="1">
        <v>-26</v>
      </c>
      <c r="AN146" s="1">
        <v>-60</v>
      </c>
      <c r="AO146" s="1">
        <v>21325</v>
      </c>
      <c r="AP146" s="1">
        <v>198</v>
      </c>
      <c r="AQ146" s="1">
        <v>-255</v>
      </c>
      <c r="AS146" s="54">
        <f>IF(RTD("tos.rtd",,AS$83,"."&amp;$B$134&amp;$AS$82&amp;"C"&amp;$A146)="N/A",0,RTD("tos.rtd",,AS$83,"."&amp;$B$134&amp;$AS$82&amp;"C"&amp;$A146))</f>
        <v>11</v>
      </c>
      <c r="AT146" s="3">
        <f>-IF(RTD("tos.rtd",,AT$83,"."&amp;$B$134&amp;$AS$82&amp;"P"&amp;$A146)="N/A",0,RTD("tos.rtd",,AT$83,"."&amp;$B$134&amp;$AS$82&amp;"P"&amp;$A146))</f>
        <v>-21</v>
      </c>
      <c r="AU146" s="54">
        <f>IF(RTD("tos.rtd",,AU$2,"."&amp;$C$134&amp;$AU$134&amp;"C"&amp;$A146)="N/A",0,RTD("tos.rtd",,AU$2,"."&amp;$C$134&amp;$AU$134&amp;"C"&amp;$A146))</f>
        <v>29</v>
      </c>
      <c r="AV146" s="3">
        <f>-IF(RTD("tos.rtd",,AV$2,"."&amp;$C$134&amp;$AU$134&amp;"P"&amp;$A146)="N/A",0,RTD("tos.rtd",,AV$2,"."&amp;$C$134&amp;$AU$134&amp;"P"&amp;$A146))</f>
        <v>-17</v>
      </c>
      <c r="AW146" s="54">
        <f>IF(RTD("tos.rtd",,AW$2,"."&amp;$D$134&amp;$AW$134&amp;"C"&amp;$A146)="N/A",0,RTD("tos.rtd",,AW$2,"."&amp;$D$134&amp;$AW$134&amp;"C"&amp;$A146))</f>
        <v>4748</v>
      </c>
      <c r="AX146" s="3">
        <f>-IF(RTD("tos.rtd",,AX$2,"."&amp;$D$134&amp;$AW$134&amp;"P"&amp;$A146)="N/A",0,RTD("tos.rtd",,AX$2,"."&amp;$D$134&amp;$AW$134&amp;"P"&amp;$A146))</f>
        <v>-100</v>
      </c>
      <c r="AY146" s="76">
        <f t="shared" si="393"/>
        <v>4650</v>
      </c>
      <c r="AZ146" s="8">
        <f t="shared" si="337"/>
        <v>21325</v>
      </c>
      <c r="BA146" s="54">
        <f>IF(RTD("tos.rtd",,BA$43,"."&amp;$B$134&amp;$AS$82&amp;"C"&amp;$A146)="N/A",0,RTD("tos.rtd",,BA$43,"."&amp;$B$134&amp;$AS$82&amp;"C"&amp;$A146))</f>
        <v>198</v>
      </c>
      <c r="BB146" s="3">
        <f>-IF(RTD("tos.rtd",,BB$43,"."&amp;$B$134&amp;$AS$82&amp;"P"&amp;$A146)="N/A",0,RTD("tos.rtd",,BB$43,"."&amp;$B$134&amp;$AS$82&amp;"P"&amp;$A146))</f>
        <v>-255</v>
      </c>
      <c r="BC146" s="54">
        <f>IF(RTD("tos.rtd",,BC$2,"."&amp;$C$134&amp;$AU$82&amp;"C"&amp;$A146)="N/A",0,RTD("tos.rtd",,BC$2,"."&amp;$C$134&amp;$AU$82&amp;"C"&amp;$A146))</f>
        <v>0</v>
      </c>
      <c r="BD146" s="3">
        <f>-IF(RTD("tos.rtd",,BD$2,"."&amp;$C$134&amp;$AU$82&amp;"P"&amp;$A146)="N/A",0,RTD("tos.rtd",,BD$2,"."&amp;$C$134&amp;$AU$82&amp;"P"&amp;$A146))</f>
        <v>-1</v>
      </c>
      <c r="BE146" s="54">
        <f>IF(RTD("tos.rtd",,BE$2,"."&amp;$D$134&amp;$AW$82&amp;"C"&amp;$A146)="N/A",0,RTD("tos.rtd",,BE$2,"."&amp;$D$134&amp;$AW$82&amp;"C"&amp;$A146))</f>
        <v>24</v>
      </c>
      <c r="BF146" s="3">
        <f>-IF(RTD("tos.rtd",,BF$2,"."&amp;$D$134&amp;$AW$82&amp;"P"&amp;$A146)="N/A",0,RTD("tos.rtd",,BF$2,"."&amp;$D$134&amp;$AW$82&amp;"P"&amp;$A146))</f>
        <v>-12</v>
      </c>
      <c r="BG146" s="3">
        <f ca="1">+Hoja2!Y147</f>
        <v>39</v>
      </c>
      <c r="BH146" s="7">
        <f t="shared" ca="1" si="338"/>
        <v>-7</v>
      </c>
      <c r="BI146" s="32" t="str">
        <f t="shared" ca="1" si="397"/>
        <v>Cruce -</v>
      </c>
      <c r="BJ146" s="3">
        <f ca="1">IF($BP$1=1,DX146,IF(RTD("tos.rtd",,BJ$43,"."&amp;$B$134&amp;$AS$82&amp;"C"&amp;$A146)="N/A",0,RTD("tos.rtd",,BJ$43,"."&amp;$B$134&amp;$AS$82&amp;"C"&amp;$A146)))</f>
        <v>4.7359984329554934E-3</v>
      </c>
      <c r="BK146" s="3">
        <f ca="1">IF($BP$1=1,DY146,-IF(RTD("tos.rtd",,BK$43,"."&amp;$B$134&amp;$AS$82&amp;"P"&amp;$A146)="N/A",0,RTD("tos.rtd",,BK$43,"."&amp;$B$134&amp;$AS$82&amp;"P"&amp;$A146)))</f>
        <v>-1.1249354365410446E-2</v>
      </c>
      <c r="BL146" s="3">
        <f ca="1">IF($BP$1=1,DZ146,IF(RTD("tos.rtd",,BL$2,"."&amp;$C$134&amp;$AU$82&amp;"C"&amp;$A146)="N/A",0,RTD("tos.rtd",,BL$2,"."&amp;$C$134&amp;$AU$82&amp;"C"&amp;$A146)))</f>
        <v>9.585981198183117E-4</v>
      </c>
      <c r="BM146" s="3">
        <f ca="1">IF($BP$1=1,EA146,-IF(RTD("tos.rtd",,BM$2,"."&amp;$C$134&amp;$AU$82&amp;"P"&amp;$A146)="N/A",0,RTD("tos.rtd",,BM$2,"."&amp;$C$134&amp;$AU$82&amp;"P"&amp;$A146)))</f>
        <v>-7.6237532034448892E-4</v>
      </c>
      <c r="BN146" s="3">
        <f ca="1">IF($BP$1=1,EB146,IF(RTD("tos.rtd",,BN$2,"."&amp;$D$134&amp;$AW$82&amp;"C"&amp;$A146)="N/A",0,RTD("tos.rtd",,BN$2,"."&amp;$D$134&amp;$AW$82&amp;"C"&amp;$A146)))</f>
        <v>9.5440873458314595E-4</v>
      </c>
      <c r="BO146" s="3">
        <f ca="1">IF($BP$1=1,EC146,-IF(RTD("tos.rtd",,BO$2,"."&amp;$D$134&amp;$AW$82&amp;"P"&amp;$A146)="N/A",0,RTD("tos.rtd",,BO$2,"."&amp;$D$134&amp;$AW$82&amp;"P"&amp;$A146)))</f>
        <v>-8.5408445081943155E-4</v>
      </c>
      <c r="BQ146" s="3">
        <f t="shared" ca="1" si="394"/>
        <v>-6486751.4046087544</v>
      </c>
      <c r="BR146" s="3" t="str">
        <f t="shared" ca="1" si="339"/>
        <v/>
      </c>
      <c r="BS146" s="3">
        <f t="shared" ca="1" si="395"/>
        <v>522735.07850037341</v>
      </c>
      <c r="BT146" s="3" t="str">
        <f t="shared" ca="1" si="340"/>
        <v/>
      </c>
      <c r="BU146" s="3">
        <f t="shared" ca="1" si="396"/>
        <v>156624474.29142076</v>
      </c>
      <c r="BV146" s="3" t="str">
        <f t="shared" ca="1" si="340"/>
        <v/>
      </c>
      <c r="BX146" s="3">
        <f t="shared" ca="1" si="370"/>
        <v>-521361.18520376051</v>
      </c>
      <c r="BY146" s="3" t="str">
        <f t="shared" ca="1" si="371"/>
        <v>Cruce -</v>
      </c>
      <c r="BZ146" s="3">
        <f t="shared" ca="1" si="372"/>
        <v>-205.85302896706258</v>
      </c>
      <c r="CA146" s="3" t="str">
        <f t="shared" ca="1" si="371"/>
        <v>Cruce -</v>
      </c>
      <c r="CB146" s="3">
        <f t="shared" ca="1" si="373"/>
        <v>3417.5290954617767</v>
      </c>
      <c r="CC146" s="3" t="str">
        <f t="shared" ca="1" si="371"/>
        <v>Cruce +</v>
      </c>
      <c r="CD146" s="3">
        <f>IF(RTD("tos.rtd",,CD$43,"."&amp;$B$134&amp;$AS$82&amp;"C"&amp;$A146)="N/A",0,RTD("tos.rtd",,CD$43,"."&amp;$B$134&amp;$AS$82&amp;"C"&amp;$A146))</f>
        <v>0.79</v>
      </c>
      <c r="CE146" s="3">
        <f>-IF(RTD("tos.rtd",,CE$43,"."&amp;$B$134&amp;$AS$82&amp;"P"&amp;$A146)="N/A",0,RTD("tos.rtd",,CE$43,"."&amp;$B$134&amp;$AS$82&amp;"P"&amp;$A146))</f>
        <v>0.03</v>
      </c>
      <c r="CF146" s="3">
        <f>IF(RTD("tos.rtd",,CF$2,"."&amp;$C$134&amp;$AU$82&amp;"C"&amp;$A146)="N/A",0,RTD("tos.rtd",,CF$2,"."&amp;$C$134&amp;$AU$82&amp;"C"&amp;$A146))</f>
        <v>0.56000000000000005</v>
      </c>
      <c r="CG146" s="3">
        <f>-IF(RTD("tos.rtd",,CG$2,"."&amp;$C$134&amp;$AU$82&amp;"P"&amp;$A146)="N/A",0,RTD("tos.rtd",,CG$2,"."&amp;$C$134&amp;$AU$82&amp;"P"&amp;$A146))</f>
        <v>0.45</v>
      </c>
      <c r="CH146" s="3">
        <f>IF(RTD("tos.rtd",,CH$2,"."&amp;$D$134&amp;$AW$82&amp;"C"&amp;$A146)="N/A",0,RTD("tos.rtd",,CH$2,"."&amp;$D$134&amp;$AW$82&amp;"C"&amp;$A146))</f>
        <v>0.55000000000000004</v>
      </c>
      <c r="CI146" s="3">
        <f>-IF(RTD("tos.rtd",,CI$2,"."&amp;$D$134&amp;$AW$82&amp;"P"&amp;$A146)="N/A",0,RTD("tos.rtd",,CI$2,"."&amp;$D$134&amp;$AW$82&amp;"P"&amp;$A146))</f>
        <v>0.45</v>
      </c>
      <c r="CK146" s="3">
        <f t="shared" si="374"/>
        <v>17192584.500000004</v>
      </c>
      <c r="CL146" s="3"/>
      <c r="CM146" s="3">
        <f t="shared" si="375"/>
        <v>18323114.250000007</v>
      </c>
      <c r="CN146" s="3"/>
      <c r="CO146" s="3">
        <f t="shared" si="376"/>
        <v>5474323680</v>
      </c>
      <c r="CP146" s="3">
        <f t="shared" si="331"/>
        <v>5509839378.75</v>
      </c>
      <c r="CQ146" s="3">
        <f t="shared" si="341"/>
        <v>-57</v>
      </c>
      <c r="CR146" s="3"/>
      <c r="CS146" s="3">
        <f t="shared" si="342"/>
        <v>-1</v>
      </c>
      <c r="CT146" s="3"/>
      <c r="CU146" s="3">
        <f t="shared" si="343"/>
        <v>12</v>
      </c>
      <c r="CV146" s="3"/>
      <c r="CW146" s="3">
        <f t="shared" ca="1" si="344"/>
        <v>150660457.96531236</v>
      </c>
      <c r="CY146" s="3">
        <f t="shared" ca="1" si="345"/>
        <v>-518149.50913726579</v>
      </c>
      <c r="CZ146" s="70" t="str">
        <f t="shared" ca="1" si="377"/>
        <v>Cruce -</v>
      </c>
      <c r="DA146" s="3">
        <f>IF(RTD("tos.rtd",,DA$43,"."&amp;$B$134&amp;$AS$82&amp;"C"&amp;$A146)="N/A",0,RTD("tos.rtd",,DA$43,"."&amp;$B$134&amp;$AS$82&amp;"C"&amp;$A146))</f>
        <v>38.1</v>
      </c>
      <c r="DB146" s="3">
        <f>IF(RTD("tos.rtd",,DB$43,"."&amp;$B$134&amp;$AS$82&amp;"P"&amp;$A146)="N/A",0,RTD("tos.rtd",,DB$43,"."&amp;$B$134&amp;$AS$82&amp;"P"&amp;$A146))</f>
        <v>0.1</v>
      </c>
      <c r="DC146" s="3">
        <f>IF(RTD("tos.rtd",,DC$43,"."&amp;$B$134&amp;$AS$82&amp;"C"&amp;$A146)="N/A",0,RTD("tos.rtd",,DC$43,"."&amp;$B$134&amp;$AS$82&amp;"C"&amp;$A146))</f>
        <v>58</v>
      </c>
      <c r="DD146" s="3">
        <f>IF(RTD("tos.rtd",,DD$43,"."&amp;$B$134&amp;$AS$82&amp;"P"&amp;$A146)="N/A",0,RTD("tos.rtd",,DD$43,"."&amp;$B$134&amp;$AS$82&amp;"P"&amp;$A146))</f>
        <v>0.45</v>
      </c>
      <c r="DE146" s="3">
        <f>IF(RTD("tos.rtd",,DE$43,"."&amp;$B$134&amp;$AS$82&amp;"C"&amp;$A146)="N/A",0,RTD("tos.rtd",,DE$43,"."&amp;$B$134&amp;$AS$82&amp;"C"&amp;$A146))</f>
        <v>39.5</v>
      </c>
      <c r="DF146" s="3">
        <f>IF(RTD("tos.rtd",,DF$43,"."&amp;$B$134&amp;$AS$82&amp;"P"&amp;$A146)="N/A",0,RTD("tos.rtd",,DF$43,"."&amp;$B$134&amp;$AS$82&amp;"P"&amp;$A146))</f>
        <v>0</v>
      </c>
      <c r="DG146" s="86">
        <f t="shared" si="378"/>
        <v>-5.75</v>
      </c>
      <c r="DH146" s="3">
        <f t="shared" si="379"/>
        <v>0</v>
      </c>
      <c r="DI146" s="3">
        <f t="shared" si="380"/>
        <v>0</v>
      </c>
      <c r="DJ146" s="3">
        <f t="shared" si="346"/>
        <v>0</v>
      </c>
      <c r="DK146" s="3">
        <f t="shared" si="347"/>
        <v>0</v>
      </c>
      <c r="DL146" s="3">
        <f t="shared" si="381"/>
        <v>0</v>
      </c>
      <c r="DM146" s="3">
        <f t="shared" si="382"/>
        <v>0</v>
      </c>
      <c r="DN146" s="64" t="str">
        <f t="shared" si="348"/>
        <v>UNKNOWN</v>
      </c>
      <c r="DO146" s="64" t="str">
        <f t="shared" si="349"/>
        <v>UNKNOWN</v>
      </c>
      <c r="DP146" s="3">
        <f t="shared" si="350"/>
        <v>0</v>
      </c>
      <c r="DQ146" s="3">
        <f t="shared" si="351"/>
        <v>0</v>
      </c>
      <c r="DR146" s="3">
        <f t="shared" ca="1" si="352"/>
        <v>0</v>
      </c>
      <c r="DS146" s="3">
        <f t="shared" si="353"/>
        <v>0</v>
      </c>
      <c r="DT146" s="3">
        <f t="shared" si="383"/>
        <v>0</v>
      </c>
      <c r="DU146" s="3">
        <f t="shared" si="384"/>
        <v>0</v>
      </c>
      <c r="DV146" s="3">
        <f t="shared" si="354"/>
        <v>-26</v>
      </c>
      <c r="DW146" s="3">
        <f t="shared" si="355"/>
        <v>-60</v>
      </c>
      <c r="DX146" s="3">
        <f t="shared" ca="1" si="356"/>
        <v>4.7359984329554934E-3</v>
      </c>
      <c r="DY146" s="3">
        <f t="shared" ca="1" si="357"/>
        <v>-1.1249354365410446E-2</v>
      </c>
      <c r="DZ146" s="3">
        <f t="shared" ca="1" si="358"/>
        <v>9.585981198183117E-4</v>
      </c>
      <c r="EA146" s="3">
        <f t="shared" ca="1" si="359"/>
        <v>-7.6237532034448892E-4</v>
      </c>
      <c r="EB146" s="3">
        <f t="shared" ca="1" si="360"/>
        <v>9.5440873458314595E-4</v>
      </c>
      <c r="EC146" s="3">
        <f t="shared" ca="1" si="361"/>
        <v>-8.5408445081943155E-4</v>
      </c>
      <c r="ED146" s="63">
        <f t="shared" si="385"/>
        <v>-86</v>
      </c>
      <c r="EE146" s="59">
        <f t="shared" si="362"/>
        <v>0.32779999999999998</v>
      </c>
      <c r="EF146" s="59">
        <f t="shared" si="363"/>
        <v>0.13639999999999999</v>
      </c>
      <c r="EG146" s="59">
        <f t="shared" si="364"/>
        <v>0.182</v>
      </c>
      <c r="EH146" s="59">
        <f t="shared" si="365"/>
        <v>0.22889999999999999</v>
      </c>
      <c r="EI146" s="59">
        <f t="shared" si="366"/>
        <v>0.18279999999999999</v>
      </c>
      <c r="EJ146" s="59">
        <f t="shared" si="367"/>
        <v>0.20430000000000001</v>
      </c>
      <c r="EK146" s="63">
        <f t="shared" ca="1" si="386"/>
        <v>251081006.90788934</v>
      </c>
      <c r="EL146" s="3" t="str">
        <f>RTD("tos.rtd",,EL$43,"."&amp;$B$134&amp;$AS$82&amp;"C"&amp;$A146)</f>
        <v>32.78%</v>
      </c>
      <c r="EM146" s="3" t="str">
        <f>RTD("tos.rtd",,EM$43,"."&amp;$B$134&amp;$AS$82&amp;"P"&amp;$A146)</f>
        <v>13.64%</v>
      </c>
      <c r="EN146" s="3" t="str">
        <f>RTD("tos.rtd",,EN$2,"."&amp;$C$134&amp;$AU$82&amp;"C"&amp;$A146)</f>
        <v>18.20%</v>
      </c>
      <c r="EO146" s="3" t="str">
        <f>RTD("tos.rtd",,EO$2,"."&amp;$C$134&amp;$AU$82&amp;"P"&amp;$A146)</f>
        <v>22.89%</v>
      </c>
      <c r="EP146" s="3" t="str">
        <f>RTD("tos.rtd",,EP$2,"."&amp;$D$134&amp;$AW$82&amp;"C"&amp;$A146)</f>
        <v>18.28%</v>
      </c>
      <c r="EQ146" s="3" t="str">
        <f>RTD("tos.rtd",,EQ$2,"."&amp;$D$134&amp;$AW$82&amp;"P"&amp;$A146)</f>
        <v>20.43%</v>
      </c>
      <c r="ES146" s="63" t="str">
        <f t="shared" si="368"/>
        <v>21325,-86.00</v>
      </c>
      <c r="ET146" s="63" t="str">
        <f t="shared" ca="1" si="369"/>
        <v>21325,-518.15</v>
      </c>
      <c r="EU146" s="68">
        <v>592.64</v>
      </c>
      <c r="EV146" s="68" t="s">
        <v>1184</v>
      </c>
      <c r="EW146" s="68">
        <v>519.11</v>
      </c>
      <c r="EX146" s="68" t="s">
        <v>1185</v>
      </c>
      <c r="EY146" s="68">
        <v>5936.25</v>
      </c>
      <c r="EZ146" s="68" t="s">
        <v>1186</v>
      </c>
      <c r="FA146" s="68">
        <v>21309.5</v>
      </c>
      <c r="FB146" s="68" t="s">
        <v>1187</v>
      </c>
      <c r="FC146" s="68" t="s">
        <v>1188</v>
      </c>
      <c r="FD146" s="68" t="s">
        <v>1189</v>
      </c>
      <c r="FE146" s="68" t="s">
        <v>1190</v>
      </c>
      <c r="FF146" s="68" t="s">
        <v>1191</v>
      </c>
    </row>
    <row r="147" spans="1:162" ht="11.1" customHeight="1" thickBot="1" x14ac:dyDescent="0.25">
      <c r="A147" s="2">
        <f t="shared" si="387"/>
        <v>21300</v>
      </c>
      <c r="B147" s="3">
        <f t="shared" si="398"/>
        <v>32</v>
      </c>
      <c r="C147" s="3">
        <f t="shared" si="399"/>
        <v>116</v>
      </c>
      <c r="D147" s="3">
        <f t="shared" si="400"/>
        <v>222</v>
      </c>
      <c r="E147" s="3">
        <f t="shared" si="390"/>
        <v>370</v>
      </c>
      <c r="F147" s="4">
        <f t="shared" si="391"/>
        <v>21389.870257726521</v>
      </c>
      <c r="G147" s="5">
        <f t="shared" si="392"/>
        <v>518.88091136035996</v>
      </c>
      <c r="AM147" s="1">
        <v>-38</v>
      </c>
      <c r="AN147" s="1">
        <v>-42</v>
      </c>
      <c r="AO147" s="1">
        <v>21300</v>
      </c>
      <c r="AP147" s="1">
        <v>360</v>
      </c>
      <c r="AQ147" s="1">
        <v>-882</v>
      </c>
      <c r="AS147" s="54">
        <f>IF(RTD("tos.rtd",,AS$83,"."&amp;$B$134&amp;$AS$82&amp;"C"&amp;$A147)="N/A",0,RTD("tos.rtd",,AS$83,"."&amp;$B$134&amp;$AS$82&amp;"C"&amp;$A147))</f>
        <v>12</v>
      </c>
      <c r="AT147" s="3">
        <f>-IF(RTD("tos.rtd",,AT$83,"."&amp;$B$134&amp;$AS$82&amp;"P"&amp;$A147)="N/A",0,RTD("tos.rtd",,AT$83,"."&amp;$B$134&amp;$AS$82&amp;"P"&amp;$A147))</f>
        <v>-20</v>
      </c>
      <c r="AU147" s="54">
        <f>IF(RTD("tos.rtd",,AU$2,"."&amp;$C$134&amp;$AU$134&amp;"C"&amp;$A147)="N/A",0,RTD("tos.rtd",,AU$2,"."&amp;$C$134&amp;$AU$134&amp;"C"&amp;$A147))</f>
        <v>103</v>
      </c>
      <c r="AV147" s="3">
        <f>-IF(RTD("tos.rtd",,AV$2,"."&amp;$C$134&amp;$AU$134&amp;"P"&amp;$A147)="N/A",0,RTD("tos.rtd",,AV$2,"."&amp;$C$134&amp;$AU$134&amp;"P"&amp;$A147))</f>
        <v>-13</v>
      </c>
      <c r="AW147" s="54">
        <f>IF(RTD("tos.rtd",,AW$2,"."&amp;$D$134&amp;$AW$134&amp;"C"&amp;$A147)="N/A",0,RTD("tos.rtd",,AW$2,"."&amp;$D$134&amp;$AW$134&amp;"C"&amp;$A147))</f>
        <v>112</v>
      </c>
      <c r="AX147" s="3">
        <f>-IF(RTD("tos.rtd",,AX$2,"."&amp;$D$134&amp;$AW$134&amp;"P"&amp;$A147)="N/A",0,RTD("tos.rtd",,AX$2,"."&amp;$D$134&amp;$AW$134&amp;"P"&amp;$A147))</f>
        <v>-110</v>
      </c>
      <c r="AY147" s="76">
        <f t="shared" si="393"/>
        <v>84</v>
      </c>
      <c r="AZ147" s="8">
        <f t="shared" si="337"/>
        <v>21300</v>
      </c>
      <c r="BA147" s="54">
        <f>IF(RTD("tos.rtd",,BA$43,"."&amp;$B$134&amp;$AS$82&amp;"C"&amp;$A147)="N/A",0,RTD("tos.rtd",,BA$43,"."&amp;$B$134&amp;$AS$82&amp;"C"&amp;$A147))</f>
        <v>360</v>
      </c>
      <c r="BB147" s="3">
        <f>-IF(RTD("tos.rtd",,BB$43,"."&amp;$B$134&amp;$AS$82&amp;"P"&amp;$A147)="N/A",0,RTD("tos.rtd",,BB$43,"."&amp;$B$134&amp;$AS$82&amp;"P"&amp;$A147))</f>
        <v>-882</v>
      </c>
      <c r="BC147" s="54">
        <f>IF(RTD("tos.rtd",,BC$2,"."&amp;$C$134&amp;$AU$82&amp;"C"&amp;$A147)="N/A",0,RTD("tos.rtd",,BC$2,"."&amp;$C$134&amp;$AU$82&amp;"C"&amp;$A147))</f>
        <v>8</v>
      </c>
      <c r="BD147" s="3">
        <f>-IF(RTD("tos.rtd",,BD$2,"."&amp;$C$134&amp;$AU$82&amp;"P"&amp;$A147)="N/A",0,RTD("tos.rtd",,BD$2,"."&amp;$C$134&amp;$AU$82&amp;"P"&amp;$A147))</f>
        <v>-4</v>
      </c>
      <c r="BE147" s="54">
        <f>IF(RTD("tos.rtd",,BE$2,"."&amp;$D$134&amp;$AW$82&amp;"C"&amp;$A147)="N/A",0,RTD("tos.rtd",,BE$2,"."&amp;$D$134&amp;$AW$82&amp;"C"&amp;$A147))</f>
        <v>1</v>
      </c>
      <c r="BF147" s="3">
        <f>-IF(RTD("tos.rtd",,BF$2,"."&amp;$D$134&amp;$AW$82&amp;"P"&amp;$A147)="N/A",0,RTD("tos.rtd",,BF$2,"."&amp;$D$134&amp;$AW$82&amp;"P"&amp;$A147))</f>
        <v>-5</v>
      </c>
      <c r="BG147" s="3">
        <f ca="1">+Hoja2!Y148</f>
        <v>-33</v>
      </c>
      <c r="BH147" s="7">
        <f t="shared" ca="1" si="338"/>
        <v>-555</v>
      </c>
      <c r="BI147" s="32" t="str">
        <f t="shared" ca="1" si="397"/>
        <v/>
      </c>
      <c r="BJ147" s="3">
        <f ca="1">IF($BP$1=1,DX147,IF(RTD("tos.rtd",,BJ$43,"."&amp;$B$134&amp;$AS$82&amp;"C"&amp;$A147)="N/A",0,RTD("tos.rtd",,BJ$43,"."&amp;$B$134&amp;$AS$82&amp;"C"&amp;$A147)))</f>
        <v>3.6913694581989648E-3</v>
      </c>
      <c r="BK147" s="3">
        <f ca="1">IF($BP$1=1,DY147,-IF(RTD("tos.rtd",,BK$43,"."&amp;$B$134&amp;$AS$82&amp;"P"&amp;$A147)="N/A",0,RTD("tos.rtd",,BK$43,"."&amp;$B$134&amp;$AS$82&amp;"P"&amp;$A147)))</f>
        <v>-7.4264680408965607E-3</v>
      </c>
      <c r="BL147" s="3">
        <f ca="1">IF($BP$1=1,DZ147,IF(RTD("tos.rtd",,BL$2,"."&amp;$C$134&amp;$AU$82&amp;"C"&amp;$A147)="N/A",0,RTD("tos.rtd",,BL$2,"."&amp;$C$134&amp;$AU$82&amp;"C"&amp;$A147)))</f>
        <v>9.4432228756414485E-4</v>
      </c>
      <c r="BM147" s="3">
        <f ca="1">IF($BP$1=1,EA147,-IF(RTD("tos.rtd",,BM$2,"."&amp;$C$134&amp;$AU$82&amp;"P"&amp;$A147)="N/A",0,RTD("tos.rtd",,BM$2,"."&amp;$C$134&amp;$AU$82&amp;"P"&amp;$A147)))</f>
        <v>-7.5895201943189296E-4</v>
      </c>
      <c r="BN147" s="3">
        <f ca="1">IF($BP$1=1,EB147,IF(RTD("tos.rtd",,BN$2,"."&amp;$D$134&amp;$AW$82&amp;"C"&amp;$A147)="N/A",0,RTD("tos.rtd",,BN$2,"."&amp;$D$134&amp;$AW$82&amp;"C"&amp;$A147)))</f>
        <v>9.3625317041624173E-4</v>
      </c>
      <c r="BO147" s="3">
        <f ca="1">IF($BP$1=1,EC147,-IF(RTD("tos.rtd",,BO$2,"."&amp;$D$134&amp;$AW$82&amp;"P"&amp;$A147)="N/A",0,RTD("tos.rtd",,BO$2,"."&amp;$D$134&amp;$AW$82&amp;"P"&amp;$A147)))</f>
        <v>-8.4790629772069407E-4</v>
      </c>
      <c r="BQ147" s="3">
        <f t="shared" ca="1" si="394"/>
        <v>-3671833.4020386306</v>
      </c>
      <c r="BR147" s="3" t="str">
        <f t="shared" ca="1" si="339"/>
        <v/>
      </c>
      <c r="BS147" s="3">
        <f t="shared" ca="1" si="395"/>
        <v>3078815.0395585787</v>
      </c>
      <c r="BT147" s="3" t="str">
        <f t="shared" ca="1" si="340"/>
        <v/>
      </c>
      <c r="BU147" s="3">
        <f t="shared" ca="1" si="396"/>
        <v>408306.4940844886</v>
      </c>
      <c r="BV147" s="3" t="str">
        <f t="shared" ca="1" si="340"/>
        <v/>
      </c>
      <c r="BX147" s="3">
        <f t="shared" ca="1" si="370"/>
        <v>-1409818.0657390081</v>
      </c>
      <c r="BY147" s="3" t="str">
        <f t="shared" ca="1" si="371"/>
        <v/>
      </c>
      <c r="BZ147" s="3">
        <f t="shared" ca="1" si="372"/>
        <v>1220.1372640791383</v>
      </c>
      <c r="CA147" s="3" t="str">
        <f t="shared" ca="1" si="371"/>
        <v>Cruce +</v>
      </c>
      <c r="CB147" s="3">
        <f t="shared" ca="1" si="373"/>
        <v>-891.93580795978983</v>
      </c>
      <c r="CC147" s="3" t="str">
        <f t="shared" ca="1" si="371"/>
        <v>Cruce -</v>
      </c>
      <c r="CD147" s="3">
        <f>IF(RTD("tos.rtd",,CD$43,"."&amp;$B$134&amp;$AS$82&amp;"C"&amp;$A147)="N/A",0,RTD("tos.rtd",,CD$43,"."&amp;$B$134&amp;$AS$82&amp;"C"&amp;$A147))</f>
        <v>0.85</v>
      </c>
      <c r="CE147" s="3">
        <f>-IF(RTD("tos.rtd",,CE$43,"."&amp;$B$134&amp;$AS$82&amp;"P"&amp;$A147)="N/A",0,RTD("tos.rtd",,CE$43,"."&amp;$B$134&amp;$AS$82&amp;"P"&amp;$A147))</f>
        <v>0</v>
      </c>
      <c r="CF147" s="3">
        <f>IF(RTD("tos.rtd",,CF$2,"."&amp;$C$134&amp;$AU$82&amp;"C"&amp;$A147)="N/A",0,RTD("tos.rtd",,CF$2,"."&amp;$C$134&amp;$AU$82&amp;"C"&amp;$A147))</f>
        <v>0.59</v>
      </c>
      <c r="CG147" s="3">
        <f>-IF(RTD("tos.rtd",,CG$2,"."&amp;$C$134&amp;$AU$82&amp;"P"&amp;$A147)="N/A",0,RTD("tos.rtd",,CG$2,"."&amp;$C$134&amp;$AU$82&amp;"P"&amp;$A147))</f>
        <v>0.43</v>
      </c>
      <c r="CH147" s="3">
        <f>IF(RTD("tos.rtd",,CH$2,"."&amp;$D$134&amp;$AW$82&amp;"C"&amp;$A147)="N/A",0,RTD("tos.rtd",,CH$2,"."&amp;$D$134&amp;$AW$82&amp;"C"&amp;$A147))</f>
        <v>0.56000000000000005</v>
      </c>
      <c r="CI147" s="3">
        <f>-IF(RTD("tos.rtd",,CI$2,"."&amp;$D$134&amp;$AW$82&amp;"P"&amp;$A147)="N/A",0,RTD("tos.rtd",,CI$2,"."&amp;$D$134&amp;$AW$82&amp;"P"&amp;$A147))</f>
        <v>0.44</v>
      </c>
      <c r="CK147" s="3">
        <f t="shared" si="374"/>
        <v>21757364.999999996</v>
      </c>
      <c r="CL147" s="3"/>
      <c r="CM147" s="3">
        <f t="shared" si="375"/>
        <v>117703078.5</v>
      </c>
      <c r="CN147" s="3"/>
      <c r="CO147" s="3">
        <f t="shared" si="376"/>
        <v>30545634.000000015</v>
      </c>
      <c r="CP147" s="3">
        <f t="shared" si="331"/>
        <v>170006077.5</v>
      </c>
      <c r="CQ147" s="3">
        <f t="shared" si="341"/>
        <v>-522</v>
      </c>
      <c r="CR147" s="3"/>
      <c r="CS147" s="3">
        <f t="shared" si="342"/>
        <v>4</v>
      </c>
      <c r="CT147" s="3"/>
      <c r="CU147" s="3">
        <f t="shared" si="343"/>
        <v>-4</v>
      </c>
      <c r="CV147" s="3"/>
      <c r="CW147" s="3">
        <f t="shared" ca="1" si="344"/>
        <v>-184711.86839556322</v>
      </c>
      <c r="CY147" s="3">
        <f t="shared" ca="1" si="345"/>
        <v>-1409489.8642828888</v>
      </c>
      <c r="CZ147" s="70" t="str">
        <f t="shared" ca="1" si="377"/>
        <v/>
      </c>
      <c r="DA147" s="3">
        <f>IF(RTD("tos.rtd",,DA$43,"."&amp;$B$134&amp;$AS$82&amp;"C"&amp;$A147)="N/A",0,RTD("tos.rtd",,DA$43,"."&amp;$B$134&amp;$AS$82&amp;"C"&amp;$A147))</f>
        <v>52.02</v>
      </c>
      <c r="DB147" s="3">
        <f>IF(RTD("tos.rtd",,DB$43,"."&amp;$B$134&amp;$AS$82&amp;"P"&amp;$A147)="N/A",0,RTD("tos.rtd",,DB$43,"."&amp;$B$134&amp;$AS$82&amp;"P"&amp;$A147))</f>
        <v>0.05</v>
      </c>
      <c r="DC147" s="3">
        <f>IF(RTD("tos.rtd",,DC$43,"."&amp;$B$134&amp;$AS$82&amp;"C"&amp;$A147)="N/A",0,RTD("tos.rtd",,DC$43,"."&amp;$B$134&amp;$AS$82&amp;"C"&amp;$A147))</f>
        <v>80.5</v>
      </c>
      <c r="DD147" s="3">
        <f>IF(RTD("tos.rtd",,DD$43,"."&amp;$B$134&amp;$AS$82&amp;"P"&amp;$A147)="N/A",0,RTD("tos.rtd",,DD$43,"."&amp;$B$134&amp;$AS$82&amp;"P"&amp;$A147))</f>
        <v>0.05</v>
      </c>
      <c r="DE147" s="3">
        <f>IF(RTD("tos.rtd",,DE$43,"."&amp;$B$134&amp;$AS$82&amp;"C"&amp;$A147)="N/A",0,RTD("tos.rtd",,DE$43,"."&amp;$B$134&amp;$AS$82&amp;"C"&amp;$A147))</f>
        <v>64.400000000000006</v>
      </c>
      <c r="DF147" s="3">
        <f>IF(RTD("tos.rtd",,DF$43,"."&amp;$B$134&amp;$AS$82&amp;"P"&amp;$A147)="N/A",0,RTD("tos.rtd",,DF$43,"."&amp;$B$134&amp;$AS$82&amp;"P"&amp;$A147))</f>
        <v>0</v>
      </c>
      <c r="DG147" s="86">
        <f t="shared" si="378"/>
        <v>-30.75</v>
      </c>
      <c r="DH147" s="3">
        <f t="shared" si="379"/>
        <v>0</v>
      </c>
      <c r="DI147" s="3">
        <f t="shared" si="380"/>
        <v>0</v>
      </c>
      <c r="DJ147" s="3">
        <f t="shared" si="346"/>
        <v>0</v>
      </c>
      <c r="DK147" s="3">
        <f t="shared" si="347"/>
        <v>0</v>
      </c>
      <c r="DL147" s="3">
        <f t="shared" si="381"/>
        <v>0</v>
      </c>
      <c r="DM147" s="3">
        <f t="shared" si="382"/>
        <v>0</v>
      </c>
      <c r="DN147" s="64" t="str">
        <f t="shared" si="348"/>
        <v>UNKNOWN</v>
      </c>
      <c r="DO147" s="64" t="str">
        <f t="shared" si="349"/>
        <v>UNKNOWN</v>
      </c>
      <c r="DP147" s="3">
        <f t="shared" si="350"/>
        <v>0</v>
      </c>
      <c r="DQ147" s="3">
        <f t="shared" si="351"/>
        <v>0</v>
      </c>
      <c r="DR147" s="3">
        <f t="shared" ca="1" si="352"/>
        <v>0</v>
      </c>
      <c r="DS147" s="3">
        <f t="shared" si="353"/>
        <v>0</v>
      </c>
      <c r="DT147" s="3">
        <f t="shared" si="383"/>
        <v>0</v>
      </c>
      <c r="DU147" s="3">
        <f t="shared" si="384"/>
        <v>0</v>
      </c>
      <c r="DV147" s="3">
        <f t="shared" si="354"/>
        <v>-38</v>
      </c>
      <c r="DW147" s="3">
        <f t="shared" si="355"/>
        <v>-42</v>
      </c>
      <c r="DX147" s="3">
        <f t="shared" ca="1" si="356"/>
        <v>3.6913694581989648E-3</v>
      </c>
      <c r="DY147" s="3">
        <f t="shared" ca="1" si="357"/>
        <v>-7.4264680408965607E-3</v>
      </c>
      <c r="DZ147" s="3">
        <f t="shared" ca="1" si="358"/>
        <v>9.4432228756414485E-4</v>
      </c>
      <c r="EA147" s="3">
        <f t="shared" ca="1" si="359"/>
        <v>-7.5895201943189296E-4</v>
      </c>
      <c r="EB147" s="3">
        <f t="shared" ca="1" si="360"/>
        <v>9.3625317041624173E-4</v>
      </c>
      <c r="EC147" s="3">
        <f t="shared" ca="1" si="361"/>
        <v>-8.4790629772069407E-4</v>
      </c>
      <c r="ED147" s="63">
        <f t="shared" si="385"/>
        <v>-80</v>
      </c>
      <c r="EE147" s="59">
        <f t="shared" si="362"/>
        <v>0.40289999999999998</v>
      </c>
      <c r="EF147" s="59">
        <f t="shared" si="363"/>
        <v>0.15440000000000001</v>
      </c>
      <c r="EG147" s="59">
        <f t="shared" si="364"/>
        <v>0.18390000000000001</v>
      </c>
      <c r="EH147" s="59">
        <f t="shared" si="365"/>
        <v>0.22919999999999999</v>
      </c>
      <c r="EI147" s="59">
        <f t="shared" si="366"/>
        <v>0.1855</v>
      </c>
      <c r="EJ147" s="59">
        <f t="shared" si="367"/>
        <v>0.20499999999999999</v>
      </c>
      <c r="EK147" s="63">
        <f t="shared" ca="1" si="386"/>
        <v>78096180.043278828</v>
      </c>
      <c r="EL147" s="3" t="str">
        <f>RTD("tos.rtd",,EL$43,"."&amp;$B$134&amp;$AS$82&amp;"C"&amp;$A147)</f>
        <v>40.29%</v>
      </c>
      <c r="EM147" s="3" t="str">
        <f>RTD("tos.rtd",,EM$43,"."&amp;$B$134&amp;$AS$82&amp;"P"&amp;$A147)</f>
        <v>15.44%</v>
      </c>
      <c r="EN147" s="3" t="str">
        <f>RTD("tos.rtd",,EN$2,"."&amp;$C$134&amp;$AU$82&amp;"C"&amp;$A147)</f>
        <v>18.39%</v>
      </c>
      <c r="EO147" s="3" t="str">
        <f>RTD("tos.rtd",,EO$2,"."&amp;$C$134&amp;$AU$82&amp;"P"&amp;$A147)</f>
        <v>22.92%</v>
      </c>
      <c r="EP147" s="3" t="str">
        <f>RTD("tos.rtd",,EP$2,"."&amp;$D$134&amp;$AW$82&amp;"C"&amp;$A147)</f>
        <v>18.55%</v>
      </c>
      <c r="EQ147" s="3" t="str">
        <f>RTD("tos.rtd",,EQ$2,"."&amp;$D$134&amp;$AW$82&amp;"P"&amp;$A147)</f>
        <v>20.50%</v>
      </c>
      <c r="ES147" s="63" t="str">
        <f t="shared" si="368"/>
        <v>21300,-80.00</v>
      </c>
      <c r="ET147" s="63" t="str">
        <f t="shared" ca="1" si="369"/>
        <v>21300,-1409.49</v>
      </c>
      <c r="EU147" s="68">
        <v>592.64</v>
      </c>
      <c r="EV147" s="68" t="s">
        <v>1192</v>
      </c>
      <c r="EW147" s="68">
        <v>519.11</v>
      </c>
      <c r="EX147" s="68" t="s">
        <v>1193</v>
      </c>
      <c r="EY147" s="68">
        <v>5936.25</v>
      </c>
      <c r="EZ147" s="68" t="s">
        <v>1194</v>
      </c>
      <c r="FA147" s="68">
        <v>21309.5</v>
      </c>
      <c r="FB147" s="68" t="s">
        <v>1195</v>
      </c>
      <c r="FC147" s="68" t="s">
        <v>1196</v>
      </c>
      <c r="FD147" s="68" t="s">
        <v>1197</v>
      </c>
      <c r="FE147" s="68" t="s">
        <v>1198</v>
      </c>
      <c r="FF147" s="68" t="s">
        <v>1199</v>
      </c>
    </row>
    <row r="148" spans="1:162" ht="11.1" customHeight="1" thickBot="1" x14ac:dyDescent="0.25">
      <c r="A148" s="2">
        <f t="shared" si="387"/>
        <v>21275</v>
      </c>
      <c r="B148" s="3">
        <f t="shared" si="398"/>
        <v>5</v>
      </c>
      <c r="C148" s="3">
        <f t="shared" si="399"/>
        <v>18</v>
      </c>
      <c r="D148" s="3">
        <f t="shared" si="400"/>
        <v>22</v>
      </c>
      <c r="E148" s="3">
        <f t="shared" ref="E148:E166" si="401">SUM(B148:D148)</f>
        <v>45</v>
      </c>
      <c r="F148" s="4">
        <f t="shared" ref="F148:F153" si="402">+$F$136/$A$136*A148</f>
        <v>21364.76477620337</v>
      </c>
      <c r="G148" s="5">
        <f t="shared" ref="G148:G166" si="403">+$G$136/$A$136*A148</f>
        <v>518.27189620618117</v>
      </c>
      <c r="AM148" s="1">
        <v>6</v>
      </c>
      <c r="AN148" s="1">
        <v>-11</v>
      </c>
      <c r="AO148" s="1">
        <v>21275</v>
      </c>
      <c r="AP148" s="1">
        <v>167</v>
      </c>
      <c r="AQ148" s="1">
        <v>-312</v>
      </c>
      <c r="AS148" s="54">
        <f>IF(RTD("tos.rtd",,AS$83,"."&amp;$B$134&amp;$AS$82&amp;"C"&amp;$A148)="N/A",0,RTD("tos.rtd",,AS$83,"."&amp;$B$134&amp;$AS$82&amp;"C"&amp;$A148))</f>
        <v>4</v>
      </c>
      <c r="AT148" s="3">
        <f>-IF(RTD("tos.rtd",,AT$83,"."&amp;$B$134&amp;$AS$82&amp;"P"&amp;$A148)="N/A",0,RTD("tos.rtd",,AT$83,"."&amp;$B$134&amp;$AS$82&amp;"P"&amp;$A148))</f>
        <v>-1</v>
      </c>
      <c r="AU148" s="54">
        <f>IF(RTD("tos.rtd",,AU$2,"."&amp;$C$134&amp;$AU$134&amp;"C"&amp;$A148)="N/A",0,RTD("tos.rtd",,AU$2,"."&amp;$C$134&amp;$AU$134&amp;"C"&amp;$A148))</f>
        <v>5</v>
      </c>
      <c r="AV148" s="3">
        <f>-IF(RTD("tos.rtd",,AV$2,"."&amp;$C$134&amp;$AU$134&amp;"P"&amp;$A148)="N/A",0,RTD("tos.rtd",,AV$2,"."&amp;$C$134&amp;$AU$134&amp;"P"&amp;$A148))</f>
        <v>-13</v>
      </c>
      <c r="AW148" s="54">
        <f>IF(RTD("tos.rtd",,AW$2,"."&amp;$D$134&amp;$AW$134&amp;"C"&amp;$A148)="N/A",0,RTD("tos.rtd",,AW$2,"."&amp;$D$134&amp;$AW$134&amp;"C"&amp;$A148))</f>
        <v>17</v>
      </c>
      <c r="AX148" s="3">
        <f>-IF(RTD("tos.rtd",,AX$2,"."&amp;$D$134&amp;$AW$134&amp;"P"&amp;$A148)="N/A",0,RTD("tos.rtd",,AX$2,"."&amp;$D$134&amp;$AW$134&amp;"P"&amp;$A148))</f>
        <v>-5</v>
      </c>
      <c r="AY148" s="76">
        <f t="shared" ref="AY148:AY153" si="404">SUM(AS148:AX148)</f>
        <v>7</v>
      </c>
      <c r="AZ148" s="8">
        <f t="shared" si="337"/>
        <v>21275</v>
      </c>
      <c r="BA148" s="54">
        <f>IF(RTD("tos.rtd",,BA$43,"."&amp;$B$134&amp;$AS$82&amp;"C"&amp;$A148)="N/A",0,RTD("tos.rtd",,BA$43,"."&amp;$B$134&amp;$AS$82&amp;"C"&amp;$A148))</f>
        <v>167</v>
      </c>
      <c r="BB148" s="3">
        <f>-IF(RTD("tos.rtd",,BB$43,"."&amp;$B$134&amp;$AS$82&amp;"P"&amp;$A148)="N/A",0,RTD("tos.rtd",,BB$43,"."&amp;$B$134&amp;$AS$82&amp;"P"&amp;$A148))</f>
        <v>-312</v>
      </c>
      <c r="BC148" s="54">
        <f>IF(RTD("tos.rtd",,BC$2,"."&amp;$C$134&amp;$AU$82&amp;"C"&amp;$A148)="N/A",0,RTD("tos.rtd",,BC$2,"."&amp;$C$134&amp;$AU$82&amp;"C"&amp;$A148))</f>
        <v>1</v>
      </c>
      <c r="BD148" s="3">
        <f>-IF(RTD("tos.rtd",,BD$2,"."&amp;$C$134&amp;$AU$82&amp;"P"&amp;$A148)="N/A",0,RTD("tos.rtd",,BD$2,"."&amp;$C$134&amp;$AU$82&amp;"P"&amp;$A148))</f>
        <v>-2</v>
      </c>
      <c r="BE148" s="54">
        <f>IF(RTD("tos.rtd",,BE$2,"."&amp;$D$134&amp;$AW$82&amp;"C"&amp;$A148)="N/A",0,RTD("tos.rtd",,BE$2,"."&amp;$D$134&amp;$AW$82&amp;"C"&amp;$A148))</f>
        <v>0</v>
      </c>
      <c r="BF148" s="3">
        <f>-IF(RTD("tos.rtd",,BF$2,"."&amp;$D$134&amp;$AW$82&amp;"P"&amp;$A148)="N/A",0,RTD("tos.rtd",,BF$2,"."&amp;$D$134&amp;$AW$82&amp;"P"&amp;$A148))</f>
        <v>-3</v>
      </c>
      <c r="BG148" s="3">
        <f ca="1">+Hoja2!Y149</f>
        <v>-12</v>
      </c>
      <c r="BH148" s="7">
        <f t="shared" ca="1" si="338"/>
        <v>-161</v>
      </c>
      <c r="BI148" s="32" t="str">
        <f t="shared" ca="1" si="397"/>
        <v/>
      </c>
      <c r="BJ148" s="3">
        <f ca="1">IF($BP$1=1,DX148,IF(RTD("tos.rtd",,BJ$43,"."&amp;$B$134&amp;$AS$82&amp;"C"&amp;$A148)="N/A",0,RTD("tos.rtd",,BJ$43,"."&amp;$B$134&amp;$AS$82&amp;"C"&amp;$A148)))</f>
        <v>2.7922812661909562E-3</v>
      </c>
      <c r="BK148" s="3">
        <f ca="1">IF($BP$1=1,DY148,-IF(RTD("tos.rtd",,BK$43,"."&amp;$B$134&amp;$AS$82&amp;"P"&amp;$A148)="N/A",0,RTD("tos.rtd",,BK$43,"."&amp;$B$134&amp;$AS$82&amp;"P"&amp;$A148)))</f>
        <v>-4.3000052168810842E-3</v>
      </c>
      <c r="BL148" s="3">
        <f ca="1">IF($BP$1=1,DZ148,IF(RTD("tos.rtd",,BL$2,"."&amp;$C$134&amp;$AU$82&amp;"C"&amp;$A148)="N/A",0,RTD("tos.rtd",,BL$2,"."&amp;$C$134&amp;$AU$82&amp;"C"&amp;$A148)))</f>
        <v>9.4818076143132117E-4</v>
      </c>
      <c r="BM148" s="3">
        <f ca="1">IF($BP$1=1,EA148,-IF(RTD("tos.rtd",,BM$2,"."&amp;$C$134&amp;$AU$82&amp;"P"&amp;$A148)="N/A",0,RTD("tos.rtd",,BM$2,"."&amp;$C$134&amp;$AU$82&amp;"P"&amp;$A148)))</f>
        <v>-7.5253919743549784E-4</v>
      </c>
      <c r="BN148" s="3">
        <f ca="1">IF($BP$1=1,EB148,IF(RTD("tos.rtd",,BN$2,"."&amp;$D$134&amp;$AW$82&amp;"C"&amp;$A148)="N/A",0,RTD("tos.rtd",,BN$2,"."&amp;$D$134&amp;$AW$82&amp;"C"&amp;$A148)))</f>
        <v>9.2581244939251195E-4</v>
      </c>
      <c r="BO148" s="3">
        <f ca="1">IF($BP$1=1,EC148,-IF(RTD("tos.rtd",,BO$2,"."&amp;$D$134&amp;$AW$82&amp;"P"&amp;$A148)="N/A",0,RTD("tos.rtd",,BO$2,"."&amp;$D$134&amp;$AW$82&amp;"P"&amp;$A148)))</f>
        <v>-8.394275715655114E-4</v>
      </c>
      <c r="BQ148" s="3">
        <f t="shared" ref="BQ148:BQ153" ca="1" si="405">+$A$84*$A$84*AS148*BJ148-$A$84*$A$84*AT148*BK148</f>
        <v>241979.807616256</v>
      </c>
      <c r="BR148" s="3" t="str">
        <f t="shared" ca="1" si="339"/>
        <v>Cruce +</v>
      </c>
      <c r="BS148" s="3">
        <f t="shared" ref="BS148:BS153" ca="1" si="406">+$A$84*$A$84*AU148*BL148-$A$84*$A$84*AV148*BM148</f>
        <v>-177619.23051056825</v>
      </c>
      <c r="BT148" s="3" t="str">
        <f t="shared" ca="1" si="340"/>
        <v>Cruce -</v>
      </c>
      <c r="BU148" s="3">
        <f t="shared" ref="BU148:BU153" ca="1" si="407">+$A$84*$A$84*AW148*BN148-$A$84*$A$84*AX148*BO148</f>
        <v>406580.76480661653</v>
      </c>
      <c r="BV148" s="3" t="str">
        <f t="shared" ca="1" si="340"/>
        <v/>
      </c>
      <c r="BX148" s="3">
        <f t="shared" ca="1" si="370"/>
        <v>-236341.90142277759</v>
      </c>
      <c r="BY148" s="3" t="str">
        <f t="shared" ca="1" si="371"/>
        <v/>
      </c>
      <c r="BZ148" s="3">
        <f t="shared" ca="1" si="372"/>
        <v>-150.37090211202639</v>
      </c>
      <c r="CA148" s="3" t="str">
        <f t="shared" ca="1" si="371"/>
        <v>Cruce -</v>
      </c>
      <c r="CB148" s="3">
        <f t="shared" ca="1" si="373"/>
        <v>-679.97495561823121</v>
      </c>
      <c r="CC148" s="3" t="str">
        <f t="shared" ca="1" si="371"/>
        <v/>
      </c>
      <c r="CD148" s="3">
        <f>IF(RTD("tos.rtd",,CD$43,"."&amp;$B$134&amp;$AS$82&amp;"C"&amp;$A148)="N/A",0,RTD("tos.rtd",,CD$43,"."&amp;$B$134&amp;$AS$82&amp;"C"&amp;$A148))</f>
        <v>0.87</v>
      </c>
      <c r="CE148" s="3">
        <f>-IF(RTD("tos.rtd",,CE$43,"."&amp;$B$134&amp;$AS$82&amp;"P"&amp;$A148)="N/A",0,RTD("tos.rtd",,CE$43,"."&amp;$B$134&amp;$AS$82&amp;"P"&amp;$A148))</f>
        <v>0</v>
      </c>
      <c r="CF148" s="3">
        <f>IF(RTD("tos.rtd",,CF$2,"."&amp;$C$134&amp;$AU$82&amp;"C"&amp;$A148)="N/A",0,RTD("tos.rtd",,CF$2,"."&amp;$C$134&amp;$AU$82&amp;"C"&amp;$A148))</f>
        <v>0.62</v>
      </c>
      <c r="CG148" s="3">
        <f>-IF(RTD("tos.rtd",,CG$2,"."&amp;$C$134&amp;$AU$82&amp;"P"&amp;$A148)="N/A",0,RTD("tos.rtd",,CG$2,"."&amp;$C$134&amp;$AU$82&amp;"P"&amp;$A148))</f>
        <v>0.41</v>
      </c>
      <c r="CH148" s="3">
        <f>IF(RTD("tos.rtd",,CH$2,"."&amp;$D$134&amp;$AW$82&amp;"C"&amp;$A148)="N/A",0,RTD("tos.rtd",,CH$2,"."&amp;$D$134&amp;$AW$82&amp;"C"&amp;$A148))</f>
        <v>0.56999999999999995</v>
      </c>
      <c r="CI148" s="3">
        <f>-IF(RTD("tos.rtd",,CI$2,"."&amp;$D$134&amp;$AW$82&amp;"P"&amp;$A148)="N/A",0,RTD("tos.rtd",,CI$2,"."&amp;$D$134&amp;$AW$82&amp;"P"&amp;$A148))</f>
        <v>0.43</v>
      </c>
      <c r="CK148" s="3">
        <f t="shared" si="374"/>
        <v>7423101</v>
      </c>
      <c r="CL148" s="3"/>
      <c r="CM148" s="3">
        <f t="shared" si="375"/>
        <v>-4756757.25</v>
      </c>
      <c r="CN148" s="3"/>
      <c r="CO148" s="3">
        <f t="shared" si="376"/>
        <v>16083385.5</v>
      </c>
      <c r="CP148" s="3">
        <f t="shared" si="331"/>
        <v>18749729.25</v>
      </c>
      <c r="CQ148" s="3">
        <f t="shared" si="341"/>
        <v>-145</v>
      </c>
      <c r="CR148" s="3"/>
      <c r="CS148" s="3">
        <f t="shared" si="342"/>
        <v>-1</v>
      </c>
      <c r="CT148" s="3"/>
      <c r="CU148" s="3">
        <f t="shared" si="343"/>
        <v>-3</v>
      </c>
      <c r="CV148" s="3"/>
      <c r="CW148" s="3">
        <f t="shared" ca="1" si="344"/>
        <v>470941.34191230428</v>
      </c>
      <c r="CY148" s="3">
        <f t="shared" ca="1" si="345"/>
        <v>-237172.24728050784</v>
      </c>
      <c r="CZ148" s="70" t="str">
        <f t="shared" ca="1" si="377"/>
        <v/>
      </c>
      <c r="DA148" s="3">
        <f>IF(RTD("tos.rtd",,DA$43,"."&amp;$B$134&amp;$AS$82&amp;"C"&amp;$A148)="N/A",0,RTD("tos.rtd",,DA$43,"."&amp;$B$134&amp;$AS$82&amp;"C"&amp;$A148))</f>
        <v>64.599999999999994</v>
      </c>
      <c r="DB148" s="3">
        <f>IF(RTD("tos.rtd",,DB$43,"."&amp;$B$134&amp;$AS$82&amp;"P"&amp;$A148)="N/A",0,RTD("tos.rtd",,DB$43,"."&amp;$B$134&amp;$AS$82&amp;"P"&amp;$A148))</f>
        <v>0.48</v>
      </c>
      <c r="DC148" s="3">
        <f>IF(RTD("tos.rtd",,DC$43,"."&amp;$B$134&amp;$AS$82&amp;"C"&amp;$A148)="N/A",0,RTD("tos.rtd",,DC$43,"."&amp;$B$134&amp;$AS$82&amp;"C"&amp;$A148))</f>
        <v>106</v>
      </c>
      <c r="DD148" s="3">
        <f>IF(RTD("tos.rtd",,DD$43,"."&amp;$B$134&amp;$AS$82&amp;"P"&amp;$A148)="N/A",0,RTD("tos.rtd",,DD$43,"."&amp;$B$134&amp;$AS$82&amp;"P"&amp;$A148))</f>
        <v>0.05</v>
      </c>
      <c r="DE148" s="3">
        <f>IF(RTD("tos.rtd",,DE$43,"."&amp;$B$134&amp;$AS$82&amp;"C"&amp;$A148)="N/A",0,RTD("tos.rtd",,DE$43,"."&amp;$B$134&amp;$AS$82&amp;"C"&amp;$A148))</f>
        <v>89.4</v>
      </c>
      <c r="DF148" s="3">
        <f>IF(RTD("tos.rtd",,DF$43,"."&amp;$B$134&amp;$AS$82&amp;"P"&amp;$A148)="N/A",0,RTD("tos.rtd",,DF$43,"."&amp;$B$134&amp;$AS$82&amp;"P"&amp;$A148))</f>
        <v>0</v>
      </c>
      <c r="DG148" s="86">
        <f t="shared" si="378"/>
        <v>-55.75</v>
      </c>
      <c r="DH148" s="3">
        <f t="shared" si="379"/>
        <v>0</v>
      </c>
      <c r="DI148" s="3">
        <f t="shared" si="380"/>
        <v>0</v>
      </c>
      <c r="DJ148" s="3">
        <f t="shared" si="346"/>
        <v>0</v>
      </c>
      <c r="DK148" s="3">
        <f t="shared" si="347"/>
        <v>0</v>
      </c>
      <c r="DL148" s="3">
        <f t="shared" si="381"/>
        <v>0</v>
      </c>
      <c r="DM148" s="3">
        <f t="shared" si="382"/>
        <v>0</v>
      </c>
      <c r="DN148" s="64" t="str">
        <f t="shared" si="348"/>
        <v>UNKNOWN</v>
      </c>
      <c r="DO148" s="64" t="str">
        <f t="shared" si="349"/>
        <v>UNKNOWN</v>
      </c>
      <c r="DP148" s="3">
        <f t="shared" si="350"/>
        <v>0</v>
      </c>
      <c r="DQ148" s="3">
        <f t="shared" si="351"/>
        <v>0</v>
      </c>
      <c r="DR148" s="3">
        <f t="shared" ca="1" si="352"/>
        <v>0</v>
      </c>
      <c r="DS148" s="3">
        <f t="shared" si="353"/>
        <v>0</v>
      </c>
      <c r="DT148" s="3">
        <f t="shared" si="383"/>
        <v>0</v>
      </c>
      <c r="DU148" s="3">
        <f t="shared" si="384"/>
        <v>0</v>
      </c>
      <c r="DV148" s="3">
        <f t="shared" si="354"/>
        <v>6</v>
      </c>
      <c r="DW148" s="3">
        <f t="shared" si="355"/>
        <v>-11</v>
      </c>
      <c r="DX148" s="3">
        <f t="shared" ca="1" si="356"/>
        <v>2.7922812661909562E-3</v>
      </c>
      <c r="DY148" s="3">
        <f t="shared" ca="1" si="357"/>
        <v>-4.3000052168810842E-3</v>
      </c>
      <c r="DZ148" s="3">
        <f t="shared" ca="1" si="358"/>
        <v>9.4818076143132117E-4</v>
      </c>
      <c r="EA148" s="3">
        <f t="shared" ca="1" si="359"/>
        <v>-7.5253919743549784E-4</v>
      </c>
      <c r="EB148" s="3">
        <f t="shared" ca="1" si="360"/>
        <v>9.2581244939251195E-4</v>
      </c>
      <c r="EC148" s="3">
        <f t="shared" ca="1" si="361"/>
        <v>-8.394275715655114E-4</v>
      </c>
      <c r="ED148" s="63">
        <f t="shared" si="385"/>
        <v>-5</v>
      </c>
      <c r="EE148" s="59">
        <f t="shared" si="362"/>
        <v>0.50749999999999995</v>
      </c>
      <c r="EF148" s="59">
        <f t="shared" si="363"/>
        <v>0.2046</v>
      </c>
      <c r="EG148" s="59">
        <f t="shared" si="364"/>
        <v>0.18160000000000001</v>
      </c>
      <c r="EH148" s="59">
        <f t="shared" si="365"/>
        <v>0.22989999999999999</v>
      </c>
      <c r="EI148" s="59">
        <f t="shared" si="366"/>
        <v>0.18609999999999999</v>
      </c>
      <c r="EJ148" s="59">
        <f t="shared" si="367"/>
        <v>0.20569999999999999</v>
      </c>
      <c r="EK148" s="63">
        <f t="shared" ca="1" si="386"/>
        <v>29144511.331323132</v>
      </c>
      <c r="EL148" s="3" t="str">
        <f>RTD("tos.rtd",,EL$43,"."&amp;$B$134&amp;$AS$82&amp;"C"&amp;$A148)</f>
        <v>50.75%</v>
      </c>
      <c r="EM148" s="3" t="str">
        <f>RTD("tos.rtd",,EM$43,"."&amp;$B$134&amp;$AS$82&amp;"P"&amp;$A148)</f>
        <v>20.46%</v>
      </c>
      <c r="EN148" s="3" t="str">
        <f>RTD("tos.rtd",,EN$2,"."&amp;$C$134&amp;$AU$82&amp;"C"&amp;$A148)</f>
        <v>18.16%</v>
      </c>
      <c r="EO148" s="3" t="str">
        <f>RTD("tos.rtd",,EO$2,"."&amp;$C$134&amp;$AU$82&amp;"P"&amp;$A148)</f>
        <v>22.99%</v>
      </c>
      <c r="EP148" s="3" t="str">
        <f>RTD("tos.rtd",,EP$2,"."&amp;$D$134&amp;$AW$82&amp;"C"&amp;$A148)</f>
        <v>18.61%</v>
      </c>
      <c r="EQ148" s="3" t="str">
        <f>RTD("tos.rtd",,EQ$2,"."&amp;$D$134&amp;$AW$82&amp;"P"&amp;$A148)</f>
        <v>20.57%</v>
      </c>
      <c r="ES148" s="63" t="str">
        <f t="shared" si="368"/>
        <v>21275,-05.00</v>
      </c>
      <c r="ET148" s="63" t="str">
        <f t="shared" ca="1" si="369"/>
        <v>21275,-237.17</v>
      </c>
      <c r="EU148" s="68">
        <v>592.64</v>
      </c>
      <c r="EV148" s="68" t="s">
        <v>1200</v>
      </c>
      <c r="EW148" s="68">
        <v>519.11</v>
      </c>
      <c r="EX148" s="68" t="s">
        <v>1201</v>
      </c>
      <c r="EY148" s="68">
        <v>5936.25</v>
      </c>
      <c r="EZ148" s="68" t="s">
        <v>1202</v>
      </c>
      <c r="FA148" s="68">
        <v>21309.5</v>
      </c>
      <c r="FB148" s="68" t="s">
        <v>1203</v>
      </c>
      <c r="FC148" s="68" t="s">
        <v>1204</v>
      </c>
      <c r="FD148" s="68" t="s">
        <v>1205</v>
      </c>
      <c r="FE148" s="68" t="s">
        <v>1206</v>
      </c>
      <c r="FF148" s="68" t="s">
        <v>1207</v>
      </c>
    </row>
    <row r="149" spans="1:162" ht="11.1" customHeight="1" thickBot="1" x14ac:dyDescent="0.25">
      <c r="A149" s="2">
        <f t="shared" si="387"/>
        <v>21250</v>
      </c>
      <c r="B149" s="3">
        <f t="shared" si="398"/>
        <v>36</v>
      </c>
      <c r="C149" s="3">
        <f t="shared" si="399"/>
        <v>6</v>
      </c>
      <c r="D149" s="3">
        <f t="shared" si="400"/>
        <v>460</v>
      </c>
      <c r="E149" s="3">
        <f t="shared" si="401"/>
        <v>502</v>
      </c>
      <c r="F149" s="4">
        <f t="shared" si="402"/>
        <v>21339.659294680216</v>
      </c>
      <c r="G149" s="5">
        <f t="shared" si="403"/>
        <v>517.66288105200238</v>
      </c>
      <c r="AM149" s="1">
        <v>3</v>
      </c>
      <c r="AN149" s="1">
        <v>-6</v>
      </c>
      <c r="AO149" s="1">
        <v>21250</v>
      </c>
      <c r="AP149" s="1">
        <v>47</v>
      </c>
      <c r="AQ149" s="1">
        <v>-780</v>
      </c>
      <c r="AS149" s="54">
        <f>IF(RTD("tos.rtd",,AS$83,"."&amp;$B$134&amp;$AS$82&amp;"C"&amp;$A149)="N/A",0,RTD("tos.rtd",,AS$83,"."&amp;$B$134&amp;$AS$82&amp;"C"&amp;$A149))</f>
        <v>13</v>
      </c>
      <c r="AT149" s="3">
        <f>-IF(RTD("tos.rtd",,AT$83,"."&amp;$B$134&amp;$AS$82&amp;"P"&amp;$A149)="N/A",0,RTD("tos.rtd",,AT$83,"."&amp;$B$134&amp;$AS$82&amp;"P"&amp;$A149))</f>
        <v>-23</v>
      </c>
      <c r="AU149" s="54">
        <f>IF(RTD("tos.rtd",,AU$2,"."&amp;$C$134&amp;$AU$134&amp;"C"&amp;$A149)="N/A",0,RTD("tos.rtd",,AU$2,"."&amp;$C$134&amp;$AU$134&amp;"C"&amp;$A149))</f>
        <v>2</v>
      </c>
      <c r="AV149" s="3">
        <f>-IF(RTD("tos.rtd",,AV$2,"."&amp;$C$134&amp;$AU$134&amp;"P"&amp;$A149)="N/A",0,RTD("tos.rtd",,AV$2,"."&amp;$C$134&amp;$AU$134&amp;"P"&amp;$A149))</f>
        <v>-4</v>
      </c>
      <c r="AW149" s="54">
        <f>IF(RTD("tos.rtd",,AW$2,"."&amp;$D$134&amp;$AW$134&amp;"C"&amp;$A149)="N/A",0,RTD("tos.rtd",,AW$2,"."&amp;$D$134&amp;$AW$134&amp;"C"&amp;$A149))</f>
        <v>422</v>
      </c>
      <c r="AX149" s="3">
        <f>-IF(RTD("tos.rtd",,AX$2,"."&amp;$D$134&amp;$AW$134&amp;"P"&amp;$A149)="N/A",0,RTD("tos.rtd",,AX$2,"."&amp;$D$134&amp;$AW$134&amp;"P"&amp;$A149))</f>
        <v>-38</v>
      </c>
      <c r="AY149" s="76">
        <f t="shared" si="404"/>
        <v>372</v>
      </c>
      <c r="AZ149" s="8">
        <f t="shared" si="337"/>
        <v>21250</v>
      </c>
      <c r="BA149" s="54">
        <f>IF(RTD("tos.rtd",,BA$43,"."&amp;$B$134&amp;$AS$82&amp;"C"&amp;$A149)="N/A",0,RTD("tos.rtd",,BA$43,"."&amp;$B$134&amp;$AS$82&amp;"C"&amp;$A149))</f>
        <v>47</v>
      </c>
      <c r="BB149" s="3">
        <f>-IF(RTD("tos.rtd",,BB$43,"."&amp;$B$134&amp;$AS$82&amp;"P"&amp;$A149)="N/A",0,RTD("tos.rtd",,BB$43,"."&amp;$B$134&amp;$AS$82&amp;"P"&amp;$A149))</f>
        <v>-780</v>
      </c>
      <c r="BC149" s="54">
        <f>IF(RTD("tos.rtd",,BC$2,"."&amp;$C$134&amp;$AU$82&amp;"C"&amp;$A149)="N/A",0,RTD("tos.rtd",,BC$2,"."&amp;$C$134&amp;$AU$82&amp;"C"&amp;$A149))</f>
        <v>9</v>
      </c>
      <c r="BD149" s="3">
        <f>-IF(RTD("tos.rtd",,BD$2,"."&amp;$C$134&amp;$AU$82&amp;"P"&amp;$A149)="N/A",0,RTD("tos.rtd",,BD$2,"."&amp;$C$134&amp;$AU$82&amp;"P"&amp;$A149))</f>
        <v>-2</v>
      </c>
      <c r="BE149" s="54">
        <f>IF(RTD("tos.rtd",,BE$2,"."&amp;$D$134&amp;$AW$82&amp;"C"&amp;$A149)="N/A",0,RTD("tos.rtd",,BE$2,"."&amp;$D$134&amp;$AW$82&amp;"C"&amp;$A149))</f>
        <v>4</v>
      </c>
      <c r="BF149" s="3">
        <f>-IF(RTD("tos.rtd",,BF$2,"."&amp;$D$134&amp;$AW$82&amp;"P"&amp;$A149)="N/A",0,RTD("tos.rtd",,BF$2,"."&amp;$D$134&amp;$AW$82&amp;"P"&amp;$A149))</f>
        <v>-7</v>
      </c>
      <c r="BG149" s="3">
        <f ca="1">+Hoja2!Y150</f>
        <v>-79</v>
      </c>
      <c r="BH149" s="7">
        <f t="shared" ca="1" si="338"/>
        <v>-808</v>
      </c>
      <c r="BI149" s="32" t="str">
        <f t="shared" ca="1" si="397"/>
        <v/>
      </c>
      <c r="BJ149" s="3">
        <f ca="1">IF($BP$1=1,DX149,IF(RTD("tos.rtd",,BJ$43,"."&amp;$B$134&amp;$AS$82&amp;"C"&amp;$A149)="N/A",0,RTD("tos.rtd",,BJ$43,"."&amp;$B$134&amp;$AS$82&amp;"C"&amp;$A149)))</f>
        <v>2.216568614779819E-3</v>
      </c>
      <c r="BK149" s="3">
        <f ca="1">IF($BP$1=1,DY149,-IF(RTD("tos.rtd",,BK$43,"."&amp;$B$134&amp;$AS$82&amp;"P"&amp;$A149)="N/A",0,RTD("tos.rtd",,BK$43,"."&amp;$B$134&amp;$AS$82&amp;"P"&amp;$A149)))</f>
        <v>-2.9736955062524785E-3</v>
      </c>
      <c r="BL149" s="3">
        <f ca="1">IF($BP$1=1,DZ149,IF(RTD("tos.rtd",,BL$2,"."&amp;$C$134&amp;$AU$82&amp;"C"&amp;$A149)="N/A",0,RTD("tos.rtd",,BL$2,"."&amp;$C$134&amp;$AU$82&amp;"C"&amp;$A149)))</f>
        <v>9.3780530405903424E-4</v>
      </c>
      <c r="BM149" s="3">
        <f ca="1">IF($BP$1=1,EA149,-IF(RTD("tos.rtd",,BM$2,"."&amp;$C$134&amp;$AU$82&amp;"P"&amp;$A149)="N/A",0,RTD("tos.rtd",,BM$2,"."&amp;$C$134&amp;$AU$82&amp;"P"&amp;$A149)))</f>
        <v>-7.4422432416648406E-4</v>
      </c>
      <c r="BN149" s="3">
        <f ca="1">IF($BP$1=1,EB149,IF(RTD("tos.rtd",,BN$2,"."&amp;$D$134&amp;$AW$82&amp;"C"&amp;$A149)="N/A",0,RTD("tos.rtd",,BN$2,"."&amp;$D$134&amp;$AW$82&amp;"C"&amp;$A149)))</f>
        <v>9.1241621506802067E-4</v>
      </c>
      <c r="BO149" s="3">
        <f ca="1">IF($BP$1=1,EC149,-IF(RTD("tos.rtd",,BO$2,"."&amp;$D$134&amp;$AW$82&amp;"P"&amp;$A149)="N/A",0,RTD("tos.rtd",,BO$2,"."&amp;$D$134&amp;$AW$82&amp;"P"&amp;$A149)))</f>
        <v>-8.3225068780558157E-4</v>
      </c>
      <c r="BQ149" s="3">
        <f t="shared" ca="1" si="405"/>
        <v>-1394278.3546119775</v>
      </c>
      <c r="BR149" s="3" t="str">
        <f t="shared" ca="1" si="339"/>
        <v>Cruce -</v>
      </c>
      <c r="BS149" s="3">
        <f t="shared" ca="1" si="406"/>
        <v>-38795.238243993706</v>
      </c>
      <c r="BT149" s="3" t="str">
        <f t="shared" ca="1" si="340"/>
        <v/>
      </c>
      <c r="BU149" s="3">
        <f t="shared" ca="1" si="407"/>
        <v>12449787.14055229</v>
      </c>
      <c r="BV149" s="3" t="str">
        <f t="shared" ca="1" si="340"/>
        <v/>
      </c>
      <c r="BX149" s="3">
        <f t="shared" ca="1" si="370"/>
        <v>-598165.9937876059</v>
      </c>
      <c r="BY149" s="3" t="str">
        <f t="shared" ca="1" si="371"/>
        <v/>
      </c>
      <c r="BZ149" s="3">
        <f t="shared" ca="1" si="372"/>
        <v>1877.0923728609878</v>
      </c>
      <c r="CA149" s="3" t="str">
        <f t="shared" ca="1" si="371"/>
        <v>Cruce +</v>
      </c>
      <c r="CB149" s="3">
        <f t="shared" ca="1" si="373"/>
        <v>-587.57766215310801</v>
      </c>
      <c r="CC149" s="3" t="str">
        <f t="shared" ca="1" si="371"/>
        <v/>
      </c>
      <c r="CD149" s="3">
        <f>IF(RTD("tos.rtd",,CD$43,"."&amp;$B$134&amp;$AS$82&amp;"C"&amp;$A149)="N/A",0,RTD("tos.rtd",,CD$43,"."&amp;$B$134&amp;$AS$82&amp;"C"&amp;$A149))</f>
        <v>0.88</v>
      </c>
      <c r="CE149" s="3">
        <f>-IF(RTD("tos.rtd",,CE$43,"."&amp;$B$134&amp;$AS$82&amp;"P"&amp;$A149)="N/A",0,RTD("tos.rtd",,CE$43,"."&amp;$B$134&amp;$AS$82&amp;"P"&amp;$A149))</f>
        <v>0.01</v>
      </c>
      <c r="CF149" s="3">
        <f>IF(RTD("tos.rtd",,CF$2,"."&amp;$C$134&amp;$AU$82&amp;"C"&amp;$A149)="N/A",0,RTD("tos.rtd",,CF$2,"."&amp;$C$134&amp;$AU$82&amp;"C"&amp;$A149))</f>
        <v>0.64</v>
      </c>
      <c r="CG149" s="3">
        <f>-IF(RTD("tos.rtd",,CG$2,"."&amp;$C$134&amp;$AU$82&amp;"P"&amp;$A149)="N/A",0,RTD("tos.rtd",,CG$2,"."&amp;$C$134&amp;$AU$82&amp;"P"&amp;$A149))</f>
        <v>0.39</v>
      </c>
      <c r="CH149" s="3">
        <f>IF(RTD("tos.rtd",,CH$2,"."&amp;$D$134&amp;$AW$82&amp;"C"&amp;$A149)="N/A",0,RTD("tos.rtd",,CH$2,"."&amp;$D$134&amp;$AW$82&amp;"C"&amp;$A149))</f>
        <v>0.57999999999999996</v>
      </c>
      <c r="CI149" s="3">
        <f>-IF(RTD("tos.rtd",,CI$2,"."&amp;$D$134&amp;$AW$82&amp;"P"&amp;$A149)="N/A",0,RTD("tos.rtd",,CI$2,"."&amp;$D$134&amp;$AW$82&amp;"P"&amp;$A149))</f>
        <v>0.43</v>
      </c>
      <c r="CK149" s="3">
        <f t="shared" si="374"/>
        <v>23911770.75</v>
      </c>
      <c r="CL149" s="3"/>
      <c r="CM149" s="3">
        <f t="shared" si="375"/>
        <v>-597261</v>
      </c>
      <c r="CN149" s="3"/>
      <c r="CO149" s="3">
        <f t="shared" si="376"/>
        <v>487236991.5</v>
      </c>
      <c r="CP149" s="3">
        <f t="shared" si="331"/>
        <v>510551501.25</v>
      </c>
      <c r="CQ149" s="3">
        <f t="shared" si="341"/>
        <v>-733</v>
      </c>
      <c r="CR149" s="3"/>
      <c r="CS149" s="3">
        <f t="shared" si="342"/>
        <v>7</v>
      </c>
      <c r="CT149" s="3"/>
      <c r="CU149" s="3">
        <f t="shared" si="343"/>
        <v>-3</v>
      </c>
      <c r="CV149" s="3"/>
      <c r="CW149" s="3">
        <f t="shared" ca="1" si="344"/>
        <v>11016713.547696318</v>
      </c>
      <c r="CY149" s="3">
        <f t="shared" ca="1" si="345"/>
        <v>-596876.47907689796</v>
      </c>
      <c r="CZ149" s="70" t="str">
        <f t="shared" ca="1" si="377"/>
        <v/>
      </c>
      <c r="DA149" s="3">
        <f>IF(RTD("tos.rtd",,DA$43,"."&amp;$B$134&amp;$AS$82&amp;"C"&amp;$A149)="N/A",0,RTD("tos.rtd",,DA$43,"."&amp;$B$134&amp;$AS$82&amp;"C"&amp;$A149))</f>
        <v>111.69</v>
      </c>
      <c r="DB149" s="3">
        <f>IF(RTD("tos.rtd",,DB$43,"."&amp;$B$134&amp;$AS$82&amp;"P"&amp;$A149)="N/A",0,RTD("tos.rtd",,DB$43,"."&amp;$B$134&amp;$AS$82&amp;"P"&amp;$A149))</f>
        <v>0.05</v>
      </c>
      <c r="DC149" s="3">
        <f>IF(RTD("tos.rtd",,DC$43,"."&amp;$B$134&amp;$AS$82&amp;"C"&amp;$A149)="N/A",0,RTD("tos.rtd",,DC$43,"."&amp;$B$134&amp;$AS$82&amp;"C"&amp;$A149))</f>
        <v>132</v>
      </c>
      <c r="DD149" s="3">
        <f>IF(RTD("tos.rtd",,DD$43,"."&amp;$B$134&amp;$AS$82&amp;"P"&amp;$A149)="N/A",0,RTD("tos.rtd",,DD$43,"."&amp;$B$134&amp;$AS$82&amp;"P"&amp;$A149))</f>
        <v>0.25</v>
      </c>
      <c r="DE149" s="3">
        <f>IF(RTD("tos.rtd",,DE$43,"."&amp;$B$134&amp;$AS$82&amp;"C"&amp;$A149)="N/A",0,RTD("tos.rtd",,DE$43,"."&amp;$B$134&amp;$AS$82&amp;"C"&amp;$A149))</f>
        <v>114.2</v>
      </c>
      <c r="DF149" s="3">
        <f>IF(RTD("tos.rtd",,DF$43,"."&amp;$B$134&amp;$AS$82&amp;"P"&amp;$A149)="N/A",0,RTD("tos.rtd",,DF$43,"."&amp;$B$134&amp;$AS$82&amp;"P"&amp;$A149))</f>
        <v>0</v>
      </c>
      <c r="DG149" s="86">
        <f t="shared" si="378"/>
        <v>-80.75</v>
      </c>
      <c r="DH149" s="3">
        <f t="shared" si="379"/>
        <v>0</v>
      </c>
      <c r="DI149" s="3">
        <f t="shared" si="380"/>
        <v>0</v>
      </c>
      <c r="DJ149" s="3">
        <f t="shared" si="346"/>
        <v>0</v>
      </c>
      <c r="DK149" s="3">
        <f t="shared" si="347"/>
        <v>0</v>
      </c>
      <c r="DL149" s="3">
        <f t="shared" si="381"/>
        <v>0</v>
      </c>
      <c r="DM149" s="3">
        <f t="shared" si="382"/>
        <v>0</v>
      </c>
      <c r="DN149" s="64" t="str">
        <f t="shared" si="348"/>
        <v>UNKNOWN</v>
      </c>
      <c r="DO149" s="64" t="str">
        <f t="shared" si="349"/>
        <v>UNKNOWN</v>
      </c>
      <c r="DP149" s="3">
        <f t="shared" si="350"/>
        <v>0</v>
      </c>
      <c r="DQ149" s="3">
        <f t="shared" si="351"/>
        <v>0</v>
      </c>
      <c r="DR149" s="3">
        <f t="shared" ca="1" si="352"/>
        <v>0</v>
      </c>
      <c r="DS149" s="3">
        <f t="shared" si="353"/>
        <v>0</v>
      </c>
      <c r="DT149" s="3">
        <f t="shared" si="383"/>
        <v>0</v>
      </c>
      <c r="DU149" s="3">
        <f t="shared" si="384"/>
        <v>0</v>
      </c>
      <c r="DV149" s="3">
        <f t="shared" si="354"/>
        <v>3</v>
      </c>
      <c r="DW149" s="3">
        <f t="shared" si="355"/>
        <v>-6</v>
      </c>
      <c r="DX149" s="3">
        <f t="shared" ca="1" si="356"/>
        <v>2.216568614779819E-3</v>
      </c>
      <c r="DY149" s="3">
        <f t="shared" ca="1" si="357"/>
        <v>-2.9736955062524785E-3</v>
      </c>
      <c r="DZ149" s="3">
        <f t="shared" ca="1" si="358"/>
        <v>9.3780530405903424E-4</v>
      </c>
      <c r="EA149" s="3">
        <f t="shared" ca="1" si="359"/>
        <v>-7.4422432416648406E-4</v>
      </c>
      <c r="EB149" s="3">
        <f t="shared" ca="1" si="360"/>
        <v>9.1241621506802067E-4</v>
      </c>
      <c r="EC149" s="3">
        <f t="shared" ca="1" si="361"/>
        <v>-8.3225068780558157E-4</v>
      </c>
      <c r="ED149" s="63">
        <f t="shared" si="385"/>
        <v>-3</v>
      </c>
      <c r="EE149" s="59">
        <f t="shared" si="362"/>
        <v>0.61380000000000001</v>
      </c>
      <c r="EF149" s="59">
        <f t="shared" si="363"/>
        <v>0.30170000000000002</v>
      </c>
      <c r="EG149" s="59">
        <f t="shared" si="364"/>
        <v>0.18140000000000001</v>
      </c>
      <c r="EH149" s="59">
        <f t="shared" si="365"/>
        <v>0.23069999999999999</v>
      </c>
      <c r="EI149" s="59">
        <f t="shared" si="366"/>
        <v>0.1867</v>
      </c>
      <c r="EJ149" s="59">
        <f t="shared" si="367"/>
        <v>0.20549999999999999</v>
      </c>
      <c r="EK149" s="63">
        <f t="shared" ca="1" si="386"/>
        <v>11143826.825251998</v>
      </c>
      <c r="EL149" s="3" t="str">
        <f>RTD("tos.rtd",,EL$43,"."&amp;$B$134&amp;$AS$82&amp;"C"&amp;$A149)</f>
        <v>61.38%</v>
      </c>
      <c r="EM149" s="3" t="str">
        <f>RTD("tos.rtd",,EM$43,"."&amp;$B$134&amp;$AS$82&amp;"P"&amp;$A149)</f>
        <v>30.17%</v>
      </c>
      <c r="EN149" s="3" t="str">
        <f>RTD("tos.rtd",,EN$2,"."&amp;$C$134&amp;$AU$82&amp;"C"&amp;$A149)</f>
        <v>18.14%</v>
      </c>
      <c r="EO149" s="3" t="str">
        <f>RTD("tos.rtd",,EO$2,"."&amp;$C$134&amp;$AU$82&amp;"P"&amp;$A149)</f>
        <v>23.07%</v>
      </c>
      <c r="EP149" s="3" t="str">
        <f>RTD("tos.rtd",,EP$2,"."&amp;$D$134&amp;$AW$82&amp;"C"&amp;$A149)</f>
        <v>18.67%</v>
      </c>
      <c r="EQ149" s="3" t="str">
        <f>RTD("tos.rtd",,EQ$2,"."&amp;$D$134&amp;$AW$82&amp;"P"&amp;$A149)</f>
        <v>20.55%</v>
      </c>
      <c r="ES149" s="63" t="str">
        <f t="shared" si="368"/>
        <v>21250,-03.00</v>
      </c>
      <c r="ET149" s="63" t="str">
        <f t="shared" ca="1" si="369"/>
        <v>21250,-596.88</v>
      </c>
      <c r="EU149" s="68">
        <v>592.64</v>
      </c>
      <c r="EV149" s="68" t="s">
        <v>1208</v>
      </c>
      <c r="EW149" s="68">
        <v>519.11</v>
      </c>
      <c r="EX149" s="68" t="s">
        <v>1209</v>
      </c>
      <c r="EY149" s="68">
        <v>5936.25</v>
      </c>
      <c r="EZ149" s="68" t="s">
        <v>1210</v>
      </c>
      <c r="FA149" s="68">
        <v>21309.5</v>
      </c>
      <c r="FB149" s="68" t="s">
        <v>1211</v>
      </c>
      <c r="FC149" s="68" t="s">
        <v>1212</v>
      </c>
      <c r="FD149" s="68" t="s">
        <v>1213</v>
      </c>
      <c r="FE149" s="68" t="s">
        <v>1214</v>
      </c>
      <c r="FF149" s="68" t="s">
        <v>1215</v>
      </c>
    </row>
    <row r="150" spans="1:162" ht="11.1" customHeight="1" thickBot="1" x14ac:dyDescent="0.25">
      <c r="A150" s="2">
        <f t="shared" si="387"/>
        <v>21225</v>
      </c>
      <c r="B150" s="3">
        <f t="shared" si="398"/>
        <v>16</v>
      </c>
      <c r="C150" s="3">
        <f t="shared" si="399"/>
        <v>14</v>
      </c>
      <c r="D150" s="3">
        <f t="shared" si="400"/>
        <v>51</v>
      </c>
      <c r="E150" s="3">
        <f t="shared" si="401"/>
        <v>81</v>
      </c>
      <c r="F150" s="4">
        <f t="shared" si="402"/>
        <v>21314.553813157061</v>
      </c>
      <c r="G150" s="5">
        <f t="shared" si="403"/>
        <v>517.05386589782347</v>
      </c>
      <c r="AM150" s="1">
        <v>-8</v>
      </c>
      <c r="AN150" s="1">
        <v>12</v>
      </c>
      <c r="AO150" s="1">
        <v>21225</v>
      </c>
      <c r="AP150" s="1">
        <v>9</v>
      </c>
      <c r="AQ150" s="1">
        <v>-171</v>
      </c>
      <c r="AS150" s="54">
        <f>IF(RTD("tos.rtd",,AS$83,"."&amp;$B$134&amp;$AS$82&amp;"C"&amp;$A150)="N/A",0,RTD("tos.rtd",,AS$83,"."&amp;$B$134&amp;$AS$82&amp;"C"&amp;$A150))</f>
        <v>7</v>
      </c>
      <c r="AT150" s="3">
        <f>-IF(RTD("tos.rtd",,AT$83,"."&amp;$B$134&amp;$AS$82&amp;"P"&amp;$A150)="N/A",0,RTD("tos.rtd",,AT$83,"."&amp;$B$134&amp;$AS$82&amp;"P"&amp;$A150))</f>
        <v>-9</v>
      </c>
      <c r="AU150" s="54">
        <f>IF(RTD("tos.rtd",,AU$2,"."&amp;$C$134&amp;$AU$134&amp;"C"&amp;$A150)="N/A",0,RTD("tos.rtd",,AU$2,"."&amp;$C$134&amp;$AU$134&amp;"C"&amp;$A150))</f>
        <v>3</v>
      </c>
      <c r="AV150" s="3">
        <f>-IF(RTD("tos.rtd",,AV$2,"."&amp;$C$134&amp;$AU$134&amp;"P"&amp;$A150)="N/A",0,RTD("tos.rtd",,AV$2,"."&amp;$C$134&amp;$AU$134&amp;"P"&amp;$A150))</f>
        <v>-11</v>
      </c>
      <c r="AW150" s="54">
        <f>IF(RTD("tos.rtd",,AW$2,"."&amp;$D$134&amp;$AW$134&amp;"C"&amp;$A150)="N/A",0,RTD("tos.rtd",,AW$2,"."&amp;$D$134&amp;$AW$134&amp;"C"&amp;$A150))</f>
        <v>27</v>
      </c>
      <c r="AX150" s="3">
        <f>-IF(RTD("tos.rtd",,AX$2,"."&amp;$D$134&amp;$AW$134&amp;"P"&amp;$A150)="N/A",0,RTD("tos.rtd",,AX$2,"."&amp;$D$134&amp;$AW$134&amp;"P"&amp;$A150))</f>
        <v>-24</v>
      </c>
      <c r="AY150" s="76">
        <f t="shared" si="404"/>
        <v>-7</v>
      </c>
      <c r="AZ150" s="8">
        <f t="shared" si="337"/>
        <v>21225</v>
      </c>
      <c r="BA150" s="54">
        <f>IF(RTD("tos.rtd",,BA$43,"."&amp;$B$134&amp;$AS$82&amp;"C"&amp;$A150)="N/A",0,RTD("tos.rtd",,BA$43,"."&amp;$B$134&amp;$AS$82&amp;"C"&amp;$A150))</f>
        <v>9</v>
      </c>
      <c r="BB150" s="3">
        <f>-IF(RTD("tos.rtd",,BB$43,"."&amp;$B$134&amp;$AS$82&amp;"P"&amp;$A150)="N/A",0,RTD("tos.rtd",,BB$43,"."&amp;$B$134&amp;$AS$82&amp;"P"&amp;$A150))</f>
        <v>-171</v>
      </c>
      <c r="BC150" s="54">
        <f>IF(RTD("tos.rtd",,BC$2,"."&amp;$C$134&amp;$AU$82&amp;"C"&amp;$A150)="N/A",0,RTD("tos.rtd",,BC$2,"."&amp;$C$134&amp;$AU$82&amp;"C"&amp;$A150))</f>
        <v>0</v>
      </c>
      <c r="BD150" s="3">
        <f>-IF(RTD("tos.rtd",,BD$2,"."&amp;$C$134&amp;$AU$82&amp;"P"&amp;$A150)="N/A",0,RTD("tos.rtd",,BD$2,"."&amp;$C$134&amp;$AU$82&amp;"P"&amp;$A150))</f>
        <v>0</v>
      </c>
      <c r="BE150" s="54">
        <f>IF(RTD("tos.rtd",,BE$2,"."&amp;$D$134&amp;$AW$82&amp;"C"&amp;$A150)="N/A",0,RTD("tos.rtd",,BE$2,"."&amp;$D$134&amp;$AW$82&amp;"C"&amp;$A150))</f>
        <v>0</v>
      </c>
      <c r="BF150" s="3">
        <f>-IF(RTD("tos.rtd",,BF$2,"."&amp;$D$134&amp;$AW$82&amp;"P"&amp;$A150)="N/A",0,RTD("tos.rtd",,BF$2,"."&amp;$D$134&amp;$AW$82&amp;"P"&amp;$A150))</f>
        <v>-1</v>
      </c>
      <c r="BG150" s="3">
        <f ca="1">+Hoja2!Y151</f>
        <v>-20</v>
      </c>
      <c r="BH150" s="7">
        <f t="shared" ca="1" si="338"/>
        <v>-183</v>
      </c>
      <c r="BI150" s="32" t="str">
        <f t="shared" ca="1" si="397"/>
        <v/>
      </c>
      <c r="BJ150" s="3">
        <f ca="1">IF($BP$1=1,DX150,IF(RTD("tos.rtd",,BJ$43,"."&amp;$B$134&amp;$AS$82&amp;"C"&amp;$A150)="N/A",0,RTD("tos.rtd",,BJ$43,"."&amp;$B$134&amp;$AS$82&amp;"C"&amp;$A150)))</f>
        <v>1.8925716125754971E-3</v>
      </c>
      <c r="BK150" s="3">
        <f ca="1">IF($BP$1=1,DY150,-IF(RTD("tos.rtd",,BK$43,"."&amp;$B$134&amp;$AS$82&amp;"P"&amp;$A150)="N/A",0,RTD("tos.rtd",,BK$43,"."&amp;$B$134&amp;$AS$82&amp;"P"&amp;$A150)))</f>
        <v>-1.6466047093178853E-3</v>
      </c>
      <c r="BL150" s="3">
        <f ca="1">IF($BP$1=1,DZ150,IF(RTD("tos.rtd",,BL$2,"."&amp;$C$134&amp;$AU$82&amp;"C"&amp;$A150)="N/A",0,RTD("tos.rtd",,BL$2,"."&amp;$C$134&amp;$AU$82&amp;"C"&amp;$A150)))</f>
        <v>9.1523391135934671E-4</v>
      </c>
      <c r="BM150" s="3">
        <f ca="1">IF($BP$1=1,EA150,-IF(RTD("tos.rtd",,BM$2,"."&amp;$C$134&amp;$AU$82&amp;"P"&amp;$A150)="N/A",0,RTD("tos.rtd",,BM$2,"."&amp;$C$134&amp;$AU$82&amp;"P"&amp;$A150)))</f>
        <v>-7.3411627147674792E-4</v>
      </c>
      <c r="BN150" s="3">
        <f ca="1">IF($BP$1=1,EB150,IF(RTD("tos.rtd",,BN$2,"."&amp;$D$134&amp;$AW$82&amp;"C"&amp;$A150)="N/A",0,RTD("tos.rtd",,BN$2,"."&amp;$D$134&amp;$AW$82&amp;"C"&amp;$A150)))</f>
        <v>8.9580092250217359E-4</v>
      </c>
      <c r="BO150" s="3">
        <f ca="1">IF($BP$1=1,EC150,-IF(RTD("tos.rtd",,BO$2,"."&amp;$D$134&amp;$AW$82&amp;"P"&amp;$A150)="N/A",0,RTD("tos.rtd",,BO$2,"."&amp;$D$134&amp;$AW$82&amp;"P"&amp;$A150)))</f>
        <v>-8.1936456019701296E-4</v>
      </c>
      <c r="BQ150" s="3">
        <f t="shared" ca="1" si="405"/>
        <v>-55357.458083517093</v>
      </c>
      <c r="BR150" s="3" t="str">
        <f t="shared" ca="1" si="339"/>
        <v/>
      </c>
      <c r="BS150" s="3">
        <f t="shared" ca="1" si="406"/>
        <v>-187746.04413877788</v>
      </c>
      <c r="BT150" s="3" t="str">
        <f t="shared" ca="1" si="340"/>
        <v/>
      </c>
      <c r="BU150" s="3">
        <f t="shared" ca="1" si="407"/>
        <v>159292.97767276946</v>
      </c>
      <c r="BV150" s="3" t="str">
        <f t="shared" ca="1" si="340"/>
        <v/>
      </c>
      <c r="BX150" s="3">
        <f t="shared" ca="1" si="370"/>
        <v>-71428.847576826258</v>
      </c>
      <c r="BY150" s="3" t="str">
        <f t="shared" ca="1" si="371"/>
        <v/>
      </c>
      <c r="BZ150" s="3">
        <f t="shared" ca="1" si="372"/>
        <v>0</v>
      </c>
      <c r="CA150" s="3" t="str">
        <f t="shared" ca="1" si="371"/>
        <v/>
      </c>
      <c r="CB150" s="3">
        <f t="shared" ca="1" si="373"/>
        <v>-221.24099776551679</v>
      </c>
      <c r="CC150" s="3" t="str">
        <f t="shared" ca="1" si="371"/>
        <v/>
      </c>
      <c r="CD150" s="3">
        <f>IF(RTD("tos.rtd",,CD$43,"."&amp;$B$134&amp;$AS$82&amp;"C"&amp;$A150)="N/A",0,RTD("tos.rtd",,CD$43,"."&amp;$B$134&amp;$AS$82&amp;"C"&amp;$A150))</f>
        <v>0.9</v>
      </c>
      <c r="CE150" s="3">
        <f>-IF(RTD("tos.rtd",,CE$43,"."&amp;$B$134&amp;$AS$82&amp;"P"&amp;$A150)="N/A",0,RTD("tos.rtd",,CE$43,"."&amp;$B$134&amp;$AS$82&amp;"P"&amp;$A150))</f>
        <v>0.14000000000000001</v>
      </c>
      <c r="CF150" s="3">
        <f>IF(RTD("tos.rtd",,CF$2,"."&amp;$C$134&amp;$AU$82&amp;"C"&amp;$A150)="N/A",0,RTD("tos.rtd",,CF$2,"."&amp;$C$134&amp;$AU$82&amp;"C"&amp;$A150))</f>
        <v>0.67</v>
      </c>
      <c r="CG150" s="3">
        <f>-IF(RTD("tos.rtd",,CG$2,"."&amp;$C$134&amp;$AU$82&amp;"P"&amp;$A150)="N/A",0,RTD("tos.rtd",,CG$2,"."&amp;$C$134&amp;$AU$82&amp;"P"&amp;$A150))</f>
        <v>0.36</v>
      </c>
      <c r="CH150" s="3">
        <f>IF(RTD("tos.rtd",,CH$2,"."&amp;$D$134&amp;$AW$82&amp;"C"&amp;$A150)="N/A",0,RTD("tos.rtd",,CH$2,"."&amp;$D$134&amp;$AW$82&amp;"C"&amp;$A150))</f>
        <v>0.59</v>
      </c>
      <c r="CI150" s="3">
        <f>-IF(RTD("tos.rtd",,CI$2,"."&amp;$D$134&amp;$AW$82&amp;"P"&amp;$A150)="N/A",0,RTD("tos.rtd",,CI$2,"."&amp;$D$134&amp;$AW$82&amp;"P"&amp;$A150))</f>
        <v>0.42</v>
      </c>
      <c r="CK150" s="3">
        <f t="shared" si="374"/>
        <v>10750698</v>
      </c>
      <c r="CL150" s="3"/>
      <c r="CM150" s="3">
        <f t="shared" si="375"/>
        <v>-4159496.2499999991</v>
      </c>
      <c r="CN150" s="3"/>
      <c r="CO150" s="3">
        <f t="shared" si="376"/>
        <v>12478488.75</v>
      </c>
      <c r="CP150" s="3">
        <f t="shared" si="331"/>
        <v>19069690.5</v>
      </c>
      <c r="CQ150" s="3">
        <f t="shared" si="341"/>
        <v>-162</v>
      </c>
      <c r="CR150" s="3"/>
      <c r="CS150" s="3">
        <f t="shared" si="342"/>
        <v>0</v>
      </c>
      <c r="CT150" s="3"/>
      <c r="CU150" s="3">
        <f t="shared" si="343"/>
        <v>-1</v>
      </c>
      <c r="CV150" s="3"/>
      <c r="CW150" s="3">
        <f t="shared" ca="1" si="344"/>
        <v>-83810.524549525522</v>
      </c>
      <c r="CY150" s="3">
        <f t="shared" ca="1" si="345"/>
        <v>-71650.088574591777</v>
      </c>
      <c r="CZ150" s="70" t="str">
        <f t="shared" ca="1" si="377"/>
        <v/>
      </c>
      <c r="DA150" s="3">
        <f>IF(RTD("tos.rtd",,DA$43,"."&amp;$B$134&amp;$AS$82&amp;"C"&amp;$A150)="N/A",0,RTD("tos.rtd",,DA$43,"."&amp;$B$134&amp;$AS$82&amp;"C"&amp;$A150))</f>
        <v>132.69999999999999</v>
      </c>
      <c r="DB150" s="3">
        <f>IF(RTD("tos.rtd",,DB$43,"."&amp;$B$134&amp;$AS$82&amp;"P"&amp;$A150)="N/A",0,RTD("tos.rtd",,DB$43,"."&amp;$B$134&amp;$AS$82&amp;"P"&amp;$A150))</f>
        <v>0.05</v>
      </c>
      <c r="DC150" s="3">
        <f>IF(RTD("tos.rtd",,DC$43,"."&amp;$B$134&amp;$AS$82&amp;"C"&amp;$A150)="N/A",0,RTD("tos.rtd",,DC$43,"."&amp;$B$134&amp;$AS$82&amp;"C"&amp;$A150))</f>
        <v>156</v>
      </c>
      <c r="DD150" s="3">
        <f>IF(RTD("tos.rtd",,DD$43,"."&amp;$B$134&amp;$AS$82&amp;"P"&amp;$A150)="N/A",0,RTD("tos.rtd",,DD$43,"."&amp;$B$134&amp;$AS$82&amp;"P"&amp;$A150))</f>
        <v>19.8</v>
      </c>
      <c r="DE150" s="3">
        <f>IF(RTD("tos.rtd",,DE$43,"."&amp;$B$134&amp;$AS$82&amp;"C"&amp;$A150)="N/A",0,RTD("tos.rtd",,DE$43,"."&amp;$B$134&amp;$AS$82&amp;"C"&amp;$A150))</f>
        <v>138.9</v>
      </c>
      <c r="DF150" s="3">
        <f>IF(RTD("tos.rtd",,DF$43,"."&amp;$B$134&amp;$AS$82&amp;"P"&amp;$A150)="N/A",0,RTD("tos.rtd",,DF$43,"."&amp;$B$134&amp;$AS$82&amp;"P"&amp;$A150))</f>
        <v>0</v>
      </c>
      <c r="DG150" s="86">
        <f t="shared" si="378"/>
        <v>-105.75</v>
      </c>
      <c r="DH150" s="3">
        <f t="shared" si="379"/>
        <v>0</v>
      </c>
      <c r="DI150" s="3">
        <f t="shared" si="380"/>
        <v>0</v>
      </c>
      <c r="DJ150" s="3">
        <f t="shared" si="346"/>
        <v>0</v>
      </c>
      <c r="DK150" s="3">
        <f t="shared" si="347"/>
        <v>0</v>
      </c>
      <c r="DL150" s="3">
        <f t="shared" si="381"/>
        <v>0</v>
      </c>
      <c r="DM150" s="3">
        <f t="shared" si="382"/>
        <v>0</v>
      </c>
      <c r="DN150" s="64" t="str">
        <f t="shared" si="348"/>
        <v>UNKNOWN</v>
      </c>
      <c r="DO150" s="64" t="str">
        <f t="shared" si="349"/>
        <v>UNKNOWN</v>
      </c>
      <c r="DP150" s="3">
        <f t="shared" si="350"/>
        <v>0</v>
      </c>
      <c r="DQ150" s="3">
        <f t="shared" si="351"/>
        <v>0</v>
      </c>
      <c r="DR150" s="3">
        <f t="shared" ca="1" si="352"/>
        <v>0</v>
      </c>
      <c r="DS150" s="3">
        <f t="shared" si="353"/>
        <v>0</v>
      </c>
      <c r="DT150" s="3">
        <f t="shared" si="383"/>
        <v>0</v>
      </c>
      <c r="DU150" s="3">
        <f t="shared" si="384"/>
        <v>0</v>
      </c>
      <c r="DV150" s="3">
        <f t="shared" si="354"/>
        <v>-8</v>
      </c>
      <c r="DW150" s="3">
        <f t="shared" si="355"/>
        <v>12</v>
      </c>
      <c r="DX150" s="3">
        <f t="shared" ca="1" si="356"/>
        <v>1.8925716125754971E-3</v>
      </c>
      <c r="DY150" s="3">
        <f t="shared" ca="1" si="357"/>
        <v>-1.6466047093178853E-3</v>
      </c>
      <c r="DZ150" s="3">
        <f t="shared" ca="1" si="358"/>
        <v>9.1523391135934671E-4</v>
      </c>
      <c r="EA150" s="3">
        <f t="shared" ca="1" si="359"/>
        <v>-7.3411627147674792E-4</v>
      </c>
      <c r="EB150" s="3">
        <f t="shared" ca="1" si="360"/>
        <v>8.9580092250217359E-4</v>
      </c>
      <c r="EC150" s="3">
        <f t="shared" ca="1" si="361"/>
        <v>-8.1936456019701296E-4</v>
      </c>
      <c r="ED150" s="63">
        <f t="shared" si="385"/>
        <v>4</v>
      </c>
      <c r="EE150" s="59">
        <f t="shared" si="362"/>
        <v>0.68240000000000001</v>
      </c>
      <c r="EF150" s="59">
        <f t="shared" si="363"/>
        <v>0.83340000000000003</v>
      </c>
      <c r="EG150" s="59">
        <f t="shared" si="364"/>
        <v>0.18310000000000001</v>
      </c>
      <c r="EH150" s="59">
        <f t="shared" si="365"/>
        <v>0.2316</v>
      </c>
      <c r="EI150" s="59">
        <f t="shared" si="366"/>
        <v>0.18740000000000001</v>
      </c>
      <c r="EJ150" s="59">
        <f t="shared" si="367"/>
        <v>0.20619999999999999</v>
      </c>
      <c r="EK150" s="63">
        <f t="shared" ca="1" si="386"/>
        <v>-15879453.637628943</v>
      </c>
      <c r="EL150" s="3" t="str">
        <f>RTD("tos.rtd",,EL$43,"."&amp;$B$134&amp;$AS$82&amp;"C"&amp;$A150)</f>
        <v>68.24%</v>
      </c>
      <c r="EM150" s="3" t="str">
        <f>RTD("tos.rtd",,EM$43,"."&amp;$B$134&amp;$AS$82&amp;"P"&amp;$A150)</f>
        <v>83.34%</v>
      </c>
      <c r="EN150" s="3" t="str">
        <f>RTD("tos.rtd",,EN$2,"."&amp;$C$134&amp;$AU$82&amp;"C"&amp;$A150)</f>
        <v>18.31%</v>
      </c>
      <c r="EO150" s="3" t="str">
        <f>RTD("tos.rtd",,EO$2,"."&amp;$C$134&amp;$AU$82&amp;"P"&amp;$A150)</f>
        <v>23.16%</v>
      </c>
      <c r="EP150" s="3" t="str">
        <f>RTD("tos.rtd",,EP$2,"."&amp;$D$134&amp;$AW$82&amp;"C"&amp;$A150)</f>
        <v>18.74%</v>
      </c>
      <c r="EQ150" s="3" t="str">
        <f>RTD("tos.rtd",,EQ$2,"."&amp;$D$134&amp;$AW$82&amp;"P"&amp;$A150)</f>
        <v>20.62%</v>
      </c>
      <c r="ES150" s="63" t="str">
        <f t="shared" si="368"/>
        <v>21225,04.00</v>
      </c>
      <c r="ET150" s="63" t="str">
        <f t="shared" ca="1" si="369"/>
        <v>21225,-71.65</v>
      </c>
      <c r="EU150" s="68">
        <v>592.64</v>
      </c>
      <c r="EV150" s="68" t="s">
        <v>1216</v>
      </c>
      <c r="EW150" s="68">
        <v>519.11</v>
      </c>
      <c r="EX150" s="68" t="s">
        <v>1217</v>
      </c>
      <c r="EY150" s="68">
        <v>5936.25</v>
      </c>
      <c r="EZ150" s="68" t="s">
        <v>1218</v>
      </c>
      <c r="FA150" s="68">
        <v>21309.5</v>
      </c>
      <c r="FB150" s="68" t="s">
        <v>1219</v>
      </c>
      <c r="FC150" s="68" t="s">
        <v>1220</v>
      </c>
      <c r="FD150" s="68" t="s">
        <v>1221</v>
      </c>
      <c r="FE150" s="68" t="s">
        <v>1222</v>
      </c>
      <c r="FF150" s="68" t="s">
        <v>1223</v>
      </c>
    </row>
    <row r="151" spans="1:162" ht="11.1" customHeight="1" thickBot="1" x14ac:dyDescent="0.25">
      <c r="A151" s="2">
        <f t="shared" si="387"/>
        <v>21200</v>
      </c>
      <c r="B151" s="3">
        <f t="shared" si="398"/>
        <v>44</v>
      </c>
      <c r="C151" s="3">
        <f t="shared" si="399"/>
        <v>151</v>
      </c>
      <c r="D151" s="3">
        <f t="shared" si="400"/>
        <v>217</v>
      </c>
      <c r="E151" s="3">
        <f t="shared" si="401"/>
        <v>412</v>
      </c>
      <c r="F151" s="4">
        <f t="shared" si="402"/>
        <v>21289.44833163391</v>
      </c>
      <c r="G151" s="5">
        <f t="shared" si="403"/>
        <v>516.44485074364468</v>
      </c>
      <c r="AM151" s="1">
        <v>-1</v>
      </c>
      <c r="AN151" s="1">
        <v>72</v>
      </c>
      <c r="AO151" s="1">
        <v>21200</v>
      </c>
      <c r="AP151" s="1">
        <v>23</v>
      </c>
      <c r="AQ151" s="1">
        <v>-782</v>
      </c>
      <c r="AS151" s="54">
        <f>IF(RTD("tos.rtd",,AS$83,"."&amp;$B$134&amp;$AS$82&amp;"C"&amp;$A151)="N/A",0,RTD("tos.rtd",,AS$83,"."&amp;$B$134&amp;$AS$82&amp;"C"&amp;$A151))</f>
        <v>9</v>
      </c>
      <c r="AT151" s="3">
        <f>-IF(RTD("tos.rtd",,AT$83,"."&amp;$B$134&amp;$AS$82&amp;"P"&amp;$A151)="N/A",0,RTD("tos.rtd",,AT$83,"."&amp;$B$134&amp;$AS$82&amp;"P"&amp;$A151))</f>
        <v>-35</v>
      </c>
      <c r="AU151" s="54">
        <f>IF(RTD("tos.rtd",,AU$2,"."&amp;$C$134&amp;$AU$134&amp;"C"&amp;$A151)="N/A",0,RTD("tos.rtd",,AU$2,"."&amp;$C$134&amp;$AU$134&amp;"C"&amp;$A151))</f>
        <v>73</v>
      </c>
      <c r="AV151" s="3">
        <f>-IF(RTD("tos.rtd",,AV$2,"."&amp;$C$134&amp;$AU$134&amp;"P"&amp;$A151)="N/A",0,RTD("tos.rtd",,AV$2,"."&amp;$C$134&amp;$AU$134&amp;"P"&amp;$A151))</f>
        <v>-78</v>
      </c>
      <c r="AW151" s="54">
        <f>IF(RTD("tos.rtd",,AW$2,"."&amp;$D$134&amp;$AW$134&amp;"C"&amp;$A151)="N/A",0,RTD("tos.rtd",,AW$2,"."&amp;$D$134&amp;$AW$134&amp;"C"&amp;$A151))</f>
        <v>107</v>
      </c>
      <c r="AX151" s="3">
        <f>-IF(RTD("tos.rtd",,AX$2,"."&amp;$D$134&amp;$AW$134&amp;"P"&amp;$A151)="N/A",0,RTD("tos.rtd",,AX$2,"."&amp;$D$134&amp;$AW$134&amp;"P"&amp;$A151))</f>
        <v>-110</v>
      </c>
      <c r="AY151" s="76">
        <f t="shared" si="404"/>
        <v>-34</v>
      </c>
      <c r="AZ151" s="8">
        <f t="shared" si="337"/>
        <v>21200</v>
      </c>
      <c r="BA151" s="54">
        <f>IF(RTD("tos.rtd",,BA$43,"."&amp;$B$134&amp;$AS$82&amp;"C"&amp;$A151)="N/A",0,RTD("tos.rtd",,BA$43,"."&amp;$B$134&amp;$AS$82&amp;"C"&amp;$A151))</f>
        <v>23</v>
      </c>
      <c r="BB151" s="3">
        <f>-IF(RTD("tos.rtd",,BB$43,"."&amp;$B$134&amp;$AS$82&amp;"P"&amp;$A151)="N/A",0,RTD("tos.rtd",,BB$43,"."&amp;$B$134&amp;$AS$82&amp;"P"&amp;$A151))</f>
        <v>-782</v>
      </c>
      <c r="BC151" s="54">
        <f>IF(RTD("tos.rtd",,BC$2,"."&amp;$C$134&amp;$AU$82&amp;"C"&amp;$A151)="N/A",0,RTD("tos.rtd",,BC$2,"."&amp;$C$134&amp;$AU$82&amp;"C"&amp;$A151))</f>
        <v>2</v>
      </c>
      <c r="BD151" s="3">
        <f>-IF(RTD("tos.rtd",,BD$2,"."&amp;$C$134&amp;$AU$82&amp;"P"&amp;$A151)="N/A",0,RTD("tos.rtd",,BD$2,"."&amp;$C$134&amp;$AU$82&amp;"P"&amp;$A151))</f>
        <v>-6</v>
      </c>
      <c r="BE151" s="54">
        <f>IF(RTD("tos.rtd",,BE$2,"."&amp;$D$134&amp;$AW$82&amp;"C"&amp;$A151)="N/A",0,RTD("tos.rtd",,BE$2,"."&amp;$D$134&amp;$AW$82&amp;"C"&amp;$A151))</f>
        <v>3</v>
      </c>
      <c r="BF151" s="3">
        <f>-IF(RTD("tos.rtd",,BF$2,"."&amp;$D$134&amp;$AW$82&amp;"P"&amp;$A151)="N/A",0,RTD("tos.rtd",,BF$2,"."&amp;$D$134&amp;$AW$82&amp;"P"&amp;$A151))</f>
        <v>-3</v>
      </c>
      <c r="BG151" s="3">
        <f ca="1">+Hoja2!Y152</f>
        <v>-85</v>
      </c>
      <c r="BH151" s="7">
        <f t="shared" ca="1" si="338"/>
        <v>-848</v>
      </c>
      <c r="BI151" s="32" t="str">
        <f t="shared" ca="1" si="397"/>
        <v/>
      </c>
      <c r="BJ151" s="3">
        <f ca="1">IF($BP$1=1,DX151,IF(RTD("tos.rtd",,BJ$43,"."&amp;$B$134&amp;$AS$82&amp;"C"&amp;$A151)="N/A",0,RTD("tos.rtd",,BJ$43,"."&amp;$B$134&amp;$AS$82&amp;"C"&amp;$A151)))</f>
        <v>1.584822740410084E-3</v>
      </c>
      <c r="BK151" s="3">
        <f ca="1">IF($BP$1=1,DY151,-IF(RTD("tos.rtd",,BK$43,"."&amp;$B$134&amp;$AS$82&amp;"P"&amp;$A151)="N/A",0,RTD("tos.rtd",,BK$43,"."&amp;$B$134&amp;$AS$82&amp;"P"&amp;$A151)))</f>
        <v>-1.4323905963979677E-3</v>
      </c>
      <c r="BL151" s="3">
        <f ca="1">IF($BP$1=1,DZ151,IF(RTD("tos.rtd",,BL$2,"."&amp;$C$134&amp;$AU$82&amp;"C"&amp;$A151)="N/A",0,RTD("tos.rtd",,BL$2,"."&amp;$C$134&amp;$AU$82&amp;"C"&amp;$A151)))</f>
        <v>8.8759438551652139E-4</v>
      </c>
      <c r="BM151" s="3">
        <f ca="1">IF($BP$1=1,EA151,-IF(RTD("tos.rtd",,BM$2,"."&amp;$C$134&amp;$AU$82&amp;"P"&amp;$A151)="N/A",0,RTD("tos.rtd",,BM$2,"."&amp;$C$134&amp;$AU$82&amp;"P"&amp;$A151)))</f>
        <v>-7.2263087166989461E-4</v>
      </c>
      <c r="BN151" s="3">
        <f ca="1">IF($BP$1=1,EB151,IF(RTD("tos.rtd",,BN$2,"."&amp;$D$134&amp;$AW$82&amp;"C"&amp;$A151)="N/A",0,RTD("tos.rtd",,BN$2,"."&amp;$D$134&amp;$AW$82&amp;"C"&amp;$A151)))</f>
        <v>8.7708004044763485E-4</v>
      </c>
      <c r="BO151" s="3">
        <f ca="1">IF($BP$1=1,EC151,-IF(RTD("tos.rtd",,BO$2,"."&amp;$D$134&amp;$AW$82&amp;"P"&amp;$A151)="N/A",0,RTD("tos.rtd",,BO$2,"."&amp;$D$134&amp;$AW$82&amp;"P"&amp;$A151)))</f>
        <v>-8.0099773989911161E-4</v>
      </c>
      <c r="BQ151" s="3">
        <f t="shared" ca="1" si="405"/>
        <v>-1263608.775056195</v>
      </c>
      <c r="BR151" s="3" t="str">
        <f t="shared" ca="1" si="339"/>
        <v/>
      </c>
      <c r="BS151" s="3">
        <f t="shared" ca="1" si="406"/>
        <v>296936.42282889504</v>
      </c>
      <c r="BT151" s="3" t="str">
        <f t="shared" ca="1" si="340"/>
        <v>Cruce +</v>
      </c>
      <c r="BU151" s="3">
        <f t="shared" ca="1" si="407"/>
        <v>202127.04128956888</v>
      </c>
      <c r="BV151" s="3" t="str">
        <f t="shared" ca="1" si="340"/>
        <v/>
      </c>
      <c r="BX151" s="3">
        <f t="shared" ca="1" si="370"/>
        <v>-292609.82157466508</v>
      </c>
      <c r="BY151" s="3" t="str">
        <f t="shared" ca="1" si="371"/>
        <v/>
      </c>
      <c r="BZ151" s="3">
        <f t="shared" ca="1" si="372"/>
        <v>-691.40031553813947</v>
      </c>
      <c r="CA151" s="3" t="str">
        <f t="shared" ca="1" si="371"/>
        <v/>
      </c>
      <c r="CB151" s="3">
        <f t="shared" ca="1" si="373"/>
        <v>61.630164044209664</v>
      </c>
      <c r="CC151" s="3" t="str">
        <f t="shared" ca="1" si="371"/>
        <v>Cruce +</v>
      </c>
      <c r="CD151" s="3">
        <f>IF(RTD("tos.rtd",,CD$43,"."&amp;$B$134&amp;$AS$82&amp;"C"&amp;$A151)="N/A",0,RTD("tos.rtd",,CD$43,"."&amp;$B$134&amp;$AS$82&amp;"C"&amp;$A151))</f>
        <v>0.91</v>
      </c>
      <c r="CE151" s="3">
        <f>-IF(RTD("tos.rtd",,CE$43,"."&amp;$B$134&amp;$AS$82&amp;"P"&amp;$A151)="N/A",0,RTD("tos.rtd",,CE$43,"."&amp;$B$134&amp;$AS$82&amp;"P"&amp;$A151))</f>
        <v>0.13</v>
      </c>
      <c r="CF151" s="3">
        <f>IF(RTD("tos.rtd",,CF$2,"."&amp;$C$134&amp;$AU$82&amp;"C"&amp;$A151)="N/A",0,RTD("tos.rtd",,CF$2,"."&amp;$C$134&amp;$AU$82&amp;"C"&amp;$A151))</f>
        <v>0.69</v>
      </c>
      <c r="CG151" s="3">
        <f>-IF(RTD("tos.rtd",,CG$2,"."&amp;$C$134&amp;$AU$82&amp;"P"&amp;$A151)="N/A",0,RTD("tos.rtd",,CG$2,"."&amp;$C$134&amp;$AU$82&amp;"P"&amp;$A151))</f>
        <v>0.34</v>
      </c>
      <c r="CH151" s="3">
        <f>IF(RTD("tos.rtd",,CH$2,"."&amp;$D$134&amp;$AW$82&amp;"C"&amp;$A151)="N/A",0,RTD("tos.rtd",,CH$2,"."&amp;$D$134&amp;$AW$82&amp;"C"&amp;$A151))</f>
        <v>0.6</v>
      </c>
      <c r="CI151" s="3">
        <f>-IF(RTD("tos.rtd",,CI$2,"."&amp;$D$134&amp;$AW$82&amp;"P"&amp;$A151)="N/A",0,RTD("tos.rtd",,CI$2,"."&amp;$D$134&amp;$AW$82&amp;"P"&amp;$A151))</f>
        <v>0.41</v>
      </c>
      <c r="CK151" s="3">
        <f t="shared" si="374"/>
        <v>7764393</v>
      </c>
      <c r="CL151" s="3"/>
      <c r="CM151" s="3">
        <f t="shared" si="375"/>
        <v>50873838.749999993</v>
      </c>
      <c r="CN151" s="3"/>
      <c r="CO151" s="3">
        <f t="shared" si="376"/>
        <v>40741732.500000015</v>
      </c>
      <c r="CP151" s="3">
        <f t="shared" si="331"/>
        <v>99379964.25</v>
      </c>
      <c r="CQ151" s="3">
        <f t="shared" si="341"/>
        <v>-759</v>
      </c>
      <c r="CR151" s="3"/>
      <c r="CS151" s="3">
        <f t="shared" si="342"/>
        <v>-4</v>
      </c>
      <c r="CT151" s="3"/>
      <c r="CU151" s="3">
        <f t="shared" si="343"/>
        <v>0</v>
      </c>
      <c r="CV151" s="3"/>
      <c r="CW151" s="3">
        <f t="shared" ca="1" si="344"/>
        <v>-764545.31093773106</v>
      </c>
      <c r="CY151" s="3">
        <f t="shared" ca="1" si="345"/>
        <v>-293239.59172615904</v>
      </c>
      <c r="CZ151" s="70" t="str">
        <f t="shared" ca="1" si="377"/>
        <v/>
      </c>
      <c r="DA151" s="3">
        <f>IF(RTD("tos.rtd",,DA$43,"."&amp;$B$134&amp;$AS$82&amp;"C"&amp;$A151)="N/A",0,RTD("tos.rtd",,DA$43,"."&amp;$B$134&amp;$AS$82&amp;"C"&amp;$A151))</f>
        <v>157.72</v>
      </c>
      <c r="DB151" s="3">
        <f>IF(RTD("tos.rtd",,DB$43,"."&amp;$B$134&amp;$AS$82&amp;"P"&amp;$A151)="N/A",0,RTD("tos.rtd",,DB$43,"."&amp;$B$134&amp;$AS$82&amp;"P"&amp;$A151))</f>
        <v>0.1</v>
      </c>
      <c r="DC151" s="3">
        <f>IF(RTD("tos.rtd",,DC$43,"."&amp;$B$134&amp;$AS$82&amp;"C"&amp;$A151)="N/A",0,RTD("tos.rtd",,DC$43,"."&amp;$B$134&amp;$AS$82&amp;"C"&amp;$A151))</f>
        <v>182</v>
      </c>
      <c r="DD151" s="3">
        <f>IF(RTD("tos.rtd",,DD$43,"."&amp;$B$134&amp;$AS$82&amp;"P"&amp;$A151)="N/A",0,RTD("tos.rtd",,DD$43,"."&amp;$B$134&amp;$AS$82&amp;"P"&amp;$A151))</f>
        <v>19.8</v>
      </c>
      <c r="DE151" s="3">
        <f>IF(RTD("tos.rtd",,DE$43,"."&amp;$B$134&amp;$AS$82&amp;"C"&amp;$A151)="N/A",0,RTD("tos.rtd",,DE$43,"."&amp;$B$134&amp;$AS$82&amp;"C"&amp;$A151))</f>
        <v>164.3</v>
      </c>
      <c r="DF151" s="3">
        <f>IF(RTD("tos.rtd",,DF$43,"."&amp;$B$134&amp;$AS$82&amp;"P"&amp;$A151)="N/A",0,RTD("tos.rtd",,DF$43,"."&amp;$B$134&amp;$AS$82&amp;"P"&amp;$A151))</f>
        <v>0</v>
      </c>
      <c r="DG151" s="86">
        <f t="shared" si="378"/>
        <v>-130.75</v>
      </c>
      <c r="DH151" s="3">
        <f t="shared" si="379"/>
        <v>0</v>
      </c>
      <c r="DI151" s="3">
        <f t="shared" si="380"/>
        <v>0</v>
      </c>
      <c r="DJ151" s="3">
        <f t="shared" si="346"/>
        <v>0</v>
      </c>
      <c r="DK151" s="3">
        <f t="shared" si="347"/>
        <v>0</v>
      </c>
      <c r="DL151" s="3">
        <f t="shared" si="381"/>
        <v>0</v>
      </c>
      <c r="DM151" s="3">
        <f t="shared" si="382"/>
        <v>0</v>
      </c>
      <c r="DN151" s="64" t="str">
        <f t="shared" si="348"/>
        <v>UNKNOWN</v>
      </c>
      <c r="DO151" s="64" t="str">
        <f t="shared" si="349"/>
        <v>UNKNOWN</v>
      </c>
      <c r="DP151" s="3">
        <f t="shared" si="350"/>
        <v>0</v>
      </c>
      <c r="DQ151" s="3">
        <f t="shared" si="351"/>
        <v>0</v>
      </c>
      <c r="DR151" s="3">
        <f t="shared" ca="1" si="352"/>
        <v>0</v>
      </c>
      <c r="DS151" s="3">
        <f t="shared" si="353"/>
        <v>0</v>
      </c>
      <c r="DT151" s="3">
        <f t="shared" si="383"/>
        <v>0</v>
      </c>
      <c r="DU151" s="3">
        <f t="shared" si="384"/>
        <v>0</v>
      </c>
      <c r="DV151" s="3">
        <f t="shared" si="354"/>
        <v>-1</v>
      </c>
      <c r="DW151" s="3">
        <f t="shared" si="355"/>
        <v>72</v>
      </c>
      <c r="DX151" s="3">
        <f t="shared" ca="1" si="356"/>
        <v>1.584822740410084E-3</v>
      </c>
      <c r="DY151" s="3">
        <f t="shared" ca="1" si="357"/>
        <v>-1.4323905963979677E-3</v>
      </c>
      <c r="DZ151" s="3">
        <f t="shared" ca="1" si="358"/>
        <v>8.8759438551652139E-4</v>
      </c>
      <c r="EA151" s="3">
        <f t="shared" ca="1" si="359"/>
        <v>-7.2263087166989461E-4</v>
      </c>
      <c r="EB151" s="3">
        <f t="shared" ca="1" si="360"/>
        <v>8.7708004044763485E-4</v>
      </c>
      <c r="EC151" s="3">
        <f t="shared" ca="1" si="361"/>
        <v>-8.0099773989911161E-4</v>
      </c>
      <c r="ED151" s="63">
        <f t="shared" si="385"/>
        <v>71</v>
      </c>
      <c r="EE151" s="59">
        <f t="shared" si="362"/>
        <v>0.79600000000000004</v>
      </c>
      <c r="EF151" s="59">
        <f t="shared" si="363"/>
        <v>0.93120000000000003</v>
      </c>
      <c r="EG151" s="59">
        <f t="shared" si="364"/>
        <v>0.1855</v>
      </c>
      <c r="EH151" s="59">
        <f t="shared" si="365"/>
        <v>0.23250000000000001</v>
      </c>
      <c r="EI151" s="59">
        <f t="shared" si="366"/>
        <v>0.188</v>
      </c>
      <c r="EJ151" s="59">
        <f t="shared" si="367"/>
        <v>0.2079</v>
      </c>
      <c r="EK151" s="63">
        <f t="shared" ca="1" si="386"/>
        <v>-47646304.065453678</v>
      </c>
      <c r="EL151" s="3" t="str">
        <f>RTD("tos.rtd",,EL$43,"."&amp;$B$134&amp;$AS$82&amp;"C"&amp;$A151)</f>
        <v>79.60%</v>
      </c>
      <c r="EM151" s="3" t="str">
        <f>RTD("tos.rtd",,EM$43,"."&amp;$B$134&amp;$AS$82&amp;"P"&amp;$A151)</f>
        <v>93.12%</v>
      </c>
      <c r="EN151" s="3" t="str">
        <f>RTD("tos.rtd",,EN$2,"."&amp;$C$134&amp;$AU$82&amp;"C"&amp;$A151)</f>
        <v>18.55%</v>
      </c>
      <c r="EO151" s="3" t="str">
        <f>RTD("tos.rtd",,EO$2,"."&amp;$C$134&amp;$AU$82&amp;"P"&amp;$A151)</f>
        <v>23.25%</v>
      </c>
      <c r="EP151" s="3" t="str">
        <f>RTD("tos.rtd",,EP$2,"."&amp;$D$134&amp;$AW$82&amp;"C"&amp;$A151)</f>
        <v>18.80%</v>
      </c>
      <c r="EQ151" s="3" t="str">
        <f>RTD("tos.rtd",,EQ$2,"."&amp;$D$134&amp;$AW$82&amp;"P"&amp;$A151)</f>
        <v>20.79%</v>
      </c>
      <c r="ES151" s="63" t="str">
        <f t="shared" si="368"/>
        <v>21200,71.00</v>
      </c>
      <c r="ET151" s="63" t="str">
        <f t="shared" ca="1" si="369"/>
        <v>21200,-293.24</v>
      </c>
      <c r="EU151" s="68">
        <v>592.64</v>
      </c>
      <c r="EV151" s="68" t="s">
        <v>1224</v>
      </c>
      <c r="EW151" s="68">
        <v>519.11</v>
      </c>
      <c r="EX151" s="68" t="s">
        <v>1225</v>
      </c>
      <c r="EY151" s="68">
        <v>5936.25</v>
      </c>
      <c r="EZ151" s="68" t="s">
        <v>1226</v>
      </c>
      <c r="FA151" s="68">
        <v>21309.5</v>
      </c>
      <c r="FB151" s="68" t="s">
        <v>1227</v>
      </c>
      <c r="FC151" s="68" t="s">
        <v>1228</v>
      </c>
      <c r="FD151" s="68" t="s">
        <v>1229</v>
      </c>
      <c r="FE151" s="68" t="s">
        <v>1230</v>
      </c>
      <c r="FF151" s="68" t="s">
        <v>1231</v>
      </c>
    </row>
    <row r="152" spans="1:162" ht="11.1" customHeight="1" thickBot="1" x14ac:dyDescent="0.25">
      <c r="A152" s="2">
        <f t="shared" si="387"/>
        <v>21175</v>
      </c>
      <c r="B152" s="3">
        <f t="shared" si="398"/>
        <v>9</v>
      </c>
      <c r="C152" s="3">
        <f t="shared" si="399"/>
        <v>8</v>
      </c>
      <c r="D152" s="3">
        <f t="shared" si="400"/>
        <v>13</v>
      </c>
      <c r="E152" s="3">
        <f t="shared" si="401"/>
        <v>30</v>
      </c>
      <c r="F152" s="4">
        <f t="shared" si="402"/>
        <v>21264.342850110756</v>
      </c>
      <c r="G152" s="5">
        <f t="shared" si="403"/>
        <v>515.83583558946589</v>
      </c>
      <c r="AM152" s="1">
        <v>3</v>
      </c>
      <c r="AN152" s="1">
        <v>-69</v>
      </c>
      <c r="AO152" s="1">
        <v>21175</v>
      </c>
      <c r="AP152" s="1">
        <v>10</v>
      </c>
      <c r="AQ152" s="1">
        <v>-244</v>
      </c>
      <c r="AS152" s="54">
        <f>IF(RTD("tos.rtd",,AS$83,"."&amp;$B$134&amp;$AS$82&amp;"C"&amp;$A152)="N/A",0,RTD("tos.rtd",,AS$83,"."&amp;$B$134&amp;$AS$82&amp;"C"&amp;$A152))</f>
        <v>5</v>
      </c>
      <c r="AT152" s="3">
        <f>-IF(RTD("tos.rtd",,AT$83,"."&amp;$B$134&amp;$AS$82&amp;"P"&amp;$A152)="N/A",0,RTD("tos.rtd",,AT$83,"."&amp;$B$134&amp;$AS$82&amp;"P"&amp;$A152))</f>
        <v>-4</v>
      </c>
      <c r="AU152" s="54">
        <f>IF(RTD("tos.rtd",,AU$2,"."&amp;$C$134&amp;$AU$134&amp;"C"&amp;$A152)="N/A",0,RTD("tos.rtd",,AU$2,"."&amp;$C$134&amp;$AU$134&amp;"C"&amp;$A152))</f>
        <v>2</v>
      </c>
      <c r="AV152" s="3">
        <f>-IF(RTD("tos.rtd",,AV$2,"."&amp;$C$134&amp;$AU$134&amp;"P"&amp;$A152)="N/A",0,RTD("tos.rtd",,AV$2,"."&amp;$C$134&amp;$AU$134&amp;"P"&amp;$A152))</f>
        <v>-6</v>
      </c>
      <c r="AW152" s="54">
        <f>IF(RTD("tos.rtd",,AW$2,"."&amp;$D$134&amp;$AW$134&amp;"C"&amp;$A152)="N/A",0,RTD("tos.rtd",,AW$2,"."&amp;$D$134&amp;$AW$134&amp;"C"&amp;$A152))</f>
        <v>9</v>
      </c>
      <c r="AX152" s="3">
        <f>-IF(RTD("tos.rtd",,AX$2,"."&amp;$D$134&amp;$AW$134&amp;"P"&amp;$A152)="N/A",0,RTD("tos.rtd",,AX$2,"."&amp;$D$134&amp;$AW$134&amp;"P"&amp;$A152))</f>
        <v>-4</v>
      </c>
      <c r="AY152" s="76">
        <f t="shared" si="404"/>
        <v>2</v>
      </c>
      <c r="AZ152" s="8">
        <f t="shared" si="337"/>
        <v>21175</v>
      </c>
      <c r="BA152" s="54">
        <f>IF(RTD("tos.rtd",,BA$43,"."&amp;$B$134&amp;$AS$82&amp;"C"&amp;$A152)="N/A",0,RTD("tos.rtd",,BA$43,"."&amp;$B$134&amp;$AS$82&amp;"C"&amp;$A152))</f>
        <v>10</v>
      </c>
      <c r="BB152" s="3">
        <f>-IF(RTD("tos.rtd",,BB$43,"."&amp;$B$134&amp;$AS$82&amp;"P"&amp;$A152)="N/A",0,RTD("tos.rtd",,BB$43,"."&amp;$B$134&amp;$AS$82&amp;"P"&amp;$A152))</f>
        <v>-244</v>
      </c>
      <c r="BC152" s="54">
        <f>IF(RTD("tos.rtd",,BC$2,"."&amp;$C$134&amp;$AU$82&amp;"C"&amp;$A152)="N/A",0,RTD("tos.rtd",,BC$2,"."&amp;$C$134&amp;$AU$82&amp;"C"&amp;$A152))</f>
        <v>0</v>
      </c>
      <c r="BD152" s="3">
        <f>-IF(RTD("tos.rtd",,BD$2,"."&amp;$C$134&amp;$AU$82&amp;"P"&amp;$A152)="N/A",0,RTD("tos.rtd",,BD$2,"."&amp;$C$134&amp;$AU$82&amp;"P"&amp;$A152))</f>
        <v>-30</v>
      </c>
      <c r="BE152" s="54">
        <f>IF(RTD("tos.rtd",,BE$2,"."&amp;$D$134&amp;$AW$82&amp;"C"&amp;$A152)="N/A",0,RTD("tos.rtd",,BE$2,"."&amp;$D$134&amp;$AW$82&amp;"C"&amp;$A152))</f>
        <v>0</v>
      </c>
      <c r="BF152" s="3">
        <f>-IF(RTD("tos.rtd",,BF$2,"."&amp;$D$134&amp;$AW$82&amp;"P"&amp;$A152)="N/A",0,RTD("tos.rtd",,BF$2,"."&amp;$D$134&amp;$AW$82&amp;"P"&amp;$A152))</f>
        <v>-1</v>
      </c>
      <c r="BG152" s="3">
        <f ca="1">+Hoja2!Y153</f>
        <v>-1</v>
      </c>
      <c r="BH152" s="7">
        <f t="shared" ca="1" si="338"/>
        <v>-266</v>
      </c>
      <c r="BI152" s="32" t="str">
        <f t="shared" ca="1" si="397"/>
        <v/>
      </c>
      <c r="BJ152" s="3">
        <f ca="1">IF($BP$1=1,DX152,IF(RTD("tos.rtd",,BJ$43,"."&amp;$B$134&amp;$AS$82&amp;"C"&amp;$A152)="N/A",0,RTD("tos.rtd",,BJ$43,"."&amp;$B$134&amp;$AS$82&amp;"C"&amp;$A152)))</f>
        <v>1.4109712587151923E-3</v>
      </c>
      <c r="BK152" s="3">
        <f ca="1">IF($BP$1=1,DY152,-IF(RTD("tos.rtd",,BK$43,"."&amp;$B$134&amp;$AS$82&amp;"P"&amp;$A152)="N/A",0,RTD("tos.rtd",,BK$43,"."&amp;$B$134&amp;$AS$82&amp;"P"&amp;$A152)))</f>
        <v>-1.329243684709884E-3</v>
      </c>
      <c r="BL152" s="3">
        <f ca="1">IF($BP$1=1,DZ152,IF(RTD("tos.rtd",,BL$2,"."&amp;$C$134&amp;$AU$82&amp;"C"&amp;$A152)="N/A",0,RTD("tos.rtd",,BL$2,"."&amp;$C$134&amp;$AU$82&amp;"C"&amp;$A152)))</f>
        <v>8.7529454124824955E-4</v>
      </c>
      <c r="BM152" s="3">
        <f ca="1">IF($BP$1=1,EA152,-IF(RTD("tos.rtd",,BM$2,"."&amp;$C$134&amp;$AU$82&amp;"P"&amp;$A152)="N/A",0,RTD("tos.rtd",,BM$2,"."&amp;$C$134&amp;$AU$82&amp;"P"&amp;$A152)))</f>
        <v>-7.0931821827258427E-4</v>
      </c>
      <c r="BN152" s="3">
        <f ca="1">IF($BP$1=1,EB152,IF(RTD("tos.rtd",,BN$2,"."&amp;$D$134&amp;$AW$82&amp;"C"&amp;$A152)="N/A",0,RTD("tos.rtd",,BN$2,"."&amp;$D$134&amp;$AW$82&amp;"C"&amp;$A152)))</f>
        <v>8.5600500678163337E-4</v>
      </c>
      <c r="BO152" s="3">
        <f ca="1">IF($BP$1=1,EC152,-IF(RTD("tos.rtd",,BO$2,"."&amp;$D$134&amp;$AW$82&amp;"P"&amp;$A152)="N/A",0,RTD("tos.rtd",,BO$2,"."&amp;$D$134&amp;$AW$82&amp;"P"&amp;$A152)))</f>
        <v>-7.8456339263546109E-4</v>
      </c>
      <c r="BQ152" s="3">
        <f t="shared" ca="1" si="405"/>
        <v>61220.688179516932</v>
      </c>
      <c r="BR152" s="3" t="str">
        <f t="shared" ca="1" si="339"/>
        <v>Cruce +</v>
      </c>
      <c r="BS152" s="3">
        <f t="shared" ca="1" si="406"/>
        <v>-88255.39807215202</v>
      </c>
      <c r="BT152" s="3" t="str">
        <f t="shared" ca="1" si="340"/>
        <v>Cruce -</v>
      </c>
      <c r="BU152" s="3">
        <f t="shared" ca="1" si="407"/>
        <v>160840.0160358157</v>
      </c>
      <c r="BV152" s="3" t="str">
        <f t="shared" ca="1" si="340"/>
        <v/>
      </c>
      <c r="BX152" s="3">
        <f t="shared" ca="1" si="370"/>
        <v>-83765.709451407354</v>
      </c>
      <c r="BY152" s="3" t="str">
        <f t="shared" ca="1" si="371"/>
        <v/>
      </c>
      <c r="BZ152" s="3">
        <f t="shared" ca="1" si="372"/>
        <v>-5745.8039302853867</v>
      </c>
      <c r="CA152" s="3" t="str">
        <f t="shared" ca="1" si="371"/>
        <v/>
      </c>
      <c r="CB152" s="3">
        <f t="shared" ca="1" si="373"/>
        <v>-211.84414878187101</v>
      </c>
      <c r="CC152" s="3" t="str">
        <f t="shared" ca="1" si="371"/>
        <v>Cruce -</v>
      </c>
      <c r="CD152" s="3">
        <f>IF(RTD("tos.rtd",,CD$43,"."&amp;$B$134&amp;$AS$82&amp;"C"&amp;$A152)="N/A",0,RTD("tos.rtd",,CD$43,"."&amp;$B$134&amp;$AS$82&amp;"C"&amp;$A152))</f>
        <v>0.92</v>
      </c>
      <c r="CE152" s="3">
        <f>-IF(RTD("tos.rtd",,CE$43,"."&amp;$B$134&amp;$AS$82&amp;"P"&amp;$A152)="N/A",0,RTD("tos.rtd",,CE$43,"."&amp;$B$134&amp;$AS$82&amp;"P"&amp;$A152))</f>
        <v>0.1</v>
      </c>
      <c r="CF152" s="3">
        <f>IF(RTD("tos.rtd",,CF$2,"."&amp;$C$134&amp;$AU$82&amp;"C"&amp;$A152)="N/A",0,RTD("tos.rtd",,CF$2,"."&amp;$C$134&amp;$AU$82&amp;"C"&amp;$A152))</f>
        <v>0.72</v>
      </c>
      <c r="CG152" s="3">
        <f>-IF(RTD("tos.rtd",,CG$2,"."&amp;$C$134&amp;$AU$82&amp;"P"&amp;$A152)="N/A",0,RTD("tos.rtd",,CG$2,"."&amp;$C$134&amp;$AU$82&amp;"P"&amp;$A152))</f>
        <v>0.32</v>
      </c>
      <c r="CH152" s="3">
        <f>IF(RTD("tos.rtd",,CH$2,"."&amp;$D$134&amp;$AW$82&amp;"C"&amp;$A152)="N/A",0,RTD("tos.rtd",,CH$2,"."&amp;$D$134&amp;$AW$82&amp;"C"&amp;$A152))</f>
        <v>0.6</v>
      </c>
      <c r="CI152" s="3">
        <f>-IF(RTD("tos.rtd",,CI$2,"."&amp;$D$134&amp;$AW$82&amp;"P"&amp;$A152)="N/A",0,RTD("tos.rtd",,CI$2,"."&amp;$D$134&amp;$AW$82&amp;"P"&amp;$A152))</f>
        <v>0.4</v>
      </c>
      <c r="CK152" s="3">
        <f t="shared" si="374"/>
        <v>8958915.0000000019</v>
      </c>
      <c r="CL152" s="3"/>
      <c r="CM152" s="3">
        <f t="shared" si="375"/>
        <v>-1023876</v>
      </c>
      <c r="CN152" s="3"/>
      <c r="CO152" s="3">
        <f t="shared" si="376"/>
        <v>8105685</v>
      </c>
      <c r="CP152" s="3">
        <f t="shared" si="331"/>
        <v>16040724.000000002</v>
      </c>
      <c r="CQ152" s="3">
        <f t="shared" si="341"/>
        <v>-234</v>
      </c>
      <c r="CR152" s="3"/>
      <c r="CS152" s="3">
        <f t="shared" si="342"/>
        <v>-30</v>
      </c>
      <c r="CT152" s="3"/>
      <c r="CU152" s="3">
        <f t="shared" si="343"/>
        <v>-1</v>
      </c>
      <c r="CV152" s="3"/>
      <c r="CW152" s="3">
        <f t="shared" ca="1" si="344"/>
        <v>133805.30614318061</v>
      </c>
      <c r="CY152" s="3">
        <f t="shared" ca="1" si="345"/>
        <v>-89723.357530474619</v>
      </c>
      <c r="CZ152" s="70" t="str">
        <f t="shared" ca="1" si="377"/>
        <v/>
      </c>
      <c r="DA152" s="3">
        <f>IF(RTD("tos.rtd",,DA$43,"."&amp;$B$134&amp;$AS$82&amp;"C"&amp;$A152)="N/A",0,RTD("tos.rtd",,DA$43,"."&amp;$B$134&amp;$AS$82&amp;"C"&amp;$A152))</f>
        <v>115</v>
      </c>
      <c r="DB152" s="3">
        <f>IF(RTD("tos.rtd",,DB$43,"."&amp;$B$134&amp;$AS$82&amp;"P"&amp;$A152)="N/A",0,RTD("tos.rtd",,DB$43,"."&amp;$B$134&amp;$AS$82&amp;"P"&amp;$A152))</f>
        <v>0.2</v>
      </c>
      <c r="DC152" s="3">
        <f>IF(RTD("tos.rtd",,DC$43,"."&amp;$B$134&amp;$AS$82&amp;"C"&amp;$A152)="N/A",0,RTD("tos.rtd",,DC$43,"."&amp;$B$134&amp;$AS$82&amp;"C"&amp;$A152))</f>
        <v>205.7</v>
      </c>
      <c r="DD152" s="3">
        <f>IF(RTD("tos.rtd",,DD$43,"."&amp;$B$134&amp;$AS$82&amp;"P"&amp;$A152)="N/A",0,RTD("tos.rtd",,DD$43,"."&amp;$B$134&amp;$AS$82&amp;"P"&amp;$A152))</f>
        <v>15</v>
      </c>
      <c r="DE152" s="3">
        <f>IF(RTD("tos.rtd",,DE$43,"."&amp;$B$134&amp;$AS$82&amp;"C"&amp;$A152)="N/A",0,RTD("tos.rtd",,DE$43,"."&amp;$B$134&amp;$AS$82&amp;"C"&amp;$A152))</f>
        <v>188.9</v>
      </c>
      <c r="DF152" s="3">
        <f>IF(RTD("tos.rtd",,DF$43,"."&amp;$B$134&amp;$AS$82&amp;"P"&amp;$A152)="N/A",0,RTD("tos.rtd",,DF$43,"."&amp;$B$134&amp;$AS$82&amp;"P"&amp;$A152))</f>
        <v>0</v>
      </c>
      <c r="DG152" s="86">
        <f t="shared" si="378"/>
        <v>-155.75</v>
      </c>
      <c r="DH152" s="3">
        <f t="shared" si="379"/>
        <v>0</v>
      </c>
      <c r="DI152" s="3">
        <f t="shared" si="380"/>
        <v>0</v>
      </c>
      <c r="DJ152" s="3">
        <f t="shared" si="346"/>
        <v>0</v>
      </c>
      <c r="DK152" s="3">
        <f t="shared" si="347"/>
        <v>0</v>
      </c>
      <c r="DL152" s="3">
        <f t="shared" si="381"/>
        <v>0</v>
      </c>
      <c r="DM152" s="3">
        <f t="shared" si="382"/>
        <v>0</v>
      </c>
      <c r="DN152" s="64" t="str">
        <f t="shared" si="348"/>
        <v>UNKNOWN</v>
      </c>
      <c r="DO152" s="64" t="str">
        <f t="shared" si="349"/>
        <v>UNKNOWN</v>
      </c>
      <c r="DP152" s="3">
        <f t="shared" si="350"/>
        <v>0</v>
      </c>
      <c r="DQ152" s="3">
        <f t="shared" si="351"/>
        <v>0</v>
      </c>
      <c r="DR152" s="3">
        <f t="shared" ca="1" si="352"/>
        <v>0</v>
      </c>
      <c r="DS152" s="3">
        <f t="shared" si="353"/>
        <v>0</v>
      </c>
      <c r="DT152" s="3">
        <f t="shared" si="383"/>
        <v>0</v>
      </c>
      <c r="DU152" s="3">
        <f t="shared" si="384"/>
        <v>0</v>
      </c>
      <c r="DV152" s="3">
        <f t="shared" si="354"/>
        <v>3</v>
      </c>
      <c r="DW152" s="3">
        <f t="shared" si="355"/>
        <v>-69</v>
      </c>
      <c r="DX152" s="3">
        <f t="shared" ca="1" si="356"/>
        <v>1.4109712587151923E-3</v>
      </c>
      <c r="DY152" s="3">
        <f t="shared" ca="1" si="357"/>
        <v>-1.329243684709884E-3</v>
      </c>
      <c r="DZ152" s="3">
        <f t="shared" ca="1" si="358"/>
        <v>8.7529454124824955E-4</v>
      </c>
      <c r="EA152" s="3">
        <f t="shared" ca="1" si="359"/>
        <v>-7.0931821827258427E-4</v>
      </c>
      <c r="EB152" s="3">
        <f t="shared" ca="1" si="360"/>
        <v>8.5600500678163337E-4</v>
      </c>
      <c r="EC152" s="3">
        <f t="shared" ca="1" si="361"/>
        <v>-7.8456339263546109E-4</v>
      </c>
      <c r="ED152" s="63">
        <f t="shared" si="385"/>
        <v>-66</v>
      </c>
      <c r="EE152" s="59">
        <f t="shared" si="362"/>
        <v>0.84850000000000003</v>
      </c>
      <c r="EF152" s="59">
        <f t="shared" si="363"/>
        <v>0.94840000000000002</v>
      </c>
      <c r="EG152" s="59">
        <f t="shared" si="364"/>
        <v>0.1837</v>
      </c>
      <c r="EH152" s="59">
        <f t="shared" si="365"/>
        <v>0.2336</v>
      </c>
      <c r="EI152" s="59">
        <f t="shared" si="366"/>
        <v>0.18859999999999999</v>
      </c>
      <c r="EJ152" s="59">
        <f t="shared" si="367"/>
        <v>0.20860000000000001</v>
      </c>
      <c r="EK152" s="63">
        <f t="shared" ca="1" si="386"/>
        <v>43657667.179486908</v>
      </c>
      <c r="EL152" s="3" t="str">
        <f>RTD("tos.rtd",,EL$43,"."&amp;$B$134&amp;$AS$82&amp;"C"&amp;$A152)</f>
        <v>84.85%</v>
      </c>
      <c r="EM152" s="3" t="str">
        <f>RTD("tos.rtd",,EM$43,"."&amp;$B$134&amp;$AS$82&amp;"P"&amp;$A152)</f>
        <v>94.84%</v>
      </c>
      <c r="EN152" s="3" t="str">
        <f>RTD("tos.rtd",,EN$2,"."&amp;$C$134&amp;$AU$82&amp;"C"&amp;$A152)</f>
        <v>18.37%</v>
      </c>
      <c r="EO152" s="3" t="str">
        <f>RTD("tos.rtd",,EO$2,"."&amp;$C$134&amp;$AU$82&amp;"P"&amp;$A152)</f>
        <v>23.36%</v>
      </c>
      <c r="EP152" s="3" t="str">
        <f>RTD("tos.rtd",,EP$2,"."&amp;$D$134&amp;$AW$82&amp;"C"&amp;$A152)</f>
        <v>18.86%</v>
      </c>
      <c r="EQ152" s="3" t="str">
        <f>RTD("tos.rtd",,EQ$2,"."&amp;$D$134&amp;$AW$82&amp;"P"&amp;$A152)</f>
        <v>20.86%</v>
      </c>
      <c r="ES152" s="63" t="str">
        <f t="shared" si="368"/>
        <v>21175,-66.00</v>
      </c>
      <c r="ET152" s="63" t="str">
        <f t="shared" ca="1" si="369"/>
        <v>21175,-89.72</v>
      </c>
      <c r="EU152" s="68">
        <v>592.64</v>
      </c>
      <c r="EV152" s="68" t="s">
        <v>1232</v>
      </c>
      <c r="EW152" s="68">
        <v>519.11</v>
      </c>
      <c r="EX152" s="68" t="s">
        <v>1233</v>
      </c>
      <c r="EY152" s="68">
        <v>5936.25</v>
      </c>
      <c r="EZ152" s="68" t="s">
        <v>1234</v>
      </c>
      <c r="FA152" s="68">
        <v>21309.5</v>
      </c>
      <c r="FB152" s="68" t="s">
        <v>1235</v>
      </c>
      <c r="FC152" s="68" t="s">
        <v>1236</v>
      </c>
      <c r="FD152" s="68" t="s">
        <v>1237</v>
      </c>
      <c r="FE152" s="68" t="s">
        <v>1238</v>
      </c>
      <c r="FF152" s="68" t="s">
        <v>1239</v>
      </c>
    </row>
    <row r="153" spans="1:162" ht="11.1" customHeight="1" thickBot="1" x14ac:dyDescent="0.25">
      <c r="A153" s="2">
        <f t="shared" si="387"/>
        <v>21150</v>
      </c>
      <c r="B153" s="3">
        <f t="shared" si="398"/>
        <v>42</v>
      </c>
      <c r="C153" s="3">
        <f t="shared" si="399"/>
        <v>20</v>
      </c>
      <c r="D153" s="3">
        <f t="shared" si="400"/>
        <v>63</v>
      </c>
      <c r="E153" s="3">
        <f t="shared" si="401"/>
        <v>125</v>
      </c>
      <c r="F153" s="4">
        <f t="shared" si="402"/>
        <v>21239.237368587601</v>
      </c>
      <c r="G153" s="5">
        <f t="shared" si="403"/>
        <v>515.2268204352871</v>
      </c>
      <c r="AM153" s="1">
        <v>-11</v>
      </c>
      <c r="AN153" s="1">
        <v>-46</v>
      </c>
      <c r="AO153" s="1">
        <v>21150</v>
      </c>
      <c r="AP153" s="1">
        <v>21</v>
      </c>
      <c r="AQ153" s="1">
        <v>-755</v>
      </c>
      <c r="AS153" s="54">
        <f>IF(RTD("tos.rtd",,AS$83,"."&amp;$B$134&amp;$AS$82&amp;"C"&amp;$A153)="N/A",0,RTD("tos.rtd",,AS$83,"."&amp;$B$134&amp;$AS$82&amp;"C"&amp;$A153))</f>
        <v>6</v>
      </c>
      <c r="AT153" s="3">
        <f>-IF(RTD("tos.rtd",,AT$83,"."&amp;$B$134&amp;$AS$82&amp;"P"&amp;$A153)="N/A",0,RTD("tos.rtd",,AT$83,"."&amp;$B$134&amp;$AS$82&amp;"P"&amp;$A153))</f>
        <v>-36</v>
      </c>
      <c r="AU153" s="54">
        <f>IF(RTD("tos.rtd",,AU$2,"."&amp;$C$134&amp;$AU$134&amp;"C"&amp;$A153)="N/A",0,RTD("tos.rtd",,AU$2,"."&amp;$C$134&amp;$AU$134&amp;"C"&amp;$A153))</f>
        <v>7</v>
      </c>
      <c r="AV153" s="3">
        <f>-IF(RTD("tos.rtd",,AV$2,"."&amp;$C$134&amp;$AU$134&amp;"P"&amp;$A153)="N/A",0,RTD("tos.rtd",,AV$2,"."&amp;$C$134&amp;$AU$134&amp;"P"&amp;$A153))</f>
        <v>-13</v>
      </c>
      <c r="AW153" s="54">
        <f>IF(RTD("tos.rtd",,AW$2,"."&amp;$D$134&amp;$AW$134&amp;"C"&amp;$A153)="N/A",0,RTD("tos.rtd",,AW$2,"."&amp;$D$134&amp;$AW$134&amp;"C"&amp;$A153))</f>
        <v>29</v>
      </c>
      <c r="AX153" s="3">
        <f>-IF(RTD("tos.rtd",,AX$2,"."&amp;$D$134&amp;$AW$134&amp;"P"&amp;$A153)="N/A",0,RTD("tos.rtd",,AX$2,"."&amp;$D$134&amp;$AW$134&amp;"P"&amp;$A153))</f>
        <v>-34</v>
      </c>
      <c r="AY153" s="76">
        <f t="shared" si="404"/>
        <v>-41</v>
      </c>
      <c r="AZ153" s="8">
        <f t="shared" si="337"/>
        <v>21150</v>
      </c>
      <c r="BA153" s="54">
        <f>IF(RTD("tos.rtd",,BA$43,"."&amp;$B$134&amp;$AS$82&amp;"C"&amp;$A153)="N/A",0,RTD("tos.rtd",,BA$43,"."&amp;$B$134&amp;$AS$82&amp;"C"&amp;$A153))</f>
        <v>21</v>
      </c>
      <c r="BB153" s="3">
        <f>-IF(RTD("tos.rtd",,BB$43,"."&amp;$B$134&amp;$AS$82&amp;"P"&amp;$A153)="N/A",0,RTD("tos.rtd",,BB$43,"."&amp;$B$134&amp;$AS$82&amp;"P"&amp;$A153))</f>
        <v>-755</v>
      </c>
      <c r="BC153" s="54">
        <f>IF(RTD("tos.rtd",,BC$2,"."&amp;$C$134&amp;$AU$82&amp;"C"&amp;$A153)="N/A",0,RTD("tos.rtd",,BC$2,"."&amp;$C$134&amp;$AU$82&amp;"C"&amp;$A153))</f>
        <v>0</v>
      </c>
      <c r="BD153" s="3">
        <f>-IF(RTD("tos.rtd",,BD$2,"."&amp;$C$134&amp;$AU$82&amp;"P"&amp;$A153)="N/A",0,RTD("tos.rtd",,BD$2,"."&amp;$C$134&amp;$AU$82&amp;"P"&amp;$A153))</f>
        <v>-4</v>
      </c>
      <c r="BE153" s="54">
        <f>IF(RTD("tos.rtd",,BE$2,"."&amp;$D$134&amp;$AW$82&amp;"C"&amp;$A153)="N/A",0,RTD("tos.rtd",,BE$2,"."&amp;$D$134&amp;$AW$82&amp;"C"&amp;$A153))</f>
        <v>0</v>
      </c>
      <c r="BF153" s="3">
        <f>-IF(RTD("tos.rtd",,BF$2,"."&amp;$D$134&amp;$AW$82&amp;"P"&amp;$A153)="N/A",0,RTD("tos.rtd",,BF$2,"."&amp;$D$134&amp;$AW$82&amp;"P"&amp;$A153))</f>
        <v>-4</v>
      </c>
      <c r="BG153" s="3">
        <f ca="1">+Hoja2!Y154</f>
        <v>-10</v>
      </c>
      <c r="BH153" s="7">
        <f t="shared" ca="1" si="338"/>
        <v>-752</v>
      </c>
      <c r="BI153" s="32" t="str">
        <f t="shared" ca="1" si="397"/>
        <v/>
      </c>
      <c r="BJ153" s="3">
        <f ca="1">IF($BP$1=1,DX153,IF(RTD("tos.rtd",,BJ$43,"."&amp;$B$134&amp;$AS$82&amp;"C"&amp;$A153)="N/A",0,RTD("tos.rtd",,BJ$43,"."&amp;$B$134&amp;$AS$82&amp;"C"&amp;$A153)))</f>
        <v>1.2064293349913599E-3</v>
      </c>
      <c r="BK153" s="3">
        <f ca="1">IF($BP$1=1,DY153,-IF(RTD("tos.rtd",,BK$43,"."&amp;$B$134&amp;$AS$82&amp;"P"&amp;$A153)="N/A",0,RTD("tos.rtd",,BK$43,"."&amp;$B$134&amp;$AS$82&amp;"P"&amp;$A153)))</f>
        <v>-1.3248220366810883E-3</v>
      </c>
      <c r="BL153" s="3">
        <f ca="1">IF($BP$1=1,DZ153,IF(RTD("tos.rtd",,BL$2,"."&amp;$C$134&amp;$AU$82&amp;"C"&amp;$A153)="N/A",0,RTD("tos.rtd",,BL$2,"."&amp;$C$134&amp;$AU$82&amp;"C"&amp;$A153)))</f>
        <v>8.4136232497189262E-4</v>
      </c>
      <c r="BM153" s="3">
        <f ca="1">IF($BP$1=1,EA153,-IF(RTD("tos.rtd",,BM$2,"."&amp;$C$134&amp;$AU$82&amp;"P"&amp;$A153)="N/A",0,RTD("tos.rtd",,BM$2,"."&amp;$C$134&amp;$AU$82&amp;"P"&amp;$A153)))</f>
        <v>-6.9489244249765084E-4</v>
      </c>
      <c r="BN153" s="3">
        <f ca="1">IF($BP$1=1,EB153,IF(RTD("tos.rtd",,BN$2,"."&amp;$D$134&amp;$AW$82&amp;"C"&amp;$A153)="N/A",0,RTD("tos.rtd",,BN$2,"."&amp;$D$134&amp;$AW$82&amp;"C"&amp;$A153)))</f>
        <v>8.3245370870685159E-4</v>
      </c>
      <c r="BO153" s="3">
        <f ca="1">IF($BP$1=1,EC153,-IF(RTD("tos.rtd",,BO$2,"."&amp;$D$134&amp;$AW$82&amp;"P"&amp;$A153)="N/A",0,RTD("tos.rtd",,BO$2,"."&amp;$D$134&amp;$AW$82&amp;"P"&amp;$A153)))</f>
        <v>-7.6619321812094652E-4</v>
      </c>
      <c r="BQ153" s="3">
        <f t="shared" ca="1" si="405"/>
        <v>-1425116.6849187564</v>
      </c>
      <c r="BR153" s="3" t="str">
        <f t="shared" ca="1" si="339"/>
        <v>Cruce -</v>
      </c>
      <c r="BS153" s="3">
        <f t="shared" ca="1" si="406"/>
        <v>-110756.60001085623</v>
      </c>
      <c r="BT153" s="3" t="str">
        <f t="shared" ca="1" si="340"/>
        <v/>
      </c>
      <c r="BU153" s="3">
        <f t="shared" ca="1" si="407"/>
        <v>-67263.219400634174</v>
      </c>
      <c r="BV153" s="3" t="str">
        <f t="shared" ca="1" si="340"/>
        <v>Cruce -</v>
      </c>
      <c r="BX153" s="3">
        <f t="shared" ca="1" si="370"/>
        <v>-263239.46987806767</v>
      </c>
      <c r="BY153" s="3" t="str">
        <f t="shared" ca="1" si="371"/>
        <v/>
      </c>
      <c r="BZ153" s="3">
        <f t="shared" ca="1" si="372"/>
        <v>-750.52646788106824</v>
      </c>
      <c r="CA153" s="3" t="str">
        <f t="shared" ca="1" si="371"/>
        <v/>
      </c>
      <c r="CB153" s="3">
        <f t="shared" ca="1" si="373"/>
        <v>-827.53567968569018</v>
      </c>
      <c r="CC153" s="3" t="str">
        <f t="shared" ca="1" si="371"/>
        <v/>
      </c>
      <c r="CD153" s="3">
        <f>IF(RTD("tos.rtd",,CD$43,"."&amp;$B$134&amp;$AS$82&amp;"C"&amp;$A153)="N/A",0,RTD("tos.rtd",,CD$43,"."&amp;$B$134&amp;$AS$82&amp;"C"&amp;$A153))</f>
        <v>0.91</v>
      </c>
      <c r="CE153" s="3">
        <f>-IF(RTD("tos.rtd",,CE$43,"."&amp;$B$134&amp;$AS$82&amp;"P"&amp;$A153)="N/A",0,RTD("tos.rtd",,CE$43,"."&amp;$B$134&amp;$AS$82&amp;"P"&amp;$A153))</f>
        <v>0.03</v>
      </c>
      <c r="CF153" s="3">
        <f>IF(RTD("tos.rtd",,CF$2,"."&amp;$C$134&amp;$AU$82&amp;"C"&amp;$A153)="N/A",0,RTD("tos.rtd",,CF$2,"."&amp;$C$134&amp;$AU$82&amp;"C"&amp;$A153))</f>
        <v>0.74</v>
      </c>
      <c r="CG153" s="3">
        <f>-IF(RTD("tos.rtd",,CG$2,"."&amp;$C$134&amp;$AU$82&amp;"P"&amp;$A153)="N/A",0,RTD("tos.rtd",,CG$2,"."&amp;$C$134&amp;$AU$82&amp;"P"&amp;$A153))</f>
        <v>0.31</v>
      </c>
      <c r="CH153" s="3">
        <f>IF(RTD("tos.rtd",,CH$2,"."&amp;$D$134&amp;$AW$82&amp;"C"&amp;$A153)="N/A",0,RTD("tos.rtd",,CH$2,"."&amp;$D$134&amp;$AW$82&amp;"C"&amp;$A153))</f>
        <v>0.61</v>
      </c>
      <c r="CI153" s="3">
        <f>-IF(RTD("tos.rtd",,CI$2,"."&amp;$D$134&amp;$AW$82&amp;"P"&amp;$A153)="N/A",0,RTD("tos.rtd",,CI$2,"."&amp;$D$134&amp;$AW$82&amp;"P"&amp;$A153))</f>
        <v>0.4</v>
      </c>
      <c r="CK153" s="3">
        <f t="shared" si="374"/>
        <v>9342868.5</v>
      </c>
      <c r="CL153" s="3"/>
      <c r="CM153" s="3">
        <f t="shared" si="375"/>
        <v>2453036.25</v>
      </c>
      <c r="CN153" s="3"/>
      <c r="CO153" s="3">
        <f t="shared" si="376"/>
        <v>8724276.7500000037</v>
      </c>
      <c r="CP153" s="3">
        <f t="shared" si="331"/>
        <v>20520181.500000004</v>
      </c>
      <c r="CQ153" s="3">
        <f t="shared" si="341"/>
        <v>-734</v>
      </c>
      <c r="CR153" s="3"/>
      <c r="CS153" s="3">
        <f t="shared" si="342"/>
        <v>-4</v>
      </c>
      <c r="CT153" s="3"/>
      <c r="CU153" s="3">
        <f t="shared" si="343"/>
        <v>-4</v>
      </c>
      <c r="CV153" s="3"/>
      <c r="CW153" s="3">
        <f t="shared" ca="1" si="344"/>
        <v>-1603136.5043302467</v>
      </c>
      <c r="CY153" s="3">
        <f t="shared" ca="1" si="345"/>
        <v>-264817.53202563443</v>
      </c>
      <c r="CZ153" s="70" t="str">
        <f t="shared" ca="1" si="377"/>
        <v/>
      </c>
      <c r="DA153" s="3">
        <f>IF(RTD("tos.rtd",,DA$43,"."&amp;$B$134&amp;$AS$82&amp;"C"&amp;$A153)="N/A",0,RTD("tos.rtd",,DA$43,"."&amp;$B$134&amp;$AS$82&amp;"C"&amp;$A153))</f>
        <v>91.29</v>
      </c>
      <c r="DB153" s="3">
        <f>IF(RTD("tos.rtd",,DB$43,"."&amp;$B$134&amp;$AS$82&amp;"P"&amp;$A153)="N/A",0,RTD("tos.rtd",,DB$43,"."&amp;$B$134&amp;$AS$82&amp;"P"&amp;$A153))</f>
        <v>0.05</v>
      </c>
      <c r="DC153" s="3">
        <f>IF(RTD("tos.rtd",,DC$43,"."&amp;$B$134&amp;$AS$82&amp;"C"&amp;$A153)="N/A",0,RTD("tos.rtd",,DC$43,"."&amp;$B$134&amp;$AS$82&amp;"C"&amp;$A153))</f>
        <v>233.9</v>
      </c>
      <c r="DD153" s="3">
        <f>IF(RTD("tos.rtd",,DD$43,"."&amp;$B$134&amp;$AS$82&amp;"P"&amp;$A153)="N/A",0,RTD("tos.rtd",,DD$43,"."&amp;$B$134&amp;$AS$82&amp;"P"&amp;$A153))</f>
        <v>3</v>
      </c>
      <c r="DE153" s="3">
        <f>IF(RTD("tos.rtd",,DE$43,"."&amp;$B$134&amp;$AS$82&amp;"C"&amp;$A153)="N/A",0,RTD("tos.rtd",,DE$43,"."&amp;$B$134&amp;$AS$82&amp;"C"&amp;$A153))</f>
        <v>213.9</v>
      </c>
      <c r="DF153" s="3">
        <f>IF(RTD("tos.rtd",,DF$43,"."&amp;$B$134&amp;$AS$82&amp;"P"&amp;$A153)="N/A",0,RTD("tos.rtd",,DF$43,"."&amp;$B$134&amp;$AS$82&amp;"P"&amp;$A153))</f>
        <v>0</v>
      </c>
      <c r="DG153" s="86">
        <f t="shared" si="378"/>
        <v>-180.75</v>
      </c>
      <c r="DH153" s="3">
        <f t="shared" si="379"/>
        <v>0</v>
      </c>
      <c r="DI153" s="3">
        <f t="shared" si="380"/>
        <v>0</v>
      </c>
      <c r="DJ153" s="3">
        <f t="shared" si="346"/>
        <v>0</v>
      </c>
      <c r="DK153" s="3">
        <f t="shared" si="347"/>
        <v>0</v>
      </c>
      <c r="DL153" s="3">
        <f t="shared" si="381"/>
        <v>0</v>
      </c>
      <c r="DM153" s="3">
        <f t="shared" si="382"/>
        <v>0</v>
      </c>
      <c r="DN153" s="64" t="str">
        <f t="shared" si="348"/>
        <v>UNKNOWN</v>
      </c>
      <c r="DO153" s="64" t="str">
        <f t="shared" si="349"/>
        <v>UNKNOWN</v>
      </c>
      <c r="DP153" s="3">
        <f t="shared" si="350"/>
        <v>0</v>
      </c>
      <c r="DQ153" s="3">
        <f t="shared" si="351"/>
        <v>0</v>
      </c>
      <c r="DR153" s="3">
        <f t="shared" ca="1" si="352"/>
        <v>0</v>
      </c>
      <c r="DS153" s="3">
        <f t="shared" si="353"/>
        <v>0</v>
      </c>
      <c r="DT153" s="3">
        <f t="shared" si="383"/>
        <v>0</v>
      </c>
      <c r="DU153" s="3">
        <f t="shared" si="384"/>
        <v>0</v>
      </c>
      <c r="DV153" s="3">
        <f t="shared" si="354"/>
        <v>-11</v>
      </c>
      <c r="DW153" s="3">
        <f t="shared" si="355"/>
        <v>-46</v>
      </c>
      <c r="DX153" s="3">
        <f t="shared" ca="1" si="356"/>
        <v>1.2064293349913599E-3</v>
      </c>
      <c r="DY153" s="3">
        <f t="shared" ca="1" si="357"/>
        <v>-1.3248220366810883E-3</v>
      </c>
      <c r="DZ153" s="3">
        <f t="shared" ca="1" si="358"/>
        <v>8.4136232497189262E-4</v>
      </c>
      <c r="EA153" s="3">
        <f t="shared" ca="1" si="359"/>
        <v>-6.9489244249765084E-4</v>
      </c>
      <c r="EB153" s="3">
        <f t="shared" ca="1" si="360"/>
        <v>8.3245370870685159E-4</v>
      </c>
      <c r="EC153" s="3">
        <f t="shared" ca="1" si="361"/>
        <v>-7.6619321812094652E-4</v>
      </c>
      <c r="ED153" s="63">
        <f t="shared" si="385"/>
        <v>-57</v>
      </c>
      <c r="EE153" s="59">
        <f t="shared" si="362"/>
        <v>0.99870000000000003</v>
      </c>
      <c r="EF153" s="59">
        <f t="shared" si="363"/>
        <v>0.7339</v>
      </c>
      <c r="EG153" s="59">
        <f t="shared" si="364"/>
        <v>0.18679999999999999</v>
      </c>
      <c r="EH153" s="59">
        <f t="shared" si="365"/>
        <v>0.23469999999999999</v>
      </c>
      <c r="EI153" s="59">
        <f t="shared" si="366"/>
        <v>0.1893</v>
      </c>
      <c r="EJ153" s="59">
        <f t="shared" si="367"/>
        <v>0.2094</v>
      </c>
      <c r="EK153" s="63">
        <f t="shared" ca="1" si="386"/>
        <v>21690389.098544858</v>
      </c>
      <c r="EL153" s="3" t="str">
        <f>RTD("tos.rtd",,EL$43,"."&amp;$B$134&amp;$AS$82&amp;"C"&amp;$A153)</f>
        <v>99.87%</v>
      </c>
      <c r="EM153" s="3" t="str">
        <f>RTD("tos.rtd",,EM$43,"."&amp;$B$134&amp;$AS$82&amp;"P"&amp;$A153)</f>
        <v>73.39%</v>
      </c>
      <c r="EN153" s="3" t="str">
        <f>RTD("tos.rtd",,EN$2,"."&amp;$C$134&amp;$AU$82&amp;"C"&amp;$A153)</f>
        <v>18.68%</v>
      </c>
      <c r="EO153" s="3" t="str">
        <f>RTD("tos.rtd",,EO$2,"."&amp;$C$134&amp;$AU$82&amp;"P"&amp;$A153)</f>
        <v>23.47%</v>
      </c>
      <c r="EP153" s="3" t="str">
        <f>RTD("tos.rtd",,EP$2,"."&amp;$D$134&amp;$AW$82&amp;"C"&amp;$A153)</f>
        <v>18.93%</v>
      </c>
      <c r="EQ153" s="3" t="str">
        <f>RTD("tos.rtd",,EQ$2,"."&amp;$D$134&amp;$AW$82&amp;"P"&amp;$A153)</f>
        <v>20.94%</v>
      </c>
      <c r="ES153" s="63" t="str">
        <f t="shared" si="368"/>
        <v>21150,-57.00</v>
      </c>
      <c r="ET153" s="63" t="str">
        <f t="shared" ca="1" si="369"/>
        <v>21150,-264.82</v>
      </c>
      <c r="EU153" s="68">
        <v>592.64</v>
      </c>
      <c r="EV153" s="68" t="s">
        <v>1240</v>
      </c>
      <c r="EW153" s="68">
        <v>519.11</v>
      </c>
      <c r="EX153" s="68" t="s">
        <v>1241</v>
      </c>
      <c r="EY153" s="68">
        <v>5936.25</v>
      </c>
      <c r="EZ153" s="68" t="s">
        <v>1242</v>
      </c>
      <c r="FA153" s="68">
        <v>21309.5</v>
      </c>
      <c r="FB153" s="68" t="s">
        <v>1243</v>
      </c>
      <c r="FC153" s="68" t="s">
        <v>1244</v>
      </c>
      <c r="FD153" s="68" t="s">
        <v>1245</v>
      </c>
      <c r="FE153" s="68" t="s">
        <v>1246</v>
      </c>
      <c r="FF153" s="68" t="s">
        <v>1247</v>
      </c>
    </row>
    <row r="154" spans="1:162" ht="11.1" customHeight="1" thickBot="1" x14ac:dyDescent="0.25">
      <c r="A154" s="2">
        <f t="shared" si="387"/>
        <v>21125</v>
      </c>
      <c r="B154" s="3">
        <f t="shared" si="398"/>
        <v>7</v>
      </c>
      <c r="C154" s="3">
        <f t="shared" si="399"/>
        <v>7</v>
      </c>
      <c r="D154" s="3">
        <f t="shared" si="400"/>
        <v>11</v>
      </c>
      <c r="E154" s="3">
        <f t="shared" si="401"/>
        <v>25</v>
      </c>
      <c r="F154" s="4">
        <f t="shared" ref="F154:F189" si="408">+$F$136/$A$136*A154</f>
        <v>21214.13188706445</v>
      </c>
      <c r="G154" s="5">
        <f t="shared" si="403"/>
        <v>514.61780528110819</v>
      </c>
      <c r="AM154" s="1">
        <v>-2</v>
      </c>
      <c r="AN154" s="1">
        <v>-209</v>
      </c>
      <c r="AO154" s="1">
        <v>21125</v>
      </c>
      <c r="AP154" s="1">
        <v>2</v>
      </c>
      <c r="AQ154" s="1">
        <v>-498</v>
      </c>
      <c r="AS154" s="54">
        <f>IF(RTD("tos.rtd",,AS$83,"."&amp;$B$134&amp;$AS$82&amp;"C"&amp;$A154)="N/A",0,RTD("tos.rtd",,AS$83,"."&amp;$B$134&amp;$AS$82&amp;"C"&amp;$A154))</f>
        <v>1</v>
      </c>
      <c r="AT154" s="3">
        <f>-IF(RTD("tos.rtd",,AT$83,"."&amp;$B$134&amp;$AS$82&amp;"P"&amp;$A154)="N/A",0,RTD("tos.rtd",,AT$83,"."&amp;$B$134&amp;$AS$82&amp;"P"&amp;$A154))</f>
        <v>-6</v>
      </c>
      <c r="AU154" s="54">
        <f>IF(RTD("tos.rtd",,AU$2,"."&amp;$C$134&amp;$AU$134&amp;"C"&amp;$A154)="N/A",0,RTD("tos.rtd",,AU$2,"."&amp;$C$134&amp;$AU$134&amp;"C"&amp;$A154))</f>
        <v>4</v>
      </c>
      <c r="AV154" s="3">
        <f>-IF(RTD("tos.rtd",,AV$2,"."&amp;$C$134&amp;$AU$134&amp;"P"&amp;$A154)="N/A",0,RTD("tos.rtd",,AV$2,"."&amp;$C$134&amp;$AU$134&amp;"P"&amp;$A154))</f>
        <v>-3</v>
      </c>
      <c r="AW154" s="54">
        <f>IF(RTD("tos.rtd",,AW$2,"."&amp;$D$134&amp;$AW$134&amp;"C"&amp;$A154)="N/A",0,RTD("tos.rtd",,AW$2,"."&amp;$D$134&amp;$AW$134&amp;"C"&amp;$A154))</f>
        <v>5</v>
      </c>
      <c r="AX154" s="3">
        <f>-IF(RTD("tos.rtd",,AX$2,"."&amp;$D$134&amp;$AW$134&amp;"P"&amp;$A154)="N/A",0,RTD("tos.rtd",,AX$2,"."&amp;$D$134&amp;$AW$134&amp;"P"&amp;$A154))</f>
        <v>-6</v>
      </c>
      <c r="AY154" s="76">
        <f t="shared" ref="AY154:AY189" si="409">SUM(AS154:AX154)</f>
        <v>-5</v>
      </c>
      <c r="AZ154" s="8">
        <f t="shared" si="337"/>
        <v>21125</v>
      </c>
      <c r="BA154" s="54">
        <f>IF(RTD("tos.rtd",,BA$43,"."&amp;$B$134&amp;$AS$82&amp;"C"&amp;$A154)="N/A",0,RTD("tos.rtd",,BA$43,"."&amp;$B$134&amp;$AS$82&amp;"C"&amp;$A154))</f>
        <v>2</v>
      </c>
      <c r="BB154" s="3">
        <f>-IF(RTD("tos.rtd",,BB$43,"."&amp;$B$134&amp;$AS$82&amp;"P"&amp;$A154)="N/A",0,RTD("tos.rtd",,BB$43,"."&amp;$B$134&amp;$AS$82&amp;"P"&amp;$A154))</f>
        <v>-498</v>
      </c>
      <c r="BC154" s="54">
        <f>IF(RTD("tos.rtd",,BC$2,"."&amp;$C$134&amp;$AU$82&amp;"C"&amp;$A154)="N/A",0,RTD("tos.rtd",,BC$2,"."&amp;$C$134&amp;$AU$82&amp;"C"&amp;$A154))</f>
        <v>0</v>
      </c>
      <c r="BD154" s="3">
        <f>-IF(RTD("tos.rtd",,BD$2,"."&amp;$C$134&amp;$AU$82&amp;"P"&amp;$A154)="N/A",0,RTD("tos.rtd",,BD$2,"."&amp;$C$134&amp;$AU$82&amp;"P"&amp;$A154))</f>
        <v>0</v>
      </c>
      <c r="BE154" s="54">
        <f>IF(RTD("tos.rtd",,BE$2,"."&amp;$D$134&amp;$AW$82&amp;"C"&amp;$A154)="N/A",0,RTD("tos.rtd",,BE$2,"."&amp;$D$134&amp;$AW$82&amp;"C"&amp;$A154))</f>
        <v>0</v>
      </c>
      <c r="BF154" s="3">
        <f>-IF(RTD("tos.rtd",,BF$2,"."&amp;$D$134&amp;$AW$82&amp;"P"&amp;$A154)="N/A",0,RTD("tos.rtd",,BF$2,"."&amp;$D$134&amp;$AW$82&amp;"P"&amp;$A154))</f>
        <v>-13</v>
      </c>
      <c r="BG154" s="3">
        <f ca="1">+Hoja2!Y155</f>
        <v>-5</v>
      </c>
      <c r="BH154" s="7">
        <f t="shared" ca="1" si="338"/>
        <v>-514</v>
      </c>
      <c r="BI154" s="32" t="str">
        <f t="shared" ca="1" si="397"/>
        <v/>
      </c>
      <c r="BJ154" s="3">
        <f ca="1">IF($BP$1=1,DX154,IF(RTD("tos.rtd",,BJ$43,"."&amp;$B$134&amp;$AS$82&amp;"C"&amp;$A154)="N/A",0,RTD("tos.rtd",,BJ$43,"."&amp;$B$134&amp;$AS$82&amp;"C"&amp;$A154)))</f>
        <v>1.0893160722231026E-3</v>
      </c>
      <c r="BK154" s="3">
        <f ca="1">IF($BP$1=1,DY154,-IF(RTD("tos.rtd",,BK$43,"."&amp;$B$134&amp;$AS$82&amp;"P"&amp;$A154)="N/A",0,RTD("tos.rtd",,BK$43,"."&amp;$B$134&amp;$AS$82&amp;"P"&amp;$A154)))</f>
        <v>-1.0239523984661807E-3</v>
      </c>
      <c r="BL154" s="3">
        <f ca="1">IF($BP$1=1,DZ154,IF(RTD("tos.rtd",,BL$2,"."&amp;$C$134&amp;$AU$82&amp;"C"&amp;$A154)="N/A",0,RTD("tos.rtd",,BL$2,"."&amp;$C$134&amp;$AU$82&amp;"C"&amp;$A154)))</f>
        <v>8.1253221498252715E-4</v>
      </c>
      <c r="BM154" s="3">
        <f ca="1">IF($BP$1=1,EA154,-IF(RTD("tos.rtd",,BM$2,"."&amp;$C$134&amp;$AU$82&amp;"P"&amp;$A154)="N/A",0,RTD("tos.rtd",,BM$2,"."&amp;$C$134&amp;$AU$82&amp;"P"&amp;$A154)))</f>
        <v>-6.7946509467008967E-4</v>
      </c>
      <c r="BN154" s="3">
        <f ca="1">IF($BP$1=1,EB154,IF(RTD("tos.rtd",,BN$2,"."&amp;$D$134&amp;$AW$82&amp;"C"&amp;$A154)="N/A",0,RTD("tos.rtd",,BN$2,"."&amp;$D$134&amp;$AW$82&amp;"C"&amp;$A154)))</f>
        <v>8.0708990951075229E-4</v>
      </c>
      <c r="BO154" s="3">
        <f ca="1">IF($BP$1=1,EC154,-IF(RTD("tos.rtd",,BO$2,"."&amp;$D$134&amp;$AW$82&amp;"P"&amp;$A154)="N/A",0,RTD("tos.rtd",,BO$2,"."&amp;$D$134&amp;$AW$82&amp;"P"&amp;$A154)))</f>
        <v>-7.4640398158535594E-4</v>
      </c>
      <c r="BQ154" s="3">
        <f t="shared" ref="BQ154:BQ189" ca="1" si="410">+$A$84*$A$84*AS154*BJ154-$A$84*$A$84*AT154*BK154</f>
        <v>-178052.26285598188</v>
      </c>
      <c r="BR154" s="3" t="str">
        <f t="shared" ca="1" si="339"/>
        <v/>
      </c>
      <c r="BS154" s="3">
        <f t="shared" ref="BS154:BS189" ca="1" si="411">+$A$84*$A$84*AU154*BL154-$A$84*$A$84*AV154*BM154</f>
        <v>42685.972013374907</v>
      </c>
      <c r="BT154" s="3" t="str">
        <f t="shared" ca="1" si="340"/>
        <v>Cruce +</v>
      </c>
      <c r="BU154" s="3">
        <f t="shared" ref="BU154:BU189" ca="1" si="412">+$A$84*$A$84*AW154*BN154-$A$84*$A$84*AX154*BO154</f>
        <v>-15604.742444414354</v>
      </c>
      <c r="BV154" s="3" t="str">
        <f t="shared" ca="1" si="340"/>
        <v/>
      </c>
      <c r="BX154" s="3">
        <f t="shared" ca="1" si="370"/>
        <v>-137100.19612455775</v>
      </c>
      <c r="BY154" s="3" t="str">
        <f t="shared" ca="1" si="371"/>
        <v/>
      </c>
      <c r="BZ154" s="3">
        <f t="shared" ca="1" si="372"/>
        <v>0</v>
      </c>
      <c r="CA154" s="3" t="str">
        <f t="shared" ca="1" si="371"/>
        <v/>
      </c>
      <c r="CB154" s="3">
        <f t="shared" ca="1" si="373"/>
        <v>-2620.0267931665267</v>
      </c>
      <c r="CC154" s="3" t="str">
        <f t="shared" ca="1" si="371"/>
        <v/>
      </c>
      <c r="CD154" s="3">
        <f>IF(RTD("tos.rtd",,CD$43,"."&amp;$B$134&amp;$AS$82&amp;"C"&amp;$A154)="N/A",0,RTD("tos.rtd",,CD$43,"."&amp;$B$134&amp;$AS$82&amp;"C"&amp;$A154))</f>
        <v>0.92</v>
      </c>
      <c r="CE154" s="3">
        <f>-IF(RTD("tos.rtd",,CE$43,"."&amp;$B$134&amp;$AS$82&amp;"P"&amp;$A154)="N/A",0,RTD("tos.rtd",,CE$43,"."&amp;$B$134&amp;$AS$82&amp;"P"&amp;$A154))</f>
        <v>0.11</v>
      </c>
      <c r="CF154" s="3">
        <f>IF(RTD("tos.rtd",,CF$2,"."&amp;$C$134&amp;$AU$82&amp;"C"&amp;$A154)="N/A",0,RTD("tos.rtd",,CF$2,"."&amp;$C$134&amp;$AU$82&amp;"C"&amp;$A154))</f>
        <v>0.76</v>
      </c>
      <c r="CG154" s="3">
        <f>-IF(RTD("tos.rtd",,CG$2,"."&amp;$C$134&amp;$AU$82&amp;"P"&amp;$A154)="N/A",0,RTD("tos.rtd",,CG$2,"."&amp;$C$134&amp;$AU$82&amp;"P"&amp;$A154))</f>
        <v>0.28999999999999998</v>
      </c>
      <c r="CH154" s="3">
        <f>IF(RTD("tos.rtd",,CH$2,"."&amp;$D$134&amp;$AW$82&amp;"C"&amp;$A154)="N/A",0,RTD("tos.rtd",,CH$2,"."&amp;$D$134&amp;$AW$82&amp;"C"&amp;$A154))</f>
        <v>0.62</v>
      </c>
      <c r="CI154" s="3">
        <f>-IF(RTD("tos.rtd",,CI$2,"."&amp;$D$134&amp;$AW$82&amp;"P"&amp;$A154)="N/A",0,RTD("tos.rtd",,CI$2,"."&amp;$D$134&amp;$AW$82&amp;"P"&amp;$A154))</f>
        <v>0.39</v>
      </c>
      <c r="CK154" s="3">
        <f t="shared" si="374"/>
        <v>554599.5</v>
      </c>
      <c r="CL154" s="3"/>
      <c r="CM154" s="3">
        <f t="shared" si="375"/>
        <v>4628772.75</v>
      </c>
      <c r="CN154" s="3"/>
      <c r="CO154" s="3">
        <f t="shared" si="376"/>
        <v>1621137</v>
      </c>
      <c r="CP154" s="3">
        <f t="shared" si="331"/>
        <v>6804509.25</v>
      </c>
      <c r="CQ154" s="3">
        <f t="shared" si="341"/>
        <v>-496</v>
      </c>
      <c r="CR154" s="3"/>
      <c r="CS154" s="3">
        <f t="shared" si="342"/>
        <v>0</v>
      </c>
      <c r="CT154" s="3"/>
      <c r="CU154" s="3">
        <f t="shared" si="343"/>
        <v>-13</v>
      </c>
      <c r="CV154" s="3"/>
      <c r="CW154" s="3">
        <f t="shared" ca="1" si="344"/>
        <v>-150971.03328702133</v>
      </c>
      <c r="CY154" s="3">
        <f t="shared" ca="1" si="345"/>
        <v>-139720.22291772428</v>
      </c>
      <c r="CZ154" s="70" t="str">
        <f t="shared" ca="1" si="377"/>
        <v/>
      </c>
      <c r="DA154" s="3">
        <f>IF(RTD("tos.rtd",,DA$43,"."&amp;$B$134&amp;$AS$82&amp;"C"&amp;$A154)="N/A",0,RTD("tos.rtd",,DA$43,"."&amp;$B$134&amp;$AS$82&amp;"C"&amp;$A154))</f>
        <v>175.39</v>
      </c>
      <c r="DB154" s="3">
        <f>IF(RTD("tos.rtd",,DB$43,"."&amp;$B$134&amp;$AS$82&amp;"P"&amp;$A154)="N/A",0,RTD("tos.rtd",,DB$43,"."&amp;$B$134&amp;$AS$82&amp;"P"&amp;$A154))</f>
        <v>1.3</v>
      </c>
      <c r="DC154" s="3">
        <f>IF(RTD("tos.rtd",,DC$43,"."&amp;$B$134&amp;$AS$82&amp;"C"&amp;$A154)="N/A",0,RTD("tos.rtd",,DC$43,"."&amp;$B$134&amp;$AS$82&amp;"C"&amp;$A154))</f>
        <v>272</v>
      </c>
      <c r="DD154" s="3">
        <f>IF(RTD("tos.rtd",,DD$43,"."&amp;$B$134&amp;$AS$82&amp;"P"&amp;$A154)="N/A",0,RTD("tos.rtd",,DD$43,"."&amp;$B$134&amp;$AS$82&amp;"P"&amp;$A154))</f>
        <v>19.8</v>
      </c>
      <c r="DE154" s="3">
        <f>IF(RTD("tos.rtd",,DE$43,"."&amp;$B$134&amp;$AS$82&amp;"C"&amp;$A154)="N/A",0,RTD("tos.rtd",,DE$43,"."&amp;$B$134&amp;$AS$82&amp;"C"&amp;$A154))</f>
        <v>225.1</v>
      </c>
      <c r="DF154" s="3">
        <f>IF(RTD("tos.rtd",,DF$43,"."&amp;$B$134&amp;$AS$82&amp;"P"&amp;$A154)="N/A",0,RTD("tos.rtd",,DF$43,"."&amp;$B$134&amp;$AS$82&amp;"P"&amp;$A154))</f>
        <v>0</v>
      </c>
      <c r="DG154" s="86">
        <f t="shared" si="378"/>
        <v>-205.75</v>
      </c>
      <c r="DH154" s="3">
        <f t="shared" si="379"/>
        <v>0</v>
      </c>
      <c r="DI154" s="3">
        <f t="shared" si="380"/>
        <v>0</v>
      </c>
      <c r="DJ154" s="3">
        <f t="shared" si="346"/>
        <v>0</v>
      </c>
      <c r="DK154" s="3">
        <f t="shared" si="347"/>
        <v>0</v>
      </c>
      <c r="DL154" s="3">
        <f t="shared" si="381"/>
        <v>0</v>
      </c>
      <c r="DM154" s="3">
        <f t="shared" si="382"/>
        <v>0</v>
      </c>
      <c r="DN154" s="64" t="str">
        <f t="shared" si="348"/>
        <v>UNKNOWN</v>
      </c>
      <c r="DO154" s="64" t="str">
        <f t="shared" si="349"/>
        <v>UNKNOWN</v>
      </c>
      <c r="DP154" s="3">
        <f t="shared" si="350"/>
        <v>0</v>
      </c>
      <c r="DQ154" s="3">
        <f t="shared" si="351"/>
        <v>0</v>
      </c>
      <c r="DR154" s="3">
        <f t="shared" ca="1" si="352"/>
        <v>0</v>
      </c>
      <c r="DS154" s="3">
        <f t="shared" si="353"/>
        <v>0</v>
      </c>
      <c r="DT154" s="3">
        <f t="shared" si="383"/>
        <v>0</v>
      </c>
      <c r="DU154" s="3">
        <f t="shared" si="384"/>
        <v>0</v>
      </c>
      <c r="DV154" s="3">
        <f t="shared" si="354"/>
        <v>-2</v>
      </c>
      <c r="DW154" s="3">
        <f t="shared" si="355"/>
        <v>-209</v>
      </c>
      <c r="DX154" s="3">
        <f t="shared" ca="1" si="356"/>
        <v>1.0893160722231026E-3</v>
      </c>
      <c r="DY154" s="3">
        <f t="shared" ca="1" si="357"/>
        <v>-1.0239523984661807E-3</v>
      </c>
      <c r="DZ154" s="3">
        <f t="shared" ca="1" si="358"/>
        <v>8.1253221498252715E-4</v>
      </c>
      <c r="EA154" s="3">
        <f t="shared" ca="1" si="359"/>
        <v>-6.7946509467008967E-4</v>
      </c>
      <c r="EB154" s="3">
        <f t="shared" ca="1" si="360"/>
        <v>8.0708990951075229E-4</v>
      </c>
      <c r="EC154" s="3">
        <f t="shared" ca="1" si="361"/>
        <v>-7.4640398158535594E-4</v>
      </c>
      <c r="ED154" s="63">
        <f t="shared" si="385"/>
        <v>-211</v>
      </c>
      <c r="EE154" s="59">
        <f t="shared" si="362"/>
        <v>1.0696000000000001</v>
      </c>
      <c r="EF154" s="59">
        <f t="shared" si="363"/>
        <v>1.2117</v>
      </c>
      <c r="EG154" s="59">
        <f t="shared" si="364"/>
        <v>0.1883</v>
      </c>
      <c r="EH154" s="59">
        <f t="shared" si="365"/>
        <v>0.23580000000000001</v>
      </c>
      <c r="EI154" s="59">
        <f t="shared" si="366"/>
        <v>0.19</v>
      </c>
      <c r="EJ154" s="59">
        <f t="shared" si="367"/>
        <v>0.2102</v>
      </c>
      <c r="EK154" s="63">
        <f t="shared" ca="1" si="386"/>
        <v>96381665.411111474</v>
      </c>
      <c r="EL154" s="3" t="str">
        <f>RTD("tos.rtd",,EL$43,"."&amp;$B$134&amp;$AS$82&amp;"C"&amp;$A154)</f>
        <v>106.96%</v>
      </c>
      <c r="EM154" s="3" t="str">
        <f>RTD("tos.rtd",,EM$43,"."&amp;$B$134&amp;$AS$82&amp;"P"&amp;$A154)</f>
        <v>121.17%</v>
      </c>
      <c r="EN154" s="3" t="str">
        <f>RTD("tos.rtd",,EN$2,"."&amp;$C$134&amp;$AU$82&amp;"C"&amp;$A154)</f>
        <v>18.83%</v>
      </c>
      <c r="EO154" s="3" t="str">
        <f>RTD("tos.rtd",,EO$2,"."&amp;$C$134&amp;$AU$82&amp;"P"&amp;$A154)</f>
        <v>23.58%</v>
      </c>
      <c r="EP154" s="3" t="str">
        <f>RTD("tos.rtd",,EP$2,"."&amp;$D$134&amp;$AW$82&amp;"C"&amp;$A154)</f>
        <v>19.00%</v>
      </c>
      <c r="EQ154" s="3" t="str">
        <f>RTD("tos.rtd",,EQ$2,"."&amp;$D$134&amp;$AW$82&amp;"P"&amp;$A154)</f>
        <v>21.02%</v>
      </c>
      <c r="ES154" s="63" t="str">
        <f t="shared" si="368"/>
        <v>21125,-211.00</v>
      </c>
      <c r="ET154" s="63" t="str">
        <f t="shared" ca="1" si="369"/>
        <v>21125,-139.72</v>
      </c>
      <c r="EU154" s="68">
        <v>592.64</v>
      </c>
      <c r="EV154" s="68" t="s">
        <v>1248</v>
      </c>
      <c r="EW154" s="68">
        <v>519.11</v>
      </c>
      <c r="EX154" s="68" t="s">
        <v>1249</v>
      </c>
      <c r="EY154" s="68">
        <v>5936.25</v>
      </c>
      <c r="EZ154" s="68" t="s">
        <v>1250</v>
      </c>
      <c r="FA154" s="68">
        <v>21309.5</v>
      </c>
      <c r="FB154" s="68" t="s">
        <v>1251</v>
      </c>
      <c r="FC154" s="68" t="s">
        <v>1252</v>
      </c>
      <c r="FD154" s="68" t="s">
        <v>1253</v>
      </c>
      <c r="FE154" s="68" t="s">
        <v>1254</v>
      </c>
      <c r="FF154" s="68" t="s">
        <v>1255</v>
      </c>
    </row>
    <row r="155" spans="1:162" ht="11.1" customHeight="1" thickBot="1" x14ac:dyDescent="0.25">
      <c r="A155" s="2">
        <f t="shared" si="387"/>
        <v>21100</v>
      </c>
      <c r="B155" s="3">
        <f t="shared" ref="B155:B189" si="413">+IF($A$1="ABS",AS155-AT155,AS155+AT155)</f>
        <v>24</v>
      </c>
      <c r="C155" s="3">
        <f t="shared" ref="C155:C189" si="414">+IF($A$1="ABS",AU155-AV155,AU155+AV155)</f>
        <v>58</v>
      </c>
      <c r="D155" s="3">
        <f t="shared" ref="D155:D189" si="415">+IF($A$1="ABS",AW155-AX155,AW155+AX155)</f>
        <v>287</v>
      </c>
      <c r="E155" s="3">
        <f t="shared" si="401"/>
        <v>369</v>
      </c>
      <c r="F155" s="4">
        <f t="shared" si="408"/>
        <v>21189.026405541295</v>
      </c>
      <c r="G155" s="5">
        <f t="shared" si="403"/>
        <v>514.0087901269294</v>
      </c>
      <c r="AM155" s="1">
        <v>4</v>
      </c>
      <c r="AN155" s="1">
        <v>317</v>
      </c>
      <c r="AO155" s="1">
        <v>21100</v>
      </c>
      <c r="AP155" s="1">
        <v>5</v>
      </c>
      <c r="AQ155" s="1">
        <v>-1236</v>
      </c>
      <c r="AS155" s="54">
        <f>IF(RTD("tos.rtd",,AS$83,"."&amp;$B$134&amp;$AS$82&amp;"C"&amp;$A155)="N/A",0,RTD("tos.rtd",,AS$83,"."&amp;$B$134&amp;$AS$82&amp;"C"&amp;$A155))</f>
        <v>4</v>
      </c>
      <c r="AT155" s="3">
        <f>-IF(RTD("tos.rtd",,AT$83,"."&amp;$B$134&amp;$AS$82&amp;"P"&amp;$A155)="N/A",0,RTD("tos.rtd",,AT$83,"."&amp;$B$134&amp;$AS$82&amp;"P"&amp;$A155))</f>
        <v>-20</v>
      </c>
      <c r="AU155" s="54">
        <f>IF(RTD("tos.rtd",,AU$2,"."&amp;$C$134&amp;$AU$134&amp;"C"&amp;$A155)="N/A",0,RTD("tos.rtd",,AU$2,"."&amp;$C$134&amp;$AU$134&amp;"C"&amp;$A155))</f>
        <v>13</v>
      </c>
      <c r="AV155" s="3">
        <f>-IF(RTD("tos.rtd",,AV$2,"."&amp;$C$134&amp;$AU$134&amp;"P"&amp;$A155)="N/A",0,RTD("tos.rtd",,AV$2,"."&amp;$C$134&amp;$AU$134&amp;"P"&amp;$A155))</f>
        <v>-45</v>
      </c>
      <c r="AW155" s="54">
        <f>IF(RTD("tos.rtd",,AW$2,"."&amp;$D$134&amp;$AW$134&amp;"C"&amp;$A155)="N/A",0,RTD("tos.rtd",,AW$2,"."&amp;$D$134&amp;$AW$134&amp;"C"&amp;$A155))</f>
        <v>179</v>
      </c>
      <c r="AX155" s="3">
        <f>-IF(RTD("tos.rtd",,AX$2,"."&amp;$D$134&amp;$AW$134&amp;"P"&amp;$A155)="N/A",0,RTD("tos.rtd",,AX$2,"."&amp;$D$134&amp;$AW$134&amp;"P"&amp;$A155))</f>
        <v>-108</v>
      </c>
      <c r="AY155" s="76">
        <f t="shared" si="409"/>
        <v>23</v>
      </c>
      <c r="AZ155" s="8">
        <f t="shared" si="337"/>
        <v>21100</v>
      </c>
      <c r="BA155" s="54">
        <f>IF(RTD("tos.rtd",,BA$43,"."&amp;$B$134&amp;$AS$82&amp;"C"&amp;$A155)="N/A",0,RTD("tos.rtd",,BA$43,"."&amp;$B$134&amp;$AS$82&amp;"C"&amp;$A155))</f>
        <v>5</v>
      </c>
      <c r="BB155" s="3">
        <f>-IF(RTD("tos.rtd",,BB$43,"."&amp;$B$134&amp;$AS$82&amp;"P"&amp;$A155)="N/A",0,RTD("tos.rtd",,BB$43,"."&amp;$B$134&amp;$AS$82&amp;"P"&amp;$A155))</f>
        <v>-1236</v>
      </c>
      <c r="BC155" s="54">
        <f>IF(RTD("tos.rtd",,BC$2,"."&amp;$C$134&amp;$AU$82&amp;"C"&amp;$A155)="N/A",0,RTD("tos.rtd",,BC$2,"."&amp;$C$134&amp;$AU$82&amp;"C"&amp;$A155))</f>
        <v>18</v>
      </c>
      <c r="BD155" s="3">
        <f>-IF(RTD("tos.rtd",,BD$2,"."&amp;$C$134&amp;$AU$82&amp;"P"&amp;$A155)="N/A",0,RTD("tos.rtd",,BD$2,"."&amp;$C$134&amp;$AU$82&amp;"P"&amp;$A155))</f>
        <v>-1</v>
      </c>
      <c r="BE155" s="54">
        <f>IF(RTD("tos.rtd",,BE$2,"."&amp;$D$134&amp;$AW$82&amp;"C"&amp;$A155)="N/A",0,RTD("tos.rtd",,BE$2,"."&amp;$D$134&amp;$AW$82&amp;"C"&amp;$A155))</f>
        <v>0</v>
      </c>
      <c r="BF155" s="3">
        <f>-IF(RTD("tos.rtd",,BF$2,"."&amp;$D$134&amp;$AW$82&amp;"P"&amp;$A155)="N/A",0,RTD("tos.rtd",,BF$2,"."&amp;$D$134&amp;$AW$82&amp;"P"&amp;$A155))</f>
        <v>-2</v>
      </c>
      <c r="BG155" s="3">
        <f ca="1">+Hoja2!Y156</f>
        <v>-60</v>
      </c>
      <c r="BH155" s="7">
        <f t="shared" ca="1" si="338"/>
        <v>-1276</v>
      </c>
      <c r="BI155" s="32" t="str">
        <f t="shared" ca="1" si="397"/>
        <v/>
      </c>
      <c r="BJ155" s="3">
        <f ca="1">IF($BP$1=1,DX155,IF(RTD("tos.rtd",,BJ$43,"."&amp;$B$134&amp;$AS$82&amp;"C"&amp;$A155)="N/A",0,RTD("tos.rtd",,BJ$43,"."&amp;$B$134&amp;$AS$82&amp;"C"&amp;$A155)))</f>
        <v>1.0260263394104839E-3</v>
      </c>
      <c r="BK155" s="3">
        <f ca="1">IF($BP$1=1,DY155,-IF(RTD("tos.rtd",,BK$43,"."&amp;$B$134&amp;$AS$82&amp;"P"&amp;$A155)="N/A",0,RTD("tos.rtd",,BK$43,"."&amp;$B$134&amp;$AS$82&amp;"P"&amp;$A155)))</f>
        <v>-7.0610683150753347E-4</v>
      </c>
      <c r="BL155" s="3">
        <f ca="1">IF($BP$1=1,DZ155,IF(RTD("tos.rtd",,BL$2,"."&amp;$C$134&amp;$AU$82&amp;"C"&amp;$A155)="N/A",0,RTD("tos.rtd",,BL$2,"."&amp;$C$134&amp;$AU$82&amp;"C"&amp;$A155)))</f>
        <v>7.9270988036160431E-4</v>
      </c>
      <c r="BM155" s="3">
        <f ca="1">IF($BP$1=1,EA155,-IF(RTD("tos.rtd",,BM$2,"."&amp;$C$134&amp;$AU$82&amp;"P"&amp;$A155)="N/A",0,RTD("tos.rtd",,BM$2,"."&amp;$C$134&amp;$AU$82&amp;"P"&amp;$A155)))</f>
        <v>-6.6292417637302985E-4</v>
      </c>
      <c r="BN155" s="3">
        <f ca="1">IF($BP$1=1,EB155,IF(RTD("tos.rtd",,BN$2,"."&amp;$D$134&amp;$AW$82&amp;"C"&amp;$A155)="N/A",0,RTD("tos.rtd",,BN$2,"."&amp;$D$134&amp;$AW$82&amp;"C"&amp;$A155)))</f>
        <v>7.8016515132298668E-4</v>
      </c>
      <c r="BO155" s="3">
        <f ca="1">IF($BP$1=1,EC155,-IF(RTD("tos.rtd",,BO$2,"."&amp;$D$134&amp;$AW$82&amp;"P"&amp;$A155)="N/A",0,RTD("tos.rtd",,BO$2,"."&amp;$D$134&amp;$AW$82&amp;"P"&amp;$A155)))</f>
        <v>-7.2536389041721048E-4</v>
      </c>
      <c r="BQ155" s="3">
        <f t="shared" ca="1" si="410"/>
        <v>-352907.11673381203</v>
      </c>
      <c r="BR155" s="3" t="str">
        <f t="shared" ca="1" si="339"/>
        <v/>
      </c>
      <c r="BS155" s="3">
        <f t="shared" ca="1" si="411"/>
        <v>-687858.8258722953</v>
      </c>
      <c r="BT155" s="3" t="str">
        <f t="shared" ca="1" si="340"/>
        <v>Cruce -</v>
      </c>
      <c r="BU155" s="3">
        <f t="shared" ca="1" si="412"/>
        <v>2159788.4027750059</v>
      </c>
      <c r="BV155" s="3" t="str">
        <f t="shared" ca="1" si="340"/>
        <v>Cruce +</v>
      </c>
      <c r="BX155" s="3">
        <f t="shared" ca="1" si="370"/>
        <v>-234270.14282164519</v>
      </c>
      <c r="BY155" s="3" t="str">
        <f t="shared" ca="1" si="371"/>
        <v/>
      </c>
      <c r="BZ155" s="3">
        <f t="shared" ca="1" si="372"/>
        <v>3673.7891625538323</v>
      </c>
      <c r="CA155" s="3" t="str">
        <f t="shared" ca="1" si="371"/>
        <v/>
      </c>
      <c r="CB155" s="3">
        <f t="shared" ca="1" si="373"/>
        <v>-391.71875049219551</v>
      </c>
      <c r="CC155" s="3" t="str">
        <f t="shared" ca="1" si="371"/>
        <v/>
      </c>
      <c r="CD155" s="3">
        <f>IF(RTD("tos.rtd",,CD$43,"."&amp;$B$134&amp;$AS$82&amp;"C"&amp;$A155)="N/A",0,RTD("tos.rtd",,CD$43,"."&amp;$B$134&amp;$AS$82&amp;"C"&amp;$A155))</f>
        <v>0.95</v>
      </c>
      <c r="CE155" s="3">
        <f>-IF(RTD("tos.rtd",,CE$43,"."&amp;$B$134&amp;$AS$82&amp;"P"&amp;$A155)="N/A",0,RTD("tos.rtd",,CE$43,"."&amp;$B$134&amp;$AS$82&amp;"P"&amp;$A155))</f>
        <v>0</v>
      </c>
      <c r="CF155" s="3">
        <f>IF(RTD("tos.rtd",,CF$2,"."&amp;$C$134&amp;$AU$82&amp;"C"&amp;$A155)="N/A",0,RTD("tos.rtd",,CF$2,"."&amp;$C$134&amp;$AU$82&amp;"C"&amp;$A155))</f>
        <v>0.78</v>
      </c>
      <c r="CG155" s="3">
        <f>-IF(RTD("tos.rtd",,CG$2,"."&amp;$C$134&amp;$AU$82&amp;"P"&amp;$A155)="N/A",0,RTD("tos.rtd",,CG$2,"."&amp;$C$134&amp;$AU$82&amp;"P"&amp;$A155))</f>
        <v>0.27</v>
      </c>
      <c r="CH155" s="3">
        <f>IF(RTD("tos.rtd",,CH$2,"."&amp;$D$134&amp;$AW$82&amp;"C"&amp;$A155)="N/A",0,RTD("tos.rtd",,CH$2,"."&amp;$D$134&amp;$AW$82&amp;"C"&amp;$A155))</f>
        <v>0.63</v>
      </c>
      <c r="CI155" s="3">
        <f>-IF(RTD("tos.rtd",,CI$2,"."&amp;$D$134&amp;$AW$82&amp;"P"&amp;$A155)="N/A",0,RTD("tos.rtd",,CI$2,"."&amp;$D$134&amp;$AW$82&amp;"P"&amp;$A155))</f>
        <v>0.38</v>
      </c>
      <c r="CK155" s="3">
        <f t="shared" si="374"/>
        <v>8105685</v>
      </c>
      <c r="CL155" s="3"/>
      <c r="CM155" s="3">
        <f t="shared" si="375"/>
        <v>-4287480.75</v>
      </c>
      <c r="CN155" s="3"/>
      <c r="CO155" s="3">
        <f t="shared" si="376"/>
        <v>153005469.75</v>
      </c>
      <c r="CP155" s="3">
        <f t="shared" si="331"/>
        <v>156823674</v>
      </c>
      <c r="CQ155" s="3">
        <f t="shared" si="341"/>
        <v>-1231</v>
      </c>
      <c r="CR155" s="3"/>
      <c r="CS155" s="3">
        <f t="shared" si="342"/>
        <v>17</v>
      </c>
      <c r="CT155" s="3"/>
      <c r="CU155" s="3">
        <f t="shared" si="343"/>
        <v>-2</v>
      </c>
      <c r="CV155" s="3"/>
      <c r="CW155" s="3">
        <f t="shared" ca="1" si="344"/>
        <v>1119022.4601688986</v>
      </c>
      <c r="CY155" s="3">
        <f t="shared" ca="1" si="345"/>
        <v>-230988.07240958355</v>
      </c>
      <c r="CZ155" s="70" t="str">
        <f t="shared" ca="1" si="377"/>
        <v/>
      </c>
      <c r="DA155" s="3">
        <f>IF(RTD("tos.rtd",,DA$43,"."&amp;$B$134&amp;$AS$82&amp;"C"&amp;$A155)="N/A",0,RTD("tos.rtd",,DA$43,"."&amp;$B$134&amp;$AS$82&amp;"C"&amp;$A155))</f>
        <v>234.95</v>
      </c>
      <c r="DB155" s="3">
        <f>IF(RTD("tos.rtd",,DB$43,"."&amp;$B$134&amp;$AS$82&amp;"P"&amp;$A155)="N/A",0,RTD("tos.rtd",,DB$43,"."&amp;$B$134&amp;$AS$82&amp;"P"&amp;$A155))</f>
        <v>0.21</v>
      </c>
      <c r="DC155" s="3">
        <f>IF(RTD("tos.rtd",,DC$43,"."&amp;$B$134&amp;$AS$82&amp;"C"&amp;$A155)="N/A",0,RTD("tos.rtd",,DC$43,"."&amp;$B$134&amp;$AS$82&amp;"C"&amp;$A155))</f>
        <v>290.2</v>
      </c>
      <c r="DD155" s="3">
        <f>IF(RTD("tos.rtd",,DD$43,"."&amp;$B$134&amp;$AS$82&amp;"P"&amp;$A155)="N/A",0,RTD("tos.rtd",,DD$43,"."&amp;$B$134&amp;$AS$82&amp;"P"&amp;$A155))</f>
        <v>0.05</v>
      </c>
      <c r="DE155" s="3">
        <f>IF(RTD("tos.rtd",,DE$43,"."&amp;$B$134&amp;$AS$82&amp;"C"&amp;$A155)="N/A",0,RTD("tos.rtd",,DE$43,"."&amp;$B$134&amp;$AS$82&amp;"C"&amp;$A155))</f>
        <v>251.2</v>
      </c>
      <c r="DF155" s="3">
        <f>IF(RTD("tos.rtd",,DF$43,"."&amp;$B$134&amp;$AS$82&amp;"P"&amp;$A155)="N/A",0,RTD("tos.rtd",,DF$43,"."&amp;$B$134&amp;$AS$82&amp;"P"&amp;$A155))</f>
        <v>0</v>
      </c>
      <c r="DG155" s="86">
        <f t="shared" si="378"/>
        <v>-230.75</v>
      </c>
      <c r="DH155" s="3">
        <f t="shared" si="379"/>
        <v>0</v>
      </c>
      <c r="DI155" s="3">
        <f t="shared" si="380"/>
        <v>0</v>
      </c>
      <c r="DJ155" s="3">
        <f t="shared" si="346"/>
        <v>0</v>
      </c>
      <c r="DK155" s="3">
        <f t="shared" si="347"/>
        <v>0</v>
      </c>
      <c r="DL155" s="3">
        <f t="shared" si="381"/>
        <v>0</v>
      </c>
      <c r="DM155" s="3">
        <f t="shared" si="382"/>
        <v>0</v>
      </c>
      <c r="DN155" s="64" t="str">
        <f t="shared" si="348"/>
        <v>UNKNOWN</v>
      </c>
      <c r="DO155" s="64" t="str">
        <f t="shared" si="349"/>
        <v>UNKNOWN</v>
      </c>
      <c r="DP155" s="3">
        <f t="shared" si="350"/>
        <v>0</v>
      </c>
      <c r="DQ155" s="3">
        <f t="shared" si="351"/>
        <v>0</v>
      </c>
      <c r="DR155" s="3">
        <f t="shared" ca="1" si="352"/>
        <v>0</v>
      </c>
      <c r="DS155" s="3">
        <f t="shared" si="353"/>
        <v>0</v>
      </c>
      <c r="DT155" s="3">
        <f t="shared" si="383"/>
        <v>0</v>
      </c>
      <c r="DU155" s="3">
        <f t="shared" si="384"/>
        <v>0</v>
      </c>
      <c r="DV155" s="3">
        <f t="shared" si="354"/>
        <v>4</v>
      </c>
      <c r="DW155" s="3">
        <f t="shared" si="355"/>
        <v>317</v>
      </c>
      <c r="DX155" s="3">
        <f t="shared" ca="1" si="356"/>
        <v>1.0260263394104839E-3</v>
      </c>
      <c r="DY155" s="3">
        <f t="shared" ca="1" si="357"/>
        <v>-7.0610683150753347E-4</v>
      </c>
      <c r="DZ155" s="3">
        <f t="shared" ca="1" si="358"/>
        <v>7.9270988036160431E-4</v>
      </c>
      <c r="EA155" s="3">
        <f t="shared" ca="1" si="359"/>
        <v>-6.6292417637302985E-4</v>
      </c>
      <c r="EB155" s="3">
        <f t="shared" ca="1" si="360"/>
        <v>7.8016515132298668E-4</v>
      </c>
      <c r="EC155" s="3">
        <f t="shared" ca="1" si="361"/>
        <v>-7.2536389041721048E-4</v>
      </c>
      <c r="ED155" s="63">
        <f t="shared" si="385"/>
        <v>321</v>
      </c>
      <c r="EE155" s="59">
        <f t="shared" si="362"/>
        <v>1.0062</v>
      </c>
      <c r="EF155" s="59">
        <f t="shared" si="363"/>
        <v>0.54159999999999997</v>
      </c>
      <c r="EG155" s="59">
        <f t="shared" si="364"/>
        <v>0.18629999999999999</v>
      </c>
      <c r="EH155" s="59">
        <f t="shared" si="365"/>
        <v>0.23699999999999999</v>
      </c>
      <c r="EI155" s="59">
        <f t="shared" si="366"/>
        <v>0.19070000000000001</v>
      </c>
      <c r="EJ155" s="59">
        <f t="shared" si="367"/>
        <v>0.21099999999999999</v>
      </c>
      <c r="EK155" s="63">
        <f t="shared" ca="1" si="386"/>
        <v>-99978147.688286543</v>
      </c>
      <c r="EL155" s="3" t="str">
        <f>RTD("tos.rtd",,EL$43,"."&amp;$B$134&amp;$AS$82&amp;"C"&amp;$A155)</f>
        <v>100.62%</v>
      </c>
      <c r="EM155" s="3" t="str">
        <f>RTD("tos.rtd",,EM$43,"."&amp;$B$134&amp;$AS$82&amp;"P"&amp;$A155)</f>
        <v>54.16%</v>
      </c>
      <c r="EN155" s="3" t="str">
        <f>RTD("tos.rtd",,EN$2,"."&amp;$C$134&amp;$AU$82&amp;"C"&amp;$A155)</f>
        <v>18.63%</v>
      </c>
      <c r="EO155" s="3" t="str">
        <f>RTD("tos.rtd",,EO$2,"."&amp;$C$134&amp;$AU$82&amp;"P"&amp;$A155)</f>
        <v>23.70%</v>
      </c>
      <c r="EP155" s="3" t="str">
        <f>RTD("tos.rtd",,EP$2,"."&amp;$D$134&amp;$AW$82&amp;"C"&amp;$A155)</f>
        <v>19.07%</v>
      </c>
      <c r="EQ155" s="3" t="str">
        <f>RTD("tos.rtd",,EQ$2,"."&amp;$D$134&amp;$AW$82&amp;"P"&amp;$A155)</f>
        <v>21.10%</v>
      </c>
      <c r="ES155" s="63" t="str">
        <f t="shared" si="368"/>
        <v>21100,321.00</v>
      </c>
      <c r="ET155" s="63" t="str">
        <f t="shared" ca="1" si="369"/>
        <v>21100,-230.99</v>
      </c>
      <c r="EU155" s="68">
        <v>592.64</v>
      </c>
      <c r="EV155" s="68" t="s">
        <v>1256</v>
      </c>
      <c r="EW155" s="68">
        <v>519.11</v>
      </c>
      <c r="EX155" s="68" t="s">
        <v>1257</v>
      </c>
      <c r="EY155" s="68">
        <v>5936.25</v>
      </c>
      <c r="EZ155" s="68" t="s">
        <v>1258</v>
      </c>
      <c r="FA155" s="68">
        <v>21309.5</v>
      </c>
      <c r="FB155" s="68" t="s">
        <v>1259</v>
      </c>
      <c r="FC155" s="68" t="s">
        <v>1260</v>
      </c>
      <c r="FD155" s="68" t="s">
        <v>1261</v>
      </c>
      <c r="FE155" s="68" t="s">
        <v>1262</v>
      </c>
      <c r="FF155" s="68" t="s">
        <v>1263</v>
      </c>
    </row>
    <row r="156" spans="1:162" ht="11.1" customHeight="1" thickBot="1" x14ac:dyDescent="0.25">
      <c r="A156" s="2">
        <f t="shared" si="387"/>
        <v>21075</v>
      </c>
      <c r="B156" s="3">
        <f t="shared" si="413"/>
        <v>2</v>
      </c>
      <c r="C156" s="3">
        <f t="shared" si="414"/>
        <v>9</v>
      </c>
      <c r="D156" s="3">
        <f t="shared" si="415"/>
        <v>5</v>
      </c>
      <c r="E156" s="3">
        <f t="shared" si="401"/>
        <v>16</v>
      </c>
      <c r="F156" s="4">
        <f t="shared" si="408"/>
        <v>21163.920924018144</v>
      </c>
      <c r="G156" s="5">
        <f t="shared" si="403"/>
        <v>513.39977497275061</v>
      </c>
      <c r="AM156" s="1">
        <v>0</v>
      </c>
      <c r="AN156" s="1">
        <v>-27</v>
      </c>
      <c r="AO156" s="1">
        <v>21075</v>
      </c>
      <c r="AP156" s="1">
        <v>0</v>
      </c>
      <c r="AQ156" s="1">
        <v>-64</v>
      </c>
      <c r="AS156" s="54">
        <f>IF(RTD("tos.rtd",,AS$83,"."&amp;$B$134&amp;$AS$82&amp;"C"&amp;$A156)="N/A",0,RTD("tos.rtd",,AS$83,"."&amp;$B$134&amp;$AS$82&amp;"C"&amp;$A156))</f>
        <v>0</v>
      </c>
      <c r="AT156" s="3">
        <f>-IF(RTD("tos.rtd",,AT$83,"."&amp;$B$134&amp;$AS$82&amp;"P"&amp;$A156)="N/A",0,RTD("tos.rtd",,AT$83,"."&amp;$B$134&amp;$AS$82&amp;"P"&amp;$A156))</f>
        <v>-2</v>
      </c>
      <c r="AU156" s="54">
        <f>IF(RTD("tos.rtd",,AU$2,"."&amp;$C$134&amp;$AU$134&amp;"C"&amp;$A156)="N/A",0,RTD("tos.rtd",,AU$2,"."&amp;$C$134&amp;$AU$134&amp;"C"&amp;$A156))</f>
        <v>5</v>
      </c>
      <c r="AV156" s="3">
        <f>-IF(RTD("tos.rtd",,AV$2,"."&amp;$C$134&amp;$AU$134&amp;"P"&amp;$A156)="N/A",0,RTD("tos.rtd",,AV$2,"."&amp;$C$134&amp;$AU$134&amp;"P"&amp;$A156))</f>
        <v>-4</v>
      </c>
      <c r="AW156" s="54">
        <f>IF(RTD("tos.rtd",,AW$2,"."&amp;$D$134&amp;$AW$134&amp;"C"&amp;$A156)="N/A",0,RTD("tos.rtd",,AW$2,"."&amp;$D$134&amp;$AW$134&amp;"C"&amp;$A156))</f>
        <v>5</v>
      </c>
      <c r="AX156" s="3">
        <f>-IF(RTD("tos.rtd",,AX$2,"."&amp;$D$134&amp;$AW$134&amp;"P"&amp;$A156)="N/A",0,RTD("tos.rtd",,AX$2,"."&amp;$D$134&amp;$AW$134&amp;"P"&amp;$A156))</f>
        <v>0</v>
      </c>
      <c r="AY156" s="76">
        <f t="shared" si="409"/>
        <v>4</v>
      </c>
      <c r="AZ156" s="8">
        <f t="shared" si="337"/>
        <v>21075</v>
      </c>
      <c r="BA156" s="54">
        <f>IF(RTD("tos.rtd",,BA$43,"."&amp;$B$134&amp;$AS$82&amp;"C"&amp;$A156)="N/A",0,RTD("tos.rtd",,BA$43,"."&amp;$B$134&amp;$AS$82&amp;"C"&amp;$A156))</f>
        <v>0</v>
      </c>
      <c r="BB156" s="3">
        <f>-IF(RTD("tos.rtd",,BB$43,"."&amp;$B$134&amp;$AS$82&amp;"P"&amp;$A156)="N/A",0,RTD("tos.rtd",,BB$43,"."&amp;$B$134&amp;$AS$82&amp;"P"&amp;$A156))</f>
        <v>-64</v>
      </c>
      <c r="BC156" s="54">
        <f>IF(RTD("tos.rtd",,BC$2,"."&amp;$C$134&amp;$AU$82&amp;"C"&amp;$A156)="N/A",0,RTD("tos.rtd",,BC$2,"."&amp;$C$134&amp;$AU$82&amp;"C"&amp;$A156))</f>
        <v>0</v>
      </c>
      <c r="BD156" s="3">
        <f>-IF(RTD("tos.rtd",,BD$2,"."&amp;$C$134&amp;$AU$82&amp;"P"&amp;$A156)="N/A",0,RTD("tos.rtd",,BD$2,"."&amp;$C$134&amp;$AU$82&amp;"P"&amp;$A156))</f>
        <v>0</v>
      </c>
      <c r="BE156" s="54">
        <f>IF(RTD("tos.rtd",,BE$2,"."&amp;$D$134&amp;$AW$82&amp;"C"&amp;$A156)="N/A",0,RTD("tos.rtd",,BE$2,"."&amp;$D$134&amp;$AW$82&amp;"C"&amp;$A156))</f>
        <v>0</v>
      </c>
      <c r="BF156" s="3">
        <f>-IF(RTD("tos.rtd",,BF$2,"."&amp;$D$134&amp;$AW$82&amp;"P"&amp;$A156)="N/A",0,RTD("tos.rtd",,BF$2,"."&amp;$D$134&amp;$AW$82&amp;"P"&amp;$A156))</f>
        <v>0</v>
      </c>
      <c r="BG156" s="3">
        <f ca="1">+Hoja2!Y157</f>
        <v>-13</v>
      </c>
      <c r="BH156" s="7">
        <f t="shared" ca="1" si="338"/>
        <v>-77</v>
      </c>
      <c r="BI156" s="32" t="str">
        <f t="shared" ca="1" si="397"/>
        <v/>
      </c>
      <c r="BJ156" s="3">
        <f ca="1">IF($BP$1=1,DX156,IF(RTD("tos.rtd",,BJ$43,"."&amp;$B$134&amp;$AS$82&amp;"C"&amp;$A156)="N/A",0,RTD("tos.rtd",,BJ$43,"."&amp;$B$134&amp;$AS$82&amp;"C"&amp;$A156)))</f>
        <v>9.3428894676861492E-4</v>
      </c>
      <c r="BK156" s="3">
        <f ca="1">IF($BP$1=1,DY156,-IF(RTD("tos.rtd",,BK$43,"."&amp;$B$134&amp;$AS$82&amp;"P"&amp;$A156)="N/A",0,RTD("tos.rtd",,BK$43,"."&amp;$B$134&amp;$AS$82&amp;"P"&amp;$A156)))</f>
        <v>-8.5698970422227116E-4</v>
      </c>
      <c r="BL156" s="3">
        <f ca="1">IF($BP$1=1,DZ156,IF(RTD("tos.rtd",,BL$2,"."&amp;$C$134&amp;$AU$82&amp;"C"&amp;$A156)="N/A",0,RTD("tos.rtd",,BL$2,"."&amp;$C$134&amp;$AU$82&amp;"C"&amp;$A156)))</f>
        <v>7.739835306272585E-4</v>
      </c>
      <c r="BM156" s="3">
        <f ca="1">IF($BP$1=1,EA156,-IF(RTD("tos.rtd",,BM$2,"."&amp;$C$134&amp;$AU$82&amp;"P"&amp;$A156)="N/A",0,RTD("tos.rtd",,BM$2,"."&amp;$C$134&amp;$AU$82&amp;"P"&amp;$A156)))</f>
        <v>-6.4543533147946245E-4</v>
      </c>
      <c r="BN156" s="3">
        <f ca="1">IF($BP$1=1,EB156,IF(RTD("tos.rtd",,BN$2,"."&amp;$D$134&amp;$AW$82&amp;"C"&amp;$A156)="N/A",0,RTD("tos.rtd",,BN$2,"."&amp;$D$134&amp;$AW$82&amp;"C"&amp;$A156)))</f>
        <v>7.5193138876558543E-4</v>
      </c>
      <c r="BO156" s="3">
        <f ca="1">IF($BP$1=1,EC156,-IF(RTD("tos.rtd",,BO$2,"."&amp;$D$134&amp;$AW$82&amp;"P"&amp;$A156)="N/A",0,RTD("tos.rtd",,BO$2,"."&amp;$D$134&amp;$AW$82&amp;"P"&amp;$A156)))</f>
        <v>-7.0324192013011128E-4</v>
      </c>
      <c r="BQ156" s="3">
        <f t="shared" ca="1" si="410"/>
        <v>-60378.68266943573</v>
      </c>
      <c r="BR156" s="3" t="str">
        <f t="shared" ca="1" si="339"/>
        <v/>
      </c>
      <c r="BS156" s="3">
        <f t="shared" ca="1" si="411"/>
        <v>45378.835533378078</v>
      </c>
      <c r="BT156" s="3" t="str">
        <f t="shared" ca="1" si="340"/>
        <v>Cruce +</v>
      </c>
      <c r="BU156" s="3">
        <f t="shared" ca="1" si="412"/>
        <v>132442.15912916663</v>
      </c>
      <c r="BV156" s="3" t="str">
        <f t="shared" ca="1" si="340"/>
        <v/>
      </c>
      <c r="BX156" s="3">
        <f t="shared" ca="1" si="370"/>
        <v>-14809.623277146105</v>
      </c>
      <c r="BY156" s="3" t="str">
        <f t="shared" ca="1" si="371"/>
        <v/>
      </c>
      <c r="BZ156" s="3">
        <f t="shared" ca="1" si="372"/>
        <v>0</v>
      </c>
      <c r="CA156" s="3" t="str">
        <f t="shared" ca="1" si="371"/>
        <v/>
      </c>
      <c r="CB156" s="3">
        <f t="shared" ca="1" si="373"/>
        <v>0</v>
      </c>
      <c r="CC156" s="3" t="str">
        <f t="shared" ca="1" si="371"/>
        <v/>
      </c>
      <c r="CD156" s="3">
        <f>IF(RTD("tos.rtd",,CD$43,"."&amp;$B$134&amp;$AS$82&amp;"C"&amp;$A156)="N/A",0,RTD("tos.rtd",,CD$43,"."&amp;$B$134&amp;$AS$82&amp;"C"&amp;$A156))</f>
        <v>0.97</v>
      </c>
      <c r="CE156" s="3">
        <f>-IF(RTD("tos.rtd",,CE$43,"."&amp;$B$134&amp;$AS$82&amp;"P"&amp;$A156)="N/A",0,RTD("tos.rtd",,CE$43,"."&amp;$B$134&amp;$AS$82&amp;"P"&amp;$A156))</f>
        <v>0.09</v>
      </c>
      <c r="CF156" s="3">
        <f>IF(RTD("tos.rtd",,CF$2,"."&amp;$C$134&amp;$AU$82&amp;"C"&amp;$A156)="N/A",0,RTD("tos.rtd",,CF$2,"."&amp;$C$134&amp;$AU$82&amp;"C"&amp;$A156))</f>
        <v>0.81</v>
      </c>
      <c r="CG156" s="3">
        <f>-IF(RTD("tos.rtd",,CG$2,"."&amp;$C$134&amp;$AU$82&amp;"P"&amp;$A156)="N/A",0,RTD("tos.rtd",,CG$2,"."&amp;$C$134&amp;$AU$82&amp;"P"&amp;$A156))</f>
        <v>0.25</v>
      </c>
      <c r="CH156" s="3">
        <f>IF(RTD("tos.rtd",,CH$2,"."&amp;$D$134&amp;$AW$82&amp;"C"&amp;$A156)="N/A",0,RTD("tos.rtd",,CH$2,"."&amp;$D$134&amp;$AW$82&amp;"C"&amp;$A156))</f>
        <v>0.63</v>
      </c>
      <c r="CI156" s="3">
        <f>-IF(RTD("tos.rtd",,CI$2,"."&amp;$D$134&amp;$AW$82&amp;"P"&amp;$A156)="N/A",0,RTD("tos.rtd",,CI$2,"."&amp;$D$134&amp;$AW$82&amp;"P"&amp;$A156))</f>
        <v>0.38</v>
      </c>
      <c r="CK156" s="3">
        <f t="shared" si="374"/>
        <v>-383953.5</v>
      </c>
      <c r="CL156" s="3"/>
      <c r="CM156" s="3">
        <f t="shared" si="375"/>
        <v>6505878.7500000019</v>
      </c>
      <c r="CN156" s="3"/>
      <c r="CO156" s="3">
        <f t="shared" si="376"/>
        <v>6719186.25</v>
      </c>
      <c r="CP156" s="3">
        <f t="shared" si="331"/>
        <v>12841111.500000002</v>
      </c>
      <c r="CQ156" s="3">
        <f t="shared" si="341"/>
        <v>-64</v>
      </c>
      <c r="CR156" s="3"/>
      <c r="CS156" s="3">
        <f t="shared" si="342"/>
        <v>0</v>
      </c>
      <c r="CT156" s="3"/>
      <c r="CU156" s="3">
        <f t="shared" si="343"/>
        <v>0</v>
      </c>
      <c r="CV156" s="3"/>
      <c r="CW156" s="3">
        <f t="shared" ca="1" si="344"/>
        <v>117442.31199310898</v>
      </c>
      <c r="CY156" s="3">
        <f t="shared" ca="1" si="345"/>
        <v>-14809.623277146105</v>
      </c>
      <c r="CZ156" s="70" t="str">
        <f t="shared" ca="1" si="377"/>
        <v/>
      </c>
      <c r="DA156" s="3">
        <f>IF(RTD("tos.rtd",,DA$43,"."&amp;$B$134&amp;$AS$82&amp;"C"&amp;$A156)="N/A",0,RTD("tos.rtd",,DA$43,"."&amp;$B$134&amp;$AS$82&amp;"C"&amp;$A156))</f>
        <v>372.09</v>
      </c>
      <c r="DB156" s="3">
        <f>IF(RTD("tos.rtd",,DB$43,"."&amp;$B$134&amp;$AS$82&amp;"P"&amp;$A156)="N/A",0,RTD("tos.rtd",,DB$43,"."&amp;$B$134&amp;$AS$82&amp;"P"&amp;$A156))</f>
        <v>0.42</v>
      </c>
      <c r="DC156" s="3">
        <f>IF(RTD("tos.rtd",,DC$43,"."&amp;$B$134&amp;$AS$82&amp;"C"&amp;$A156)="N/A",0,RTD("tos.rtd",,DC$43,"."&amp;$B$134&amp;$AS$82&amp;"C"&amp;$A156))</f>
        <v>315.2</v>
      </c>
      <c r="DD156" s="3">
        <f>IF(RTD("tos.rtd",,DD$43,"."&amp;$B$134&amp;$AS$82&amp;"P"&amp;$A156)="N/A",0,RTD("tos.rtd",,DD$43,"."&amp;$B$134&amp;$AS$82&amp;"P"&amp;$A156))</f>
        <v>19.8</v>
      </c>
      <c r="DE156" s="3">
        <f>IF(RTD("tos.rtd",,DE$43,"."&amp;$B$134&amp;$AS$82&amp;"C"&amp;$A156)="N/A",0,RTD("tos.rtd",,DE$43,"."&amp;$B$134&amp;$AS$82&amp;"C"&amp;$A156))</f>
        <v>274</v>
      </c>
      <c r="DF156" s="3">
        <f>IF(RTD("tos.rtd",,DF$43,"."&amp;$B$134&amp;$AS$82&amp;"P"&amp;$A156)="N/A",0,RTD("tos.rtd",,DF$43,"."&amp;$B$134&amp;$AS$82&amp;"P"&amp;$A156))</f>
        <v>0</v>
      </c>
      <c r="DG156" s="86">
        <f t="shared" si="378"/>
        <v>-255.75</v>
      </c>
      <c r="DH156" s="3">
        <f t="shared" si="379"/>
        <v>0</v>
      </c>
      <c r="DI156" s="3">
        <f t="shared" si="380"/>
        <v>0</v>
      </c>
      <c r="DJ156" s="3">
        <f t="shared" si="346"/>
        <v>0</v>
      </c>
      <c r="DK156" s="3">
        <f t="shared" si="347"/>
        <v>0</v>
      </c>
      <c r="DL156" s="3">
        <f t="shared" si="381"/>
        <v>0</v>
      </c>
      <c r="DM156" s="3">
        <f t="shared" si="382"/>
        <v>0</v>
      </c>
      <c r="DN156" s="64" t="str">
        <f t="shared" si="348"/>
        <v>UNKNOWN</v>
      </c>
      <c r="DO156" s="64" t="str">
        <f t="shared" si="349"/>
        <v>UNKNOWN</v>
      </c>
      <c r="DP156" s="3">
        <f t="shared" si="350"/>
        <v>0</v>
      </c>
      <c r="DQ156" s="3">
        <f t="shared" si="351"/>
        <v>0</v>
      </c>
      <c r="DR156" s="3">
        <f t="shared" ca="1" si="352"/>
        <v>0</v>
      </c>
      <c r="DS156" s="3">
        <f t="shared" si="353"/>
        <v>0</v>
      </c>
      <c r="DT156" s="3">
        <f t="shared" si="383"/>
        <v>0</v>
      </c>
      <c r="DU156" s="3">
        <f t="shared" si="384"/>
        <v>0</v>
      </c>
      <c r="DV156" s="3">
        <f t="shared" si="354"/>
        <v>0</v>
      </c>
      <c r="DW156" s="3">
        <f t="shared" si="355"/>
        <v>-27</v>
      </c>
      <c r="DX156" s="3">
        <f t="shared" ca="1" si="356"/>
        <v>9.3428894676861492E-4</v>
      </c>
      <c r="DY156" s="3">
        <f t="shared" ca="1" si="357"/>
        <v>-8.5698970422227116E-4</v>
      </c>
      <c r="DZ156" s="3">
        <f t="shared" ca="1" si="358"/>
        <v>7.739835306272585E-4</v>
      </c>
      <c r="EA156" s="3">
        <f t="shared" ca="1" si="359"/>
        <v>-6.4543533147946245E-4</v>
      </c>
      <c r="EB156" s="3">
        <f t="shared" ca="1" si="360"/>
        <v>7.5193138876558543E-4</v>
      </c>
      <c r="EC156" s="3">
        <f t="shared" ca="1" si="361"/>
        <v>-7.0324192013011128E-4</v>
      </c>
      <c r="ED156" s="63">
        <f t="shared" si="385"/>
        <v>-27</v>
      </c>
      <c r="EE156" s="59">
        <f t="shared" si="362"/>
        <v>1.0019</v>
      </c>
      <c r="EF156" s="59">
        <f t="shared" si="363"/>
        <v>1.391</v>
      </c>
      <c r="EG156" s="59">
        <f t="shared" si="364"/>
        <v>0.1825</v>
      </c>
      <c r="EH156" s="59">
        <f t="shared" si="365"/>
        <v>0.23830000000000001</v>
      </c>
      <c r="EI156" s="59">
        <f t="shared" si="366"/>
        <v>0.19139999999999999</v>
      </c>
      <c r="EJ156" s="59">
        <f t="shared" si="367"/>
        <v>0.21179999999999999</v>
      </c>
      <c r="EK156" s="63">
        <f t="shared" ca="1" si="386"/>
        <v>10528139.238542335</v>
      </c>
      <c r="EL156" s="3" t="str">
        <f>RTD("tos.rtd",,EL$43,"."&amp;$B$134&amp;$AS$82&amp;"C"&amp;$A156)</f>
        <v>100.19%</v>
      </c>
      <c r="EM156" s="3" t="str">
        <f>RTD("tos.rtd",,EM$43,"."&amp;$B$134&amp;$AS$82&amp;"P"&amp;$A156)</f>
        <v>139.10%</v>
      </c>
      <c r="EN156" s="3" t="str">
        <f>RTD("tos.rtd",,EN$2,"."&amp;$C$134&amp;$AU$82&amp;"C"&amp;$A156)</f>
        <v>18.25%</v>
      </c>
      <c r="EO156" s="3" t="str">
        <f>RTD("tos.rtd",,EO$2,"."&amp;$C$134&amp;$AU$82&amp;"P"&amp;$A156)</f>
        <v>23.83%</v>
      </c>
      <c r="EP156" s="3" t="str">
        <f>RTD("tos.rtd",,EP$2,"."&amp;$D$134&amp;$AW$82&amp;"C"&amp;$A156)</f>
        <v>19.14%</v>
      </c>
      <c r="EQ156" s="3" t="str">
        <f>RTD("tos.rtd",,EQ$2,"."&amp;$D$134&amp;$AW$82&amp;"P"&amp;$A156)</f>
        <v>21.18%</v>
      </c>
      <c r="ES156" s="63" t="str">
        <f t="shared" si="368"/>
        <v>21075,-27.00</v>
      </c>
      <c r="ET156" s="63" t="str">
        <f t="shared" ca="1" si="369"/>
        <v>21075,-14.81</v>
      </c>
      <c r="EU156" s="68">
        <v>592.64</v>
      </c>
      <c r="EV156" s="68" t="s">
        <v>1264</v>
      </c>
      <c r="EW156" s="68">
        <v>519.11</v>
      </c>
      <c r="EX156" s="68" t="s">
        <v>1265</v>
      </c>
      <c r="EY156" s="68">
        <v>5936.25</v>
      </c>
      <c r="EZ156" s="68" t="s">
        <v>1266</v>
      </c>
      <c r="FA156" s="68">
        <v>21309.5</v>
      </c>
      <c r="FB156" s="68" t="s">
        <v>1267</v>
      </c>
      <c r="FC156" s="68" t="s">
        <v>1268</v>
      </c>
      <c r="FD156" s="68" t="s">
        <v>1269</v>
      </c>
      <c r="FE156" s="68" t="s">
        <v>1270</v>
      </c>
      <c r="FF156" s="68" t="s">
        <v>1271</v>
      </c>
    </row>
    <row r="157" spans="1:162" ht="11.1" customHeight="1" thickBot="1" x14ac:dyDescent="0.25">
      <c r="A157" s="2">
        <f t="shared" si="387"/>
        <v>21050</v>
      </c>
      <c r="B157" s="3">
        <f t="shared" si="413"/>
        <v>10</v>
      </c>
      <c r="C157" s="3">
        <f t="shared" si="414"/>
        <v>8</v>
      </c>
      <c r="D157" s="3">
        <f t="shared" si="415"/>
        <v>42</v>
      </c>
      <c r="E157" s="3">
        <f t="shared" si="401"/>
        <v>60</v>
      </c>
      <c r="F157" s="4">
        <f t="shared" si="408"/>
        <v>21138.81544249499</v>
      </c>
      <c r="G157" s="5">
        <f t="shared" si="403"/>
        <v>512.7907598185717</v>
      </c>
      <c r="AM157" s="1">
        <v>0</v>
      </c>
      <c r="AN157" s="1">
        <v>513</v>
      </c>
      <c r="AO157" s="1">
        <v>21050</v>
      </c>
      <c r="AP157" s="1">
        <v>0</v>
      </c>
      <c r="AQ157" s="1">
        <v>-1863</v>
      </c>
      <c r="AS157" s="54">
        <f>IF(RTD("tos.rtd",,AS$83,"."&amp;$B$134&amp;$AS$82&amp;"C"&amp;$A157)="N/A",0,RTD("tos.rtd",,AS$83,"."&amp;$B$134&amp;$AS$82&amp;"C"&amp;$A157))</f>
        <v>0</v>
      </c>
      <c r="AT157" s="3">
        <f>-IF(RTD("tos.rtd",,AT$83,"."&amp;$B$134&amp;$AS$82&amp;"P"&amp;$A157)="N/A",0,RTD("tos.rtd",,AT$83,"."&amp;$B$134&amp;$AS$82&amp;"P"&amp;$A157))</f>
        <v>-10</v>
      </c>
      <c r="AU157" s="54">
        <f>IF(RTD("tos.rtd",,AU$2,"."&amp;$C$134&amp;$AU$134&amp;"C"&amp;$A157)="N/A",0,RTD("tos.rtd",,AU$2,"."&amp;$C$134&amp;$AU$134&amp;"C"&amp;$A157))</f>
        <v>4</v>
      </c>
      <c r="AV157" s="3">
        <f>-IF(RTD("tos.rtd",,AV$2,"."&amp;$C$134&amp;$AU$134&amp;"P"&amp;$A157)="N/A",0,RTD("tos.rtd",,AV$2,"."&amp;$C$134&amp;$AU$134&amp;"P"&amp;$A157))</f>
        <v>-4</v>
      </c>
      <c r="AW157" s="54">
        <f>IF(RTD("tos.rtd",,AW$2,"."&amp;$D$134&amp;$AW$134&amp;"C"&amp;$A157)="N/A",0,RTD("tos.rtd",,AW$2,"."&amp;$D$134&amp;$AW$134&amp;"C"&amp;$A157))</f>
        <v>21</v>
      </c>
      <c r="AX157" s="3">
        <f>-IF(RTD("tos.rtd",,AX$2,"."&amp;$D$134&amp;$AW$134&amp;"P"&amp;$A157)="N/A",0,RTD("tos.rtd",,AX$2,"."&amp;$D$134&amp;$AW$134&amp;"P"&amp;$A157))</f>
        <v>-21</v>
      </c>
      <c r="AY157" s="76">
        <f t="shared" si="409"/>
        <v>-10</v>
      </c>
      <c r="AZ157" s="8">
        <f t="shared" si="337"/>
        <v>21050</v>
      </c>
      <c r="BA157" s="54">
        <f>IF(RTD("tos.rtd",,BA$43,"."&amp;$B$134&amp;$AS$82&amp;"C"&amp;$A157)="N/A",0,RTD("tos.rtd",,BA$43,"."&amp;$B$134&amp;$AS$82&amp;"C"&amp;$A157))</f>
        <v>0</v>
      </c>
      <c r="BB157" s="3">
        <f>-IF(RTD("tos.rtd",,BB$43,"."&amp;$B$134&amp;$AS$82&amp;"P"&amp;$A157)="N/A",0,RTD("tos.rtd",,BB$43,"."&amp;$B$134&amp;$AS$82&amp;"P"&amp;$A157))</f>
        <v>-1863</v>
      </c>
      <c r="BC157" s="54">
        <f>IF(RTD("tos.rtd",,BC$2,"."&amp;$C$134&amp;$AU$82&amp;"C"&amp;$A157)="N/A",0,RTD("tos.rtd",,BC$2,"."&amp;$C$134&amp;$AU$82&amp;"C"&amp;$A157))</f>
        <v>0</v>
      </c>
      <c r="BD157" s="3">
        <f>-IF(RTD("tos.rtd",,BD$2,"."&amp;$C$134&amp;$AU$82&amp;"P"&amp;$A157)="N/A",0,RTD("tos.rtd",,BD$2,"."&amp;$C$134&amp;$AU$82&amp;"P"&amp;$A157))</f>
        <v>0</v>
      </c>
      <c r="BE157" s="54">
        <f>IF(RTD("tos.rtd",,BE$2,"."&amp;$D$134&amp;$AW$82&amp;"C"&amp;$A157)="N/A",0,RTD("tos.rtd",,BE$2,"."&amp;$D$134&amp;$AW$82&amp;"C"&amp;$A157))</f>
        <v>0</v>
      </c>
      <c r="BF157" s="3">
        <f>-IF(RTD("tos.rtd",,BF$2,"."&amp;$D$134&amp;$AW$82&amp;"P"&amp;$A157)="N/A",0,RTD("tos.rtd",,BF$2,"."&amp;$D$134&amp;$AW$82&amp;"P"&amp;$A157))</f>
        <v>-4</v>
      </c>
      <c r="BG157" s="3">
        <f ca="1">+Hoja2!Y158</f>
        <v>-26</v>
      </c>
      <c r="BH157" s="7">
        <f t="shared" ca="1" si="338"/>
        <v>-1893</v>
      </c>
      <c r="BI157" s="32" t="str">
        <f t="shared" ca="1" si="397"/>
        <v/>
      </c>
      <c r="BJ157" s="3">
        <f ca="1">IF($BP$1=1,DX157,IF(RTD("tos.rtd",,BJ$43,"."&amp;$B$134&amp;$AS$82&amp;"C"&amp;$A157)="N/A",0,RTD("tos.rtd",,BJ$43,"."&amp;$B$134&amp;$AS$82&amp;"C"&amp;$A157)))</f>
        <v>8.2611856582730334E-4</v>
      </c>
      <c r="BK157" s="3">
        <f ca="1">IF($BP$1=1,DY157,-IF(RTD("tos.rtd",,BK$43,"."&amp;$B$134&amp;$AS$82&amp;"P"&amp;$A157)="N/A",0,RTD("tos.rtd",,BK$43,"."&amp;$B$134&amp;$AS$82&amp;"P"&amp;$A157)))</f>
        <v>-7.9157623274594827E-4</v>
      </c>
      <c r="BL157" s="3">
        <f ca="1">IF($BP$1=1,DZ157,IF(RTD("tos.rtd",,BL$2,"."&amp;$C$134&amp;$AU$82&amp;"C"&amp;$A157)="N/A",0,RTD("tos.rtd",,BL$2,"."&amp;$C$134&amp;$AU$82&amp;"C"&amp;$A157)))</f>
        <v>7.4009809585278742E-4</v>
      </c>
      <c r="BM157" s="3">
        <f ca="1">IF($BP$1=1,EA157,-IF(RTD("tos.rtd",,BM$2,"."&amp;$C$134&amp;$AU$82&amp;"P"&amp;$A157)="N/A",0,RTD("tos.rtd",,BM$2,"."&amp;$C$134&amp;$AU$82&amp;"P"&amp;$A157)))</f>
        <v>-6.2753844969152162E-4</v>
      </c>
      <c r="BN157" s="3">
        <f ca="1">IF($BP$1=1,EB157,IF(RTD("tos.rtd",,BN$2,"."&amp;$D$134&amp;$AW$82&amp;"C"&amp;$A157)="N/A",0,RTD("tos.rtd",,BN$2,"."&amp;$D$134&amp;$AW$82&amp;"C"&amp;$A157)))</f>
        <v>7.1950842305384423E-4</v>
      </c>
      <c r="BO157" s="3">
        <f ca="1">IF($BP$1=1,EC157,-IF(RTD("tos.rtd",,BO$2,"."&amp;$D$134&amp;$AW$82&amp;"P"&amp;$A157)="N/A",0,RTD("tos.rtd",,BO$2,"."&amp;$D$134&amp;$AW$82&amp;"P"&amp;$A157)))</f>
        <v>-6.8020597628726481E-4</v>
      </c>
      <c r="BQ157" s="3">
        <f t="shared" ca="1" si="410"/>
        <v>-278850.08378839836</v>
      </c>
      <c r="BR157" s="3" t="str">
        <f t="shared" ca="1" si="339"/>
        <v/>
      </c>
      <c r="BS157" s="3">
        <f t="shared" ca="1" si="411"/>
        <v>15860.641320359093</v>
      </c>
      <c r="BT157" s="3" t="str">
        <f t="shared" ca="1" si="340"/>
        <v/>
      </c>
      <c r="BU157" s="3">
        <f t="shared" ca="1" si="412"/>
        <v>29074.812068897649</v>
      </c>
      <c r="BV157" s="3" t="str">
        <f t="shared" ca="1" si="340"/>
        <v/>
      </c>
      <c r="BX157" s="3">
        <f t="shared" ca="1" si="370"/>
        <v>-398193.37825999066</v>
      </c>
      <c r="BY157" s="3" t="str">
        <f t="shared" ca="1" si="371"/>
        <v/>
      </c>
      <c r="BZ157" s="3">
        <f t="shared" ca="1" si="372"/>
        <v>0</v>
      </c>
      <c r="CA157" s="3" t="str">
        <f t="shared" ca="1" si="371"/>
        <v/>
      </c>
      <c r="CB157" s="3">
        <f t="shared" ca="1" si="373"/>
        <v>-734.6641833943969</v>
      </c>
      <c r="CC157" s="3" t="str">
        <f t="shared" ca="1" si="371"/>
        <v/>
      </c>
      <c r="CD157" s="3">
        <f>IF(RTD("tos.rtd",,CD$43,"."&amp;$B$134&amp;$AS$82&amp;"C"&amp;$A157)="N/A",0,RTD("tos.rtd",,CD$43,"."&amp;$B$134&amp;$AS$82&amp;"C"&amp;$A157))</f>
        <v>0.93</v>
      </c>
      <c r="CE157" s="3">
        <f>-IF(RTD("tos.rtd",,CE$43,"."&amp;$B$134&amp;$AS$82&amp;"P"&amp;$A157)="N/A",0,RTD("tos.rtd",,CE$43,"."&amp;$B$134&amp;$AS$82&amp;"P"&amp;$A157))</f>
        <v>0.09</v>
      </c>
      <c r="CF157" s="3">
        <f>IF(RTD("tos.rtd",,CF$2,"."&amp;$C$134&amp;$AU$82&amp;"C"&amp;$A157)="N/A",0,RTD("tos.rtd",,CF$2,"."&amp;$C$134&amp;$AU$82&amp;"C"&amp;$A157))</f>
        <v>0.82</v>
      </c>
      <c r="CG157" s="3">
        <f>-IF(RTD("tos.rtd",,CG$2,"."&amp;$C$134&amp;$AU$82&amp;"P"&amp;$A157)="N/A",0,RTD("tos.rtd",,CG$2,"."&amp;$C$134&amp;$AU$82&amp;"P"&amp;$A157))</f>
        <v>0.24</v>
      </c>
      <c r="CH157" s="3">
        <f>IF(RTD("tos.rtd",,CH$2,"."&amp;$D$134&amp;$AW$82&amp;"C"&amp;$A157)="N/A",0,RTD("tos.rtd",,CH$2,"."&amp;$D$134&amp;$AW$82&amp;"C"&amp;$A157))</f>
        <v>0.64</v>
      </c>
      <c r="CI157" s="3">
        <f>-IF(RTD("tos.rtd",,CI$2,"."&amp;$D$134&amp;$AW$82&amp;"P"&amp;$A157)="N/A",0,RTD("tos.rtd",,CI$2,"."&amp;$D$134&amp;$AW$82&amp;"P"&amp;$A157))</f>
        <v>0.37</v>
      </c>
      <c r="CK157" s="3">
        <f t="shared" si="374"/>
        <v>-1919767.4999999998</v>
      </c>
      <c r="CL157" s="3"/>
      <c r="CM157" s="3">
        <f t="shared" si="375"/>
        <v>4948734</v>
      </c>
      <c r="CN157" s="3"/>
      <c r="CO157" s="3">
        <f t="shared" si="376"/>
        <v>12094535.25</v>
      </c>
      <c r="CP157" s="3">
        <f t="shared" si="331"/>
        <v>15123501.75</v>
      </c>
      <c r="CQ157" s="3">
        <f t="shared" si="341"/>
        <v>-1863</v>
      </c>
      <c r="CR157" s="3"/>
      <c r="CS157" s="3">
        <f t="shared" si="342"/>
        <v>0</v>
      </c>
      <c r="CT157" s="3"/>
      <c r="CU157" s="3">
        <f t="shared" si="343"/>
        <v>-4</v>
      </c>
      <c r="CV157" s="3"/>
      <c r="CW157" s="3">
        <f t="shared" ca="1" si="344"/>
        <v>-233914.63039914164</v>
      </c>
      <c r="CY157" s="3">
        <f t="shared" ca="1" si="345"/>
        <v>-398928.04244338506</v>
      </c>
      <c r="CZ157" s="70" t="str">
        <f t="shared" ca="1" si="377"/>
        <v/>
      </c>
      <c r="DA157" s="3">
        <f>IF(RTD("tos.rtd",,DA$43,"."&amp;$B$134&amp;$AS$82&amp;"C"&amp;$A157)="N/A",0,RTD("tos.rtd",,DA$43,"."&amp;$B$134&amp;$AS$82&amp;"C"&amp;$A157))</f>
        <v>391.56</v>
      </c>
      <c r="DB157" s="3">
        <f>IF(RTD("tos.rtd",,DB$43,"."&amp;$B$134&amp;$AS$82&amp;"P"&amp;$A157)="N/A",0,RTD("tos.rtd",,DB$43,"."&amp;$B$134&amp;$AS$82&amp;"P"&amp;$A157))</f>
        <v>0.2</v>
      </c>
      <c r="DC157" s="3">
        <f>IF(RTD("tos.rtd",,DC$43,"."&amp;$B$134&amp;$AS$82&amp;"C"&amp;$A157)="N/A",0,RTD("tos.rtd",,DC$43,"."&amp;$B$134&amp;$AS$82&amp;"C"&amp;$A157))</f>
        <v>346</v>
      </c>
      <c r="DD157" s="3">
        <f>IF(RTD("tos.rtd",,DD$43,"."&amp;$B$134&amp;$AS$82&amp;"P"&amp;$A157)="N/A",0,RTD("tos.rtd",,DD$43,"."&amp;$B$134&amp;$AS$82&amp;"P"&amp;$A157))</f>
        <v>19.8</v>
      </c>
      <c r="DE157" s="3">
        <f>IF(RTD("tos.rtd",,DE$43,"."&amp;$B$134&amp;$AS$82&amp;"C"&amp;$A157)="N/A",0,RTD("tos.rtd",,DE$43,"."&amp;$B$134&amp;$AS$82&amp;"C"&amp;$A157))</f>
        <v>301.2</v>
      </c>
      <c r="DF157" s="3">
        <f>IF(RTD("tos.rtd",,DF$43,"."&amp;$B$134&amp;$AS$82&amp;"P"&amp;$A157)="N/A",0,RTD("tos.rtd",,DF$43,"."&amp;$B$134&amp;$AS$82&amp;"P"&amp;$A157))</f>
        <v>0</v>
      </c>
      <c r="DG157" s="86">
        <f t="shared" si="378"/>
        <v>-280.75</v>
      </c>
      <c r="DH157" s="3">
        <f t="shared" si="379"/>
        <v>0</v>
      </c>
      <c r="DI157" s="3">
        <f t="shared" si="380"/>
        <v>0</v>
      </c>
      <c r="DJ157" s="3">
        <f t="shared" si="346"/>
        <v>0</v>
      </c>
      <c r="DK157" s="3">
        <f t="shared" si="347"/>
        <v>0</v>
      </c>
      <c r="DL157" s="3">
        <f t="shared" si="381"/>
        <v>0</v>
      </c>
      <c r="DM157" s="3">
        <f t="shared" si="382"/>
        <v>0</v>
      </c>
      <c r="DN157" s="64" t="str">
        <f t="shared" si="348"/>
        <v>UNKNOWN</v>
      </c>
      <c r="DO157" s="64" t="str">
        <f t="shared" si="349"/>
        <v>UNKNOWN</v>
      </c>
      <c r="DP157" s="3">
        <f t="shared" si="350"/>
        <v>0</v>
      </c>
      <c r="DQ157" s="3">
        <f t="shared" si="351"/>
        <v>0</v>
      </c>
      <c r="DR157" s="3">
        <f t="shared" ca="1" si="352"/>
        <v>0</v>
      </c>
      <c r="DS157" s="3">
        <f t="shared" si="353"/>
        <v>0</v>
      </c>
      <c r="DT157" s="3">
        <f t="shared" si="383"/>
        <v>0</v>
      </c>
      <c r="DU157" s="3">
        <f t="shared" si="384"/>
        <v>0</v>
      </c>
      <c r="DV157" s="3">
        <f t="shared" si="354"/>
        <v>0</v>
      </c>
      <c r="DW157" s="3">
        <f t="shared" si="355"/>
        <v>513</v>
      </c>
      <c r="DX157" s="3">
        <f t="shared" ca="1" si="356"/>
        <v>8.2611856582730334E-4</v>
      </c>
      <c r="DY157" s="3">
        <f t="shared" ca="1" si="357"/>
        <v>-7.9157623274594827E-4</v>
      </c>
      <c r="DZ157" s="3">
        <f t="shared" ca="1" si="358"/>
        <v>7.4009809585278742E-4</v>
      </c>
      <c r="EA157" s="3">
        <f t="shared" ca="1" si="359"/>
        <v>-6.2753844969152162E-4</v>
      </c>
      <c r="EB157" s="3">
        <f t="shared" ca="1" si="360"/>
        <v>7.1950842305384423E-4</v>
      </c>
      <c r="EC157" s="3">
        <f t="shared" ca="1" si="361"/>
        <v>-6.8020597628726481E-4</v>
      </c>
      <c r="ED157" s="63">
        <f t="shared" si="385"/>
        <v>513</v>
      </c>
      <c r="EE157" s="59">
        <f t="shared" si="362"/>
        <v>1.3198000000000001</v>
      </c>
      <c r="EF157" s="59">
        <f t="shared" si="363"/>
        <v>1.4789000000000001</v>
      </c>
      <c r="EG157" s="59">
        <f t="shared" si="364"/>
        <v>0.1837</v>
      </c>
      <c r="EH157" s="59">
        <f t="shared" si="365"/>
        <v>0.23949999999999999</v>
      </c>
      <c r="EI157" s="59">
        <f t="shared" si="366"/>
        <v>0.19359999999999999</v>
      </c>
      <c r="EJ157" s="59">
        <f t="shared" si="367"/>
        <v>0.21260000000000001</v>
      </c>
      <c r="EK157" s="63">
        <f t="shared" ca="1" si="386"/>
        <v>-184766130.03516838</v>
      </c>
      <c r="EL157" s="3" t="str">
        <f>RTD("tos.rtd",,EL$43,"."&amp;$B$134&amp;$AS$82&amp;"C"&amp;$A157)</f>
        <v>131.98%</v>
      </c>
      <c r="EM157" s="3" t="str">
        <f>RTD("tos.rtd",,EM$43,"."&amp;$B$134&amp;$AS$82&amp;"P"&amp;$A157)</f>
        <v>147.89%</v>
      </c>
      <c r="EN157" s="3" t="str">
        <f>RTD("tos.rtd",,EN$2,"."&amp;$C$134&amp;$AU$82&amp;"C"&amp;$A157)</f>
        <v>18.37%</v>
      </c>
      <c r="EO157" s="3" t="str">
        <f>RTD("tos.rtd",,EO$2,"."&amp;$C$134&amp;$AU$82&amp;"P"&amp;$A157)</f>
        <v>23.95%</v>
      </c>
      <c r="EP157" s="3" t="str">
        <f>RTD("tos.rtd",,EP$2,"."&amp;$D$134&amp;$AW$82&amp;"C"&amp;$A157)</f>
        <v>19.36%</v>
      </c>
      <c r="EQ157" s="3" t="str">
        <f>RTD("tos.rtd",,EQ$2,"."&amp;$D$134&amp;$AW$82&amp;"P"&amp;$A157)</f>
        <v>21.26%</v>
      </c>
      <c r="ES157" s="63" t="str">
        <f t="shared" si="368"/>
        <v>21050,513.00</v>
      </c>
      <c r="ET157" s="63" t="str">
        <f t="shared" ca="1" si="369"/>
        <v>21050,-398.93</v>
      </c>
      <c r="EU157" s="68">
        <v>592.64</v>
      </c>
      <c r="EV157" s="68" t="s">
        <v>1272</v>
      </c>
      <c r="EW157" s="68">
        <v>519.11</v>
      </c>
      <c r="EX157" s="68" t="s">
        <v>1273</v>
      </c>
      <c r="EY157" s="68">
        <v>5936.25</v>
      </c>
      <c r="EZ157" s="68" t="s">
        <v>1274</v>
      </c>
      <c r="FA157" s="68">
        <v>21309.5</v>
      </c>
      <c r="FB157" s="68" t="s">
        <v>1275</v>
      </c>
      <c r="FC157" s="68" t="s">
        <v>1276</v>
      </c>
      <c r="FD157" s="68" t="s">
        <v>1277</v>
      </c>
      <c r="FE157" s="68" t="s">
        <v>1278</v>
      </c>
      <c r="FF157" s="68" t="s">
        <v>1279</v>
      </c>
    </row>
    <row r="158" spans="1:162" ht="11.1" customHeight="1" thickBot="1" x14ac:dyDescent="0.25">
      <c r="A158" s="2">
        <f t="shared" si="387"/>
        <v>21025</v>
      </c>
      <c r="B158" s="3">
        <f t="shared" si="413"/>
        <v>4</v>
      </c>
      <c r="C158" s="3">
        <f t="shared" si="414"/>
        <v>5</v>
      </c>
      <c r="D158" s="3">
        <f t="shared" si="415"/>
        <v>9</v>
      </c>
      <c r="E158" s="3">
        <f t="shared" si="401"/>
        <v>18</v>
      </c>
      <c r="F158" s="4">
        <f t="shared" si="408"/>
        <v>21113.709960971835</v>
      </c>
      <c r="G158" s="5">
        <f t="shared" si="403"/>
        <v>512.18174466439291</v>
      </c>
      <c r="AM158" s="1">
        <v>0</v>
      </c>
      <c r="AN158" s="1">
        <v>-14</v>
      </c>
      <c r="AO158" s="1">
        <v>21025</v>
      </c>
      <c r="AP158" s="1">
        <v>0</v>
      </c>
      <c r="AQ158" s="1">
        <v>-36</v>
      </c>
      <c r="AS158" s="54">
        <f>IF(RTD("tos.rtd",,AS$83,"."&amp;$B$134&amp;$AS$82&amp;"C"&amp;$A158)="N/A",0,RTD("tos.rtd",,AS$83,"."&amp;$B$134&amp;$AS$82&amp;"C"&amp;$A158))</f>
        <v>1</v>
      </c>
      <c r="AT158" s="3">
        <f>-IF(RTD("tos.rtd",,AT$83,"."&amp;$B$134&amp;$AS$82&amp;"P"&amp;$A158)="N/A",0,RTD("tos.rtd",,AT$83,"."&amp;$B$134&amp;$AS$82&amp;"P"&amp;$A158))</f>
        <v>-3</v>
      </c>
      <c r="AU158" s="54">
        <f>IF(RTD("tos.rtd",,AU$2,"."&amp;$C$134&amp;$AU$134&amp;"C"&amp;$A158)="N/A",0,RTD("tos.rtd",,AU$2,"."&amp;$C$134&amp;$AU$134&amp;"C"&amp;$A158))</f>
        <v>1</v>
      </c>
      <c r="AV158" s="3">
        <f>-IF(RTD("tos.rtd",,AV$2,"."&amp;$C$134&amp;$AU$134&amp;"P"&amp;$A158)="N/A",0,RTD("tos.rtd",,AV$2,"."&amp;$C$134&amp;$AU$134&amp;"P"&amp;$A158))</f>
        <v>-4</v>
      </c>
      <c r="AW158" s="54">
        <f>IF(RTD("tos.rtd",,AW$2,"."&amp;$D$134&amp;$AW$134&amp;"C"&amp;$A158)="N/A",0,RTD("tos.rtd",,AW$2,"."&amp;$D$134&amp;$AW$134&amp;"C"&amp;$A158))</f>
        <v>6</v>
      </c>
      <c r="AX158" s="3">
        <f>-IF(RTD("tos.rtd",,AX$2,"."&amp;$D$134&amp;$AW$134&amp;"P"&amp;$A158)="N/A",0,RTD("tos.rtd",,AX$2,"."&amp;$D$134&amp;$AW$134&amp;"P"&amp;$A158))</f>
        <v>-3</v>
      </c>
      <c r="AY158" s="76">
        <f t="shared" si="409"/>
        <v>-2</v>
      </c>
      <c r="AZ158" s="8">
        <f t="shared" si="337"/>
        <v>21025</v>
      </c>
      <c r="BA158" s="54">
        <f>IF(RTD("tos.rtd",,BA$43,"."&amp;$B$134&amp;$AS$82&amp;"C"&amp;$A158)="N/A",0,RTD("tos.rtd",,BA$43,"."&amp;$B$134&amp;$AS$82&amp;"C"&amp;$A158))</f>
        <v>0</v>
      </c>
      <c r="BB158" s="3">
        <f>-IF(RTD("tos.rtd",,BB$43,"."&amp;$B$134&amp;$AS$82&amp;"P"&amp;$A158)="N/A",0,RTD("tos.rtd",,BB$43,"."&amp;$B$134&amp;$AS$82&amp;"P"&amp;$A158))</f>
        <v>-36</v>
      </c>
      <c r="BC158" s="54">
        <f>IF(RTD("tos.rtd",,BC$2,"."&amp;$C$134&amp;$AU$82&amp;"C"&amp;$A158)="N/A",0,RTD("tos.rtd",,BC$2,"."&amp;$C$134&amp;$AU$82&amp;"C"&amp;$A158))</f>
        <v>0</v>
      </c>
      <c r="BD158" s="3">
        <f>-IF(RTD("tos.rtd",,BD$2,"."&amp;$C$134&amp;$AU$82&amp;"P"&amp;$A158)="N/A",0,RTD("tos.rtd",,BD$2,"."&amp;$C$134&amp;$AU$82&amp;"P"&amp;$A158))</f>
        <v>0</v>
      </c>
      <c r="BE158" s="54">
        <f>IF(RTD("tos.rtd",,BE$2,"."&amp;$D$134&amp;$AW$82&amp;"C"&amp;$A158)="N/A",0,RTD("tos.rtd",,BE$2,"."&amp;$D$134&amp;$AW$82&amp;"C"&amp;$A158))</f>
        <v>0</v>
      </c>
      <c r="BF158" s="3">
        <f>-IF(RTD("tos.rtd",,BF$2,"."&amp;$D$134&amp;$AW$82&amp;"P"&amp;$A158)="N/A",0,RTD("tos.rtd",,BF$2,"."&amp;$D$134&amp;$AW$82&amp;"P"&amp;$A158))</f>
        <v>-1</v>
      </c>
      <c r="BG158" s="3">
        <f ca="1">+Hoja2!Y159</f>
        <v>-1</v>
      </c>
      <c r="BH158" s="7">
        <f t="shared" ca="1" si="338"/>
        <v>-38</v>
      </c>
      <c r="BI158" s="32" t="str">
        <f t="shared" ca="1" si="397"/>
        <v/>
      </c>
      <c r="BJ158" s="3">
        <f ca="1">IF($BP$1=1,DX158,IF(RTD("tos.rtd",,BJ$43,"."&amp;$B$134&amp;$AS$82&amp;"C"&amp;$A158)="N/A",0,RTD("tos.rtd",,BJ$43,"."&amp;$B$134&amp;$AS$82&amp;"C"&amp;$A158)))</f>
        <v>7.6793892974419452E-4</v>
      </c>
      <c r="BK158" s="3">
        <f ca="1">IF($BP$1=1,DY158,-IF(RTD("tos.rtd",,BK$43,"."&amp;$B$134&amp;$AS$82&amp;"P"&amp;$A158)="N/A",0,RTD("tos.rtd",,BK$43,"."&amp;$B$134&amp;$AS$82&amp;"P"&amp;$A158)))</f>
        <v>-7.3497159134093049E-4</v>
      </c>
      <c r="BL158" s="3">
        <f ca="1">IF($BP$1=1,DZ158,IF(RTD("tos.rtd",,BL$2,"."&amp;$C$134&amp;$AU$82&amp;"C"&amp;$A158)="N/A",0,RTD("tos.rtd",,BL$2,"."&amp;$C$134&amp;$AU$82&amp;"C"&amp;$A158)))</f>
        <v>7.1107007338012701E-4</v>
      </c>
      <c r="BM158" s="3">
        <f ca="1">IF($BP$1=1,EA158,-IF(RTD("tos.rtd",,BM$2,"."&amp;$C$134&amp;$AU$82&amp;"P"&amp;$A158)="N/A",0,RTD("tos.rtd",,BM$2,"."&amp;$C$134&amp;$AU$82&amp;"P"&amp;$A158)))</f>
        <v>-6.0894865946792319E-4</v>
      </c>
      <c r="BN158" s="3">
        <f ca="1">IF($BP$1=1,EB158,IF(RTD("tos.rtd",,BN$2,"."&amp;$D$134&amp;$AW$82&amp;"C"&amp;$A158)="N/A",0,RTD("tos.rtd",,BN$2,"."&amp;$D$134&amp;$AW$82&amp;"C"&amp;$A158)))</f>
        <v>6.8960086774951207E-4</v>
      </c>
      <c r="BO158" s="3">
        <f ca="1">IF($BP$1=1,EC158,-IF(RTD("tos.rtd",,BO$2,"."&amp;$D$134&amp;$AW$82&amp;"P"&amp;$A158)="N/A",0,RTD("tos.rtd",,BO$2,"."&amp;$D$134&amp;$AW$82&amp;"P"&amp;$A158)))</f>
        <v>-6.5642120776268804E-4</v>
      </c>
      <c r="BQ158" s="3">
        <f t="shared" ca="1" si="410"/>
        <v>-50620.624774063144</v>
      </c>
      <c r="BR158" s="3" t="str">
        <f t="shared" ca="1" si="339"/>
        <v/>
      </c>
      <c r="BS158" s="3">
        <f t="shared" ca="1" si="411"/>
        <v>-60757.20435061834</v>
      </c>
      <c r="BT158" s="3" t="str">
        <f t="shared" ca="1" si="340"/>
        <v>Cruce -</v>
      </c>
      <c r="BU158" s="3">
        <f t="shared" ca="1" si="412"/>
        <v>76384.586492979855</v>
      </c>
      <c r="BV158" s="3" t="str">
        <f t="shared" ca="1" si="340"/>
        <v/>
      </c>
      <c r="BX158" s="3">
        <f t="shared" ca="1" si="370"/>
        <v>-7144.3296665226171</v>
      </c>
      <c r="BY158" s="3" t="str">
        <f t="shared" ca="1" si="371"/>
        <v/>
      </c>
      <c r="BZ158" s="3">
        <f t="shared" ca="1" si="372"/>
        <v>0</v>
      </c>
      <c r="CA158" s="3" t="str">
        <f t="shared" ca="1" si="371"/>
        <v/>
      </c>
      <c r="CB158" s="3">
        <f t="shared" ca="1" si="373"/>
        <v>-177.24379356234709</v>
      </c>
      <c r="CC158" s="3" t="str">
        <f t="shared" ca="1" si="371"/>
        <v/>
      </c>
      <c r="CD158" s="3">
        <f>IF(RTD("tos.rtd",,CD$43,"."&amp;$B$134&amp;$AS$82&amp;"C"&amp;$A158)="N/A",0,RTD("tos.rtd",,CD$43,"."&amp;$B$134&amp;$AS$82&amp;"C"&amp;$A158))</f>
        <v>0.94</v>
      </c>
      <c r="CE158" s="3">
        <f>-IF(RTD("tos.rtd",,CE$43,"."&amp;$B$134&amp;$AS$82&amp;"P"&amp;$A158)="N/A",0,RTD("tos.rtd",,CE$43,"."&amp;$B$134&amp;$AS$82&amp;"P"&amp;$A158))</f>
        <v>0.09</v>
      </c>
      <c r="CF158" s="3">
        <f>IF(RTD("tos.rtd",,CF$2,"."&amp;$C$134&amp;$AU$82&amp;"C"&amp;$A158)="N/A",0,RTD("tos.rtd",,CF$2,"."&amp;$C$134&amp;$AU$82&amp;"C"&amp;$A158))</f>
        <v>0.84</v>
      </c>
      <c r="CG158" s="3">
        <f>-IF(RTD("tos.rtd",,CG$2,"."&amp;$C$134&amp;$AU$82&amp;"P"&amp;$A158)="N/A",0,RTD("tos.rtd",,CG$2,"."&amp;$C$134&amp;$AU$82&amp;"P"&amp;$A158))</f>
        <v>0.22</v>
      </c>
      <c r="CH158" s="3">
        <f>IF(RTD("tos.rtd",,CH$2,"."&amp;$D$134&amp;$AW$82&amp;"C"&amp;$A158)="N/A",0,RTD("tos.rtd",,CH$2,"."&amp;$D$134&amp;$AW$82&amp;"C"&amp;$A158))</f>
        <v>0.65</v>
      </c>
      <c r="CI158" s="3">
        <f>-IF(RTD("tos.rtd",,CI$2,"."&amp;$D$134&amp;$AW$82&amp;"P"&amp;$A158)="N/A",0,RTD("tos.rtd",,CI$2,"."&amp;$D$134&amp;$AW$82&amp;"P"&amp;$A158))</f>
        <v>0.36</v>
      </c>
      <c r="CK158" s="3">
        <f t="shared" si="374"/>
        <v>1429160.25</v>
      </c>
      <c r="CL158" s="3"/>
      <c r="CM158" s="3">
        <f t="shared" si="375"/>
        <v>-85323</v>
      </c>
      <c r="CN158" s="3"/>
      <c r="CO158" s="3">
        <f t="shared" si="376"/>
        <v>6015271.5000000009</v>
      </c>
      <c r="CP158" s="3">
        <f t="shared" si="331"/>
        <v>7359108.7500000009</v>
      </c>
      <c r="CQ158" s="3">
        <f t="shared" si="341"/>
        <v>-36</v>
      </c>
      <c r="CR158" s="3"/>
      <c r="CS158" s="3">
        <f t="shared" si="342"/>
        <v>0</v>
      </c>
      <c r="CT158" s="3"/>
      <c r="CU158" s="3">
        <f t="shared" si="343"/>
        <v>-1</v>
      </c>
      <c r="CV158" s="3"/>
      <c r="CW158" s="3">
        <f t="shared" ca="1" si="344"/>
        <v>-34993.242631701622</v>
      </c>
      <c r="CY158" s="3">
        <f t="shared" ca="1" si="345"/>
        <v>-7321.5734600849646</v>
      </c>
      <c r="CZ158" s="70" t="str">
        <f t="shared" ca="1" si="377"/>
        <v/>
      </c>
      <c r="DA158" s="3">
        <f>IF(RTD("tos.rtd",,DA$43,"."&amp;$B$134&amp;$AS$82&amp;"C"&amp;$A158)="N/A",0,RTD("tos.rtd",,DA$43,"."&amp;$B$134&amp;$AS$82&amp;"C"&amp;$A158))</f>
        <v>218.8</v>
      </c>
      <c r="DB158" s="3">
        <f>IF(RTD("tos.rtd",,DB$43,"."&amp;$B$134&amp;$AS$82&amp;"P"&amp;$A158)="N/A",0,RTD("tos.rtd",,DB$43,"."&amp;$B$134&amp;$AS$82&amp;"P"&amp;$A158))</f>
        <v>1.4</v>
      </c>
      <c r="DC158" s="3">
        <f>IF(RTD("tos.rtd",,DC$43,"."&amp;$B$134&amp;$AS$82&amp;"C"&amp;$A158)="N/A",0,RTD("tos.rtd",,DC$43,"."&amp;$B$134&amp;$AS$82&amp;"C"&amp;$A158))</f>
        <v>372</v>
      </c>
      <c r="DD158" s="3">
        <f>IF(RTD("tos.rtd",,DD$43,"."&amp;$B$134&amp;$AS$82&amp;"P"&amp;$A158)="N/A",0,RTD("tos.rtd",,DD$43,"."&amp;$B$134&amp;$AS$82&amp;"P"&amp;$A158))</f>
        <v>19.8</v>
      </c>
      <c r="DE158" s="3">
        <f>IF(RTD("tos.rtd",,DE$43,"."&amp;$B$134&amp;$AS$82&amp;"C"&amp;$A158)="N/A",0,RTD("tos.rtd",,DE$43,"."&amp;$B$134&amp;$AS$82&amp;"C"&amp;$A158))</f>
        <v>323.89999999999998</v>
      </c>
      <c r="DF158" s="3">
        <f>IF(RTD("tos.rtd",,DF$43,"."&amp;$B$134&amp;$AS$82&amp;"P"&amp;$A158)="N/A",0,RTD("tos.rtd",,DF$43,"."&amp;$B$134&amp;$AS$82&amp;"P"&amp;$A158))</f>
        <v>0</v>
      </c>
      <c r="DG158" s="86">
        <f t="shared" si="378"/>
        <v>-305.75</v>
      </c>
      <c r="DH158" s="3">
        <f t="shared" si="379"/>
        <v>0</v>
      </c>
      <c r="DI158" s="3">
        <f t="shared" si="380"/>
        <v>0</v>
      </c>
      <c r="DJ158" s="3">
        <f t="shared" si="346"/>
        <v>0</v>
      </c>
      <c r="DK158" s="3">
        <f t="shared" si="347"/>
        <v>0</v>
      </c>
      <c r="DL158" s="3">
        <f t="shared" si="381"/>
        <v>0</v>
      </c>
      <c r="DM158" s="3">
        <f t="shared" si="382"/>
        <v>0</v>
      </c>
      <c r="DN158" s="64" t="str">
        <f t="shared" si="348"/>
        <v>UNKNOWN</v>
      </c>
      <c r="DO158" s="64" t="str">
        <f t="shared" si="349"/>
        <v>UNKNOWN</v>
      </c>
      <c r="DP158" s="3">
        <f t="shared" si="350"/>
        <v>0</v>
      </c>
      <c r="DQ158" s="3">
        <f t="shared" si="351"/>
        <v>0</v>
      </c>
      <c r="DR158" s="3">
        <f t="shared" ca="1" si="352"/>
        <v>0</v>
      </c>
      <c r="DS158" s="3">
        <f t="shared" si="353"/>
        <v>0</v>
      </c>
      <c r="DT158" s="3">
        <f t="shared" si="383"/>
        <v>0</v>
      </c>
      <c r="DU158" s="3">
        <f t="shared" si="384"/>
        <v>0</v>
      </c>
      <c r="DV158" s="3">
        <f t="shared" si="354"/>
        <v>0</v>
      </c>
      <c r="DW158" s="3">
        <f t="shared" si="355"/>
        <v>-14</v>
      </c>
      <c r="DX158" s="3">
        <f t="shared" ca="1" si="356"/>
        <v>7.6793892974419452E-4</v>
      </c>
      <c r="DY158" s="3">
        <f t="shared" ca="1" si="357"/>
        <v>-7.3497159134093049E-4</v>
      </c>
      <c r="DZ158" s="3">
        <f t="shared" ca="1" si="358"/>
        <v>7.1107007338012701E-4</v>
      </c>
      <c r="EA158" s="3">
        <f t="shared" ca="1" si="359"/>
        <v>-6.0894865946792319E-4</v>
      </c>
      <c r="EB158" s="3">
        <f t="shared" ca="1" si="360"/>
        <v>6.8960086774951207E-4</v>
      </c>
      <c r="EC158" s="3">
        <f t="shared" ca="1" si="361"/>
        <v>-6.5642120776268804E-4</v>
      </c>
      <c r="ED158" s="63">
        <f t="shared" si="385"/>
        <v>-14</v>
      </c>
      <c r="EE158" s="59">
        <f t="shared" si="362"/>
        <v>1.367</v>
      </c>
      <c r="EF158" s="59">
        <f t="shared" si="363"/>
        <v>1.5659000000000001</v>
      </c>
      <c r="EG158" s="59">
        <f t="shared" si="364"/>
        <v>0.1817</v>
      </c>
      <c r="EH158" s="59">
        <f t="shared" si="365"/>
        <v>0.24079999999999999</v>
      </c>
      <c r="EI158" s="59">
        <f t="shared" si="366"/>
        <v>0.19450000000000001</v>
      </c>
      <c r="EJ158" s="59">
        <f t="shared" si="367"/>
        <v>0.21340000000000001</v>
      </c>
      <c r="EK158" s="63">
        <f t="shared" ca="1" si="386"/>
        <v>4681778.2518236684</v>
      </c>
      <c r="EL158" s="3" t="str">
        <f>RTD("tos.rtd",,EL$43,"."&amp;$B$134&amp;$AS$82&amp;"C"&amp;$A158)</f>
        <v>136.70%</v>
      </c>
      <c r="EM158" s="3" t="str">
        <f>RTD("tos.rtd",,EM$43,"."&amp;$B$134&amp;$AS$82&amp;"P"&amp;$A158)</f>
        <v>156.59%</v>
      </c>
      <c r="EN158" s="3" t="str">
        <f>RTD("tos.rtd",,EN$2,"."&amp;$C$134&amp;$AU$82&amp;"C"&amp;$A158)</f>
        <v>18.17%</v>
      </c>
      <c r="EO158" s="3" t="str">
        <f>RTD("tos.rtd",,EO$2,"."&amp;$C$134&amp;$AU$82&amp;"P"&amp;$A158)</f>
        <v>24.08%</v>
      </c>
      <c r="EP158" s="3" t="str">
        <f>RTD("tos.rtd",,EP$2,"."&amp;$D$134&amp;$AW$82&amp;"C"&amp;$A158)</f>
        <v>19.45%</v>
      </c>
      <c r="EQ158" s="3" t="str">
        <f>RTD("tos.rtd",,EQ$2,"."&amp;$D$134&amp;$AW$82&amp;"P"&amp;$A158)</f>
        <v>21.34%</v>
      </c>
      <c r="ES158" s="63" t="str">
        <f t="shared" si="368"/>
        <v>21025,-14.00</v>
      </c>
      <c r="ET158" s="63" t="str">
        <f t="shared" ca="1" si="369"/>
        <v>21025,-07.32</v>
      </c>
      <c r="EU158" s="68">
        <v>592.64</v>
      </c>
      <c r="EV158" s="68" t="s">
        <v>1280</v>
      </c>
      <c r="EW158" s="68">
        <v>519.11</v>
      </c>
      <c r="EX158" s="68" t="s">
        <v>1281</v>
      </c>
      <c r="EY158" s="68">
        <v>5936.25</v>
      </c>
      <c r="EZ158" s="68" t="s">
        <v>1282</v>
      </c>
      <c r="FA158" s="68">
        <v>21309.5</v>
      </c>
      <c r="FB158" s="68" t="s">
        <v>1283</v>
      </c>
      <c r="FC158" s="68" t="s">
        <v>1284</v>
      </c>
      <c r="FD158" s="68" t="s">
        <v>1285</v>
      </c>
      <c r="FE158" s="68" t="s">
        <v>1286</v>
      </c>
      <c r="FF158" s="68" t="s">
        <v>1287</v>
      </c>
    </row>
    <row r="159" spans="1:162" ht="11.1" customHeight="1" thickBot="1" x14ac:dyDescent="0.25">
      <c r="A159" s="2">
        <f t="shared" si="387"/>
        <v>21000</v>
      </c>
      <c r="B159" s="3">
        <f t="shared" si="413"/>
        <v>53</v>
      </c>
      <c r="C159" s="3">
        <f t="shared" si="414"/>
        <v>150</v>
      </c>
      <c r="D159" s="3">
        <f t="shared" si="415"/>
        <v>1091</v>
      </c>
      <c r="E159" s="3">
        <f t="shared" si="401"/>
        <v>1294</v>
      </c>
      <c r="F159" s="4">
        <f t="shared" si="408"/>
        <v>21088.604479448684</v>
      </c>
      <c r="G159" s="5">
        <f t="shared" si="403"/>
        <v>511.57272951021406</v>
      </c>
      <c r="AM159" s="1">
        <v>-1</v>
      </c>
      <c r="AN159" s="1">
        <v>-390</v>
      </c>
      <c r="AO159" s="1">
        <v>21000</v>
      </c>
      <c r="AP159" s="1">
        <v>1</v>
      </c>
      <c r="AQ159" s="1">
        <v>-620</v>
      </c>
      <c r="AS159" s="54">
        <f>IF(RTD("tos.rtd",,AS$83,"."&amp;$B$134&amp;$AS$82&amp;"C"&amp;$A159)="N/A",0,RTD("tos.rtd",,AS$83,"."&amp;$B$134&amp;$AS$82&amp;"C"&amp;$A159))</f>
        <v>17</v>
      </c>
      <c r="AT159" s="3">
        <f>-IF(RTD("tos.rtd",,AT$83,"."&amp;$B$134&amp;$AS$82&amp;"P"&amp;$A159)="N/A",0,RTD("tos.rtd",,AT$83,"."&amp;$B$134&amp;$AS$82&amp;"P"&amp;$A159))</f>
        <v>-36</v>
      </c>
      <c r="AU159" s="54">
        <f>IF(RTD("tos.rtd",,AU$2,"."&amp;$C$134&amp;$AU$134&amp;"C"&amp;$A159)="N/A",0,RTD("tos.rtd",,AU$2,"."&amp;$C$134&amp;$AU$134&amp;"C"&amp;$A159))</f>
        <v>25</v>
      </c>
      <c r="AV159" s="3">
        <f>-IF(RTD("tos.rtd",,AV$2,"."&amp;$C$134&amp;$AU$134&amp;"P"&amp;$A159)="N/A",0,RTD("tos.rtd",,AV$2,"."&amp;$C$134&amp;$AU$134&amp;"P"&amp;$A159))</f>
        <v>-125</v>
      </c>
      <c r="AW159" s="54">
        <f>IF(RTD("tos.rtd",,AW$2,"."&amp;$D$134&amp;$AW$134&amp;"C"&amp;$A159)="N/A",0,RTD("tos.rtd",,AW$2,"."&amp;$D$134&amp;$AW$134&amp;"C"&amp;$A159))</f>
        <v>693</v>
      </c>
      <c r="AX159" s="3">
        <f>-IF(RTD("tos.rtd",,AX$2,"."&amp;$D$134&amp;$AW$134&amp;"P"&amp;$A159)="N/A",0,RTD("tos.rtd",,AX$2,"."&amp;$D$134&amp;$AW$134&amp;"P"&amp;$A159))</f>
        <v>-398</v>
      </c>
      <c r="AY159" s="76">
        <f t="shared" si="409"/>
        <v>176</v>
      </c>
      <c r="AZ159" s="8">
        <f t="shared" si="337"/>
        <v>21000</v>
      </c>
      <c r="BA159" s="54">
        <f>IF(RTD("tos.rtd",,BA$43,"."&amp;$B$134&amp;$AS$82&amp;"C"&amp;$A159)="N/A",0,RTD("tos.rtd",,BA$43,"."&amp;$B$134&amp;$AS$82&amp;"C"&amp;$A159))</f>
        <v>1</v>
      </c>
      <c r="BB159" s="3">
        <f>-IF(RTD("tos.rtd",,BB$43,"."&amp;$B$134&amp;$AS$82&amp;"P"&amp;$A159)="N/A",0,RTD("tos.rtd",,BB$43,"."&amp;$B$134&amp;$AS$82&amp;"P"&amp;$A159))</f>
        <v>-620</v>
      </c>
      <c r="BC159" s="54">
        <f>IF(RTD("tos.rtd",,BC$2,"."&amp;$C$134&amp;$AU$82&amp;"C"&amp;$A159)="N/A",0,RTD("tos.rtd",,BC$2,"."&amp;$C$134&amp;$AU$82&amp;"C"&amp;$A159))</f>
        <v>15</v>
      </c>
      <c r="BD159" s="3">
        <f>-IF(RTD("tos.rtd",,BD$2,"."&amp;$C$134&amp;$AU$82&amp;"P"&amp;$A159)="N/A",0,RTD("tos.rtd",,BD$2,"."&amp;$C$134&amp;$AU$82&amp;"P"&amp;$A159))</f>
        <v>-27</v>
      </c>
      <c r="BE159" s="54">
        <f>IF(RTD("tos.rtd",,BE$2,"."&amp;$D$134&amp;$AW$82&amp;"C"&amp;$A159)="N/A",0,RTD("tos.rtd",,BE$2,"."&amp;$D$134&amp;$AW$82&amp;"C"&amp;$A159))</f>
        <v>0</v>
      </c>
      <c r="BF159" s="3">
        <f>-IF(RTD("tos.rtd",,BF$2,"."&amp;$D$134&amp;$AW$82&amp;"P"&amp;$A159)="N/A",0,RTD("tos.rtd",,BF$2,"."&amp;$D$134&amp;$AW$82&amp;"P"&amp;$A159))</f>
        <v>-2</v>
      </c>
      <c r="BG159" s="3">
        <f ca="1">+Hoja2!Y160</f>
        <v>-78</v>
      </c>
      <c r="BH159" s="7">
        <f t="shared" ca="1" si="338"/>
        <v>-711</v>
      </c>
      <c r="BI159" s="32" t="str">
        <f t="shared" ca="1" si="397"/>
        <v/>
      </c>
      <c r="BJ159" s="3">
        <f ca="1">IF($BP$1=1,DX159,IF(RTD("tos.rtd",,BJ$43,"."&amp;$B$134&amp;$AS$82&amp;"C"&amp;$A159)="N/A",0,RTD("tos.rtd",,BJ$43,"."&amp;$B$134&amp;$AS$82&amp;"C"&amp;$A159)))</f>
        <v>7.1761825146532637E-4</v>
      </c>
      <c r="BK159" s="3">
        <f ca="1">IF($BP$1=1,DY159,-IF(RTD("tos.rtd",,BK$43,"."&amp;$B$134&amp;$AS$82&amp;"P"&amp;$A159)="N/A",0,RTD("tos.rtd",,BK$43,"."&amp;$B$134&amp;$AS$82&amp;"P"&amp;$A159)))</f>
        <v>-4.2830734363181799E-4</v>
      </c>
      <c r="BL159" s="3">
        <f ca="1">IF($BP$1=1,DZ159,IF(RTD("tos.rtd",,BL$2,"."&amp;$C$134&amp;$AU$82&amp;"C"&amp;$A159)="N/A",0,RTD("tos.rtd",,BL$2,"."&amp;$C$134&amp;$AU$82&amp;"C"&amp;$A159)))</f>
        <v>6.7599999630380437E-4</v>
      </c>
      <c r="BM159" s="3">
        <f ca="1">IF($BP$1=1,EA159,-IF(RTD("tos.rtd",,BM$2,"."&amp;$C$134&amp;$AU$82&amp;"P"&amp;$A159)="N/A",0,RTD("tos.rtd",,BM$2,"."&amp;$C$134&amp;$AU$82&amp;"P"&amp;$A159)))</f>
        <v>-5.9102270878622748E-4</v>
      </c>
      <c r="BN159" s="3">
        <f ca="1">IF($BP$1=1,EB159,IF(RTD("tos.rtd",,BN$2,"."&amp;$D$134&amp;$AW$82&amp;"C"&amp;$A159)="N/A",0,RTD("tos.rtd",,BN$2,"."&amp;$D$134&amp;$AW$82&amp;"C"&amp;$A159)))</f>
        <v>6.5924412450396586E-4</v>
      </c>
      <c r="BO159" s="3">
        <f ca="1">IF($BP$1=1,EC159,-IF(RTD("tos.rtd",,BO$2,"."&amp;$D$134&amp;$AW$82&amp;"P"&amp;$A159)="N/A",0,RTD("tos.rtd",,BO$2,"."&amp;$D$134&amp;$AW$82&amp;"P"&amp;$A159)))</f>
        <v>-6.3204848520902461E-4</v>
      </c>
      <c r="BQ159" s="3">
        <f t="shared" ca="1" si="410"/>
        <v>-113415.8520993616</v>
      </c>
      <c r="BR159" s="3" t="str">
        <f t="shared" ca="1" si="339"/>
        <v/>
      </c>
      <c r="BS159" s="3">
        <f t="shared" ca="1" si="411"/>
        <v>-2007169.2953517644</v>
      </c>
      <c r="BT159" s="3" t="str">
        <f t="shared" ca="1" si="340"/>
        <v/>
      </c>
      <c r="BU159" s="3">
        <f t="shared" ca="1" si="412"/>
        <v>7232173.6741580591</v>
      </c>
      <c r="BV159" s="3" t="str">
        <f t="shared" ca="1" si="340"/>
        <v/>
      </c>
      <c r="BX159" s="3">
        <f t="shared" ca="1" si="370"/>
        <v>-71508.954112308435</v>
      </c>
      <c r="BY159" s="3" t="str">
        <f t="shared" ca="1" si="371"/>
        <v/>
      </c>
      <c r="BZ159" s="3">
        <f t="shared" ca="1" si="372"/>
        <v>-1570.8447861729655</v>
      </c>
      <c r="CA159" s="3" t="str">
        <f t="shared" ca="1" si="371"/>
        <v/>
      </c>
      <c r="CB159" s="3">
        <f t="shared" ca="1" si="373"/>
        <v>-341.32556934169889</v>
      </c>
      <c r="CC159" s="3" t="str">
        <f t="shared" ca="1" si="371"/>
        <v/>
      </c>
      <c r="CD159" s="3">
        <f>IF(RTD("tos.rtd",,CD$43,"."&amp;$B$134&amp;$AS$82&amp;"C"&amp;$A159)="N/A",0,RTD("tos.rtd",,CD$43,"."&amp;$B$134&amp;$AS$82&amp;"C"&amp;$A159))</f>
        <v>0.97</v>
      </c>
      <c r="CE159" s="3">
        <f>-IF(RTD("tos.rtd",,CE$43,"."&amp;$B$134&amp;$AS$82&amp;"P"&amp;$A159)="N/A",0,RTD("tos.rtd",,CE$43,"."&amp;$B$134&amp;$AS$82&amp;"P"&amp;$A159))</f>
        <v>0</v>
      </c>
      <c r="CF159" s="3">
        <f>IF(RTD("tos.rtd",,CF$2,"."&amp;$C$134&amp;$AU$82&amp;"C"&amp;$A159)="N/A",0,RTD("tos.rtd",,CF$2,"."&amp;$C$134&amp;$AU$82&amp;"C"&amp;$A159))</f>
        <v>0.86</v>
      </c>
      <c r="CG159" s="3">
        <f>-IF(RTD("tos.rtd",,CG$2,"."&amp;$C$134&amp;$AU$82&amp;"P"&amp;$A159)="N/A",0,RTD("tos.rtd",,CG$2,"."&amp;$C$134&amp;$AU$82&amp;"P"&amp;$A159))</f>
        <v>0.21</v>
      </c>
      <c r="CH159" s="3">
        <f>IF(RTD("tos.rtd",,CH$2,"."&amp;$D$134&amp;$AW$82&amp;"C"&amp;$A159)="N/A",0,RTD("tos.rtd",,CH$2,"."&amp;$D$134&amp;$AW$82&amp;"C"&amp;$A159))</f>
        <v>0.66</v>
      </c>
      <c r="CI159" s="3">
        <f>-IF(RTD("tos.rtd",,CI$2,"."&amp;$D$134&amp;$AW$82&amp;"P"&amp;$A159)="N/A",0,RTD("tos.rtd",,CI$2,"."&amp;$D$134&amp;$AW$82&amp;"P"&amp;$A159))</f>
        <v>0.36</v>
      </c>
      <c r="CK159" s="3">
        <f t="shared" si="374"/>
        <v>35174406.749999993</v>
      </c>
      <c r="CL159" s="3"/>
      <c r="CM159" s="3">
        <f t="shared" si="375"/>
        <v>-10132106.25</v>
      </c>
      <c r="CN159" s="3"/>
      <c r="CO159" s="3">
        <f t="shared" si="376"/>
        <v>669998857.5</v>
      </c>
      <c r="CP159" s="3">
        <f t="shared" si="331"/>
        <v>695041158</v>
      </c>
      <c r="CQ159" s="3">
        <f t="shared" si="341"/>
        <v>-619</v>
      </c>
      <c r="CR159" s="3"/>
      <c r="CS159" s="3">
        <f t="shared" si="342"/>
        <v>-12</v>
      </c>
      <c r="CT159" s="3"/>
      <c r="CU159" s="3">
        <f t="shared" si="343"/>
        <v>-2</v>
      </c>
      <c r="CV159" s="3"/>
      <c r="CW159" s="3">
        <f t="shared" ca="1" si="344"/>
        <v>5111588.526706933</v>
      </c>
      <c r="CY159" s="3">
        <f t="shared" ca="1" si="345"/>
        <v>-73421.124467823101</v>
      </c>
      <c r="CZ159" s="70" t="str">
        <f t="shared" ca="1" si="377"/>
        <v/>
      </c>
      <c r="DA159" s="3">
        <f>IF(RTD("tos.rtd",,DA$43,"."&amp;$B$134&amp;$AS$82&amp;"C"&amp;$A159)="N/A",0,RTD("tos.rtd",,DA$43,"."&amp;$B$134&amp;$AS$82&amp;"C"&amp;$A159))</f>
        <v>344.3</v>
      </c>
      <c r="DB159" s="3">
        <f>IF(RTD("tos.rtd",,DB$43,"."&amp;$B$134&amp;$AS$82&amp;"P"&amp;$A159)="N/A",0,RTD("tos.rtd",,DB$43,"."&amp;$B$134&amp;$AS$82&amp;"P"&amp;$A159))</f>
        <v>7.0000000000000007E-2</v>
      </c>
      <c r="DC159" s="3">
        <f>IF(RTD("tos.rtd",,DC$43,"."&amp;$B$134&amp;$AS$82&amp;"C"&amp;$A159)="N/A",0,RTD("tos.rtd",,DC$43,"."&amp;$B$134&amp;$AS$82&amp;"C"&amp;$A159))</f>
        <v>393.6</v>
      </c>
      <c r="DD159" s="3">
        <f>IF(RTD("tos.rtd",,DD$43,"."&amp;$B$134&amp;$AS$82&amp;"P"&amp;$A159)="N/A",0,RTD("tos.rtd",,DD$43,"."&amp;$B$134&amp;$AS$82&amp;"P"&amp;$A159))</f>
        <v>0.05</v>
      </c>
      <c r="DE159" s="3">
        <f>IF(RTD("tos.rtd",,DE$43,"."&amp;$B$134&amp;$AS$82&amp;"C"&amp;$A159)="N/A",0,RTD("tos.rtd",,DE$43,"."&amp;$B$134&amp;$AS$82&amp;"C"&amp;$A159))</f>
        <v>346</v>
      </c>
      <c r="DF159" s="3">
        <f>IF(RTD("tos.rtd",,DF$43,"."&amp;$B$134&amp;$AS$82&amp;"P"&amp;$A159)="N/A",0,RTD("tos.rtd",,DF$43,"."&amp;$B$134&amp;$AS$82&amp;"P"&amp;$A159))</f>
        <v>0</v>
      </c>
      <c r="DG159" s="86">
        <f t="shared" si="378"/>
        <v>-330.75</v>
      </c>
      <c r="DH159" s="3">
        <f t="shared" si="379"/>
        <v>0</v>
      </c>
      <c r="DI159" s="3">
        <f t="shared" si="380"/>
        <v>0</v>
      </c>
      <c r="DJ159" s="3">
        <f t="shared" si="346"/>
        <v>0</v>
      </c>
      <c r="DK159" s="3">
        <f t="shared" si="347"/>
        <v>0</v>
      </c>
      <c r="DL159" s="3">
        <f t="shared" si="381"/>
        <v>0</v>
      </c>
      <c r="DM159" s="3">
        <f t="shared" si="382"/>
        <v>0</v>
      </c>
      <c r="DN159" s="64" t="str">
        <f t="shared" si="348"/>
        <v>UNKNOWN</v>
      </c>
      <c r="DO159" s="64" t="str">
        <f t="shared" si="349"/>
        <v>UNKNOWN</v>
      </c>
      <c r="DP159" s="3">
        <f t="shared" si="350"/>
        <v>0</v>
      </c>
      <c r="DQ159" s="3">
        <f t="shared" si="351"/>
        <v>0</v>
      </c>
      <c r="DR159" s="3">
        <f t="shared" ca="1" si="352"/>
        <v>0</v>
      </c>
      <c r="DS159" s="3">
        <f t="shared" si="353"/>
        <v>0</v>
      </c>
      <c r="DT159" s="3">
        <f t="shared" si="383"/>
        <v>0</v>
      </c>
      <c r="DU159" s="3">
        <f t="shared" si="384"/>
        <v>0</v>
      </c>
      <c r="DV159" s="3">
        <f t="shared" si="354"/>
        <v>-1</v>
      </c>
      <c r="DW159" s="3">
        <f t="shared" si="355"/>
        <v>-390</v>
      </c>
      <c r="DX159" s="3">
        <f t="shared" ca="1" si="356"/>
        <v>7.1761825146532637E-4</v>
      </c>
      <c r="DY159" s="3">
        <f t="shared" ca="1" si="357"/>
        <v>-4.2830734363181799E-4</v>
      </c>
      <c r="DZ159" s="3">
        <f t="shared" ca="1" si="358"/>
        <v>6.7599999630380437E-4</v>
      </c>
      <c r="EA159" s="3">
        <f t="shared" ca="1" si="359"/>
        <v>-5.9102270878622748E-4</v>
      </c>
      <c r="EB159" s="3">
        <f t="shared" ca="1" si="360"/>
        <v>6.5924412450396586E-4</v>
      </c>
      <c r="EC159" s="3">
        <f t="shared" ca="1" si="361"/>
        <v>-6.3204848520902461E-4</v>
      </c>
      <c r="ED159" s="63">
        <f t="shared" si="385"/>
        <v>-391</v>
      </c>
      <c r="EE159" s="59">
        <f t="shared" si="362"/>
        <v>1.2303999999999999</v>
      </c>
      <c r="EF159" s="59">
        <f t="shared" si="363"/>
        <v>0.72699999999999998</v>
      </c>
      <c r="EG159" s="59">
        <f t="shared" si="364"/>
        <v>0.18240000000000001</v>
      </c>
      <c r="EH159" s="59">
        <f t="shared" si="365"/>
        <v>0.2414</v>
      </c>
      <c r="EI159" s="59">
        <f t="shared" si="366"/>
        <v>0.19539999999999999</v>
      </c>
      <c r="EJ159" s="59">
        <f t="shared" si="367"/>
        <v>0.2142</v>
      </c>
      <c r="EK159" s="63">
        <f t="shared" ca="1" si="386"/>
        <v>75676770.775015607</v>
      </c>
      <c r="EL159" s="3" t="str">
        <f>RTD("tos.rtd",,EL$43,"."&amp;$B$134&amp;$AS$82&amp;"C"&amp;$A159)</f>
        <v>123.04%</v>
      </c>
      <c r="EM159" s="3" t="str">
        <f>RTD("tos.rtd",,EM$43,"."&amp;$B$134&amp;$AS$82&amp;"P"&amp;$A159)</f>
        <v>72.70%</v>
      </c>
      <c r="EN159" s="3" t="str">
        <f>RTD("tos.rtd",,EN$2,"."&amp;$C$134&amp;$AU$82&amp;"C"&amp;$A159)</f>
        <v>18.24%</v>
      </c>
      <c r="EO159" s="3" t="str">
        <f>RTD("tos.rtd",,EO$2,"."&amp;$C$134&amp;$AU$82&amp;"P"&amp;$A159)</f>
        <v>24.14%</v>
      </c>
      <c r="EP159" s="3" t="str">
        <f>RTD("tos.rtd",,EP$2,"."&amp;$D$134&amp;$AW$82&amp;"C"&amp;$A159)</f>
        <v>19.54%</v>
      </c>
      <c r="EQ159" s="3" t="str">
        <f>RTD("tos.rtd",,EQ$2,"."&amp;$D$134&amp;$AW$82&amp;"P"&amp;$A159)</f>
        <v>21.42%</v>
      </c>
      <c r="ES159" s="63" t="str">
        <f t="shared" si="368"/>
        <v>21000,-391.00</v>
      </c>
      <c r="ET159" s="63" t="str">
        <f t="shared" ca="1" si="369"/>
        <v>21000,-73.42</v>
      </c>
      <c r="EU159" s="68">
        <v>592.64</v>
      </c>
      <c r="EV159" s="68" t="s">
        <v>1288</v>
      </c>
      <c r="EW159" s="68">
        <v>519.11</v>
      </c>
      <c r="EX159" s="68" t="s">
        <v>1289</v>
      </c>
      <c r="EY159" s="68">
        <v>5936.25</v>
      </c>
      <c r="EZ159" s="68" t="s">
        <v>1290</v>
      </c>
      <c r="FA159" s="68">
        <v>21309.5</v>
      </c>
      <c r="FB159" s="68" t="s">
        <v>1291</v>
      </c>
      <c r="FC159" s="68" t="s">
        <v>1292</v>
      </c>
      <c r="FD159" s="68" t="s">
        <v>1293</v>
      </c>
      <c r="FE159" s="68" t="s">
        <v>1294</v>
      </c>
      <c r="FF159" s="68" t="s">
        <v>1295</v>
      </c>
    </row>
    <row r="160" spans="1:162" ht="11.1" customHeight="1" thickBot="1" x14ac:dyDescent="0.25">
      <c r="A160" s="2">
        <f t="shared" si="387"/>
        <v>20975</v>
      </c>
      <c r="B160" s="3">
        <f t="shared" si="413"/>
        <v>2</v>
      </c>
      <c r="C160" s="3">
        <f t="shared" si="414"/>
        <v>18</v>
      </c>
      <c r="D160" s="3">
        <f t="shared" si="415"/>
        <v>19</v>
      </c>
      <c r="E160" s="3">
        <f t="shared" si="401"/>
        <v>39</v>
      </c>
      <c r="F160" s="4">
        <f t="shared" si="408"/>
        <v>21063.49899792553</v>
      </c>
      <c r="G160" s="5">
        <f t="shared" si="403"/>
        <v>510.96371435603527</v>
      </c>
      <c r="AM160" s="1">
        <v>0</v>
      </c>
      <c r="AN160" s="1">
        <v>-62</v>
      </c>
      <c r="AO160" s="1">
        <v>20975</v>
      </c>
      <c r="AP160" s="1">
        <v>0</v>
      </c>
      <c r="AQ160" s="1">
        <v>-109</v>
      </c>
      <c r="AS160" s="54">
        <f>IF(RTD("tos.rtd",,AS$83,"."&amp;$B$134&amp;$AS$82&amp;"C"&amp;$A160)="N/A",0,RTD("tos.rtd",,AS$83,"."&amp;$B$134&amp;$AS$82&amp;"C"&amp;$A160))</f>
        <v>1</v>
      </c>
      <c r="AT160" s="3">
        <f>-IF(RTD("tos.rtd",,AT$83,"."&amp;$B$134&amp;$AS$82&amp;"P"&amp;$A160)="N/A",0,RTD("tos.rtd",,AT$83,"."&amp;$B$134&amp;$AS$82&amp;"P"&amp;$A160))</f>
        <v>-1</v>
      </c>
      <c r="AU160" s="54">
        <f>IF(RTD("tos.rtd",,AU$2,"."&amp;$C$134&amp;$AU$134&amp;"C"&amp;$A160)="N/A",0,RTD("tos.rtd",,AU$2,"."&amp;$C$134&amp;$AU$134&amp;"C"&amp;$A160))</f>
        <v>3</v>
      </c>
      <c r="AV160" s="3">
        <f>-IF(RTD("tos.rtd",,AV$2,"."&amp;$C$134&amp;$AU$134&amp;"P"&amp;$A160)="N/A",0,RTD("tos.rtd",,AV$2,"."&amp;$C$134&amp;$AU$134&amp;"P"&amp;$A160))</f>
        <v>-15</v>
      </c>
      <c r="AW160" s="54">
        <f>IF(RTD("tos.rtd",,AW$2,"."&amp;$D$134&amp;$AW$134&amp;"C"&amp;$A160)="N/A",0,RTD("tos.rtd",,AW$2,"."&amp;$D$134&amp;$AW$134&amp;"C"&amp;$A160))</f>
        <v>18</v>
      </c>
      <c r="AX160" s="3">
        <f>-IF(RTD("tos.rtd",,AX$2,"."&amp;$D$134&amp;$AW$134&amp;"P"&amp;$A160)="N/A",0,RTD("tos.rtd",,AX$2,"."&amp;$D$134&amp;$AW$134&amp;"P"&amp;$A160))</f>
        <v>-1</v>
      </c>
      <c r="AY160" s="76">
        <f t="shared" si="409"/>
        <v>5</v>
      </c>
      <c r="AZ160" s="8">
        <f t="shared" si="337"/>
        <v>20975</v>
      </c>
      <c r="BA160" s="54">
        <f>IF(RTD("tos.rtd",,BA$43,"."&amp;$B$134&amp;$AS$82&amp;"C"&amp;$A160)="N/A",0,RTD("tos.rtd",,BA$43,"."&amp;$B$134&amp;$AS$82&amp;"C"&amp;$A160))</f>
        <v>0</v>
      </c>
      <c r="BB160" s="3">
        <f>-IF(RTD("tos.rtd",,BB$43,"."&amp;$B$134&amp;$AS$82&amp;"P"&amp;$A160)="N/A",0,RTD("tos.rtd",,BB$43,"."&amp;$B$134&amp;$AS$82&amp;"P"&amp;$A160))</f>
        <v>-109</v>
      </c>
      <c r="BC160" s="54">
        <f>IF(RTD("tos.rtd",,BC$2,"."&amp;$C$134&amp;$AU$82&amp;"C"&amp;$A160)="N/A",0,RTD("tos.rtd",,BC$2,"."&amp;$C$134&amp;$AU$82&amp;"C"&amp;$A160))</f>
        <v>0</v>
      </c>
      <c r="BD160" s="3">
        <f>-IF(RTD("tos.rtd",,BD$2,"."&amp;$C$134&amp;$AU$82&amp;"P"&amp;$A160)="N/A",0,RTD("tos.rtd",,BD$2,"."&amp;$C$134&amp;$AU$82&amp;"P"&amp;$A160))</f>
        <v>0</v>
      </c>
      <c r="BE160" s="54">
        <f>IF(RTD("tos.rtd",,BE$2,"."&amp;$D$134&amp;$AW$82&amp;"C"&amp;$A160)="N/A",0,RTD("tos.rtd",,BE$2,"."&amp;$D$134&amp;$AW$82&amp;"C"&amp;$A160))</f>
        <v>0</v>
      </c>
      <c r="BF160" s="3">
        <f>-IF(RTD("tos.rtd",,BF$2,"."&amp;$D$134&amp;$AW$82&amp;"P"&amp;$A160)="N/A",0,RTD("tos.rtd",,BF$2,"."&amp;$D$134&amp;$AW$82&amp;"P"&amp;$A160))</f>
        <v>0</v>
      </c>
      <c r="BG160" s="3">
        <f ca="1">+Hoja2!Y161</f>
        <v>-14</v>
      </c>
      <c r="BH160" s="7">
        <f t="shared" ca="1" si="338"/>
        <v>-123</v>
      </c>
      <c r="BI160" s="32" t="str">
        <f t="shared" ca="1" si="397"/>
        <v/>
      </c>
      <c r="BJ160" s="3">
        <f ca="1">IF($BP$1=1,DX160,IF(RTD("tos.rtd",,BJ$43,"."&amp;$B$134&amp;$AS$82&amp;"C"&amp;$A160)="N/A",0,RTD("tos.rtd",,BJ$43,"."&amp;$B$134&amp;$AS$82&amp;"C"&amp;$A160)))</f>
        <v>6.4304022626705988E-4</v>
      </c>
      <c r="BK160" s="3">
        <f ca="1">IF($BP$1=1,DY160,-IF(RTD("tos.rtd",,BK$43,"."&amp;$B$134&amp;$AS$82&amp;"P"&amp;$A160)="N/A",0,RTD("tos.rtd",,BK$43,"."&amp;$B$134&amp;$AS$82&amp;"P"&amp;$A160)))</f>
        <v>-6.4202563484385159E-4</v>
      </c>
      <c r="BL160" s="3">
        <f ca="1">IF($BP$1=1,DZ160,IF(RTD("tos.rtd",,BL$2,"."&amp;$C$134&amp;$AU$82&amp;"C"&amp;$A160)="N/A",0,RTD("tos.rtd",,BL$2,"."&amp;$C$134&amp;$AU$82&amp;"C"&amp;$A160)))</f>
        <v>6.4236569671831726E-4</v>
      </c>
      <c r="BM160" s="3">
        <f ca="1">IF($BP$1=1,EA160,-IF(RTD("tos.rtd",,BM$2,"."&amp;$C$134&amp;$AU$82&amp;"P"&amp;$A160)="N/A",0,RTD("tos.rtd",,BM$2,"."&amp;$C$134&amp;$AU$82&amp;"P"&amp;$A160)))</f>
        <v>-5.7019030744646568E-4</v>
      </c>
      <c r="BN160" s="3">
        <f ca="1">IF($BP$1=1,EB160,IF(RTD("tos.rtd",,BN$2,"."&amp;$D$134&amp;$AW$82&amp;"C"&amp;$A160)="N/A",0,RTD("tos.rtd",,BN$2,"."&amp;$D$134&amp;$AW$82&amp;"C"&amp;$A160)))</f>
        <v>6.2947194048051176E-4</v>
      </c>
      <c r="BO160" s="3">
        <f ca="1">IF($BP$1=1,EC160,-IF(RTD("tos.rtd",,BO$2,"."&amp;$D$134&amp;$AW$82&amp;"P"&amp;$A160)="N/A",0,RTD("tos.rtd",,BO$2,"."&amp;$D$134&amp;$AW$82&amp;"P"&amp;$A160)))</f>
        <v>-6.0724305425817558E-4</v>
      </c>
      <c r="BQ160" s="3">
        <f t="shared" ca="1" si="410"/>
        <v>35.741207437618868</v>
      </c>
      <c r="BR160" s="3" t="str">
        <f t="shared" ca="1" si="339"/>
        <v>Cruce +</v>
      </c>
      <c r="BS160" s="3">
        <f t="shared" ca="1" si="411"/>
        <v>-233406.83608379395</v>
      </c>
      <c r="BT160" s="3" t="str">
        <f t="shared" ca="1" si="340"/>
        <v/>
      </c>
      <c r="BU160" s="3">
        <f t="shared" ca="1" si="412"/>
        <v>377750.05867536209</v>
      </c>
      <c r="BV160" s="3" t="str">
        <f t="shared" ca="1" si="340"/>
        <v/>
      </c>
      <c r="BX160" s="3">
        <f t="shared" ca="1" si="370"/>
        <v>-18895.887721897088</v>
      </c>
      <c r="BY160" s="3" t="str">
        <f t="shared" ca="1" si="371"/>
        <v/>
      </c>
      <c r="BZ160" s="3">
        <f t="shared" ca="1" si="372"/>
        <v>0</v>
      </c>
      <c r="CA160" s="3" t="str">
        <f t="shared" ca="1" si="371"/>
        <v/>
      </c>
      <c r="CB160" s="3">
        <f t="shared" ca="1" si="373"/>
        <v>0</v>
      </c>
      <c r="CC160" s="3" t="str">
        <f t="shared" ca="1" si="371"/>
        <v/>
      </c>
      <c r="CD160" s="3">
        <f>IF(RTD("tos.rtd",,CD$43,"."&amp;$B$134&amp;$AS$82&amp;"C"&amp;$A160)="N/A",0,RTD("tos.rtd",,CD$43,"."&amp;$B$134&amp;$AS$82&amp;"C"&amp;$A160))</f>
        <v>0.98</v>
      </c>
      <c r="CE160" s="3">
        <f>-IF(RTD("tos.rtd",,CE$43,"."&amp;$B$134&amp;$AS$82&amp;"P"&amp;$A160)="N/A",0,RTD("tos.rtd",,CE$43,"."&amp;$B$134&amp;$AS$82&amp;"P"&amp;$A160))</f>
        <v>0.08</v>
      </c>
      <c r="CF160" s="3">
        <f>IF(RTD("tos.rtd",,CF$2,"."&amp;$C$134&amp;$AU$82&amp;"C"&amp;$A160)="N/A",0,RTD("tos.rtd",,CF$2,"."&amp;$C$134&amp;$AU$82&amp;"C"&amp;$A160))</f>
        <v>0.88</v>
      </c>
      <c r="CG160" s="3">
        <f>-IF(RTD("tos.rtd",,CG$2,"."&amp;$C$134&amp;$AU$82&amp;"P"&amp;$A160)="N/A",0,RTD("tos.rtd",,CG$2,"."&amp;$C$134&amp;$AU$82&amp;"P"&amp;$A160))</f>
        <v>0.19</v>
      </c>
      <c r="CH160" s="3">
        <f>IF(RTD("tos.rtd",,CH$2,"."&amp;$D$134&amp;$AW$82&amp;"C"&amp;$A160)="N/A",0,RTD("tos.rtd",,CH$2,"."&amp;$D$134&amp;$AW$82&amp;"C"&amp;$A160))</f>
        <v>0.66</v>
      </c>
      <c r="CI160" s="3">
        <f>-IF(RTD("tos.rtd",,CI$2,"."&amp;$D$134&amp;$AW$82&amp;"P"&amp;$A160)="N/A",0,RTD("tos.rtd",,CI$2,"."&amp;$D$134&amp;$AW$82&amp;"P"&amp;$A160))</f>
        <v>0.35</v>
      </c>
      <c r="CK160" s="3">
        <f t="shared" si="374"/>
        <v>1919767.5</v>
      </c>
      <c r="CL160" s="3"/>
      <c r="CM160" s="3">
        <f t="shared" si="375"/>
        <v>-447945.75</v>
      </c>
      <c r="CN160" s="3"/>
      <c r="CO160" s="3">
        <f t="shared" si="376"/>
        <v>24594354.75</v>
      </c>
      <c r="CP160" s="3">
        <f t="shared" si="331"/>
        <v>26066176.5</v>
      </c>
      <c r="CQ160" s="3">
        <f t="shared" si="341"/>
        <v>-109</v>
      </c>
      <c r="CR160" s="3"/>
      <c r="CS160" s="3">
        <f t="shared" si="342"/>
        <v>0</v>
      </c>
      <c r="CT160" s="3"/>
      <c r="CU160" s="3">
        <f t="shared" si="343"/>
        <v>0</v>
      </c>
      <c r="CV160" s="3"/>
      <c r="CW160" s="3">
        <f t="shared" ca="1" si="344"/>
        <v>144378.96379900575</v>
      </c>
      <c r="CY160" s="3">
        <f t="shared" ca="1" si="345"/>
        <v>-18895.887721897088</v>
      </c>
      <c r="CZ160" s="70" t="str">
        <f t="shared" ca="1" si="377"/>
        <v/>
      </c>
      <c r="DA160" s="3">
        <f>IF(RTD("tos.rtd",,DA$43,"."&amp;$B$134&amp;$AS$82&amp;"C"&amp;$A160)="N/A",0,RTD("tos.rtd",,DA$43,"."&amp;$B$134&amp;$AS$82&amp;"C"&amp;$A160))</f>
        <v>411.35</v>
      </c>
      <c r="DB160" s="3">
        <f>IF(RTD("tos.rtd",,DB$43,"."&amp;$B$134&amp;$AS$82&amp;"P"&amp;$A160)="N/A",0,RTD("tos.rtd",,DB$43,"."&amp;$B$134&amp;$AS$82&amp;"P"&amp;$A160))</f>
        <v>0.4</v>
      </c>
      <c r="DC160" s="3">
        <f>IF(RTD("tos.rtd",,DC$43,"."&amp;$B$134&amp;$AS$82&amp;"C"&amp;$A160)="N/A",0,RTD("tos.rtd",,DC$43,"."&amp;$B$134&amp;$AS$82&amp;"C"&amp;$A160))</f>
        <v>415.2</v>
      </c>
      <c r="DD160" s="3">
        <f>IF(RTD("tos.rtd",,DD$43,"."&amp;$B$134&amp;$AS$82&amp;"P"&amp;$A160)="N/A",0,RTD("tos.rtd",,DD$43,"."&amp;$B$134&amp;$AS$82&amp;"P"&amp;$A160))</f>
        <v>19.8</v>
      </c>
      <c r="DE160" s="3">
        <f>IF(RTD("tos.rtd",,DE$43,"."&amp;$B$134&amp;$AS$82&amp;"C"&amp;$A160)="N/A",0,RTD("tos.rtd",,DE$43,"."&amp;$B$134&amp;$AS$82&amp;"C"&amp;$A160))</f>
        <v>372</v>
      </c>
      <c r="DF160" s="3">
        <f>IF(RTD("tos.rtd",,DF$43,"."&amp;$B$134&amp;$AS$82&amp;"P"&amp;$A160)="N/A",0,RTD("tos.rtd",,DF$43,"."&amp;$B$134&amp;$AS$82&amp;"P"&amp;$A160))</f>
        <v>0</v>
      </c>
      <c r="DG160" s="86">
        <f t="shared" si="378"/>
        <v>-355.75</v>
      </c>
      <c r="DH160" s="3">
        <f t="shared" si="379"/>
        <v>0</v>
      </c>
      <c r="DI160" s="3">
        <f t="shared" si="380"/>
        <v>0</v>
      </c>
      <c r="DJ160" s="3">
        <f t="shared" si="346"/>
        <v>0</v>
      </c>
      <c r="DK160" s="3">
        <f t="shared" si="347"/>
        <v>0</v>
      </c>
      <c r="DL160" s="3">
        <f t="shared" si="381"/>
        <v>0</v>
      </c>
      <c r="DM160" s="3">
        <f t="shared" si="382"/>
        <v>0</v>
      </c>
      <c r="DN160" s="64" t="str">
        <f t="shared" si="348"/>
        <v>UNKNOWN</v>
      </c>
      <c r="DO160" s="64" t="str">
        <f t="shared" si="349"/>
        <v>UNKNOWN</v>
      </c>
      <c r="DP160" s="3">
        <f t="shared" si="350"/>
        <v>0</v>
      </c>
      <c r="DQ160" s="3">
        <f t="shared" si="351"/>
        <v>0</v>
      </c>
      <c r="DR160" s="3">
        <f t="shared" ca="1" si="352"/>
        <v>0</v>
      </c>
      <c r="DS160" s="3">
        <f t="shared" si="353"/>
        <v>0</v>
      </c>
      <c r="DT160" s="3">
        <f t="shared" si="383"/>
        <v>0</v>
      </c>
      <c r="DU160" s="3">
        <f t="shared" si="384"/>
        <v>0</v>
      </c>
      <c r="DV160" s="3">
        <f t="shared" si="354"/>
        <v>0</v>
      </c>
      <c r="DW160" s="3">
        <f t="shared" si="355"/>
        <v>-62</v>
      </c>
      <c r="DX160" s="3">
        <f t="shared" ca="1" si="356"/>
        <v>6.4304022626705988E-4</v>
      </c>
      <c r="DY160" s="3">
        <f t="shared" ca="1" si="357"/>
        <v>-6.4202563484385159E-4</v>
      </c>
      <c r="DZ160" s="3">
        <f t="shared" ca="1" si="358"/>
        <v>6.4236569671831726E-4</v>
      </c>
      <c r="EA160" s="3">
        <f t="shared" ca="1" si="359"/>
        <v>-5.7019030744646568E-4</v>
      </c>
      <c r="EB160" s="3">
        <f t="shared" ca="1" si="360"/>
        <v>6.2947194048051176E-4</v>
      </c>
      <c r="EC160" s="3">
        <f t="shared" ca="1" si="361"/>
        <v>-6.0724305425817558E-4</v>
      </c>
      <c r="ED160" s="63">
        <f t="shared" si="385"/>
        <v>-62</v>
      </c>
      <c r="EE160" s="59">
        <f t="shared" si="362"/>
        <v>1.1635</v>
      </c>
      <c r="EF160" s="59">
        <f t="shared" si="363"/>
        <v>1.7372000000000001</v>
      </c>
      <c r="EG160" s="59">
        <f t="shared" si="364"/>
        <v>0.18090000000000001</v>
      </c>
      <c r="EH160" s="59">
        <f t="shared" si="365"/>
        <v>0.24379999999999999</v>
      </c>
      <c r="EI160" s="59">
        <f t="shared" si="366"/>
        <v>0.19550000000000001</v>
      </c>
      <c r="EJ160" s="59">
        <f t="shared" si="367"/>
        <v>0.215</v>
      </c>
      <c r="EK160" s="63">
        <f t="shared" ca="1" si="386"/>
        <v>18111578.807338174</v>
      </c>
      <c r="EL160" s="3" t="str">
        <f>RTD("tos.rtd",,EL$43,"."&amp;$B$134&amp;$AS$82&amp;"C"&amp;$A160)</f>
        <v>116.35%</v>
      </c>
      <c r="EM160" s="3" t="str">
        <f>RTD("tos.rtd",,EM$43,"."&amp;$B$134&amp;$AS$82&amp;"P"&amp;$A160)</f>
        <v>173.72%</v>
      </c>
      <c r="EN160" s="3" t="str">
        <f>RTD("tos.rtd",,EN$2,"."&amp;$C$134&amp;$AU$82&amp;"C"&amp;$A160)</f>
        <v>18.09%</v>
      </c>
      <c r="EO160" s="3" t="str">
        <f>RTD("tos.rtd",,EO$2,"."&amp;$C$134&amp;$AU$82&amp;"P"&amp;$A160)</f>
        <v>24.38%</v>
      </c>
      <c r="EP160" s="3" t="str">
        <f>RTD("tos.rtd",,EP$2,"."&amp;$D$134&amp;$AW$82&amp;"C"&amp;$A160)</f>
        <v>19.55%</v>
      </c>
      <c r="EQ160" s="3" t="str">
        <f>RTD("tos.rtd",,EQ$2,"."&amp;$D$134&amp;$AW$82&amp;"P"&amp;$A160)</f>
        <v>21.50%</v>
      </c>
      <c r="ES160" s="63" t="str">
        <f t="shared" si="368"/>
        <v>20975,-62.00</v>
      </c>
      <c r="ET160" s="63" t="str">
        <f t="shared" ca="1" si="369"/>
        <v>20975,-18.90</v>
      </c>
      <c r="EU160" s="68">
        <v>592.64</v>
      </c>
      <c r="EV160" s="68" t="s">
        <v>1296</v>
      </c>
      <c r="EW160" s="68">
        <v>519.11</v>
      </c>
      <c r="EX160" s="68" t="s">
        <v>1297</v>
      </c>
      <c r="EY160" s="68">
        <v>5936.25</v>
      </c>
      <c r="EZ160" s="68" t="s">
        <v>1298</v>
      </c>
      <c r="FA160" s="68">
        <v>21309.5</v>
      </c>
      <c r="FB160" s="68" t="s">
        <v>1299</v>
      </c>
      <c r="FC160" s="68" t="s">
        <v>1300</v>
      </c>
      <c r="FD160" s="68" t="s">
        <v>1301</v>
      </c>
      <c r="FE160" s="68" t="s">
        <v>1302</v>
      </c>
      <c r="FF160" s="68" t="s">
        <v>1303</v>
      </c>
    </row>
    <row r="161" spans="1:162" ht="11.1" customHeight="1" thickBot="1" x14ac:dyDescent="0.25">
      <c r="A161" s="2">
        <f t="shared" si="387"/>
        <v>20950</v>
      </c>
      <c r="B161" s="3">
        <f t="shared" si="413"/>
        <v>55</v>
      </c>
      <c r="C161" s="3">
        <f t="shared" si="414"/>
        <v>11</v>
      </c>
      <c r="D161" s="3">
        <f t="shared" si="415"/>
        <v>28</v>
      </c>
      <c r="E161" s="3">
        <f t="shared" si="401"/>
        <v>94</v>
      </c>
      <c r="F161" s="4">
        <f t="shared" si="408"/>
        <v>21038.393516402379</v>
      </c>
      <c r="G161" s="5">
        <f t="shared" si="403"/>
        <v>510.35469920185642</v>
      </c>
      <c r="AM161" s="1">
        <v>0</v>
      </c>
      <c r="AN161" s="1">
        <v>-32</v>
      </c>
      <c r="AO161" s="1">
        <v>20950</v>
      </c>
      <c r="AP161" s="1">
        <v>0</v>
      </c>
      <c r="AQ161" s="1">
        <v>-278</v>
      </c>
      <c r="AS161" s="54">
        <f>IF(RTD("tos.rtd",,AS$83,"."&amp;$B$134&amp;$AS$82&amp;"C"&amp;$A161)="N/A",0,RTD("tos.rtd",,AS$83,"."&amp;$B$134&amp;$AS$82&amp;"C"&amp;$A161))</f>
        <v>0</v>
      </c>
      <c r="AT161" s="3">
        <f>-IF(RTD("tos.rtd",,AT$83,"."&amp;$B$134&amp;$AS$82&amp;"P"&amp;$A161)="N/A",0,RTD("tos.rtd",,AT$83,"."&amp;$B$134&amp;$AS$82&amp;"P"&amp;$A161))</f>
        <v>-55</v>
      </c>
      <c r="AU161" s="54">
        <f>IF(RTD("tos.rtd",,AU$2,"."&amp;$C$134&amp;$AU$134&amp;"C"&amp;$A161)="N/A",0,RTD("tos.rtd",,AU$2,"."&amp;$C$134&amp;$AU$134&amp;"C"&amp;$A161))</f>
        <v>4</v>
      </c>
      <c r="AV161" s="3">
        <f>-IF(RTD("tos.rtd",,AV$2,"."&amp;$C$134&amp;$AU$134&amp;"P"&amp;$A161)="N/A",0,RTD("tos.rtd",,AV$2,"."&amp;$C$134&amp;$AU$134&amp;"P"&amp;$A161))</f>
        <v>-7</v>
      </c>
      <c r="AW161" s="54">
        <f>IF(RTD("tos.rtd",,AW$2,"."&amp;$D$134&amp;$AW$134&amp;"C"&amp;$A161)="N/A",0,RTD("tos.rtd",,AW$2,"."&amp;$D$134&amp;$AW$134&amp;"C"&amp;$A161))</f>
        <v>13</v>
      </c>
      <c r="AX161" s="3">
        <f>-IF(RTD("tos.rtd",,AX$2,"."&amp;$D$134&amp;$AW$134&amp;"P"&amp;$A161)="N/A",0,RTD("tos.rtd",,AX$2,"."&amp;$D$134&amp;$AW$134&amp;"P"&amp;$A161))</f>
        <v>-15</v>
      </c>
      <c r="AY161" s="76">
        <f t="shared" si="409"/>
        <v>-60</v>
      </c>
      <c r="AZ161" s="8">
        <f t="shared" si="337"/>
        <v>20950</v>
      </c>
      <c r="BA161" s="54">
        <f>IF(RTD("tos.rtd",,BA$43,"."&amp;$B$134&amp;$AS$82&amp;"C"&amp;$A161)="N/A",0,RTD("tos.rtd",,BA$43,"."&amp;$B$134&amp;$AS$82&amp;"C"&amp;$A161))</f>
        <v>0</v>
      </c>
      <c r="BB161" s="3">
        <f>-IF(RTD("tos.rtd",,BB$43,"."&amp;$B$134&amp;$AS$82&amp;"P"&amp;$A161)="N/A",0,RTD("tos.rtd",,BB$43,"."&amp;$B$134&amp;$AS$82&amp;"P"&amp;$A161))</f>
        <v>-278</v>
      </c>
      <c r="BC161" s="54">
        <f>IF(RTD("tos.rtd",,BC$2,"."&amp;$C$134&amp;$AU$82&amp;"C"&amp;$A161)="N/A",0,RTD("tos.rtd",,BC$2,"."&amp;$C$134&amp;$AU$82&amp;"C"&amp;$A161))</f>
        <v>0</v>
      </c>
      <c r="BD161" s="3">
        <f>-IF(RTD("tos.rtd",,BD$2,"."&amp;$C$134&amp;$AU$82&amp;"P"&amp;$A161)="N/A",0,RTD("tos.rtd",,BD$2,"."&amp;$C$134&amp;$AU$82&amp;"P"&amp;$A161))</f>
        <v>-1</v>
      </c>
      <c r="BE161" s="54">
        <f>IF(RTD("tos.rtd",,BE$2,"."&amp;$D$134&amp;$AW$82&amp;"C"&amp;$A161)="N/A",0,RTD("tos.rtd",,BE$2,"."&amp;$D$134&amp;$AW$82&amp;"C"&amp;$A161))</f>
        <v>0</v>
      </c>
      <c r="BF161" s="3">
        <f>-IF(RTD("tos.rtd",,BF$2,"."&amp;$D$134&amp;$AW$82&amp;"P"&amp;$A161)="N/A",0,RTD("tos.rtd",,BF$2,"."&amp;$D$134&amp;$AW$82&amp;"P"&amp;$A161))</f>
        <v>0</v>
      </c>
      <c r="BG161" s="3">
        <f ca="1">+Hoja2!Y162</f>
        <v>-47</v>
      </c>
      <c r="BH161" s="7">
        <f t="shared" ca="1" si="338"/>
        <v>-326</v>
      </c>
      <c r="BI161" s="32" t="str">
        <f t="shared" ca="1" si="397"/>
        <v/>
      </c>
      <c r="BJ161" s="3">
        <f ca="1">IF($BP$1=1,DX161,IF(RTD("tos.rtd",,BJ$43,"."&amp;$B$134&amp;$AS$82&amp;"C"&amp;$A161)="N/A",0,RTD("tos.rtd",,BJ$43,"."&amp;$B$134&amp;$AS$82&amp;"C"&amp;$A161)))</f>
        <v>6.1851584430063162E-4</v>
      </c>
      <c r="BK161" s="3">
        <f ca="1">IF($BP$1=1,DY161,-IF(RTD("tos.rtd",,BK$43,"."&amp;$B$134&amp;$AS$82&amp;"P"&amp;$A161)="N/A",0,RTD("tos.rtd",,BK$43,"."&amp;$B$134&amp;$AS$82&amp;"P"&amp;$A161)))</f>
        <v>-6.0341489437752379E-4</v>
      </c>
      <c r="BL161" s="3">
        <f ca="1">IF($BP$1=1,DZ161,IF(RTD("tos.rtd",,BL$2,"."&amp;$C$134&amp;$AU$82&amp;"C"&amp;$A161)="N/A",0,RTD("tos.rtd",,BL$2,"."&amp;$C$134&amp;$AU$82&amp;"C"&amp;$A161)))</f>
        <v>6.0196954484773501E-4</v>
      </c>
      <c r="BM161" s="3">
        <f ca="1">IF($BP$1=1,EA161,-IF(RTD("tos.rtd",,BM$2,"."&amp;$C$134&amp;$AU$82&amp;"P"&amp;$A161)="N/A",0,RTD("tos.rtd",,BM$2,"."&amp;$C$134&amp;$AU$82&amp;"P"&amp;$A161)))</f>
        <v>-5.508100951139601E-4</v>
      </c>
      <c r="BN161" s="3">
        <f ca="1">IF($BP$1=1,EB161,IF(RTD("tos.rtd",,BN$2,"."&amp;$D$134&amp;$AW$82&amp;"C"&amp;$A161)="N/A",0,RTD("tos.rtd",,BN$2,"."&amp;$D$134&amp;$AW$82&amp;"C"&amp;$A161)))</f>
        <v>5.9871355689242276E-4</v>
      </c>
      <c r="BO161" s="3">
        <f ca="1">IF($BP$1=1,EC161,-IF(RTD("tos.rtd",,BO$2,"."&amp;$D$134&amp;$AW$82&amp;"P"&amp;$A161)="N/A",0,RTD("tos.rtd",,BO$2,"."&amp;$D$134&amp;$AW$82&amp;"P"&amp;$A161)))</f>
        <v>-5.8205630037104928E-4</v>
      </c>
      <c r="BQ161" s="3">
        <f t="shared" ca="1" si="410"/>
        <v>-1169113.6973624695</v>
      </c>
      <c r="BR161" s="3" t="str">
        <f t="shared" ca="1" si="339"/>
        <v>Cruce -</v>
      </c>
      <c r="BS161" s="3">
        <f t="shared" ca="1" si="411"/>
        <v>-51001.664709192337</v>
      </c>
      <c r="BT161" s="3" t="str">
        <f t="shared" ca="1" si="340"/>
        <v/>
      </c>
      <c r="BU161" s="3">
        <f t="shared" ca="1" si="412"/>
        <v>-33380.169771236659</v>
      </c>
      <c r="BV161" s="3" t="str">
        <f t="shared" ca="1" si="340"/>
        <v>Cruce -</v>
      </c>
      <c r="BX161" s="3">
        <f t="shared" ca="1" si="370"/>
        <v>-45294.894726839346</v>
      </c>
      <c r="BY161" s="3" t="str">
        <f t="shared" ca="1" si="371"/>
        <v/>
      </c>
      <c r="BZ161" s="3">
        <f t="shared" ca="1" si="372"/>
        <v>-148.72717340011698</v>
      </c>
      <c r="CA161" s="3" t="str">
        <f t="shared" ca="1" si="371"/>
        <v/>
      </c>
      <c r="CB161" s="3">
        <f t="shared" ca="1" si="373"/>
        <v>0</v>
      </c>
      <c r="CC161" s="3" t="str">
        <f t="shared" ca="1" si="371"/>
        <v/>
      </c>
      <c r="CD161" s="3">
        <f>IF(RTD("tos.rtd",,CD$43,"."&amp;$B$134&amp;$AS$82&amp;"C"&amp;$A161)="N/A",0,RTD("tos.rtd",,CD$43,"."&amp;$B$134&amp;$AS$82&amp;"C"&amp;$A161))</f>
        <v>0.97</v>
      </c>
      <c r="CE161" s="3">
        <f>-IF(RTD("tos.rtd",,CE$43,"."&amp;$B$134&amp;$AS$82&amp;"P"&amp;$A161)="N/A",0,RTD("tos.rtd",,CE$43,"."&amp;$B$134&amp;$AS$82&amp;"P"&amp;$A161))</f>
        <v>7.0000000000000007E-2</v>
      </c>
      <c r="CF161" s="3">
        <f>IF(RTD("tos.rtd",,CF$2,"."&amp;$C$134&amp;$AU$82&amp;"C"&amp;$A161)="N/A",0,RTD("tos.rtd",,CF$2,"."&amp;$C$134&amp;$AU$82&amp;"C"&amp;$A161))</f>
        <v>0.92</v>
      </c>
      <c r="CG161" s="3">
        <f>-IF(RTD("tos.rtd",,CG$2,"."&amp;$C$134&amp;$AU$82&amp;"P"&amp;$A161)="N/A",0,RTD("tos.rtd",,CG$2,"."&amp;$C$134&amp;$AU$82&amp;"P"&amp;$A161))</f>
        <v>0.18</v>
      </c>
      <c r="CH161" s="3">
        <f>IF(RTD("tos.rtd",,CH$2,"."&amp;$D$134&amp;$AW$82&amp;"C"&amp;$A161)="N/A",0,RTD("tos.rtd",,CH$2,"."&amp;$D$134&amp;$AW$82&amp;"C"&amp;$A161))</f>
        <v>0.67</v>
      </c>
      <c r="CI161" s="3">
        <f>-IF(RTD("tos.rtd",,CI$2,"."&amp;$D$134&amp;$AW$82&amp;"P"&amp;$A161)="N/A",0,RTD("tos.rtd",,CI$2,"."&amp;$D$134&amp;$AW$82&amp;"P"&amp;$A161))</f>
        <v>0.34</v>
      </c>
      <c r="CK161" s="3">
        <f t="shared" si="374"/>
        <v>-8212338.7500000009</v>
      </c>
      <c r="CL161" s="3"/>
      <c r="CM161" s="3">
        <f t="shared" si="375"/>
        <v>5162041.5</v>
      </c>
      <c r="CN161" s="3"/>
      <c r="CO161" s="3">
        <f t="shared" si="376"/>
        <v>7700400.7500000019</v>
      </c>
      <c r="CP161" s="3">
        <f t="shared" si="331"/>
        <v>4650103.5000000009</v>
      </c>
      <c r="CQ161" s="3">
        <f t="shared" si="341"/>
        <v>-278</v>
      </c>
      <c r="CR161" s="3"/>
      <c r="CS161" s="3">
        <f t="shared" si="342"/>
        <v>-1</v>
      </c>
      <c r="CT161" s="3"/>
      <c r="CU161" s="3">
        <f t="shared" si="343"/>
        <v>0</v>
      </c>
      <c r="CV161" s="3"/>
      <c r="CW161" s="3">
        <f t="shared" ca="1" si="344"/>
        <v>-1253495.5318428983</v>
      </c>
      <c r="CY161" s="3">
        <f t="shared" ca="1" si="345"/>
        <v>-45443.621900239465</v>
      </c>
      <c r="CZ161" s="70" t="str">
        <f t="shared" ca="1" si="377"/>
        <v/>
      </c>
      <c r="DA161" s="3">
        <f>IF(RTD("tos.rtd",,DA$43,"."&amp;$B$134&amp;$AS$82&amp;"C"&amp;$A161)="N/A",0,RTD("tos.rtd",,DA$43,"."&amp;$B$134&amp;$AS$82&amp;"C"&amp;$A161))</f>
        <v>0</v>
      </c>
      <c r="DB161" s="3">
        <f>IF(RTD("tos.rtd",,DB$43,"."&amp;$B$134&amp;$AS$82&amp;"P"&amp;$A161)="N/A",0,RTD("tos.rtd",,DB$43,"."&amp;$B$134&amp;$AS$82&amp;"P"&amp;$A161))</f>
        <v>0.1</v>
      </c>
      <c r="DC161" s="3">
        <f>IF(RTD("tos.rtd",,DC$43,"."&amp;$B$134&amp;$AS$82&amp;"C"&amp;$A161)="N/A",0,RTD("tos.rtd",,DC$43,"."&amp;$B$134&amp;$AS$82&amp;"C"&amp;$A161))</f>
        <v>443.6</v>
      </c>
      <c r="DD161" s="3">
        <f>IF(RTD("tos.rtd",,DD$43,"."&amp;$B$134&amp;$AS$82&amp;"P"&amp;$A161)="N/A",0,RTD("tos.rtd",,DD$43,"."&amp;$B$134&amp;$AS$82&amp;"P"&amp;$A161))</f>
        <v>19.8</v>
      </c>
      <c r="DE161" s="3">
        <f>IF(RTD("tos.rtd",,DE$43,"."&amp;$B$134&amp;$AS$82&amp;"C"&amp;$A161)="N/A",0,RTD("tos.rtd",,DE$43,"."&amp;$B$134&amp;$AS$82&amp;"C"&amp;$A161))</f>
        <v>396</v>
      </c>
      <c r="DF161" s="3">
        <f>IF(RTD("tos.rtd",,DF$43,"."&amp;$B$134&amp;$AS$82&amp;"P"&amp;$A161)="N/A",0,RTD("tos.rtd",,DF$43,"."&amp;$B$134&amp;$AS$82&amp;"P"&amp;$A161))</f>
        <v>0</v>
      </c>
      <c r="DG161" s="86">
        <f t="shared" si="378"/>
        <v>-380.75</v>
      </c>
      <c r="DH161" s="3">
        <f t="shared" si="379"/>
        <v>0</v>
      </c>
      <c r="DI161" s="3">
        <f t="shared" si="380"/>
        <v>0</v>
      </c>
      <c r="DJ161" s="3">
        <f t="shared" si="346"/>
        <v>0</v>
      </c>
      <c r="DK161" s="3">
        <f t="shared" si="347"/>
        <v>0</v>
      </c>
      <c r="DL161" s="3">
        <f t="shared" si="381"/>
        <v>0</v>
      </c>
      <c r="DM161" s="3">
        <f t="shared" si="382"/>
        <v>0</v>
      </c>
      <c r="DN161" s="64" t="str">
        <f t="shared" si="348"/>
        <v>UNKNOWN</v>
      </c>
      <c r="DO161" s="64" t="str">
        <f t="shared" si="349"/>
        <v>UNKNOWN</v>
      </c>
      <c r="DP161" s="3">
        <f t="shared" si="350"/>
        <v>0</v>
      </c>
      <c r="DQ161" s="3">
        <f t="shared" si="351"/>
        <v>0</v>
      </c>
      <c r="DR161" s="3">
        <f t="shared" ca="1" si="352"/>
        <v>0</v>
      </c>
      <c r="DS161" s="3">
        <f t="shared" si="353"/>
        <v>0</v>
      </c>
      <c r="DT161" s="3">
        <f t="shared" si="383"/>
        <v>0</v>
      </c>
      <c r="DU161" s="3">
        <f t="shared" si="384"/>
        <v>0</v>
      </c>
      <c r="DV161" s="3">
        <f t="shared" si="354"/>
        <v>0</v>
      </c>
      <c r="DW161" s="3">
        <f t="shared" si="355"/>
        <v>-32</v>
      </c>
      <c r="DX161" s="3">
        <f t="shared" ca="1" si="356"/>
        <v>6.1851584430063162E-4</v>
      </c>
      <c r="DY161" s="3">
        <f t="shared" ca="1" si="357"/>
        <v>-6.0341489437752379E-4</v>
      </c>
      <c r="DZ161" s="3">
        <f t="shared" ca="1" si="358"/>
        <v>6.0196954484773501E-4</v>
      </c>
      <c r="EA161" s="3">
        <f t="shared" ca="1" si="359"/>
        <v>-5.508100951139601E-4</v>
      </c>
      <c r="EB161" s="3">
        <f t="shared" ca="1" si="360"/>
        <v>5.9871355689242276E-4</v>
      </c>
      <c r="EC161" s="3">
        <f t="shared" ca="1" si="361"/>
        <v>-5.8205630037104928E-4</v>
      </c>
      <c r="ED161" s="63">
        <f t="shared" si="385"/>
        <v>-32</v>
      </c>
      <c r="EE161" s="59">
        <f t="shared" si="362"/>
        <v>1.3694999999999999</v>
      </c>
      <c r="EF161" s="59">
        <f t="shared" si="363"/>
        <v>1.8217000000000001</v>
      </c>
      <c r="EG161" s="59">
        <f t="shared" si="364"/>
        <v>0.15709999999999999</v>
      </c>
      <c r="EH161" s="59">
        <f t="shared" si="365"/>
        <v>0.24510000000000001</v>
      </c>
      <c r="EI161" s="59">
        <f t="shared" si="366"/>
        <v>0.19620000000000001</v>
      </c>
      <c r="EJ161" s="59">
        <f t="shared" si="367"/>
        <v>0.21590000000000001</v>
      </c>
      <c r="EK161" s="63">
        <f t="shared" ca="1" si="386"/>
        <v>8785738.1548007894</v>
      </c>
      <c r="EL161" s="3" t="str">
        <f>RTD("tos.rtd",,EL$43,"."&amp;$B$134&amp;$AS$82&amp;"C"&amp;$A161)</f>
        <v>136.95%</v>
      </c>
      <c r="EM161" s="3" t="str">
        <f>RTD("tos.rtd",,EM$43,"."&amp;$B$134&amp;$AS$82&amp;"P"&amp;$A161)</f>
        <v>182.17%</v>
      </c>
      <c r="EN161" s="3" t="str">
        <f>RTD("tos.rtd",,EN$2,"."&amp;$C$134&amp;$AU$82&amp;"C"&amp;$A161)</f>
        <v>15.71%</v>
      </c>
      <c r="EO161" s="3" t="str">
        <f>RTD("tos.rtd",,EO$2,"."&amp;$C$134&amp;$AU$82&amp;"P"&amp;$A161)</f>
        <v>24.51%</v>
      </c>
      <c r="EP161" s="3" t="str">
        <f>RTD("tos.rtd",,EP$2,"."&amp;$D$134&amp;$AW$82&amp;"C"&amp;$A161)</f>
        <v>19.62%</v>
      </c>
      <c r="EQ161" s="3" t="str">
        <f>RTD("tos.rtd",,EQ$2,"."&amp;$D$134&amp;$AW$82&amp;"P"&amp;$A161)</f>
        <v>21.59%</v>
      </c>
      <c r="ES161" s="63" t="str">
        <f t="shared" si="368"/>
        <v>20950,-32.00</v>
      </c>
      <c r="ET161" s="63" t="str">
        <f t="shared" ca="1" si="369"/>
        <v>20950,-45.44</v>
      </c>
      <c r="EU161" s="68">
        <v>592.64</v>
      </c>
      <c r="EV161" s="68" t="s">
        <v>1304</v>
      </c>
      <c r="EW161" s="68">
        <v>519.11</v>
      </c>
      <c r="EX161" s="68" t="s">
        <v>1305</v>
      </c>
      <c r="EY161" s="68">
        <v>5936.25</v>
      </c>
      <c r="EZ161" s="68" t="s">
        <v>1306</v>
      </c>
      <c r="FA161" s="68">
        <v>21309.5</v>
      </c>
      <c r="FB161" s="68" t="s">
        <v>1307</v>
      </c>
      <c r="FC161" s="68" t="s">
        <v>1308</v>
      </c>
      <c r="FD161" s="68" t="s">
        <v>1309</v>
      </c>
      <c r="FE161" s="68" t="s">
        <v>1310</v>
      </c>
      <c r="FF161" s="68" t="s">
        <v>1311</v>
      </c>
    </row>
    <row r="162" spans="1:162" ht="11.1" customHeight="1" thickBot="1" x14ac:dyDescent="0.25">
      <c r="A162" s="2">
        <f t="shared" si="387"/>
        <v>20925</v>
      </c>
      <c r="B162" s="3">
        <f t="shared" si="413"/>
        <v>5</v>
      </c>
      <c r="C162" s="3">
        <f t="shared" si="414"/>
        <v>9</v>
      </c>
      <c r="D162" s="3">
        <f t="shared" si="415"/>
        <v>104</v>
      </c>
      <c r="E162" s="3">
        <f t="shared" si="401"/>
        <v>118</v>
      </c>
      <c r="F162" s="4">
        <f t="shared" si="408"/>
        <v>21013.288034879224</v>
      </c>
      <c r="G162" s="5">
        <f t="shared" si="403"/>
        <v>509.74568404767763</v>
      </c>
      <c r="AM162" s="1">
        <v>0</v>
      </c>
      <c r="AN162" s="1">
        <v>-19</v>
      </c>
      <c r="AO162" s="1">
        <v>20925</v>
      </c>
      <c r="AP162" s="1">
        <v>0</v>
      </c>
      <c r="AQ162" s="1">
        <v>-26</v>
      </c>
      <c r="AS162" s="54">
        <f>IF(RTD("tos.rtd",,AS$83,"."&amp;$B$134&amp;$AS$82&amp;"C"&amp;$A162)="N/A",0,RTD("tos.rtd",,AS$83,"."&amp;$B$134&amp;$AS$82&amp;"C"&amp;$A162))</f>
        <v>0</v>
      </c>
      <c r="AT162" s="3">
        <f>-IF(RTD("tos.rtd",,AT$83,"."&amp;$B$134&amp;$AS$82&amp;"P"&amp;$A162)="N/A",0,RTD("tos.rtd",,AT$83,"."&amp;$B$134&amp;$AS$82&amp;"P"&amp;$A162))</f>
        <v>-5</v>
      </c>
      <c r="AU162" s="54">
        <f>IF(RTD("tos.rtd",,AU$2,"."&amp;$C$134&amp;$AU$134&amp;"C"&amp;$A162)="N/A",0,RTD("tos.rtd",,AU$2,"."&amp;$C$134&amp;$AU$134&amp;"C"&amp;$A162))</f>
        <v>4</v>
      </c>
      <c r="AV162" s="3">
        <f>-IF(RTD("tos.rtd",,AV$2,"."&amp;$C$134&amp;$AU$134&amp;"P"&amp;$A162)="N/A",0,RTD("tos.rtd",,AV$2,"."&amp;$C$134&amp;$AU$134&amp;"P"&amp;$A162))</f>
        <v>-5</v>
      </c>
      <c r="AW162" s="54">
        <f>IF(RTD("tos.rtd",,AW$2,"."&amp;$D$134&amp;$AW$134&amp;"C"&amp;$A162)="N/A",0,RTD("tos.rtd",,AW$2,"."&amp;$D$134&amp;$AW$134&amp;"C"&amp;$A162))</f>
        <v>59</v>
      </c>
      <c r="AX162" s="3">
        <f>-IF(RTD("tos.rtd",,AX$2,"."&amp;$D$134&amp;$AW$134&amp;"P"&amp;$A162)="N/A",0,RTD("tos.rtd",,AX$2,"."&amp;$D$134&amp;$AW$134&amp;"P"&amp;$A162))</f>
        <v>-45</v>
      </c>
      <c r="AY162" s="76">
        <f t="shared" si="409"/>
        <v>8</v>
      </c>
      <c r="AZ162" s="8">
        <f t="shared" si="337"/>
        <v>20925</v>
      </c>
      <c r="BA162" s="54">
        <f>IF(RTD("tos.rtd",,BA$43,"."&amp;$B$134&amp;$AS$82&amp;"C"&amp;$A162)="N/A",0,RTD("tos.rtd",,BA$43,"."&amp;$B$134&amp;$AS$82&amp;"C"&amp;$A162))</f>
        <v>0</v>
      </c>
      <c r="BB162" s="3">
        <f>-IF(RTD("tos.rtd",,BB$43,"."&amp;$B$134&amp;$AS$82&amp;"P"&amp;$A162)="N/A",0,RTD("tos.rtd",,BB$43,"."&amp;$B$134&amp;$AS$82&amp;"P"&amp;$A162))</f>
        <v>-26</v>
      </c>
      <c r="BC162" s="54">
        <f>IF(RTD("tos.rtd",,BC$2,"."&amp;$C$134&amp;$AU$82&amp;"C"&amp;$A162)="N/A",0,RTD("tos.rtd",,BC$2,"."&amp;$C$134&amp;$AU$82&amp;"C"&amp;$A162))</f>
        <v>0</v>
      </c>
      <c r="BD162" s="3">
        <f>-IF(RTD("tos.rtd",,BD$2,"."&amp;$C$134&amp;$AU$82&amp;"P"&amp;$A162)="N/A",0,RTD("tos.rtd",,BD$2,"."&amp;$C$134&amp;$AU$82&amp;"P"&amp;$A162))</f>
        <v>-1</v>
      </c>
      <c r="BE162" s="54">
        <f>IF(RTD("tos.rtd",,BE$2,"."&amp;$D$134&amp;$AW$82&amp;"C"&amp;$A162)="N/A",0,RTD("tos.rtd",,BE$2,"."&amp;$D$134&amp;$AW$82&amp;"C"&amp;$A162))</f>
        <v>0</v>
      </c>
      <c r="BF162" s="3">
        <f>-IF(RTD("tos.rtd",,BF$2,"."&amp;$D$134&amp;$AW$82&amp;"P"&amp;$A162)="N/A",0,RTD("tos.rtd",,BF$2,"."&amp;$D$134&amp;$AW$82&amp;"P"&amp;$A162))</f>
        <v>0</v>
      </c>
      <c r="BG162" s="3">
        <f ca="1">+Hoja2!Y163</f>
        <v>-19</v>
      </c>
      <c r="BH162" s="7">
        <f t="shared" ca="1" si="338"/>
        <v>-46</v>
      </c>
      <c r="BI162" s="32" t="str">
        <f t="shared" ca="1" si="397"/>
        <v/>
      </c>
      <c r="BJ162" s="3">
        <f ca="1">IF($BP$1=1,DX162,IF(RTD("tos.rtd",,BJ$43,"."&amp;$B$134&amp;$AS$82&amp;"C"&amp;$A162)="N/A",0,RTD("tos.rtd",,BJ$43,"."&amp;$B$134&amp;$AS$82&amp;"C"&amp;$A162)))</f>
        <v>5.2380922395221915E-4</v>
      </c>
      <c r="BK162" s="3">
        <f ca="1">IF($BP$1=1,DY162,-IF(RTD("tos.rtd",,BK$43,"."&amp;$B$134&amp;$AS$82&amp;"P"&amp;$A162)="N/A",0,RTD("tos.rtd",,BK$43,"."&amp;$B$134&amp;$AS$82&amp;"P"&amp;$A162)))</f>
        <v>-5.689291917678642E-4</v>
      </c>
      <c r="BL162" s="3">
        <f ca="1">IF($BP$1=1,DZ162,IF(RTD("tos.rtd",,BL$2,"."&amp;$C$134&amp;$AU$82&amp;"C"&amp;$A162)="N/A",0,RTD("tos.rtd",,BL$2,"."&amp;$C$134&amp;$AU$82&amp;"C"&amp;$A162)))</f>
        <v>5.6945670195141917E-4</v>
      </c>
      <c r="BM162" s="3">
        <f ca="1">IF($BP$1=1,EA162,-IF(RTD("tos.rtd",,BM$2,"."&amp;$C$134&amp;$AU$82&amp;"P"&amp;$A162)="N/A",0,RTD("tos.rtd",,BM$2,"."&amp;$C$134&amp;$AU$82&amp;"P"&amp;$A162)))</f>
        <v>-5.312269932363084E-4</v>
      </c>
      <c r="BN162" s="3">
        <f ca="1">IF($BP$1=1,EB162,IF(RTD("tos.rtd",,BN$2,"."&amp;$D$134&amp;$AW$82&amp;"C"&amp;$A162)="N/A",0,RTD("tos.rtd",,BN$2,"."&amp;$D$134&amp;$AW$82&amp;"C"&amp;$A162)))</f>
        <v>5.6798499765843785E-4</v>
      </c>
      <c r="BO162" s="3">
        <f ca="1">IF($BP$1=1,EC162,-IF(RTD("tos.rtd",,BO$2,"."&amp;$D$134&amp;$AW$82&amp;"P"&amp;$A162)="N/A",0,RTD("tos.rtd",,BO$2,"."&amp;$D$134&amp;$AW$82&amp;"P"&amp;$A162)))</f>
        <v>-5.5684814802712114E-4</v>
      </c>
      <c r="BQ162" s="3">
        <f t="shared" ca="1" si="410"/>
        <v>-100208.8909641702</v>
      </c>
      <c r="BR162" s="3" t="str">
        <f t="shared" ca="1" si="339"/>
        <v/>
      </c>
      <c r="BS162" s="3">
        <f t="shared" ca="1" si="411"/>
        <v>-13326.734343071352</v>
      </c>
      <c r="BT162" s="3" t="str">
        <f t="shared" ca="1" si="340"/>
        <v/>
      </c>
      <c r="BU162" s="3">
        <f t="shared" ca="1" si="412"/>
        <v>297773.63398433861</v>
      </c>
      <c r="BV162" s="3" t="str">
        <f t="shared" ca="1" si="340"/>
        <v>Cruce +</v>
      </c>
      <c r="BX162" s="3">
        <f t="shared" ca="1" si="370"/>
        <v>-3994.1097920735583</v>
      </c>
      <c r="BY162" s="3" t="str">
        <f t="shared" ca="1" si="371"/>
        <v/>
      </c>
      <c r="BZ162" s="3">
        <f t="shared" ca="1" si="372"/>
        <v>-143.43943554907582</v>
      </c>
      <c r="CA162" s="3" t="str">
        <f t="shared" ca="1" si="371"/>
        <v/>
      </c>
      <c r="CB162" s="3">
        <f t="shared" ca="1" si="373"/>
        <v>0</v>
      </c>
      <c r="CC162" s="3" t="str">
        <f t="shared" ca="1" si="371"/>
        <v/>
      </c>
      <c r="CD162" s="3">
        <f>IF(RTD("tos.rtd",,CD$43,"."&amp;$B$134&amp;$AS$82&amp;"C"&amp;$A162)="N/A",0,RTD("tos.rtd",,CD$43,"."&amp;$B$134&amp;$AS$82&amp;"C"&amp;$A162))</f>
        <v>0.99</v>
      </c>
      <c r="CE162" s="3">
        <f>-IF(RTD("tos.rtd",,CE$43,"."&amp;$B$134&amp;$AS$82&amp;"P"&amp;$A162)="N/A",0,RTD("tos.rtd",,CE$43,"."&amp;$B$134&amp;$AS$82&amp;"P"&amp;$A162))</f>
        <v>7.0000000000000007E-2</v>
      </c>
      <c r="CF162" s="3">
        <f>IF(RTD("tos.rtd",,CF$2,"."&amp;$C$134&amp;$AU$82&amp;"C"&amp;$A162)="N/A",0,RTD("tos.rtd",,CF$2,"."&amp;$C$134&amp;$AU$82&amp;"C"&amp;$A162))</f>
        <v>0.91</v>
      </c>
      <c r="CG162" s="3">
        <f>-IF(RTD("tos.rtd",,CG$2,"."&amp;$C$134&amp;$AU$82&amp;"P"&amp;$A162)="N/A",0,RTD("tos.rtd",,CG$2,"."&amp;$C$134&amp;$AU$82&amp;"P"&amp;$A162))</f>
        <v>0.17</v>
      </c>
      <c r="CH162" s="3">
        <f>IF(RTD("tos.rtd",,CH$2,"."&amp;$D$134&amp;$AW$82&amp;"C"&amp;$A162)="N/A",0,RTD("tos.rtd",,CH$2,"."&amp;$D$134&amp;$AW$82&amp;"C"&amp;$A162))</f>
        <v>0.68</v>
      </c>
      <c r="CI162" s="3">
        <f>-IF(RTD("tos.rtd",,CI$2,"."&amp;$D$134&amp;$AW$82&amp;"P"&amp;$A162)="N/A",0,RTD("tos.rtd",,CI$2,"."&amp;$D$134&amp;$AW$82&amp;"P"&amp;$A162))</f>
        <v>0.34</v>
      </c>
      <c r="CK162" s="3">
        <f t="shared" si="374"/>
        <v>-746576.25</v>
      </c>
      <c r="CL162" s="3"/>
      <c r="CM162" s="3">
        <f t="shared" si="375"/>
        <v>5951279.25</v>
      </c>
      <c r="CN162" s="3"/>
      <c r="CO162" s="3">
        <f t="shared" si="376"/>
        <v>52942921.500000015</v>
      </c>
      <c r="CP162" s="3">
        <f t="shared" si="331"/>
        <v>58147624.500000015</v>
      </c>
      <c r="CQ162" s="3">
        <f t="shared" si="341"/>
        <v>-26</v>
      </c>
      <c r="CR162" s="3"/>
      <c r="CS162" s="3">
        <f t="shared" si="342"/>
        <v>-1</v>
      </c>
      <c r="CT162" s="3"/>
      <c r="CU162" s="3">
        <f t="shared" si="343"/>
        <v>0</v>
      </c>
      <c r="CV162" s="3"/>
      <c r="CW162" s="3">
        <f t="shared" ca="1" si="344"/>
        <v>184238.00867709704</v>
      </c>
      <c r="CY162" s="3">
        <f t="shared" ca="1" si="345"/>
        <v>-4137.5492276226341</v>
      </c>
      <c r="CZ162" s="70" t="str">
        <f t="shared" ca="1" si="377"/>
        <v/>
      </c>
      <c r="DA162" s="3">
        <f>IF(RTD("tos.rtd",,DA$43,"."&amp;$B$134&amp;$AS$82&amp;"C"&amp;$A162)="N/A",0,RTD("tos.rtd",,DA$43,"."&amp;$B$134&amp;$AS$82&amp;"C"&amp;$A162))</f>
        <v>0</v>
      </c>
      <c r="DB162" s="3">
        <f>IF(RTD("tos.rtd",,DB$43,"."&amp;$B$134&amp;$AS$82&amp;"P"&amp;$A162)="N/A",0,RTD("tos.rtd",,DB$43,"."&amp;$B$134&amp;$AS$82&amp;"P"&amp;$A162))</f>
        <v>0.7</v>
      </c>
      <c r="DC162" s="3">
        <f>IF(RTD("tos.rtd",,DC$43,"."&amp;$B$134&amp;$AS$82&amp;"C"&amp;$A162)="N/A",0,RTD("tos.rtd",,DC$43,"."&amp;$B$134&amp;$AS$82&amp;"C"&amp;$A162))</f>
        <v>480.1</v>
      </c>
      <c r="DD162" s="3">
        <f>IF(RTD("tos.rtd",,DD$43,"."&amp;$B$134&amp;$AS$82&amp;"P"&amp;$A162)="N/A",0,RTD("tos.rtd",,DD$43,"."&amp;$B$134&amp;$AS$82&amp;"P"&amp;$A162))</f>
        <v>19.8</v>
      </c>
      <c r="DE162" s="3">
        <f>IF(RTD("tos.rtd",,DE$43,"."&amp;$B$134&amp;$AS$82&amp;"C"&amp;$A162)="N/A",0,RTD("tos.rtd",,DE$43,"."&amp;$B$134&amp;$AS$82&amp;"C"&amp;$A162))</f>
        <v>406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378"/>
        <v>-405.75</v>
      </c>
      <c r="DH162" s="3">
        <f t="shared" si="379"/>
        <v>0</v>
      </c>
      <c r="DI162" s="3">
        <f t="shared" si="380"/>
        <v>0</v>
      </c>
      <c r="DJ162" s="3">
        <f t="shared" si="346"/>
        <v>0</v>
      </c>
      <c r="DK162" s="3">
        <f t="shared" si="347"/>
        <v>0</v>
      </c>
      <c r="DL162" s="3">
        <f t="shared" si="381"/>
        <v>0</v>
      </c>
      <c r="DM162" s="3">
        <f t="shared" si="382"/>
        <v>0</v>
      </c>
      <c r="DN162" s="64" t="str">
        <f t="shared" si="348"/>
        <v>UNKNOWN</v>
      </c>
      <c r="DO162" s="64" t="str">
        <f t="shared" si="349"/>
        <v>UNKNOWN</v>
      </c>
      <c r="DP162" s="3">
        <f t="shared" si="350"/>
        <v>0</v>
      </c>
      <c r="DQ162" s="3">
        <f t="shared" si="351"/>
        <v>0</v>
      </c>
      <c r="DR162" s="3">
        <f t="shared" ca="1" si="352"/>
        <v>0</v>
      </c>
      <c r="DS162" s="3">
        <f t="shared" si="353"/>
        <v>0</v>
      </c>
      <c r="DT162" s="3">
        <f t="shared" si="383"/>
        <v>0</v>
      </c>
      <c r="DU162" s="3">
        <f t="shared" si="384"/>
        <v>0</v>
      </c>
      <c r="DV162" s="3">
        <f t="shared" si="354"/>
        <v>0</v>
      </c>
      <c r="DW162" s="3">
        <f t="shared" si="355"/>
        <v>-19</v>
      </c>
      <c r="DX162" s="3">
        <f t="shared" ca="1" si="356"/>
        <v>5.2380922395221915E-4</v>
      </c>
      <c r="DY162" s="3">
        <f t="shared" ca="1" si="357"/>
        <v>-5.689291917678642E-4</v>
      </c>
      <c r="DZ162" s="3">
        <f t="shared" ca="1" si="358"/>
        <v>5.6945670195141917E-4</v>
      </c>
      <c r="EA162" s="3">
        <f t="shared" ca="1" si="359"/>
        <v>-5.312269932363084E-4</v>
      </c>
      <c r="EB162" s="3">
        <f t="shared" ca="1" si="360"/>
        <v>5.6798499765843785E-4</v>
      </c>
      <c r="EC162" s="3">
        <f t="shared" ca="1" si="361"/>
        <v>-5.5684814802712114E-4</v>
      </c>
      <c r="ED162" s="63">
        <f t="shared" si="385"/>
        <v>-19</v>
      </c>
      <c r="EE162" s="59">
        <f t="shared" si="362"/>
        <v>1.1857</v>
      </c>
      <c r="EF162" s="59">
        <f t="shared" si="363"/>
        <v>1.9056</v>
      </c>
      <c r="EG162" s="59">
        <f t="shared" si="364"/>
        <v>0.17610000000000001</v>
      </c>
      <c r="EH162" s="59">
        <f t="shared" si="365"/>
        <v>0.2465</v>
      </c>
      <c r="EI162" s="59">
        <f t="shared" si="366"/>
        <v>0.19689999999999999</v>
      </c>
      <c r="EJ162" s="59">
        <f t="shared" si="367"/>
        <v>0.2167</v>
      </c>
      <c r="EK162" s="63">
        <f t="shared" ca="1" si="386"/>
        <v>4918402.543554523</v>
      </c>
      <c r="EL162" s="3" t="str">
        <f>RTD("tos.rtd",,EL$43,"."&amp;$B$134&amp;$AS$82&amp;"C"&amp;$A162)</f>
        <v>118.57%</v>
      </c>
      <c r="EM162" s="3" t="str">
        <f>RTD("tos.rtd",,EM$43,"."&amp;$B$134&amp;$AS$82&amp;"P"&amp;$A162)</f>
        <v>190.56%</v>
      </c>
      <c r="EN162" s="3" t="str">
        <f>RTD("tos.rtd",,EN$2,"."&amp;$C$134&amp;$AU$82&amp;"C"&amp;$A162)</f>
        <v>17.61%</v>
      </c>
      <c r="EO162" s="3" t="str">
        <f>RTD("tos.rtd",,EO$2,"."&amp;$C$134&amp;$AU$82&amp;"P"&amp;$A162)</f>
        <v>24.65%</v>
      </c>
      <c r="EP162" s="3" t="str">
        <f>RTD("tos.rtd",,EP$2,"."&amp;$D$134&amp;$AW$82&amp;"C"&amp;$A162)</f>
        <v>19.69%</v>
      </c>
      <c r="EQ162" s="3" t="str">
        <f>RTD("tos.rtd",,EQ$2,"."&amp;$D$134&amp;$AW$82&amp;"P"&amp;$A162)</f>
        <v>21.67%</v>
      </c>
      <c r="ES162" s="63" t="str">
        <f t="shared" si="368"/>
        <v>20925,-19.00</v>
      </c>
      <c r="ET162" s="63" t="str">
        <f t="shared" ca="1" si="369"/>
        <v>20925,-04.14</v>
      </c>
      <c r="EU162" s="68">
        <v>592.64</v>
      </c>
      <c r="EV162" s="68" t="s">
        <v>1312</v>
      </c>
      <c r="EW162" s="68">
        <v>519.11</v>
      </c>
      <c r="EX162" s="68" t="s">
        <v>1313</v>
      </c>
      <c r="EY162" s="68">
        <v>5936.25</v>
      </c>
      <c r="EZ162" s="68" t="s">
        <v>1314</v>
      </c>
      <c r="FA162" s="68">
        <v>21309.5</v>
      </c>
      <c r="FB162" s="68" t="s">
        <v>1315</v>
      </c>
      <c r="FC162" s="68" t="s">
        <v>1316</v>
      </c>
      <c r="FD162" s="68" t="s">
        <v>1317</v>
      </c>
      <c r="FE162" s="68" t="s">
        <v>1318</v>
      </c>
      <c r="FF162" s="68" t="s">
        <v>1319</v>
      </c>
    </row>
    <row r="163" spans="1:162" ht="11.1" customHeight="1" thickBot="1" x14ac:dyDescent="0.25">
      <c r="A163" s="2">
        <f t="shared" si="387"/>
        <v>20900</v>
      </c>
      <c r="B163" s="10">
        <f t="shared" si="413"/>
        <v>25</v>
      </c>
      <c r="C163" s="10">
        <f t="shared" si="414"/>
        <v>16</v>
      </c>
      <c r="D163" s="10">
        <f t="shared" si="415"/>
        <v>299</v>
      </c>
      <c r="E163" s="10">
        <f t="shared" si="401"/>
        <v>340</v>
      </c>
      <c r="F163" s="11">
        <f t="shared" si="408"/>
        <v>20988.18255335607</v>
      </c>
      <c r="G163" s="5">
        <f t="shared" si="403"/>
        <v>509.13666889349878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0</v>
      </c>
      <c r="AN163" s="1">
        <v>-2</v>
      </c>
      <c r="AO163" s="12">
        <v>20900</v>
      </c>
      <c r="AP163" s="12">
        <v>0</v>
      </c>
      <c r="AQ163" s="12">
        <v>-175</v>
      </c>
      <c r="AR163" s="12"/>
      <c r="AS163" s="54">
        <f>IF(RTD("tos.rtd",,AS$83,"."&amp;$B$134&amp;$AS$82&amp;"C"&amp;$A163)="N/A",0,RTD("tos.rtd",,AS$83,"."&amp;$B$134&amp;$AS$82&amp;"C"&amp;$A163))</f>
        <v>7</v>
      </c>
      <c r="AT163" s="3">
        <f>-IF(RTD("tos.rtd",,AT$83,"."&amp;$B$134&amp;$AS$82&amp;"P"&amp;$A163)="N/A",0,RTD("tos.rtd",,AT$83,"."&amp;$B$134&amp;$AS$82&amp;"P"&amp;$A163))</f>
        <v>-18</v>
      </c>
      <c r="AU163" s="54">
        <f>IF(RTD("tos.rtd",,AU$2,"."&amp;$C$134&amp;$AU$134&amp;"C"&amp;$A163)="N/A",0,RTD("tos.rtd",,AU$2,"."&amp;$C$134&amp;$AU$134&amp;"C"&amp;$A163))</f>
        <v>2</v>
      </c>
      <c r="AV163" s="3">
        <f>-IF(RTD("tos.rtd",,AV$2,"."&amp;$C$134&amp;$AU$134&amp;"P"&amp;$A163)="N/A",0,RTD("tos.rtd",,AV$2,"."&amp;$C$134&amp;$AU$134&amp;"P"&amp;$A163))</f>
        <v>-14</v>
      </c>
      <c r="AW163" s="54">
        <f>IF(RTD("tos.rtd",,AW$2,"."&amp;$D$134&amp;$AW$134&amp;"C"&amp;$A163)="N/A",0,RTD("tos.rtd",,AW$2,"."&amp;$D$134&amp;$AW$134&amp;"C"&amp;$A163))</f>
        <v>104</v>
      </c>
      <c r="AX163" s="3">
        <f>-IF(RTD("tos.rtd",,AX$2,"."&amp;$D$134&amp;$AW$134&amp;"P"&amp;$A163)="N/A",0,RTD("tos.rtd",,AX$2,"."&amp;$D$134&amp;$AW$134&amp;"P"&amp;$A163))</f>
        <v>-195</v>
      </c>
      <c r="AY163" s="76">
        <f t="shared" si="409"/>
        <v>-114</v>
      </c>
      <c r="AZ163" s="8">
        <f t="shared" si="337"/>
        <v>20900</v>
      </c>
      <c r="BA163" s="54">
        <f>IF(RTD("tos.rtd",,BA$43,"."&amp;$B$134&amp;$AS$82&amp;"C"&amp;$A163)="N/A",0,RTD("tos.rtd",,BA$43,"."&amp;$B$134&amp;$AS$82&amp;"C"&amp;$A163))</f>
        <v>0</v>
      </c>
      <c r="BB163" s="3">
        <f>-IF(RTD("tos.rtd",,BB$43,"."&amp;$B$134&amp;$AS$82&amp;"P"&amp;$A163)="N/A",0,RTD("tos.rtd",,BB$43,"."&amp;$B$134&amp;$AS$82&amp;"P"&amp;$A163))</f>
        <v>-175</v>
      </c>
      <c r="BC163" s="54">
        <f>IF(RTD("tos.rtd",,BC$2,"."&amp;$C$134&amp;$AU$82&amp;"C"&amp;$A163)="N/A",0,RTD("tos.rtd",,BC$2,"."&amp;$C$134&amp;$AU$82&amp;"C"&amp;$A163))</f>
        <v>0</v>
      </c>
      <c r="BD163" s="3">
        <f>-IF(RTD("tos.rtd",,BD$2,"."&amp;$C$134&amp;$AU$82&amp;"P"&amp;$A163)="N/A",0,RTD("tos.rtd",,BD$2,"."&amp;$C$134&amp;$AU$82&amp;"P"&amp;$A163))</f>
        <v>-10</v>
      </c>
      <c r="BE163" s="54">
        <f>IF(RTD("tos.rtd",,BE$2,"."&amp;$D$134&amp;$AW$82&amp;"C"&amp;$A163)="N/A",0,RTD("tos.rtd",,BE$2,"."&amp;$D$134&amp;$AW$82&amp;"C"&amp;$A163))</f>
        <v>0</v>
      </c>
      <c r="BF163" s="3">
        <f>-IF(RTD("tos.rtd",,BF$2,"."&amp;$D$134&amp;$AW$82&amp;"P"&amp;$A163)="N/A",0,RTD("tos.rtd",,BF$2,"."&amp;$D$134&amp;$AW$82&amp;"P"&amp;$A163))</f>
        <v>-1</v>
      </c>
      <c r="BG163" s="3">
        <f ca="1">+Hoja2!Y164</f>
        <v>-15</v>
      </c>
      <c r="BH163" s="7">
        <f t="shared" ca="1" si="338"/>
        <v>-201</v>
      </c>
      <c r="BI163" s="32" t="str">
        <f t="shared" ca="1" si="397"/>
        <v/>
      </c>
      <c r="BJ163" s="3">
        <f ca="1">IF($BP$1=1,DX163,IF(RTD("tos.rtd",,BJ$43,"."&amp;$B$134&amp;$AS$82&amp;"C"&amp;$A163)="N/A",0,RTD("tos.rtd",,BJ$43,"."&amp;$B$134&amp;$AS$82&amp;"C"&amp;$A163)))</f>
        <v>5.8761268945297443E-13</v>
      </c>
      <c r="BK163" s="3">
        <f ca="1">IF($BP$1=1,DY163,-IF(RTD("tos.rtd",,BK$43,"."&amp;$B$134&amp;$AS$82&amp;"P"&amp;$A163)="N/A",0,RTD("tos.rtd",,BK$43,"."&amp;$B$134&amp;$AS$82&amp;"P"&amp;$A163)))</f>
        <v>-5.490360547176225E-4</v>
      </c>
      <c r="BL163" s="3">
        <f ca="1">IF($BP$1=1,DZ163,IF(RTD("tos.rtd",,BL$2,"."&amp;$C$134&amp;$AU$82&amp;"C"&amp;$A163)="N/A",0,RTD("tos.rtd",,BL$2,"."&amp;$C$134&amp;$AU$82&amp;"C"&amp;$A163)))</f>
        <v>4.9557394647256701E-4</v>
      </c>
      <c r="BM163" s="3">
        <f ca="1">IF($BP$1=1,EA163,-IF(RTD("tos.rtd",,BM$2,"."&amp;$C$134&amp;$AU$82&amp;"P"&amp;$A163)="N/A",0,RTD("tos.rtd",,BM$2,"."&amp;$C$134&amp;$AU$82&amp;"P"&amp;$A163)))</f>
        <v>-5.1157291791182919E-4</v>
      </c>
      <c r="BN163" s="3">
        <f ca="1">IF($BP$1=1,EB163,IF(RTD("tos.rtd",,BN$2,"."&amp;$D$134&amp;$AW$82&amp;"C"&amp;$A163)="N/A",0,RTD("tos.rtd",,BN$2,"."&amp;$D$134&amp;$AW$82&amp;"C"&amp;$A163)))</f>
        <v>5.3747854395823521E-4</v>
      </c>
      <c r="BO163" s="3">
        <f ca="1">IF($BP$1=1,EC163,-IF(RTD("tos.rtd",,BO$2,"."&amp;$D$134&amp;$AW$82&amp;"P"&amp;$A163)="N/A",0,RTD("tos.rtd",,BO$2,"."&amp;$D$134&amp;$AW$82&amp;"P"&amp;$A163)))</f>
        <v>-5.3157947631263757E-4</v>
      </c>
      <c r="BQ163" s="3">
        <f t="shared" ca="1" si="410"/>
        <v>-348137.97867437394</v>
      </c>
      <c r="BR163" s="3" t="str">
        <f t="shared" ca="1" si="339"/>
        <v/>
      </c>
      <c r="BS163" s="3">
        <f t="shared" ca="1" si="411"/>
        <v>-217382.52996386582</v>
      </c>
      <c r="BT163" s="3" t="str">
        <f t="shared" ca="1" si="340"/>
        <v/>
      </c>
      <c r="BU163" s="3">
        <f t="shared" ca="1" si="412"/>
        <v>-1682458.7947081444</v>
      </c>
      <c r="BV163" s="3" t="str">
        <f t="shared" ca="1" si="340"/>
        <v>Cruce -</v>
      </c>
      <c r="BX163" s="3">
        <f t="shared" ca="1" si="370"/>
        <v>-25943.427174844492</v>
      </c>
      <c r="BY163" s="3" t="str">
        <f t="shared" ca="1" si="371"/>
        <v/>
      </c>
      <c r="BZ163" s="3">
        <f t="shared" ca="1" si="372"/>
        <v>-1381.3253377887861</v>
      </c>
      <c r="CA163" s="3" t="str">
        <f t="shared" ca="1" si="371"/>
        <v/>
      </c>
      <c r="CB163" s="3">
        <f t="shared" ca="1" si="373"/>
        <v>-143.53461138568241</v>
      </c>
      <c r="CC163" s="3" t="str">
        <f t="shared" ca="1" si="371"/>
        <v/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0.04</v>
      </c>
      <c r="CF163" s="3">
        <f>IF(RTD("tos.rtd",,CF$2,"."&amp;$C$134&amp;$AU$82&amp;"C"&amp;$A163)="N/A",0,RTD("tos.rtd",,CF$2,"."&amp;$C$134&amp;$AU$82&amp;"C"&amp;$A163))</f>
        <v>0.95</v>
      </c>
      <c r="CG163" s="3">
        <f>-IF(RTD("tos.rtd",,CG$2,"."&amp;$C$134&amp;$AU$82&amp;"P"&amp;$A163)="N/A",0,RTD("tos.rtd",,CG$2,"."&amp;$C$134&amp;$AU$82&amp;"P"&amp;$A163))</f>
        <v>0.16</v>
      </c>
      <c r="CH163" s="3">
        <f>IF(RTD("tos.rtd",,CH$2,"."&amp;$D$134&amp;$AW$82&amp;"C"&amp;$A163)="N/A",0,RTD("tos.rtd",,CH$2,"."&amp;$D$134&amp;$AW$82&amp;"C"&amp;$A163))</f>
        <v>0.68</v>
      </c>
      <c r="CI163" s="3">
        <f>-IF(RTD("tos.rtd",,CI$2,"."&amp;$D$134&amp;$AW$82&amp;"P"&amp;$A163)="N/A",0,RTD("tos.rtd",,CI$2,"."&amp;$D$134&amp;$AW$82&amp;"P"&amp;$A163))</f>
        <v>0.33</v>
      </c>
      <c r="CK163" s="3">
        <f t="shared" si="374"/>
        <v>13395711</v>
      </c>
      <c r="CL163" s="3"/>
      <c r="CM163" s="3">
        <f t="shared" si="375"/>
        <v>-725245.50000000093</v>
      </c>
      <c r="CN163" s="3"/>
      <c r="CO163" s="3">
        <f t="shared" si="376"/>
        <v>13587687.74999997</v>
      </c>
      <c r="CP163" s="3">
        <f t="shared" si="331"/>
        <v>26258153.24999997</v>
      </c>
      <c r="CQ163" s="3">
        <f t="shared" si="341"/>
        <v>-175</v>
      </c>
      <c r="CR163" s="3"/>
      <c r="CS163" s="3">
        <f t="shared" si="342"/>
        <v>-10</v>
      </c>
      <c r="CT163" s="3"/>
      <c r="CU163" s="3">
        <f t="shared" si="343"/>
        <v>-1</v>
      </c>
      <c r="CV163" s="3"/>
      <c r="CW163" s="3">
        <f t="shared" ca="1" si="344"/>
        <v>-2247979.3033463843</v>
      </c>
      <c r="CY163" s="3">
        <f t="shared" ca="1" si="345"/>
        <v>-27468.28712401896</v>
      </c>
      <c r="CZ163" s="70" t="str">
        <f t="shared" ca="1" si="377"/>
        <v/>
      </c>
      <c r="DA163" s="3">
        <f>IF(RTD("tos.rtd",,DA$43,"."&amp;$B$134&amp;$AS$82&amp;"C"&amp;$A163)="N/A",0,RTD("tos.rtd",,DA$43,"."&amp;$B$134&amp;$AS$82&amp;"C"&amp;$A163))</f>
        <v>308.47000000000003</v>
      </c>
      <c r="DB163" s="3">
        <f>IF(RTD("tos.rtd",,DB$43,"."&amp;$B$134&amp;$AS$82&amp;"P"&amp;$A163)="N/A",0,RTD("tos.rtd",,DB$43,"."&amp;$B$134&amp;$AS$82&amp;"P"&amp;$A163))</f>
        <v>0.1</v>
      </c>
      <c r="DC163" s="3">
        <f>IF(RTD("tos.rtd",,DC$43,"."&amp;$B$134&amp;$AS$82&amp;"C"&amp;$A163)="N/A",0,RTD("tos.rtd",,DC$43,"."&amp;$B$134&amp;$AS$82&amp;"C"&amp;$A163))</f>
        <v>501.8</v>
      </c>
      <c r="DD163" s="3">
        <f>IF(RTD("tos.rtd",,DD$43,"."&amp;$B$134&amp;$AS$82&amp;"P"&amp;$A163)="N/A",0,RTD("tos.rtd",,DD$43,"."&amp;$B$134&amp;$AS$82&amp;"P"&amp;$A163))</f>
        <v>7.3</v>
      </c>
      <c r="DE163" s="3">
        <f>IF(RTD("tos.rtd",,DE$43,"."&amp;$B$134&amp;$AS$82&amp;"C"&amp;$A163)="N/A",0,RTD("tos.rtd",,DE$43,"."&amp;$B$134&amp;$AS$82&amp;"C"&amp;$A163))</f>
        <v>432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378"/>
        <v>-430.75</v>
      </c>
      <c r="DH163" s="3">
        <f t="shared" si="379"/>
        <v>0</v>
      </c>
      <c r="DI163" s="3">
        <f t="shared" si="380"/>
        <v>0</v>
      </c>
      <c r="DJ163" s="3">
        <f t="shared" si="346"/>
        <v>0</v>
      </c>
      <c r="DK163" s="3">
        <f t="shared" si="347"/>
        <v>0</v>
      </c>
      <c r="DL163" s="3">
        <f t="shared" si="381"/>
        <v>0</v>
      </c>
      <c r="DM163" s="3">
        <f t="shared" si="382"/>
        <v>0</v>
      </c>
      <c r="DN163" s="64" t="str">
        <f t="shared" si="348"/>
        <v>UNKNOWN</v>
      </c>
      <c r="DO163" s="64" t="str">
        <f t="shared" si="349"/>
        <v>UNKNOWN</v>
      </c>
      <c r="DP163" s="3">
        <f t="shared" si="350"/>
        <v>0</v>
      </c>
      <c r="DQ163" s="3">
        <f t="shared" si="351"/>
        <v>0</v>
      </c>
      <c r="DR163" s="3">
        <f t="shared" ca="1" si="352"/>
        <v>0</v>
      </c>
      <c r="DS163" s="3">
        <f t="shared" si="353"/>
        <v>0</v>
      </c>
      <c r="DT163" s="3">
        <f t="shared" si="383"/>
        <v>0</v>
      </c>
      <c r="DU163" s="3">
        <f t="shared" si="384"/>
        <v>0</v>
      </c>
      <c r="DV163" s="3">
        <f t="shared" si="354"/>
        <v>0</v>
      </c>
      <c r="DW163" s="3">
        <f t="shared" si="355"/>
        <v>-2</v>
      </c>
      <c r="DX163" s="3">
        <f t="shared" ca="1" si="356"/>
        <v>5.8761268945297443E-13</v>
      </c>
      <c r="DY163" s="3">
        <f t="shared" ca="1" si="357"/>
        <v>-5.490360547176225E-4</v>
      </c>
      <c r="DZ163" s="3">
        <f t="shared" ca="1" si="358"/>
        <v>4.9557394647256701E-4</v>
      </c>
      <c r="EA163" s="3">
        <f t="shared" ca="1" si="359"/>
        <v>-5.1157291791182919E-4</v>
      </c>
      <c r="EB163" s="3">
        <f t="shared" ca="1" si="360"/>
        <v>5.3747854395823521E-4</v>
      </c>
      <c r="EC163" s="3">
        <f t="shared" ca="1" si="361"/>
        <v>-5.3157947631263757E-4</v>
      </c>
      <c r="ED163" s="63">
        <f t="shared" si="385"/>
        <v>-2</v>
      </c>
      <c r="EE163" s="59">
        <f t="shared" si="362"/>
        <v>0.25</v>
      </c>
      <c r="EF163" s="59">
        <f t="shared" si="363"/>
        <v>1.6225000000000001</v>
      </c>
      <c r="EG163" s="59">
        <f t="shared" si="364"/>
        <v>0.15029999999999999</v>
      </c>
      <c r="EH163" s="59">
        <f t="shared" si="365"/>
        <v>0.248</v>
      </c>
      <c r="EI163" s="59">
        <f t="shared" si="366"/>
        <v>0.19739999999999999</v>
      </c>
      <c r="EJ163" s="59">
        <f t="shared" si="367"/>
        <v>0.21759999999999999</v>
      </c>
      <c r="EK163" s="63">
        <f t="shared" ca="1" si="386"/>
        <v>499623.79318524001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162.25%</v>
      </c>
      <c r="EN163" s="3" t="str">
        <f>RTD("tos.rtd",,EN$2,"."&amp;$C$134&amp;$AU$82&amp;"C"&amp;$A163)</f>
        <v>15.03%</v>
      </c>
      <c r="EO163" s="3" t="str">
        <f>RTD("tos.rtd",,EO$2,"."&amp;$C$134&amp;$AU$82&amp;"P"&amp;$A163)</f>
        <v>24.80%</v>
      </c>
      <c r="EP163" s="3" t="str">
        <f>RTD("tos.rtd",,EP$2,"."&amp;$D$134&amp;$AW$82&amp;"C"&amp;$A163)</f>
        <v>19.74%</v>
      </c>
      <c r="EQ163" s="3" t="str">
        <f>RTD("tos.rtd",,EQ$2,"."&amp;$D$134&amp;$AW$82&amp;"P"&amp;$A163)</f>
        <v>21.76%</v>
      </c>
      <c r="ES163" s="63" t="str">
        <f t="shared" si="368"/>
        <v>20900,-02.00</v>
      </c>
      <c r="ET163" s="63" t="str">
        <f t="shared" ca="1" si="369"/>
        <v>20900,-27.47</v>
      </c>
      <c r="EU163" s="68">
        <v>592.64</v>
      </c>
      <c r="EV163" s="68" t="s">
        <v>1320</v>
      </c>
      <c r="EW163" s="68">
        <v>519.11</v>
      </c>
      <c r="EX163" s="68" t="s">
        <v>1321</v>
      </c>
      <c r="EY163" s="68">
        <v>5936.25</v>
      </c>
      <c r="EZ163" s="68" t="s">
        <v>1322</v>
      </c>
      <c r="FA163" s="68">
        <v>21309.5</v>
      </c>
      <c r="FB163" s="68" t="s">
        <v>1323</v>
      </c>
      <c r="FC163" s="68" t="s">
        <v>1324</v>
      </c>
      <c r="FD163" s="68" t="s">
        <v>1325</v>
      </c>
      <c r="FE163" s="68" t="s">
        <v>1326</v>
      </c>
      <c r="FF163" s="68" t="s">
        <v>1327</v>
      </c>
    </row>
    <row r="164" spans="1:162" ht="11.1" customHeight="1" thickBot="1" x14ac:dyDescent="0.25">
      <c r="A164" s="2">
        <f t="shared" si="387"/>
        <v>20875</v>
      </c>
      <c r="B164" s="3">
        <f t="shared" si="413"/>
        <v>8</v>
      </c>
      <c r="C164" s="3">
        <f t="shared" si="414"/>
        <v>8</v>
      </c>
      <c r="D164" s="3">
        <f t="shared" si="415"/>
        <v>23</v>
      </c>
      <c r="E164" s="3">
        <f t="shared" si="401"/>
        <v>39</v>
      </c>
      <c r="F164" s="14">
        <f t="shared" si="408"/>
        <v>20963.077071832919</v>
      </c>
      <c r="G164" s="5">
        <f t="shared" si="403"/>
        <v>508.52765373931993</v>
      </c>
      <c r="AM164" s="1">
        <v>0</v>
      </c>
      <c r="AN164" s="1">
        <v>12</v>
      </c>
      <c r="AO164" s="1">
        <v>20875</v>
      </c>
      <c r="AP164" s="1">
        <v>0</v>
      </c>
      <c r="AQ164" s="1">
        <v>-50</v>
      </c>
      <c r="AS164" s="54">
        <f>IF(RTD("tos.rtd",,AS$83,"."&amp;$B$134&amp;$AS$82&amp;"C"&amp;$A164)="N/A",0,RTD("tos.rtd",,AS$83,"."&amp;$B$134&amp;$AS$82&amp;"C"&amp;$A164))</f>
        <v>2</v>
      </c>
      <c r="AT164" s="3">
        <f>-IF(RTD("tos.rtd",,AT$83,"."&amp;$B$134&amp;$AS$82&amp;"P"&amp;$A164)="N/A",0,RTD("tos.rtd",,AT$83,"."&amp;$B$134&amp;$AS$82&amp;"P"&amp;$A164))</f>
        <v>-6</v>
      </c>
      <c r="AU164" s="54">
        <f>IF(RTD("tos.rtd",,AU$2,"."&amp;$C$134&amp;$AU$134&amp;"C"&amp;$A164)="N/A",0,RTD("tos.rtd",,AU$2,"."&amp;$C$134&amp;$AU$134&amp;"C"&amp;$A164))</f>
        <v>0</v>
      </c>
      <c r="AV164" s="3">
        <f>-IF(RTD("tos.rtd",,AV$2,"."&amp;$C$134&amp;$AU$134&amp;"P"&amp;$A164)="N/A",0,RTD("tos.rtd",,AV$2,"."&amp;$C$134&amp;$AU$134&amp;"P"&amp;$A164))</f>
        <v>-8</v>
      </c>
      <c r="AW164" s="54">
        <f>IF(RTD("tos.rtd",,AW$2,"."&amp;$D$134&amp;$AW$134&amp;"C"&amp;$A164)="N/A",0,RTD("tos.rtd",,AW$2,"."&amp;$D$134&amp;$AW$134&amp;"C"&amp;$A164))</f>
        <v>17</v>
      </c>
      <c r="AX164" s="3">
        <f>-IF(RTD("tos.rtd",,AX$2,"."&amp;$D$134&amp;$AW$134&amp;"P"&amp;$A164)="N/A",0,RTD("tos.rtd",,AX$2,"."&amp;$D$134&amp;$AW$134&amp;"P"&amp;$A164))</f>
        <v>-6</v>
      </c>
      <c r="AY164" s="76">
        <f t="shared" si="409"/>
        <v>-1</v>
      </c>
      <c r="AZ164" s="8">
        <f t="shared" si="337"/>
        <v>20875</v>
      </c>
      <c r="BA164" s="54">
        <f>IF(RTD("tos.rtd",,BA$43,"."&amp;$B$134&amp;$AS$82&amp;"C"&amp;$A164)="N/A",0,RTD("tos.rtd",,BA$43,"."&amp;$B$134&amp;$AS$82&amp;"C"&amp;$A164))</f>
        <v>0</v>
      </c>
      <c r="BB164" s="3">
        <f>-IF(RTD("tos.rtd",,BB$43,"."&amp;$B$134&amp;$AS$82&amp;"P"&amp;$A164)="N/A",0,RTD("tos.rtd",,BB$43,"."&amp;$B$134&amp;$AS$82&amp;"P"&amp;$A164))</f>
        <v>-50</v>
      </c>
      <c r="BC164" s="54">
        <f>IF(RTD("tos.rtd",,BC$2,"."&amp;$C$134&amp;$AU$82&amp;"C"&amp;$A164)="N/A",0,RTD("tos.rtd",,BC$2,"."&amp;$C$134&amp;$AU$82&amp;"C"&amp;$A164))</f>
        <v>0</v>
      </c>
      <c r="BD164" s="3">
        <f>-IF(RTD("tos.rtd",,BD$2,"."&amp;$C$134&amp;$AU$82&amp;"P"&amp;$A164)="N/A",0,RTD("tos.rtd",,BD$2,"."&amp;$C$134&amp;$AU$82&amp;"P"&amp;$A164))</f>
        <v>-7</v>
      </c>
      <c r="BE164" s="54">
        <f>IF(RTD("tos.rtd",,BE$2,"."&amp;$D$134&amp;$AW$82&amp;"C"&amp;$A164)="N/A",0,RTD("tos.rtd",,BE$2,"."&amp;$D$134&amp;$AW$82&amp;"C"&amp;$A164))</f>
        <v>0</v>
      </c>
      <c r="BF164" s="3">
        <f>-IF(RTD("tos.rtd",,BF$2,"."&amp;$D$134&amp;$AW$82&amp;"P"&amp;$A164)="N/A",0,RTD("tos.rtd",,BF$2,"."&amp;$D$134&amp;$AW$82&amp;"P"&amp;$A164))</f>
        <v>-3</v>
      </c>
      <c r="BG164" s="3">
        <f ca="1">+Hoja2!Y165</f>
        <v>-7</v>
      </c>
      <c r="BH164" s="7">
        <f t="shared" ca="1" si="338"/>
        <v>-67</v>
      </c>
      <c r="BI164" s="32" t="str">
        <f t="shared" ca="1" si="397"/>
        <v/>
      </c>
      <c r="BJ164" s="3">
        <f ca="1">IF($BP$1=1,DX164,IF(RTD("tos.rtd",,BJ$43,"."&amp;$B$134&amp;$AS$82&amp;"C"&amp;$A164)="N/A",0,RTD("tos.rtd",,BJ$43,"."&amp;$B$134&amp;$AS$82&amp;"C"&amp;$A164)))</f>
        <v>3.6215380893175297E-14</v>
      </c>
      <c r="BK164" s="3">
        <f ca="1">IF($BP$1=1,DY164,-IF(RTD("tos.rtd",,BK$43,"."&amp;$B$134&amp;$AS$82&amp;"P"&amp;$A164)="N/A",0,RTD("tos.rtd",,BK$43,"."&amp;$B$134&amp;$AS$82&amp;"P"&amp;$A164)))</f>
        <v>-5.0998950973876734E-4</v>
      </c>
      <c r="BL164" s="3">
        <f ca="1">IF($BP$1=1,DZ164,IF(RTD("tos.rtd",,BL$2,"."&amp;$C$134&amp;$AU$82&amp;"C"&amp;$A164)="N/A",0,RTD("tos.rtd",,BL$2,"."&amp;$C$134&amp;$AU$82&amp;"C"&amp;$A164)))</f>
        <v>4.7884443557280615E-4</v>
      </c>
      <c r="BM164" s="3">
        <f ca="1">IF($BP$1=1,EA164,-IF(RTD("tos.rtd",,BM$2,"."&amp;$C$134&amp;$AU$82&amp;"P"&amp;$A164)="N/A",0,RTD("tos.rtd",,BM$2,"."&amp;$C$134&amp;$AU$82&amp;"P"&amp;$A164)))</f>
        <v>-4.9203223499847478E-4</v>
      </c>
      <c r="BN164" s="3">
        <f ca="1">IF($BP$1=1,EB164,IF(RTD("tos.rtd",,BN$2,"."&amp;$D$134&amp;$AW$82&amp;"C"&amp;$A164)="N/A",0,RTD("tos.rtd",,BN$2,"."&amp;$D$134&amp;$AW$82&amp;"C"&amp;$A164)))</f>
        <v>5.0727422926848717E-4</v>
      </c>
      <c r="BO164" s="3">
        <f ca="1">IF($BP$1=1,EC164,-IF(RTD("tos.rtd",,BO$2,"."&amp;$D$134&amp;$AW$82&amp;"P"&amp;$A164)="N/A",0,RTD("tos.rtd",,BO$2,"."&amp;$D$134&amp;$AW$82&amp;"P"&amp;$A164)))</f>
        <v>-5.0646663993393095E-4</v>
      </c>
      <c r="BQ164" s="3">
        <f t="shared" ca="1" si="410"/>
        <v>-107792.99198398362</v>
      </c>
      <c r="BR164" s="3" t="str">
        <f t="shared" ca="1" si="339"/>
        <v/>
      </c>
      <c r="BS164" s="3">
        <f t="shared" ca="1" si="411"/>
        <v>-138663.31431398817</v>
      </c>
      <c r="BT164" s="3" t="str">
        <f t="shared" ca="1" si="340"/>
        <v/>
      </c>
      <c r="BU164" s="3">
        <f t="shared" ca="1" si="412"/>
        <v>196739.01115078144</v>
      </c>
      <c r="BV164" s="3" t="str">
        <f t="shared" ca="1" si="340"/>
        <v>Cruce +</v>
      </c>
      <c r="BX164" s="3">
        <f t="shared" ca="1" si="370"/>
        <v>-6885.2494643789541</v>
      </c>
      <c r="BY164" s="3" t="str">
        <f t="shared" ca="1" si="371"/>
        <v/>
      </c>
      <c r="BZ164" s="3">
        <f t="shared" ca="1" si="372"/>
        <v>-929.993747891412</v>
      </c>
      <c r="CA164" s="3" t="str">
        <f t="shared" ca="1" si="371"/>
        <v/>
      </c>
      <c r="CB164" s="3">
        <f t="shared" ca="1" si="373"/>
        <v>-410.26128123111408</v>
      </c>
      <c r="CC164" s="3" t="str">
        <f t="shared" ca="1" si="371"/>
        <v/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7.0000000000000007E-2</v>
      </c>
      <c r="CF164" s="3">
        <f>IF(RTD("tos.rtd",,CF$2,"."&amp;$C$134&amp;$AU$82&amp;"C"&amp;$A164)="N/A",0,RTD("tos.rtd",,CF$2,"."&amp;$C$134&amp;$AU$82&amp;"C"&amp;$A164))</f>
        <v>0.94</v>
      </c>
      <c r="CG164" s="3">
        <f>-IF(RTD("tos.rtd",,CG$2,"."&amp;$C$134&amp;$AU$82&amp;"P"&amp;$A164)="N/A",0,RTD("tos.rtd",,CG$2,"."&amp;$C$134&amp;$AU$82&amp;"P"&amp;$A164))</f>
        <v>0.14000000000000001</v>
      </c>
      <c r="CH164" s="3">
        <f>IF(RTD("tos.rtd",,CH$2,"."&amp;$D$134&amp;$AW$82&amp;"C"&amp;$A164)="N/A",0,RTD("tos.rtd",,CH$2,"."&amp;$D$134&amp;$AW$82&amp;"C"&amp;$A164))</f>
        <v>0.69</v>
      </c>
      <c r="CI164" s="3">
        <f>-IF(RTD("tos.rtd",,CI$2,"."&amp;$D$134&amp;$AW$82&amp;"P"&amp;$A164)="N/A",0,RTD("tos.rtd",,CI$2,"."&amp;$D$134&amp;$AW$82&amp;"P"&amp;$A164))</f>
        <v>0.32</v>
      </c>
      <c r="CK164" s="3">
        <f t="shared" si="374"/>
        <v>3370258.5</v>
      </c>
      <c r="CL164" s="3"/>
      <c r="CM164" s="3">
        <f t="shared" si="375"/>
        <v>-2389044.0000000005</v>
      </c>
      <c r="CN164" s="3"/>
      <c r="CO164" s="3">
        <f t="shared" si="376"/>
        <v>20925465.749999996</v>
      </c>
      <c r="CP164" s="3">
        <f t="shared" si="331"/>
        <v>21906680.249999996</v>
      </c>
      <c r="CQ164" s="3">
        <f t="shared" si="341"/>
        <v>-50</v>
      </c>
      <c r="CR164" s="3"/>
      <c r="CS164" s="3">
        <f t="shared" si="342"/>
        <v>-7</v>
      </c>
      <c r="CT164" s="3"/>
      <c r="CU164" s="3">
        <f t="shared" si="343"/>
        <v>-3</v>
      </c>
      <c r="CV164" s="3"/>
      <c r="CW164" s="3">
        <f t="shared" ca="1" si="344"/>
        <v>-49717.295147190365</v>
      </c>
      <c r="CY164" s="3">
        <f t="shared" ca="1" si="345"/>
        <v>-8225.5044935014794</v>
      </c>
      <c r="CZ164" s="70" t="str">
        <f t="shared" ca="1" si="377"/>
        <v/>
      </c>
      <c r="DA164" s="3">
        <f>IF(RTD("tos.rtd",,DA$43,"."&amp;$B$134&amp;$AS$82&amp;"C"&amp;$A164)="N/A",0,RTD("tos.rtd",,DA$43,"."&amp;$B$134&amp;$AS$82&amp;"C"&amp;$A164))</f>
        <v>504.45</v>
      </c>
      <c r="DB164" s="3">
        <f>IF(RTD("tos.rtd",,DB$43,"."&amp;$B$134&amp;$AS$82&amp;"P"&amp;$A164)="N/A",0,RTD("tos.rtd",,DB$43,"."&amp;$B$134&amp;$AS$82&amp;"P"&amp;$A164))</f>
        <v>0.35</v>
      </c>
      <c r="DC164" s="3">
        <f>IF(RTD("tos.rtd",,DC$43,"."&amp;$B$134&amp;$AS$82&amp;"C"&amp;$A164)="N/A",0,RTD("tos.rtd",,DC$43,"."&amp;$B$134&amp;$AS$82&amp;"C"&amp;$A164))</f>
        <v>523.5</v>
      </c>
      <c r="DD164" s="3">
        <f>IF(RTD("tos.rtd",,DD$43,"."&amp;$B$134&amp;$AS$82&amp;"P"&amp;$A164)="N/A",0,RTD("tos.rtd",,DD$43,"."&amp;$B$134&amp;$AS$82&amp;"P"&amp;$A164))</f>
        <v>19.8</v>
      </c>
      <c r="DE164" s="3">
        <f>IF(RTD("tos.rtd",,DE$43,"."&amp;$B$134&amp;$AS$82&amp;"C"&amp;$A164)="N/A",0,RTD("tos.rtd",,DE$43,"."&amp;$B$134&amp;$AS$82&amp;"C"&amp;$A164))</f>
        <v>461.2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378"/>
        <v>-455.75</v>
      </c>
      <c r="DH164" s="3">
        <f t="shared" si="379"/>
        <v>0</v>
      </c>
      <c r="DI164" s="3">
        <f t="shared" si="380"/>
        <v>0</v>
      </c>
      <c r="DJ164" s="3">
        <f t="shared" si="346"/>
        <v>0</v>
      </c>
      <c r="DK164" s="3">
        <f t="shared" si="347"/>
        <v>0</v>
      </c>
      <c r="DL164" s="3">
        <f t="shared" si="381"/>
        <v>0</v>
      </c>
      <c r="DM164" s="3">
        <f t="shared" si="382"/>
        <v>0</v>
      </c>
      <c r="DN164" s="64" t="str">
        <f t="shared" si="348"/>
        <v>UNKNOWN</v>
      </c>
      <c r="DO164" s="64" t="str">
        <f t="shared" si="349"/>
        <v>UNKNOWN</v>
      </c>
      <c r="DP164" s="3">
        <f t="shared" si="350"/>
        <v>0</v>
      </c>
      <c r="DQ164" s="3">
        <f t="shared" si="351"/>
        <v>0</v>
      </c>
      <c r="DR164" s="3">
        <f t="shared" ca="1" si="352"/>
        <v>0</v>
      </c>
      <c r="DS164" s="3">
        <f t="shared" si="353"/>
        <v>0</v>
      </c>
      <c r="DT164" s="3">
        <f t="shared" si="383"/>
        <v>0</v>
      </c>
      <c r="DU164" s="3">
        <f t="shared" si="384"/>
        <v>0</v>
      </c>
      <c r="DV164" s="3">
        <f t="shared" si="354"/>
        <v>0</v>
      </c>
      <c r="DW164" s="3">
        <f t="shared" si="355"/>
        <v>12</v>
      </c>
      <c r="DX164" s="3">
        <f t="shared" ca="1" si="356"/>
        <v>3.6215380893175297E-14</v>
      </c>
      <c r="DY164" s="3">
        <f t="shared" ca="1" si="357"/>
        <v>-5.0998950973876734E-4</v>
      </c>
      <c r="DZ164" s="3">
        <f t="shared" ca="1" si="358"/>
        <v>4.7884443557280615E-4</v>
      </c>
      <c r="EA164" s="3">
        <f t="shared" ca="1" si="359"/>
        <v>-4.9203223499847478E-4</v>
      </c>
      <c r="EB164" s="3">
        <f t="shared" ca="1" si="360"/>
        <v>5.0727422926848717E-4</v>
      </c>
      <c r="EC164" s="3">
        <f t="shared" ca="1" si="361"/>
        <v>-5.0646663993393095E-4</v>
      </c>
      <c r="ED164" s="63">
        <f t="shared" si="385"/>
        <v>12</v>
      </c>
      <c r="EE164" s="59">
        <f t="shared" si="362"/>
        <v>0.25</v>
      </c>
      <c r="EF164" s="59">
        <f t="shared" si="363"/>
        <v>2.0714999999999999</v>
      </c>
      <c r="EG164" s="59">
        <f t="shared" si="364"/>
        <v>0.1646</v>
      </c>
      <c r="EH164" s="59">
        <f t="shared" si="365"/>
        <v>0.2495</v>
      </c>
      <c r="EI164" s="59">
        <f t="shared" si="366"/>
        <v>0.1981</v>
      </c>
      <c r="EJ164" s="59">
        <f t="shared" si="367"/>
        <v>0.2185</v>
      </c>
      <c r="EK164" s="63">
        <f t="shared" ca="1" si="386"/>
        <v>-2784548.2039034329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207.15%</v>
      </c>
      <c r="EN164" s="3" t="str">
        <f>RTD("tos.rtd",,EN$2,"."&amp;$C$134&amp;$AU$82&amp;"C"&amp;$A164)</f>
        <v>16.46%</v>
      </c>
      <c r="EO164" s="3" t="str">
        <f>RTD("tos.rtd",,EO$2,"."&amp;$C$134&amp;$AU$82&amp;"P"&amp;$A164)</f>
        <v>24.95%</v>
      </c>
      <c r="EP164" s="3" t="str">
        <f>RTD("tos.rtd",,EP$2,"."&amp;$D$134&amp;$AW$82&amp;"C"&amp;$A164)</f>
        <v>19.81%</v>
      </c>
      <c r="EQ164" s="3" t="str">
        <f>RTD("tos.rtd",,EQ$2,"."&amp;$D$134&amp;$AW$82&amp;"P"&amp;$A164)</f>
        <v>21.85%</v>
      </c>
      <c r="ES164" s="63" t="str">
        <f t="shared" si="368"/>
        <v>20875,12.00</v>
      </c>
      <c r="ET164" s="63" t="str">
        <f t="shared" ca="1" si="369"/>
        <v>20875,-08.23</v>
      </c>
      <c r="EU164" s="68">
        <v>592.64</v>
      </c>
      <c r="EV164" s="68" t="s">
        <v>1328</v>
      </c>
      <c r="EW164" s="68">
        <v>519.11</v>
      </c>
      <c r="EX164" s="68" t="s">
        <v>1329</v>
      </c>
      <c r="EY164" s="68">
        <v>5936.25</v>
      </c>
      <c r="EZ164" s="68" t="s">
        <v>1330</v>
      </c>
      <c r="FA164" s="68">
        <v>21309.5</v>
      </c>
      <c r="FB164" s="68" t="s">
        <v>1331</v>
      </c>
      <c r="FC164" s="68" t="s">
        <v>1332</v>
      </c>
      <c r="FD164" s="68" t="s">
        <v>1333</v>
      </c>
      <c r="FE164" s="68" t="s">
        <v>1334</v>
      </c>
      <c r="FF164" s="68" t="s">
        <v>1335</v>
      </c>
    </row>
    <row r="165" spans="1:162" ht="11.1" customHeight="1" thickBot="1" x14ac:dyDescent="0.25">
      <c r="A165" s="2">
        <f t="shared" si="387"/>
        <v>20850</v>
      </c>
      <c r="B165" s="3">
        <f t="shared" si="413"/>
        <v>7</v>
      </c>
      <c r="C165" s="3">
        <f t="shared" si="414"/>
        <v>7</v>
      </c>
      <c r="D165" s="3">
        <f t="shared" si="415"/>
        <v>99</v>
      </c>
      <c r="E165" s="3">
        <f t="shared" si="401"/>
        <v>113</v>
      </c>
      <c r="F165" s="4">
        <f t="shared" si="408"/>
        <v>20937.971590309764</v>
      </c>
      <c r="G165" s="5">
        <f t="shared" si="403"/>
        <v>507.91863858514114</v>
      </c>
      <c r="AM165" s="1">
        <v>0</v>
      </c>
      <c r="AN165" s="1">
        <v>-25</v>
      </c>
      <c r="AO165" s="1">
        <v>20850</v>
      </c>
      <c r="AP165" s="1">
        <v>0</v>
      </c>
      <c r="AQ165" s="1">
        <v>-108</v>
      </c>
      <c r="AS165" s="54">
        <f>IF(RTD("tos.rtd",,AS$83,"."&amp;$B$134&amp;$AS$82&amp;"C"&amp;$A165)="N/A",0,RTD("tos.rtd",,AS$83,"."&amp;$B$134&amp;$AS$82&amp;"C"&amp;$A165))</f>
        <v>2</v>
      </c>
      <c r="AT165" s="3">
        <f>-IF(RTD("tos.rtd",,AT$83,"."&amp;$B$134&amp;$AS$82&amp;"P"&amp;$A165)="N/A",0,RTD("tos.rtd",,AT$83,"."&amp;$B$134&amp;$AS$82&amp;"P"&amp;$A165))</f>
        <v>-5</v>
      </c>
      <c r="AU165" s="54">
        <f>IF(RTD("tos.rtd",,AU$2,"."&amp;$C$134&amp;$AU$134&amp;"C"&amp;$A165)="N/A",0,RTD("tos.rtd",,AU$2,"."&amp;$C$134&amp;$AU$134&amp;"C"&amp;$A165))</f>
        <v>2</v>
      </c>
      <c r="AV165" s="3">
        <f>-IF(RTD("tos.rtd",,AV$2,"."&amp;$C$134&amp;$AU$134&amp;"P"&amp;$A165)="N/A",0,RTD("tos.rtd",,AV$2,"."&amp;$C$134&amp;$AU$134&amp;"P"&amp;$A165))</f>
        <v>-5</v>
      </c>
      <c r="AW165" s="54">
        <f>IF(RTD("tos.rtd",,AW$2,"."&amp;$D$134&amp;$AW$134&amp;"C"&amp;$A165)="N/A",0,RTD("tos.rtd",,AW$2,"."&amp;$D$134&amp;$AW$134&amp;"C"&amp;$A165))</f>
        <v>51</v>
      </c>
      <c r="AX165" s="3">
        <f>-IF(RTD("tos.rtd",,AX$2,"."&amp;$D$134&amp;$AW$134&amp;"P"&amp;$A165)="N/A",0,RTD("tos.rtd",,AX$2,"."&amp;$D$134&amp;$AW$134&amp;"P"&amp;$A165))</f>
        <v>-48</v>
      </c>
      <c r="AY165" s="76">
        <f t="shared" si="409"/>
        <v>-3</v>
      </c>
      <c r="AZ165" s="8">
        <f t="shared" si="337"/>
        <v>20850</v>
      </c>
      <c r="BA165" s="54">
        <f>IF(RTD("tos.rtd",,BA$43,"."&amp;$B$134&amp;$AS$82&amp;"C"&amp;$A165)="N/A",0,RTD("tos.rtd",,BA$43,"."&amp;$B$134&amp;$AS$82&amp;"C"&amp;$A165))</f>
        <v>0</v>
      </c>
      <c r="BB165" s="3">
        <f>-IF(RTD("tos.rtd",,BB$43,"."&amp;$B$134&amp;$AS$82&amp;"P"&amp;$A165)="N/A",0,RTD("tos.rtd",,BB$43,"."&amp;$B$134&amp;$AS$82&amp;"P"&amp;$A165))</f>
        <v>-108</v>
      </c>
      <c r="BC165" s="54">
        <f>IF(RTD("tos.rtd",,BC$2,"."&amp;$C$134&amp;$AU$82&amp;"C"&amp;$A165)="N/A",0,RTD("tos.rtd",,BC$2,"."&amp;$C$134&amp;$AU$82&amp;"C"&amp;$A165))</f>
        <v>0</v>
      </c>
      <c r="BD165" s="3">
        <f>-IF(RTD("tos.rtd",,BD$2,"."&amp;$C$134&amp;$AU$82&amp;"P"&amp;$A165)="N/A",0,RTD("tos.rtd",,BD$2,"."&amp;$C$134&amp;$AU$82&amp;"P"&amp;$A165))</f>
        <v>-1</v>
      </c>
      <c r="BE165" s="54">
        <f>IF(RTD("tos.rtd",,BE$2,"."&amp;$D$134&amp;$AW$82&amp;"C"&amp;$A165)="N/A",0,RTD("tos.rtd",,BE$2,"."&amp;$D$134&amp;$AW$82&amp;"C"&amp;$A165))</f>
        <v>0</v>
      </c>
      <c r="BF165" s="3">
        <f>-IF(RTD("tos.rtd",,BF$2,"."&amp;$D$134&amp;$AW$82&amp;"P"&amp;$A165)="N/A",0,RTD("tos.rtd",,BF$2,"."&amp;$D$134&amp;$AW$82&amp;"P"&amp;$A165))</f>
        <v>0</v>
      </c>
      <c r="BG165" s="3">
        <f ca="1">+Hoja2!Y166</f>
        <v>-13</v>
      </c>
      <c r="BH165" s="7">
        <f t="shared" ca="1" si="338"/>
        <v>-122</v>
      </c>
      <c r="BI165" s="32" t="str">
        <f t="shared" ca="1" si="397"/>
        <v/>
      </c>
      <c r="BJ165" s="3">
        <f ca="1">IF($BP$1=1,DX165,IF(RTD("tos.rtd",,BJ$43,"."&amp;$B$134&amp;$AS$82&amp;"C"&amp;$A165)="N/A",0,RTD("tos.rtd",,BJ$43,"."&amp;$B$134&amp;$AS$82&amp;"C"&amp;$A165)))</f>
        <v>1.8974803370875734E-15</v>
      </c>
      <c r="BK165" s="3">
        <f ca="1">IF($BP$1=1,DY165,-IF(RTD("tos.rtd",,BK$43,"."&amp;$B$134&amp;$AS$82&amp;"P"&amp;$A165)="N/A",0,RTD("tos.rtd",,BK$43,"."&amp;$B$134&amp;$AS$82&amp;"P"&amp;$A165)))</f>
        <v>-4.8461024008213349E-4</v>
      </c>
      <c r="BL165" s="3">
        <f ca="1">IF($BP$1=1,DZ165,IF(RTD("tos.rtd",,BL$2,"."&amp;$C$134&amp;$AU$82&amp;"C"&amp;$A165)="N/A",0,RTD("tos.rtd",,BL$2,"."&amp;$C$134&amp;$AU$82&amp;"C"&amp;$A165)))</f>
        <v>4.7773235330803493E-4</v>
      </c>
      <c r="BM165" s="3">
        <f ca="1">IF($BP$1=1,EA165,-IF(RTD("tos.rtd",,BM$2,"."&amp;$C$134&amp;$AU$82&amp;"P"&amp;$A165)="N/A",0,RTD("tos.rtd",,BM$2,"."&amp;$C$134&amp;$AU$82&amp;"P"&amp;$A165)))</f>
        <v>-4.72716607115379E-4</v>
      </c>
      <c r="BN165" s="3">
        <f ca="1">IF($BP$1=1,EB165,IF(RTD("tos.rtd",,BN$2,"."&amp;$D$134&amp;$AW$82&amp;"C"&amp;$A165)="N/A",0,RTD("tos.rtd",,BN$2,"."&amp;$D$134&amp;$AW$82&amp;"C"&amp;$A165)))</f>
        <v>4.775455532307614E-4</v>
      </c>
      <c r="BO165" s="3">
        <f ca="1">IF($BP$1=1,EC165,-IF(RTD("tos.rtd",,BO$2,"."&amp;$D$134&amp;$AW$82&amp;"P"&amp;$A165)="N/A",0,RTD("tos.rtd",,BO$2,"."&amp;$D$134&amp;$AW$82&amp;"P"&amp;$A165)))</f>
        <v>-4.8162267843643639E-4</v>
      </c>
      <c r="BQ165" s="3">
        <f t="shared" ca="1" si="410"/>
        <v>-85357.291225529669</v>
      </c>
      <c r="BR165" s="3" t="str">
        <f t="shared" ca="1" si="339"/>
        <v/>
      </c>
      <c r="BS165" s="3">
        <f t="shared" ca="1" si="411"/>
        <v>-49604.055525088705</v>
      </c>
      <c r="BT165" s="3" t="str">
        <f t="shared" ca="1" si="340"/>
        <v/>
      </c>
      <c r="BU165" s="3">
        <f t="shared" ca="1" si="412"/>
        <v>43573.735096433549</v>
      </c>
      <c r="BV165" s="3" t="str">
        <f t="shared" ca="1" si="340"/>
        <v/>
      </c>
      <c r="BX165" s="3">
        <f t="shared" ca="1" si="370"/>
        <v>-14132.037302024453</v>
      </c>
      <c r="BY165" s="3" t="str">
        <f t="shared" ca="1" si="371"/>
        <v/>
      </c>
      <c r="BZ165" s="3">
        <f t="shared" ca="1" si="372"/>
        <v>-127.640733928484</v>
      </c>
      <c r="CA165" s="3" t="str">
        <f t="shared" ca="1" si="371"/>
        <v/>
      </c>
      <c r="CB165" s="3">
        <f t="shared" ca="1" si="373"/>
        <v>0</v>
      </c>
      <c r="CC165" s="3" t="str">
        <f t="shared" ca="1" si="371"/>
        <v/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0.06</v>
      </c>
      <c r="CF165" s="3">
        <f>IF(RTD("tos.rtd",,CF$2,"."&amp;$C$134&amp;$AU$82&amp;"C"&amp;$A165)="N/A",0,RTD("tos.rtd",,CF$2,"."&amp;$C$134&amp;$AU$82&amp;"C"&amp;$A165))</f>
        <v>0.92</v>
      </c>
      <c r="CG165" s="3">
        <f>-IF(RTD("tos.rtd",,CG$2,"."&amp;$C$134&amp;$AU$82&amp;"P"&amp;$A165)="N/A",0,RTD("tos.rtd",,CG$2,"."&amp;$C$134&amp;$AU$82&amp;"P"&amp;$A165))</f>
        <v>0.13</v>
      </c>
      <c r="CH165" s="3">
        <f>IF(RTD("tos.rtd",,CH$2,"."&amp;$D$134&amp;$AW$82&amp;"C"&amp;$A165)="N/A",0,RTD("tos.rtd",,CH$2,"."&amp;$D$134&amp;$AW$82&amp;"C"&amp;$A165))</f>
        <v>0.7</v>
      </c>
      <c r="CI165" s="3">
        <f>-IF(RTD("tos.rtd",,CI$2,"."&amp;$D$134&amp;$AW$82&amp;"P"&amp;$A165)="N/A",0,RTD("tos.rtd",,CI$2,"."&amp;$D$134&amp;$AW$82&amp;"P"&amp;$A165))</f>
        <v>0.32</v>
      </c>
      <c r="CK165" s="3">
        <f t="shared" si="374"/>
        <v>3626227.5</v>
      </c>
      <c r="CL165" s="3"/>
      <c r="CM165" s="3">
        <f t="shared" si="375"/>
        <v>2538359.25</v>
      </c>
      <c r="CN165" s="3"/>
      <c r="CO165" s="3">
        <f t="shared" si="376"/>
        <v>43386745.499999985</v>
      </c>
      <c r="CP165" s="3">
        <f t="shared" si="331"/>
        <v>49551332.249999985</v>
      </c>
      <c r="CQ165" s="3">
        <f t="shared" si="341"/>
        <v>-108</v>
      </c>
      <c r="CR165" s="3"/>
      <c r="CS165" s="3">
        <f t="shared" si="342"/>
        <v>-1</v>
      </c>
      <c r="CT165" s="3"/>
      <c r="CU165" s="3">
        <f t="shared" si="343"/>
        <v>0</v>
      </c>
      <c r="CV165" s="3"/>
      <c r="CW165" s="3">
        <f t="shared" ca="1" si="344"/>
        <v>-91387.611654184817</v>
      </c>
      <c r="CY165" s="3">
        <f t="shared" ca="1" si="345"/>
        <v>-14259.678035952937</v>
      </c>
      <c r="CZ165" s="70" t="str">
        <f t="shared" ca="1" si="377"/>
        <v/>
      </c>
      <c r="DA165" s="3">
        <f>IF(RTD("tos.rtd",,DA$43,"."&amp;$B$134&amp;$AS$82&amp;"C"&amp;$A165)="N/A",0,RTD("tos.rtd",,DA$43,"."&amp;$B$134&amp;$AS$82&amp;"C"&amp;$A165))</f>
        <v>525.42999999999995</v>
      </c>
      <c r="DB165" s="3">
        <f>IF(RTD("tos.rtd",,DB$43,"."&amp;$B$134&amp;$AS$82&amp;"P"&amp;$A165)="N/A",0,RTD("tos.rtd",,DB$43,"."&amp;$B$134&amp;$AS$82&amp;"P"&amp;$A165))</f>
        <v>0.15</v>
      </c>
      <c r="DC165" s="3">
        <f>IF(RTD("tos.rtd",,DC$43,"."&amp;$B$134&amp;$AS$82&amp;"C"&amp;$A165)="N/A",0,RTD("tos.rtd",,DC$43,"."&amp;$B$134&amp;$AS$82&amp;"C"&amp;$A165))</f>
        <v>548.5</v>
      </c>
      <c r="DD165" s="3">
        <f>IF(RTD("tos.rtd",,DD$43,"."&amp;$B$134&amp;$AS$82&amp;"P"&amp;$A165)="N/A",0,RTD("tos.rtd",,DD$43,"."&amp;$B$134&amp;$AS$82&amp;"P"&amp;$A165))</f>
        <v>19.8</v>
      </c>
      <c r="DE165" s="3">
        <f>IF(RTD("tos.rtd",,DE$43,"."&amp;$B$134&amp;$AS$82&amp;"C"&amp;$A165)="N/A",0,RTD("tos.rtd",,DE$43,"."&amp;$B$134&amp;$AS$82&amp;"C"&amp;$A165))</f>
        <v>482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378"/>
        <v>-480.75</v>
      </c>
      <c r="DH165" s="3">
        <f t="shared" si="379"/>
        <v>0</v>
      </c>
      <c r="DI165" s="3">
        <f t="shared" si="380"/>
        <v>0</v>
      </c>
      <c r="DJ165" s="3">
        <f t="shared" si="346"/>
        <v>0</v>
      </c>
      <c r="DK165" s="3">
        <f t="shared" si="347"/>
        <v>0</v>
      </c>
      <c r="DL165" s="3">
        <f t="shared" si="381"/>
        <v>0</v>
      </c>
      <c r="DM165" s="3">
        <f t="shared" si="382"/>
        <v>0</v>
      </c>
      <c r="DN165" s="64" t="str">
        <f t="shared" si="348"/>
        <v>UNKNOWN</v>
      </c>
      <c r="DO165" s="64" t="str">
        <f t="shared" si="349"/>
        <v>UNKNOWN</v>
      </c>
      <c r="DP165" s="3">
        <f t="shared" si="350"/>
        <v>0</v>
      </c>
      <c r="DQ165" s="3">
        <f t="shared" si="351"/>
        <v>0</v>
      </c>
      <c r="DR165" s="3">
        <f t="shared" ca="1" si="352"/>
        <v>0</v>
      </c>
      <c r="DS165" s="3">
        <f t="shared" si="353"/>
        <v>0</v>
      </c>
      <c r="DT165" s="3">
        <f t="shared" si="383"/>
        <v>0</v>
      </c>
      <c r="DU165" s="3">
        <f t="shared" si="384"/>
        <v>0</v>
      </c>
      <c r="DV165" s="3">
        <f t="shared" si="354"/>
        <v>0</v>
      </c>
      <c r="DW165" s="3">
        <f t="shared" si="355"/>
        <v>-25</v>
      </c>
      <c r="DX165" s="3">
        <f t="shared" ca="1" si="356"/>
        <v>1.8974803370875734E-15</v>
      </c>
      <c r="DY165" s="3">
        <f t="shared" ca="1" si="357"/>
        <v>-4.8461024008213349E-4</v>
      </c>
      <c r="DZ165" s="3">
        <f t="shared" ca="1" si="358"/>
        <v>4.7773235330803493E-4</v>
      </c>
      <c r="EA165" s="3">
        <f t="shared" ca="1" si="359"/>
        <v>-4.72716607115379E-4</v>
      </c>
      <c r="EB165" s="3">
        <f t="shared" ca="1" si="360"/>
        <v>4.775455532307614E-4</v>
      </c>
      <c r="EC165" s="3">
        <f t="shared" ca="1" si="361"/>
        <v>-4.8162267843643639E-4</v>
      </c>
      <c r="ED165" s="63">
        <f t="shared" si="385"/>
        <v>-25</v>
      </c>
      <c r="EE165" s="59">
        <f t="shared" si="362"/>
        <v>0.25</v>
      </c>
      <c r="EF165" s="59">
        <f t="shared" si="363"/>
        <v>2.1537000000000002</v>
      </c>
      <c r="EG165" s="59">
        <f t="shared" si="364"/>
        <v>0.1991</v>
      </c>
      <c r="EH165" s="59">
        <f t="shared" si="365"/>
        <v>0.25090000000000001</v>
      </c>
      <c r="EI165" s="59">
        <f t="shared" si="366"/>
        <v>0.19869999999999999</v>
      </c>
      <c r="EJ165" s="59">
        <f t="shared" si="367"/>
        <v>0.21929999999999999</v>
      </c>
      <c r="EK165" s="63">
        <f t="shared" ca="1" si="386"/>
        <v>5512452.3309032228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215.37%</v>
      </c>
      <c r="EN165" s="3" t="str">
        <f>RTD("tos.rtd",,EN$2,"."&amp;$C$134&amp;$AU$82&amp;"C"&amp;$A165)</f>
        <v>19.91%</v>
      </c>
      <c r="EO165" s="3" t="str">
        <f>RTD("tos.rtd",,EO$2,"."&amp;$C$134&amp;$AU$82&amp;"P"&amp;$A165)</f>
        <v>25.09%</v>
      </c>
      <c r="EP165" s="3" t="str">
        <f>RTD("tos.rtd",,EP$2,"."&amp;$D$134&amp;$AW$82&amp;"C"&amp;$A165)</f>
        <v>19.87%</v>
      </c>
      <c r="EQ165" s="3" t="str">
        <f>RTD("tos.rtd",,EQ$2,"."&amp;$D$134&amp;$AW$82&amp;"P"&amp;$A165)</f>
        <v>21.93%</v>
      </c>
      <c r="ES165" s="63" t="str">
        <f t="shared" si="368"/>
        <v>20850,-25.00</v>
      </c>
      <c r="ET165" s="63" t="str">
        <f t="shared" ca="1" si="369"/>
        <v>20850,-14.26</v>
      </c>
      <c r="EU165" s="68">
        <v>592.64</v>
      </c>
      <c r="EV165" s="68" t="s">
        <v>1336</v>
      </c>
      <c r="EW165" s="68">
        <v>519.11</v>
      </c>
      <c r="EX165" s="68" t="s">
        <v>1337</v>
      </c>
      <c r="EY165" s="68">
        <v>5936.25</v>
      </c>
      <c r="EZ165" s="68" t="s">
        <v>1338</v>
      </c>
      <c r="FA165" s="68">
        <v>21309.5</v>
      </c>
      <c r="FB165" s="68" t="s">
        <v>1339</v>
      </c>
      <c r="FC165" s="68" t="s">
        <v>1340</v>
      </c>
      <c r="FD165" s="68" t="s">
        <v>1341</v>
      </c>
      <c r="FE165" s="68" t="s">
        <v>1342</v>
      </c>
      <c r="FF165" s="68" t="s">
        <v>1343</v>
      </c>
    </row>
    <row r="166" spans="1:162" ht="11.1" customHeight="1" thickBot="1" x14ac:dyDescent="0.25">
      <c r="A166" s="2">
        <f t="shared" si="387"/>
        <v>20825</v>
      </c>
      <c r="B166" s="3">
        <f t="shared" si="413"/>
        <v>17</v>
      </c>
      <c r="C166" s="3">
        <f t="shared" si="414"/>
        <v>14</v>
      </c>
      <c r="D166" s="3">
        <f t="shared" si="415"/>
        <v>168</v>
      </c>
      <c r="E166" s="3">
        <f t="shared" si="401"/>
        <v>199</v>
      </c>
      <c r="F166" s="4">
        <f t="shared" si="408"/>
        <v>20912.866108786609</v>
      </c>
      <c r="G166" s="5">
        <f t="shared" si="403"/>
        <v>507.30962343096229</v>
      </c>
      <c r="AM166" s="1">
        <v>0</v>
      </c>
      <c r="AN166" s="1">
        <v>0</v>
      </c>
      <c r="AO166" s="1">
        <v>20825</v>
      </c>
      <c r="AP166" s="1">
        <v>0</v>
      </c>
      <c r="AQ166" s="1">
        <v>-71</v>
      </c>
      <c r="AS166" s="54">
        <f>IF(RTD("tos.rtd",,AS$83,"."&amp;$B$134&amp;$AS$82&amp;"C"&amp;$A166)="N/A",0,RTD("tos.rtd",,AS$83,"."&amp;$B$134&amp;$AS$82&amp;"C"&amp;$A166))</f>
        <v>0</v>
      </c>
      <c r="AT166" s="3">
        <f>-IF(RTD("tos.rtd",,AT$83,"."&amp;$B$134&amp;$AS$82&amp;"P"&amp;$A166)="N/A",0,RTD("tos.rtd",,AT$83,"."&amp;$B$134&amp;$AS$82&amp;"P"&amp;$A166))</f>
        <v>-17</v>
      </c>
      <c r="AU166" s="54">
        <f>IF(RTD("tos.rtd",,AU$2,"."&amp;$C$134&amp;$AU$134&amp;"C"&amp;$A166)="N/A",0,RTD("tos.rtd",,AU$2,"."&amp;$C$134&amp;$AU$134&amp;"C"&amp;$A166))</f>
        <v>5</v>
      </c>
      <c r="AV166" s="3">
        <f>-IF(RTD("tos.rtd",,AV$2,"."&amp;$C$134&amp;$AU$134&amp;"P"&amp;$A166)="N/A",0,RTD("tos.rtd",,AV$2,"."&amp;$C$134&amp;$AU$134&amp;"P"&amp;$A166))</f>
        <v>-9</v>
      </c>
      <c r="AW166" s="54">
        <f>IF(RTD("tos.rtd",,AW$2,"."&amp;$D$134&amp;$AW$134&amp;"C"&amp;$A166)="N/A",0,RTD("tos.rtd",,AW$2,"."&amp;$D$134&amp;$AW$134&amp;"C"&amp;$A166))</f>
        <v>85</v>
      </c>
      <c r="AX166" s="3">
        <f>-IF(RTD("tos.rtd",,AX$2,"."&amp;$D$134&amp;$AW$134&amp;"P"&amp;$A166)="N/A",0,RTD("tos.rtd",,AX$2,"."&amp;$D$134&amp;$AW$134&amp;"P"&amp;$A166))</f>
        <v>-83</v>
      </c>
      <c r="AY166" s="76">
        <f t="shared" si="409"/>
        <v>-19</v>
      </c>
      <c r="AZ166" s="8">
        <f t="shared" si="337"/>
        <v>20825</v>
      </c>
      <c r="BA166" s="54">
        <f>IF(RTD("tos.rtd",,BA$43,"."&amp;$B$134&amp;$AS$82&amp;"C"&amp;$A166)="N/A",0,RTD("tos.rtd",,BA$43,"."&amp;$B$134&amp;$AS$82&amp;"C"&amp;$A166))</f>
        <v>0</v>
      </c>
      <c r="BB166" s="3">
        <f>-IF(RTD("tos.rtd",,BB$43,"."&amp;$B$134&amp;$AS$82&amp;"P"&amp;$A166)="N/A",0,RTD("tos.rtd",,BB$43,"."&amp;$B$134&amp;$AS$82&amp;"P"&amp;$A166))</f>
        <v>-71</v>
      </c>
      <c r="BC166" s="54">
        <f>IF(RTD("tos.rtd",,BC$2,"."&amp;$C$134&amp;$AU$82&amp;"C"&amp;$A166)="N/A",0,RTD("tos.rtd",,BC$2,"."&amp;$C$134&amp;$AU$82&amp;"C"&amp;$A166))</f>
        <v>1</v>
      </c>
      <c r="BD166" s="3">
        <f>-IF(RTD("tos.rtd",,BD$2,"."&amp;$C$134&amp;$AU$82&amp;"P"&amp;$A166)="N/A",0,RTD("tos.rtd",,BD$2,"."&amp;$C$134&amp;$AU$82&amp;"P"&amp;$A166))</f>
        <v>-5</v>
      </c>
      <c r="BE166" s="54">
        <f>IF(RTD("tos.rtd",,BE$2,"."&amp;$D$134&amp;$AW$82&amp;"C"&amp;$A166)="N/A",0,RTD("tos.rtd",,BE$2,"."&amp;$D$134&amp;$AW$82&amp;"C"&amp;$A166))</f>
        <v>0</v>
      </c>
      <c r="BF166" s="3">
        <f>-IF(RTD("tos.rtd",,BF$2,"."&amp;$D$134&amp;$AW$82&amp;"P"&amp;$A166)="N/A",0,RTD("tos.rtd",,BF$2,"."&amp;$D$134&amp;$AW$82&amp;"P"&amp;$A166))</f>
        <v>0</v>
      </c>
      <c r="BG166" s="3">
        <f ca="1">+Hoja2!Y167</f>
        <v>-3</v>
      </c>
      <c r="BH166" s="7">
        <f t="shared" ca="1" si="338"/>
        <v>-78</v>
      </c>
      <c r="BI166" s="32" t="str">
        <f t="shared" ca="1" si="397"/>
        <v/>
      </c>
      <c r="BJ166" s="3">
        <f ca="1">IF($BP$1=1,DX166,IF(RTD("tos.rtd",,BJ$43,"."&amp;$B$134&amp;$AS$82&amp;"C"&amp;$A166)="N/A",0,RTD("tos.rtd",,BJ$43,"."&amp;$B$134&amp;$AS$82&amp;"C"&amp;$A166)))</f>
        <v>4.6416124255604918E-4</v>
      </c>
      <c r="BK166" s="3">
        <f ca="1">IF($BP$1=1,DY166,-IF(RTD("tos.rtd",,BK$43,"."&amp;$B$134&amp;$AS$82&amp;"P"&amp;$A166)="N/A",0,RTD("tos.rtd",,BK$43,"."&amp;$B$134&amp;$AS$82&amp;"P"&amp;$A166)))</f>
        <v>-4.6148350594939805E-4</v>
      </c>
      <c r="BL166" s="3">
        <f ca="1">IF($BP$1=1,DZ166,IF(RTD("tos.rtd",,BL$2,"."&amp;$C$134&amp;$AU$82&amp;"C"&amp;$A166)="N/A",0,RTD("tos.rtd",,BL$2,"."&amp;$C$134&amp;$AU$82&amp;"C"&amp;$A166)))</f>
        <v>3.3623480216147427E-4</v>
      </c>
      <c r="BM166" s="3">
        <f ca="1">IF($BP$1=1,EA166,-IF(RTD("tos.rtd",,BM$2,"."&amp;$C$134&amp;$AU$82&amp;"P"&amp;$A166)="N/A",0,RTD("tos.rtd",,BM$2,"."&amp;$C$134&amp;$AU$82&amp;"P"&amp;$A166)))</f>
        <v>-4.5357547359749077E-4</v>
      </c>
      <c r="BN166" s="3">
        <f ca="1">IF($BP$1=1,EB166,IF(RTD("tos.rtd",,BN$2,"."&amp;$D$134&amp;$AW$82&amp;"C"&amp;$A166)="N/A",0,RTD("tos.rtd",,BN$2,"."&amp;$D$134&amp;$AW$82&amp;"C"&amp;$A166)))</f>
        <v>4.4945226237488785E-4</v>
      </c>
      <c r="BO166" s="3">
        <f ca="1">IF($BP$1=1,EC166,-IF(RTD("tos.rtd",,BO$2,"."&amp;$D$134&amp;$AW$82&amp;"P"&amp;$A166)="N/A",0,RTD("tos.rtd",,BO$2,"."&amp;$D$134&amp;$AW$82&amp;"P"&amp;$A166)))</f>
        <v>-4.5711854700800932E-4</v>
      </c>
      <c r="BQ166" s="3">
        <f t="shared" ca="1" si="410"/>
        <v>-276365.06158445001</v>
      </c>
      <c r="BR166" s="3" t="str">
        <f t="shared" ca="1" si="339"/>
        <v/>
      </c>
      <c r="BS166" s="3">
        <f t="shared" ca="1" si="411"/>
        <v>-84580.674340631755</v>
      </c>
      <c r="BT166" s="3" t="str">
        <f t="shared" ca="1" si="340"/>
        <v/>
      </c>
      <c r="BU166" s="3">
        <f t="shared" ca="1" si="412"/>
        <v>9250.7629328409676</v>
      </c>
      <c r="BV166" s="3" t="str">
        <f t="shared" ca="1" si="340"/>
        <v/>
      </c>
      <c r="BX166" s="3">
        <f t="shared" ca="1" si="370"/>
        <v>-8847.1413276231106</v>
      </c>
      <c r="BY166" s="3" t="str">
        <f t="shared" ca="1" si="371"/>
        <v/>
      </c>
      <c r="BZ166" s="3">
        <f t="shared" ca="1" si="372"/>
        <v>-521.57311818188225</v>
      </c>
      <c r="CA166" s="3" t="str">
        <f t="shared" ca="1" si="371"/>
        <v/>
      </c>
      <c r="CB166" s="3">
        <f t="shared" ca="1" si="373"/>
        <v>0</v>
      </c>
      <c r="CC166" s="3" t="str">
        <f t="shared" ca="1" si="371"/>
        <v/>
      </c>
      <c r="CD166" s="3">
        <f>IF(RTD("tos.rtd",,CD$43,"."&amp;$B$134&amp;$AS$82&amp;"C"&amp;$A166)="N/A",0,RTD("tos.rtd",,CD$43,"."&amp;$B$134&amp;$AS$82&amp;"C"&amp;$A166))</f>
        <v>0.97</v>
      </c>
      <c r="CE166" s="3">
        <f>-IF(RTD("tos.rtd",,CE$43,"."&amp;$B$134&amp;$AS$82&amp;"P"&amp;$A166)="N/A",0,RTD("tos.rtd",,CE$43,"."&amp;$B$134&amp;$AS$82&amp;"P"&amp;$A166))</f>
        <v>0.06</v>
      </c>
      <c r="CF166" s="3">
        <f>IF(RTD("tos.rtd",,CF$2,"."&amp;$C$134&amp;$AU$82&amp;"C"&amp;$A166)="N/A",0,RTD("tos.rtd",,CF$2,"."&amp;$C$134&amp;$AU$82&amp;"C"&amp;$A166))</f>
        <v>0.98</v>
      </c>
      <c r="CG166" s="3">
        <f>-IF(RTD("tos.rtd",,CG$2,"."&amp;$C$134&amp;$AU$82&amp;"P"&amp;$A166)="N/A",0,RTD("tos.rtd",,CG$2,"."&amp;$C$134&amp;$AU$82&amp;"P"&amp;$A166))</f>
        <v>0.12</v>
      </c>
      <c r="CH166" s="3">
        <f>IF(RTD("tos.rtd",,CH$2,"."&amp;$D$134&amp;$AW$82&amp;"C"&amp;$A166)="N/A",0,RTD("tos.rtd",,CH$2,"."&amp;$D$134&amp;$AW$82&amp;"C"&amp;$A166))</f>
        <v>0.7</v>
      </c>
      <c r="CI166" s="3">
        <f>-IF(RTD("tos.rtd",,CI$2,"."&amp;$D$134&amp;$AW$82&amp;"P"&amp;$A166)="N/A",0,RTD("tos.rtd",,CI$2,"."&amp;$D$134&amp;$AW$82&amp;"P"&amp;$A166))</f>
        <v>0.31</v>
      </c>
      <c r="CK166" s="3">
        <f t="shared" si="374"/>
        <v>-2175736.5</v>
      </c>
      <c r="CL166" s="3"/>
      <c r="CM166" s="3">
        <f t="shared" si="375"/>
        <v>8148346.5000000019</v>
      </c>
      <c r="CN166" s="3"/>
      <c r="CO166" s="3">
        <f t="shared" si="376"/>
        <v>72033942.749999985</v>
      </c>
      <c r="CP166" s="3">
        <f t="shared" si="331"/>
        <v>78006552.749999985</v>
      </c>
      <c r="CQ166" s="3">
        <f t="shared" si="341"/>
        <v>-71</v>
      </c>
      <c r="CR166" s="3"/>
      <c r="CS166" s="3">
        <f t="shared" si="342"/>
        <v>-4</v>
      </c>
      <c r="CT166" s="3"/>
      <c r="CU166" s="3">
        <f t="shared" si="343"/>
        <v>0</v>
      </c>
      <c r="CV166" s="3"/>
      <c r="CW166" s="3">
        <f t="shared" ca="1" si="344"/>
        <v>-351694.9729922408</v>
      </c>
      <c r="CY166" s="3">
        <f t="shared" ca="1" si="345"/>
        <v>-9368.7144458049934</v>
      </c>
      <c r="CZ166" s="70" t="str">
        <f t="shared" ca="1" si="377"/>
        <v/>
      </c>
      <c r="DA166" s="3">
        <f>IF(RTD("tos.rtd",,DA$43,"."&amp;$B$134&amp;$AS$82&amp;"C"&amp;$A166)="N/A",0,RTD("tos.rtd",,DA$43,"."&amp;$B$134&amp;$AS$82&amp;"C"&amp;$A166))</f>
        <v>226.5</v>
      </c>
      <c r="DB166" s="3">
        <f>IF(RTD("tos.rtd",,DB$43,"."&amp;$B$134&amp;$AS$82&amp;"P"&amp;$A166)="N/A",0,RTD("tos.rtd",,DB$43,"."&amp;$B$134&amp;$AS$82&amp;"P"&amp;$A166))</f>
        <v>0.1</v>
      </c>
      <c r="DC166" s="3">
        <f>IF(RTD("tos.rtd",,DC$43,"."&amp;$B$134&amp;$AS$82&amp;"C"&amp;$A166)="N/A",0,RTD("tos.rtd",,DC$43,"."&amp;$B$134&amp;$AS$82&amp;"C"&amp;$A166))</f>
        <v>585.79999999999995</v>
      </c>
      <c r="DD166" s="3">
        <f>IF(RTD("tos.rtd",,DD$43,"."&amp;$B$134&amp;$AS$82&amp;"P"&amp;$A166)="N/A",0,RTD("tos.rtd",,DD$43,"."&amp;$B$134&amp;$AS$82&amp;"P"&amp;$A166))</f>
        <v>19.8</v>
      </c>
      <c r="DE166" s="3">
        <f>IF(RTD("tos.rtd",,DE$43,"."&amp;$B$134&amp;$AS$82&amp;"C"&amp;$A166)="N/A",0,RTD("tos.rtd",,DE$43,"."&amp;$B$134&amp;$AS$82&amp;"C"&amp;$A166))</f>
        <v>506.7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378"/>
        <v>-505.75</v>
      </c>
      <c r="DH166" s="3">
        <f t="shared" si="379"/>
        <v>0</v>
      </c>
      <c r="DI166" s="3">
        <f t="shared" si="380"/>
        <v>0</v>
      </c>
      <c r="DJ166" s="3">
        <f t="shared" si="346"/>
        <v>0</v>
      </c>
      <c r="DK166" s="3">
        <f t="shared" si="347"/>
        <v>0</v>
      </c>
      <c r="DL166" s="3">
        <f t="shared" si="381"/>
        <v>0</v>
      </c>
      <c r="DM166" s="3">
        <f t="shared" si="382"/>
        <v>0</v>
      </c>
      <c r="DN166" s="64" t="str">
        <f t="shared" si="348"/>
        <v>UNKNOWN</v>
      </c>
      <c r="DO166" s="64" t="str">
        <f t="shared" si="349"/>
        <v>UNKNOWN</v>
      </c>
      <c r="DP166" s="3">
        <f t="shared" si="350"/>
        <v>0</v>
      </c>
      <c r="DQ166" s="3">
        <f t="shared" si="351"/>
        <v>0</v>
      </c>
      <c r="DR166" s="3">
        <f t="shared" ca="1" si="352"/>
        <v>0</v>
      </c>
      <c r="DS166" s="3">
        <f t="shared" si="353"/>
        <v>0</v>
      </c>
      <c r="DT166" s="3">
        <f t="shared" si="383"/>
        <v>0</v>
      </c>
      <c r="DU166" s="3">
        <f t="shared" si="384"/>
        <v>0</v>
      </c>
      <c r="DV166" s="3">
        <f t="shared" si="354"/>
        <v>0</v>
      </c>
      <c r="DW166" s="3">
        <f t="shared" si="355"/>
        <v>0</v>
      </c>
      <c r="DX166" s="3">
        <f t="shared" ca="1" si="356"/>
        <v>4.6416124255604918E-4</v>
      </c>
      <c r="DY166" s="3">
        <f t="shared" ca="1" si="357"/>
        <v>-4.6148350594939805E-4</v>
      </c>
      <c r="DZ166" s="3">
        <f t="shared" ca="1" si="358"/>
        <v>3.3623480216147427E-4</v>
      </c>
      <c r="EA166" s="3">
        <f t="shared" ca="1" si="359"/>
        <v>-4.5357547359749077E-4</v>
      </c>
      <c r="EB166" s="3">
        <f t="shared" ca="1" si="360"/>
        <v>4.4945226237488785E-4</v>
      </c>
      <c r="EC166" s="3">
        <f t="shared" ca="1" si="361"/>
        <v>-4.5711854700800932E-4</v>
      </c>
      <c r="ED166" s="63">
        <f t="shared" si="385"/>
        <v>0</v>
      </c>
      <c r="EE166" s="59">
        <f t="shared" si="362"/>
        <v>1.8521000000000001</v>
      </c>
      <c r="EF166" s="59">
        <f t="shared" si="363"/>
        <v>2.2353999999999998</v>
      </c>
      <c r="EG166" s="59">
        <f t="shared" si="364"/>
        <v>0.14299999999999999</v>
      </c>
      <c r="EH166" s="59">
        <f t="shared" si="365"/>
        <v>0.25240000000000001</v>
      </c>
      <c r="EI166" s="59">
        <f t="shared" si="366"/>
        <v>0.20080000000000001</v>
      </c>
      <c r="EJ166" s="59">
        <f t="shared" si="367"/>
        <v>0.22020000000000001</v>
      </c>
      <c r="EK166" s="63">
        <f t="shared" ca="1" si="386"/>
        <v>0</v>
      </c>
      <c r="EL166" s="3" t="str">
        <f>RTD("tos.rtd",,EL$43,"."&amp;$B$134&amp;$AS$82&amp;"C"&amp;$A166)</f>
        <v>185.21%</v>
      </c>
      <c r="EM166" s="3" t="str">
        <f>RTD("tos.rtd",,EM$43,"."&amp;$B$134&amp;$AS$82&amp;"P"&amp;$A166)</f>
        <v>223.54%</v>
      </c>
      <c r="EN166" s="3" t="str">
        <f>RTD("tos.rtd",,EN$2,"."&amp;$C$134&amp;$AU$82&amp;"C"&amp;$A166)</f>
        <v>14.30%</v>
      </c>
      <c r="EO166" s="3" t="str">
        <f>RTD("tos.rtd",,EO$2,"."&amp;$C$134&amp;$AU$82&amp;"P"&amp;$A166)</f>
        <v>25.24%</v>
      </c>
      <c r="EP166" s="3" t="str">
        <f>RTD("tos.rtd",,EP$2,"."&amp;$D$134&amp;$AW$82&amp;"C"&amp;$A166)</f>
        <v>20.08%</v>
      </c>
      <c r="EQ166" s="3" t="str">
        <f>RTD("tos.rtd",,EQ$2,"."&amp;$D$134&amp;$AW$82&amp;"P"&amp;$A166)</f>
        <v>22.02%</v>
      </c>
      <c r="ES166" s="63" t="str">
        <f t="shared" si="368"/>
        <v>20825,00.00</v>
      </c>
      <c r="ET166" s="63" t="str">
        <f t="shared" ca="1" si="369"/>
        <v>20825,-09.37</v>
      </c>
      <c r="EU166" s="68">
        <v>592.64</v>
      </c>
      <c r="EV166" s="68" t="s">
        <v>1344</v>
      </c>
      <c r="EW166" s="68">
        <v>519.11</v>
      </c>
      <c r="EX166" s="68" t="s">
        <v>1345</v>
      </c>
      <c r="EY166" s="68">
        <v>5936.25</v>
      </c>
      <c r="EZ166" s="68" t="s">
        <v>1346</v>
      </c>
      <c r="FA166" s="68">
        <v>21309.5</v>
      </c>
      <c r="FB166" s="68" t="s">
        <v>1347</v>
      </c>
      <c r="FC166" s="68" t="s">
        <v>1348</v>
      </c>
      <c r="FD166" s="68" t="s">
        <v>1349</v>
      </c>
      <c r="FE166" s="68" t="s">
        <v>1350</v>
      </c>
      <c r="FF166" s="68" t="s">
        <v>1351</v>
      </c>
    </row>
    <row r="167" spans="1:162" ht="11.1" customHeight="1" thickBot="1" x14ac:dyDescent="0.25">
      <c r="A167" s="2">
        <f t="shared" si="387"/>
        <v>20800</v>
      </c>
      <c r="B167" s="3">
        <f t="shared" ref="B167:B181" si="416">+IF($A$1="ABS",AS167-AT167,AS167+AT167)</f>
        <v>47</v>
      </c>
      <c r="C167" s="3">
        <f t="shared" ref="C167:C181" si="417">+IF($A$1="ABS",AU167-AV167,AU167+AV167)</f>
        <v>22</v>
      </c>
      <c r="D167" s="3">
        <f t="shared" ref="D167:D181" si="418">+IF($A$1="ABS",AW167-AX167,AW167+AX167)</f>
        <v>856</v>
      </c>
      <c r="E167" s="3">
        <f t="shared" ref="E167:E181" si="419">SUM(B167:D167)</f>
        <v>925</v>
      </c>
      <c r="F167" s="4">
        <f t="shared" ref="F167:F181" si="420">+$F$136/$A$136*A167</f>
        <v>20887.760627263458</v>
      </c>
      <c r="G167" s="5">
        <f t="shared" ref="G167:G181" si="421">+$G$136/$A$136*A167</f>
        <v>506.7006082767835</v>
      </c>
      <c r="AM167" s="1">
        <v>0</v>
      </c>
      <c r="AN167" s="1">
        <v>23</v>
      </c>
      <c r="AO167" s="1">
        <v>20800</v>
      </c>
      <c r="AP167" s="1">
        <v>5</v>
      </c>
      <c r="AQ167" s="1">
        <v>-299</v>
      </c>
      <c r="AS167" s="54">
        <f>IF(RTD("tos.rtd",,AS$83,"."&amp;$B$134&amp;$AS$82&amp;"C"&amp;$A167)="N/A",0,RTD("tos.rtd",,AS$83,"."&amp;$B$134&amp;$AS$82&amp;"C"&amp;$A167))</f>
        <v>8</v>
      </c>
      <c r="AT167" s="3">
        <f>-IF(RTD("tos.rtd",,AT$83,"."&amp;$B$134&amp;$AS$82&amp;"P"&amp;$A167)="N/A",0,RTD("tos.rtd",,AT$83,"."&amp;$B$134&amp;$AS$82&amp;"P"&amp;$A167))</f>
        <v>-39</v>
      </c>
      <c r="AU167" s="54">
        <f>IF(RTD("tos.rtd",,AU$2,"."&amp;$C$134&amp;$AU$134&amp;"C"&amp;$A167)="N/A",0,RTD("tos.rtd",,AU$2,"."&amp;$C$134&amp;$AU$134&amp;"C"&amp;$A167))</f>
        <v>3</v>
      </c>
      <c r="AV167" s="3">
        <f>-IF(RTD("tos.rtd",,AV$2,"."&amp;$C$134&amp;$AU$134&amp;"P"&amp;$A167)="N/A",0,RTD("tos.rtd",,AV$2,"."&amp;$C$134&amp;$AU$134&amp;"P"&amp;$A167))</f>
        <v>-19</v>
      </c>
      <c r="AW167" s="54">
        <f>IF(RTD("tos.rtd",,AW$2,"."&amp;$D$134&amp;$AW$134&amp;"C"&amp;$A167)="N/A",0,RTD("tos.rtd",,AW$2,"."&amp;$D$134&amp;$AW$134&amp;"C"&amp;$A167))</f>
        <v>602</v>
      </c>
      <c r="AX167" s="3">
        <f>-IF(RTD("tos.rtd",,AX$2,"."&amp;$D$134&amp;$AW$134&amp;"P"&amp;$A167)="N/A",0,RTD("tos.rtd",,AX$2,"."&amp;$D$134&amp;$AW$134&amp;"P"&amp;$A167))</f>
        <v>-254</v>
      </c>
      <c r="AY167" s="76">
        <f t="shared" ref="AY167:AY181" si="422">SUM(AS167:AX167)</f>
        <v>301</v>
      </c>
      <c r="AZ167" s="8">
        <f t="shared" si="337"/>
        <v>20800</v>
      </c>
      <c r="BA167" s="54">
        <f>IF(RTD("tos.rtd",,BA$43,"."&amp;$B$134&amp;$AS$82&amp;"C"&amp;$A167)="N/A",0,RTD("tos.rtd",,BA$43,"."&amp;$B$134&amp;$AS$82&amp;"C"&amp;$A167))</f>
        <v>5</v>
      </c>
      <c r="BB167" s="3">
        <f>-IF(RTD("tos.rtd",,BB$43,"."&amp;$B$134&amp;$AS$82&amp;"P"&amp;$A167)="N/A",0,RTD("tos.rtd",,BB$43,"."&amp;$B$134&amp;$AS$82&amp;"P"&amp;$A167))</f>
        <v>-299</v>
      </c>
      <c r="BC167" s="54">
        <f>IF(RTD("tos.rtd",,BC$2,"."&amp;$C$134&amp;$AU$82&amp;"C"&amp;$A167)="N/A",0,RTD("tos.rtd",,BC$2,"."&amp;$C$134&amp;$AU$82&amp;"C"&amp;$A167))</f>
        <v>1</v>
      </c>
      <c r="BD167" s="3">
        <f>-IF(RTD("tos.rtd",,BD$2,"."&amp;$C$134&amp;$AU$82&amp;"P"&amp;$A167)="N/A",0,RTD("tos.rtd",,BD$2,"."&amp;$C$134&amp;$AU$82&amp;"P"&amp;$A167))</f>
        <v>-15</v>
      </c>
      <c r="BE167" s="54">
        <f>IF(RTD("tos.rtd",,BE$2,"."&amp;$D$134&amp;$AW$82&amp;"C"&amp;$A167)="N/A",0,RTD("tos.rtd",,BE$2,"."&amp;$D$134&amp;$AW$82&amp;"C"&amp;$A167))</f>
        <v>2</v>
      </c>
      <c r="BF167" s="3">
        <f>-IF(RTD("tos.rtd",,BF$2,"."&amp;$D$134&amp;$AW$82&amp;"P"&amp;$A167)="N/A",0,RTD("tos.rtd",,BF$2,"."&amp;$D$134&amp;$AW$82&amp;"P"&amp;$A167))</f>
        <v>-61</v>
      </c>
      <c r="BG167" s="3">
        <f ca="1">+Hoja2!Y168</f>
        <v>-40</v>
      </c>
      <c r="BH167" s="7">
        <f t="shared" ca="1" si="338"/>
        <v>-407</v>
      </c>
      <c r="BI167" s="32" t="str">
        <f t="shared" ca="1" si="397"/>
        <v/>
      </c>
      <c r="BJ167" s="3">
        <f ca="1">IF($BP$1=1,DX167,IF(RTD("tos.rtd",,BJ$43,"."&amp;$B$134&amp;$AS$82&amp;"C"&amp;$A167)="N/A",0,RTD("tos.rtd",,BJ$43,"."&amp;$B$134&amp;$AS$82&amp;"C"&amp;$A167)))</f>
        <v>3.1928840373583901E-18</v>
      </c>
      <c r="BK167" s="3">
        <f ca="1">IF($BP$1=1,DY167,-IF(RTD("tos.rtd",,BK$43,"."&amp;$B$134&amp;$AS$82&amp;"P"&amp;$A167)="N/A",0,RTD("tos.rtd",,BK$43,"."&amp;$B$134&amp;$AS$82&amp;"P"&amp;$A167)))</f>
        <v>-3.886766125948741E-4</v>
      </c>
      <c r="BL167" s="3">
        <f ca="1">IF($BP$1=1,DZ167,IF(RTD("tos.rtd",,BL$2,"."&amp;$C$134&amp;$AU$82&amp;"C"&amp;$A167)="N/A",0,RTD("tos.rtd",,BL$2,"."&amp;$C$134&amp;$AU$82&amp;"C"&amp;$A167)))</f>
        <v>4.3535703523529318E-4</v>
      </c>
      <c r="BM167" s="3">
        <f ca="1">IF($BP$1=1,EA167,-IF(RTD("tos.rtd",,BM$2,"."&amp;$C$134&amp;$AU$82&amp;"P"&amp;$A167)="N/A",0,RTD("tos.rtd",,BM$2,"."&amp;$C$134&amp;$AU$82&amp;"P"&amp;$A167)))</f>
        <v>-4.3470476423780824E-4</v>
      </c>
      <c r="BN167" s="3">
        <f ca="1">IF($BP$1=1,EB167,IF(RTD("tos.rtd",,BN$2,"."&amp;$D$134&amp;$AW$82&amp;"C"&amp;$A167)="N/A",0,RTD("tos.rtd",,BN$2,"."&amp;$D$134&amp;$AW$82&amp;"C"&amp;$A167)))</f>
        <v>4.224855214040103E-4</v>
      </c>
      <c r="BO167" s="3">
        <f ca="1">IF($BP$1=1,EC167,-IF(RTD("tos.rtd",,BO$2,"."&amp;$D$134&amp;$AW$82&amp;"P"&amp;$A167)="N/A",0,RTD("tos.rtd",,BO$2,"."&amp;$D$134&amp;$AW$82&amp;"P"&amp;$A167)))</f>
        <v>-4.3306799595857357E-4</v>
      </c>
      <c r="BQ167" s="3">
        <f t="shared" ref="BQ167:BQ181" ca="1" si="423">+$A$84*$A$84*AS167*BJ167-$A$84*$A$84*AT167*BK167</f>
        <v>-533987.44918037287</v>
      </c>
      <c r="BR167" s="3" t="str">
        <f t="shared" ca="1" si="339"/>
        <v/>
      </c>
      <c r="BS167" s="3">
        <f t="shared" ref="BS167:BS181" ca="1" si="424">+$A$84*$A$84*AU167*BL167-$A$84*$A$84*AV167*BM167</f>
        <v>-244945.92197416897</v>
      </c>
      <c r="BT167" s="3" t="str">
        <f t="shared" ca="1" si="340"/>
        <v/>
      </c>
      <c r="BU167" s="3">
        <f t="shared" ref="BU167:BU181" ca="1" si="425">+$A$84*$A$84*AW167*BN167-$A$84*$A$84*AX167*BO167</f>
        <v>5084587.7477377914</v>
      </c>
      <c r="BV167" s="3" t="str">
        <f t="shared" ca="1" si="340"/>
        <v/>
      </c>
      <c r="BX167" s="3">
        <f t="shared" ca="1" si="370"/>
        <v>-31379.645301991754</v>
      </c>
      <c r="BY167" s="3" t="str">
        <f t="shared" ca="1" si="371"/>
        <v/>
      </c>
      <c r="BZ167" s="3">
        <f t="shared" ca="1" si="372"/>
        <v>-1643.1012239747602</v>
      </c>
      <c r="CA167" s="3" t="str">
        <f t="shared" ca="1" si="371"/>
        <v/>
      </c>
      <c r="CB167" s="3">
        <f t="shared" ca="1" si="373"/>
        <v>-6904.8799097965348</v>
      </c>
      <c r="CC167" s="3" t="str">
        <f t="shared" ca="1" si="371"/>
        <v/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0.01</v>
      </c>
      <c r="CF167" s="3">
        <f>IF(RTD("tos.rtd",,CF$2,"."&amp;$C$134&amp;$AU$82&amp;"C"&amp;$A167)="N/A",0,RTD("tos.rtd",,CF$2,"."&amp;$C$134&amp;$AU$82&amp;"C"&amp;$A167))</f>
        <v>1</v>
      </c>
      <c r="CG167" s="3">
        <f>-IF(RTD("tos.rtd",,CG$2,"."&amp;$C$134&amp;$AU$82&amp;"P"&amp;$A167)="N/A",0,RTD("tos.rtd",,CG$2,"."&amp;$C$134&amp;$AU$82&amp;"P"&amp;$A167))</f>
        <v>0.12</v>
      </c>
      <c r="CH167" s="3">
        <f>IF(RTD("tos.rtd",,CH$2,"."&amp;$D$134&amp;$AW$82&amp;"C"&amp;$A167)="N/A",0,RTD("tos.rtd",,CH$2,"."&amp;$D$134&amp;$AW$82&amp;"C"&amp;$A167))</f>
        <v>0.71</v>
      </c>
      <c r="CI167" s="3">
        <f>-IF(RTD("tos.rtd",,CI$2,"."&amp;$D$134&amp;$AW$82&amp;"P"&amp;$A167)="N/A",0,RTD("tos.rtd",,CI$2,"."&amp;$D$134&amp;$AW$82&amp;"P"&amp;$A167))</f>
        <v>0.3</v>
      </c>
      <c r="CK167" s="3">
        <f t="shared" si="374"/>
        <v>16232700.75</v>
      </c>
      <c r="CL167" s="3"/>
      <c r="CM167" s="3">
        <f t="shared" si="375"/>
        <v>1535814.0000000009</v>
      </c>
      <c r="CN167" s="3"/>
      <c r="CO167" s="3">
        <f t="shared" si="376"/>
        <v>749178601.49999988</v>
      </c>
      <c r="CP167" s="3">
        <f t="shared" si="331"/>
        <v>766947116.24999988</v>
      </c>
      <c r="CQ167" s="3">
        <f t="shared" si="341"/>
        <v>-294</v>
      </c>
      <c r="CR167" s="3"/>
      <c r="CS167" s="3">
        <f t="shared" si="342"/>
        <v>-14</v>
      </c>
      <c r="CT167" s="3"/>
      <c r="CU167" s="3">
        <f t="shared" si="343"/>
        <v>-59</v>
      </c>
      <c r="CV167" s="3"/>
      <c r="CW167" s="3">
        <f t="shared" ca="1" si="344"/>
        <v>4305654.3765832493</v>
      </c>
      <c r="CY167" s="3">
        <f t="shared" ca="1" si="345"/>
        <v>-39927.626435763043</v>
      </c>
      <c r="CZ167" s="70" t="str">
        <f t="shared" ca="1" si="377"/>
        <v/>
      </c>
      <c r="DA167" s="3">
        <f>IF(RTD("tos.rtd",,DA$43,"."&amp;$B$134&amp;$AS$82&amp;"C"&amp;$A167)="N/A",0,RTD("tos.rtd",,DA$43,"."&amp;$B$134&amp;$AS$82&amp;"C"&amp;$A167))</f>
        <v>479.6</v>
      </c>
      <c r="DB167" s="3">
        <f>IF(RTD("tos.rtd",,DB$43,"."&amp;$B$134&amp;$AS$82&amp;"P"&amp;$A167)="N/A",0,RTD("tos.rtd",,DB$43,"."&amp;$B$134&amp;$AS$82&amp;"P"&amp;$A167))</f>
        <v>0.15</v>
      </c>
      <c r="DC167" s="3">
        <f>IF(RTD("tos.rtd",,DC$43,"."&amp;$B$134&amp;$AS$82&amp;"C"&amp;$A167)="N/A",0,RTD("tos.rtd",,DC$43,"."&amp;$B$134&amp;$AS$82&amp;"C"&amp;$A167))</f>
        <v>600.70000000000005</v>
      </c>
      <c r="DD167" s="3">
        <f>IF(RTD("tos.rtd",,DD$43,"."&amp;$B$134&amp;$AS$82&amp;"P"&amp;$A167)="N/A",0,RTD("tos.rtd",,DD$43,"."&amp;$B$134&amp;$AS$82&amp;"P"&amp;$A167))</f>
        <v>1.5</v>
      </c>
      <c r="DE167" s="3">
        <f>IF(RTD("tos.rtd",,DE$43,"."&amp;$B$134&amp;$AS$82&amp;"C"&amp;$A167)="N/A",0,RTD("tos.rtd",,DE$43,"."&amp;$B$134&amp;$AS$82&amp;"C"&amp;$A167))</f>
        <v>532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378"/>
        <v>-530.75</v>
      </c>
      <c r="DH167" s="3">
        <f t="shared" si="379"/>
        <v>0</v>
      </c>
      <c r="DI167" s="3">
        <f t="shared" si="380"/>
        <v>0</v>
      </c>
      <c r="DJ167" s="3">
        <f t="shared" si="346"/>
        <v>0</v>
      </c>
      <c r="DK167" s="3">
        <f t="shared" si="347"/>
        <v>0</v>
      </c>
      <c r="DL167" s="3">
        <f t="shared" si="381"/>
        <v>0</v>
      </c>
      <c r="DM167" s="3">
        <f t="shared" si="382"/>
        <v>0</v>
      </c>
      <c r="DN167" s="64" t="str">
        <f t="shared" si="348"/>
        <v>UNKNOWN</v>
      </c>
      <c r="DO167" s="64" t="str">
        <f t="shared" si="349"/>
        <v>UNKNOWN</v>
      </c>
      <c r="DP167" s="3">
        <f t="shared" si="350"/>
        <v>0</v>
      </c>
      <c r="DQ167" s="3">
        <f t="shared" si="351"/>
        <v>0</v>
      </c>
      <c r="DR167" s="3">
        <f t="shared" ca="1" si="352"/>
        <v>0</v>
      </c>
      <c r="DS167" s="3">
        <f t="shared" si="353"/>
        <v>0</v>
      </c>
      <c r="DT167" s="3">
        <f t="shared" si="383"/>
        <v>0</v>
      </c>
      <c r="DU167" s="3">
        <f t="shared" si="384"/>
        <v>0</v>
      </c>
      <c r="DV167" s="3">
        <f t="shared" si="354"/>
        <v>0</v>
      </c>
      <c r="DW167" s="3">
        <f t="shared" si="355"/>
        <v>23</v>
      </c>
      <c r="DX167" s="3">
        <f t="shared" ca="1" si="356"/>
        <v>3.1928840373583901E-18</v>
      </c>
      <c r="DY167" s="3">
        <f t="shared" ca="1" si="357"/>
        <v>-3.886766125948741E-4</v>
      </c>
      <c r="DZ167" s="3">
        <f t="shared" ca="1" si="358"/>
        <v>4.3535703523529318E-4</v>
      </c>
      <c r="EA167" s="3">
        <f t="shared" ca="1" si="359"/>
        <v>-4.3470476423780824E-4</v>
      </c>
      <c r="EB167" s="3">
        <f t="shared" ca="1" si="360"/>
        <v>4.224855214040103E-4</v>
      </c>
      <c r="EC167" s="3">
        <f t="shared" ca="1" si="361"/>
        <v>-4.3306799595857357E-4</v>
      </c>
      <c r="ED167" s="63">
        <f t="shared" si="385"/>
        <v>23</v>
      </c>
      <c r="EE167" s="59">
        <f t="shared" si="362"/>
        <v>0.25</v>
      </c>
      <c r="EF167" s="59">
        <f t="shared" si="363"/>
        <v>1.5133000000000001</v>
      </c>
      <c r="EG167" s="59">
        <f t="shared" si="364"/>
        <v>0.25</v>
      </c>
      <c r="EH167" s="59">
        <f t="shared" si="365"/>
        <v>0.254</v>
      </c>
      <c r="EI167" s="59">
        <f t="shared" si="366"/>
        <v>0.20269999999999999</v>
      </c>
      <c r="EJ167" s="59">
        <f t="shared" si="367"/>
        <v>0.22109999999999999</v>
      </c>
      <c r="EK167" s="63">
        <f t="shared" ca="1" si="386"/>
        <v>-4067508.7567419307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151.33%</v>
      </c>
      <c r="EN167" s="3" t="str">
        <f>RTD("tos.rtd",,EN$2,"."&amp;$C$134&amp;$AU$82&amp;"C"&amp;$A167)</f>
        <v>--</v>
      </c>
      <c r="EO167" s="3" t="str">
        <f>RTD("tos.rtd",,EO$2,"."&amp;$C$134&amp;$AU$82&amp;"P"&amp;$A167)</f>
        <v>25.40%</v>
      </c>
      <c r="EP167" s="3" t="str">
        <f>RTD("tos.rtd",,EP$2,"."&amp;$D$134&amp;$AW$82&amp;"C"&amp;$A167)</f>
        <v>20.27%</v>
      </c>
      <c r="EQ167" s="3" t="str">
        <f>RTD("tos.rtd",,EQ$2,"."&amp;$D$134&amp;$AW$82&amp;"P"&amp;$A167)</f>
        <v>22.11%</v>
      </c>
      <c r="ES167" s="63" t="str">
        <f t="shared" si="368"/>
        <v>20800,23.00</v>
      </c>
      <c r="ET167" s="63" t="str">
        <f t="shared" ca="1" si="369"/>
        <v>20800,-39.93</v>
      </c>
      <c r="EU167" s="68">
        <v>592.64</v>
      </c>
      <c r="EV167" s="68" t="s">
        <v>1352</v>
      </c>
      <c r="EW167" s="68">
        <v>519.11</v>
      </c>
      <c r="EX167" s="68" t="s">
        <v>1353</v>
      </c>
      <c r="EY167" s="68">
        <v>5936.25</v>
      </c>
      <c r="EZ167" s="68" t="s">
        <v>1354</v>
      </c>
      <c r="FA167" s="68">
        <v>21309.5</v>
      </c>
      <c r="FB167" s="68" t="s">
        <v>1355</v>
      </c>
      <c r="FC167" s="68" t="s">
        <v>1356</v>
      </c>
      <c r="FD167" s="68" t="s">
        <v>1357</v>
      </c>
      <c r="FE167" s="68" t="s">
        <v>1358</v>
      </c>
      <c r="FF167" s="68" t="s">
        <v>1359</v>
      </c>
    </row>
    <row r="168" spans="1:162" ht="11.1" customHeight="1" thickBot="1" x14ac:dyDescent="0.25">
      <c r="A168" s="2">
        <f t="shared" si="387"/>
        <v>20775</v>
      </c>
      <c r="B168" s="3">
        <f t="shared" ref="B168:B175" si="426">+IF($A$1="ABS",AS168-AT168,AS168+AT168)</f>
        <v>2</v>
      </c>
      <c r="C168" s="3">
        <f t="shared" ref="C168:C175" si="427">+IF($A$1="ABS",AU168-AV168,AU168+AV168)</f>
        <v>10</v>
      </c>
      <c r="D168" s="3">
        <f t="shared" ref="D168:D175" si="428">+IF($A$1="ABS",AW168-AX168,AW168+AX168)</f>
        <v>84</v>
      </c>
      <c r="E168" s="3">
        <f t="shared" ref="E168:E175" si="429">SUM(B168:D168)</f>
        <v>96</v>
      </c>
      <c r="F168" s="4">
        <f t="shared" ref="F168:F175" si="430">+$F$136/$A$136*A168</f>
        <v>20862.655145740304</v>
      </c>
      <c r="G168" s="5">
        <f t="shared" ref="G168:G175" si="431">+$G$136/$A$136*A168</f>
        <v>506.09159312260465</v>
      </c>
      <c r="AM168" s="1">
        <v>0</v>
      </c>
      <c r="AN168" s="1">
        <v>0</v>
      </c>
      <c r="AO168" s="1">
        <v>20775</v>
      </c>
      <c r="AP168" s="1">
        <v>0</v>
      </c>
      <c r="AQ168" s="1">
        <v>-1</v>
      </c>
      <c r="AS168" s="54">
        <f>IF(RTD("tos.rtd",,AS$83,"."&amp;$B$134&amp;$AS$82&amp;"C"&amp;$A168)="N/A",0,RTD("tos.rtd",,AS$83,"."&amp;$B$134&amp;$AS$82&amp;"C"&amp;$A168))</f>
        <v>1</v>
      </c>
      <c r="AT168" s="3">
        <f>-IF(RTD("tos.rtd",,AT$83,"."&amp;$B$134&amp;$AS$82&amp;"P"&amp;$A168)="N/A",0,RTD("tos.rtd",,AT$83,"."&amp;$B$134&amp;$AS$82&amp;"P"&amp;$A168))</f>
        <v>-1</v>
      </c>
      <c r="AU168" s="54">
        <f>IF(RTD("tos.rtd",,AU$2,"."&amp;$C$134&amp;$AU$134&amp;"C"&amp;$A168)="N/A",0,RTD("tos.rtd",,AU$2,"."&amp;$C$134&amp;$AU$134&amp;"C"&amp;$A168))</f>
        <v>7</v>
      </c>
      <c r="AV168" s="3">
        <f>-IF(RTD("tos.rtd",,AV$2,"."&amp;$C$134&amp;$AU$134&amp;"P"&amp;$A168)="N/A",0,RTD("tos.rtd",,AV$2,"."&amp;$C$134&amp;$AU$134&amp;"P"&amp;$A168))</f>
        <v>-3</v>
      </c>
      <c r="AW168" s="54">
        <f>IF(RTD("tos.rtd",,AW$2,"."&amp;$D$134&amp;$AW$134&amp;"C"&amp;$A168)="N/A",0,RTD("tos.rtd",,AW$2,"."&amp;$D$134&amp;$AW$134&amp;"C"&amp;$A168))</f>
        <v>43</v>
      </c>
      <c r="AX168" s="3">
        <f>-IF(RTD("tos.rtd",,AX$2,"."&amp;$D$134&amp;$AW$134&amp;"P"&amp;$A168)="N/A",0,RTD("tos.rtd",,AX$2,"."&amp;$D$134&amp;$AW$134&amp;"P"&amp;$A168))</f>
        <v>-41</v>
      </c>
      <c r="AY168" s="76">
        <f t="shared" ref="AY168:AY175" si="432">SUM(AS168:AX168)</f>
        <v>6</v>
      </c>
      <c r="AZ168" s="8">
        <f t="shared" si="337"/>
        <v>20775</v>
      </c>
      <c r="BA168" s="54">
        <f>IF(RTD("tos.rtd",,BA$43,"."&amp;$B$134&amp;$AS$82&amp;"C"&amp;$A168)="N/A",0,RTD("tos.rtd",,BA$43,"."&amp;$B$134&amp;$AS$82&amp;"C"&amp;$A168))</f>
        <v>0</v>
      </c>
      <c r="BB168" s="3">
        <f>-IF(RTD("tos.rtd",,BB$43,"."&amp;$B$134&amp;$AS$82&amp;"P"&amp;$A168)="N/A",0,RTD("tos.rtd",,BB$43,"."&amp;$B$134&amp;$AS$82&amp;"P"&amp;$A168))</f>
        <v>-1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0</v>
      </c>
      <c r="BE168" s="54">
        <f>IF(RTD("tos.rtd",,BE$2,"."&amp;$D$134&amp;$AW$82&amp;"C"&amp;$A168)="N/A",0,RTD("tos.rtd",,BE$2,"."&amp;$D$134&amp;$AW$82&amp;"C"&amp;$A168))</f>
        <v>0</v>
      </c>
      <c r="BF168" s="3">
        <f>-IF(RTD("tos.rtd",,BF$2,"."&amp;$D$134&amp;$AW$82&amp;"P"&amp;$A168)="N/A",0,RTD("tos.rtd",,BF$2,"."&amp;$D$134&amp;$AW$82&amp;"P"&amp;$A168))</f>
        <v>0</v>
      </c>
      <c r="BG168" s="3">
        <f ca="1">+Hoja2!Y169</f>
        <v>-3</v>
      </c>
      <c r="BH168" s="7">
        <f t="shared" ca="1" si="338"/>
        <v>-4</v>
      </c>
      <c r="BI168" s="32" t="str">
        <f t="shared" ca="1" si="397"/>
        <v/>
      </c>
      <c r="BJ168" s="3">
        <f ca="1">IF($BP$1=1,DX168,IF(RTD("tos.rtd",,BJ$43,"."&amp;$B$134&amp;$AS$82&amp;"C"&amp;$A168)="N/A",0,RTD("tos.rtd",,BJ$43,"."&amp;$B$134&amp;$AS$82&amp;"C"&amp;$A168)))</f>
        <v>3.9802430460643184E-4</v>
      </c>
      <c r="BK168" s="3">
        <f ca="1">IF($BP$1=1,DY168,-IF(RTD("tos.rtd",,BK$43,"."&amp;$B$134&amp;$AS$82&amp;"P"&amp;$A168)="N/A",0,RTD("tos.rtd",,BK$43,"."&amp;$B$134&amp;$AS$82&amp;"P"&amp;$A168)))</f>
        <v>-4.2089488958361949E-4</v>
      </c>
      <c r="BL168" s="3">
        <f ca="1">IF($BP$1=1,DZ168,IF(RTD("tos.rtd",,BL$2,"."&amp;$C$134&amp;$AU$82&amp;"C"&amp;$A168)="N/A",0,RTD("tos.rtd",,BL$2,"."&amp;$C$134&amp;$AU$82&amp;"C"&amp;$A168)))</f>
        <v>4.1632210222218829E-4</v>
      </c>
      <c r="BM168" s="3">
        <f ca="1">IF($BP$1=1,EA168,-IF(RTD("tos.rtd",,BM$2,"."&amp;$C$134&amp;$AU$82&amp;"P"&amp;$A168)="N/A",0,RTD("tos.rtd",,BM$2,"."&amp;$C$134&amp;$AU$82&amp;"P"&amp;$A168)))</f>
        <v>-4.1619478451735542E-4</v>
      </c>
      <c r="BN168" s="3">
        <f ca="1">IF($BP$1=1,EB168,IF(RTD("tos.rtd",,BN$2,"."&amp;$D$134&amp;$AW$82&amp;"C"&amp;$A168)="N/A",0,RTD("tos.rtd",,BN$2,"."&amp;$D$134&amp;$AW$82&amp;"C"&amp;$A168)))</f>
        <v>3.9855828324944124E-4</v>
      </c>
      <c r="BO168" s="3">
        <f ca="1">IF($BP$1=1,EC168,-IF(RTD("tos.rtd",,BO$2,"."&amp;$D$134&amp;$AW$82&amp;"P"&amp;$A168)="N/A",0,RTD("tos.rtd",,BO$2,"."&amp;$D$134&amp;$AW$82&amp;"P"&amp;$A168)))</f>
        <v>-4.0949764138717263E-4</v>
      </c>
      <c r="BQ168" s="3">
        <f t="shared" ref="BQ168:BQ175" ca="1" si="433">+$A$84*$A$84*AS168*BJ168-$A$84*$A$84*AT168*BK168</f>
        <v>-805.66650100841071</v>
      </c>
      <c r="BR168" s="3" t="str">
        <f t="shared" ca="1" si="339"/>
        <v/>
      </c>
      <c r="BS168" s="3">
        <f t="shared" ref="BS168:BS175" ca="1" si="434">+$A$84*$A$84*AU168*BL168-$A$84*$A$84*AV168*BM168</f>
        <v>58676.89058793764</v>
      </c>
      <c r="BT168" s="3" t="str">
        <f t="shared" ca="1" si="340"/>
        <v>Cruce +</v>
      </c>
      <c r="BU168" s="3">
        <f t="shared" ref="BU168:BU175" ca="1" si="435">+$A$84*$A$84*AW168*BN168-$A$84*$A$84*AX168*BO168</f>
        <v>12280.300882066251</v>
      </c>
      <c r="BV168" s="3" t="str">
        <f t="shared" ca="1" si="340"/>
        <v/>
      </c>
      <c r="BX168" s="3">
        <f t="shared" ca="1" si="370"/>
        <v>-113.64807541040932</v>
      </c>
      <c r="BY168" s="3" t="str">
        <f t="shared" ca="1" si="371"/>
        <v/>
      </c>
      <c r="BZ168" s="3">
        <f t="shared" ca="1" si="372"/>
        <v>0</v>
      </c>
      <c r="CA168" s="3" t="str">
        <f t="shared" ca="1" si="371"/>
        <v/>
      </c>
      <c r="CB168" s="3">
        <f t="shared" ca="1" si="373"/>
        <v>0</v>
      </c>
      <c r="CC168" s="3" t="str">
        <f t="shared" ca="1" si="371"/>
        <v/>
      </c>
      <c r="CD168" s="3">
        <f>IF(RTD("tos.rtd",,CD$43,"."&amp;$B$134&amp;$AS$82&amp;"C"&amp;$A168)="N/A",0,RTD("tos.rtd",,CD$43,"."&amp;$B$134&amp;$AS$82&amp;"C"&amp;$A168))</f>
        <v>0.98</v>
      </c>
      <c r="CE168" s="3">
        <f>-IF(RTD("tos.rtd",,CE$43,"."&amp;$B$134&amp;$AS$82&amp;"P"&amp;$A168)="N/A",0,RTD("tos.rtd",,CE$43,"."&amp;$B$134&amp;$AS$82&amp;"P"&amp;$A168))</f>
        <v>0.06</v>
      </c>
      <c r="CF168" s="3">
        <f>IF(RTD("tos.rtd",,CF$2,"."&amp;$C$134&amp;$AU$82&amp;"C"&amp;$A168)="N/A",0,RTD("tos.rtd",,CF$2,"."&amp;$C$134&amp;$AU$82&amp;"C"&amp;$A168))</f>
        <v>1</v>
      </c>
      <c r="CG168" s="3">
        <f>-IF(RTD("tos.rtd",,CG$2,"."&amp;$C$134&amp;$AU$82&amp;"P"&amp;$A168)="N/A",0,RTD("tos.rtd",,CG$2,"."&amp;$C$134&amp;$AU$82&amp;"P"&amp;$A168))</f>
        <v>0.11</v>
      </c>
      <c r="CH168" s="3">
        <f>IF(RTD("tos.rtd",,CH$2,"."&amp;$D$134&amp;$AW$82&amp;"C"&amp;$A168)="N/A",0,RTD("tos.rtd",,CH$2,"."&amp;$D$134&amp;$AW$82&amp;"C"&amp;$A168))</f>
        <v>0.71</v>
      </c>
      <c r="CI168" s="3">
        <f>-IF(RTD("tos.rtd",,CI$2,"."&amp;$D$134&amp;$AW$82&amp;"P"&amp;$A168)="N/A",0,RTD("tos.rtd",,CI$2,"."&amp;$D$134&amp;$AW$82&amp;"P"&amp;$A168))</f>
        <v>0.3</v>
      </c>
      <c r="CK168" s="3">
        <f t="shared" si="374"/>
        <v>1962429</v>
      </c>
      <c r="CL168" s="3"/>
      <c r="CM168" s="3">
        <f t="shared" si="375"/>
        <v>14227610.25</v>
      </c>
      <c r="CN168" s="3"/>
      <c r="CO168" s="3">
        <f t="shared" si="376"/>
        <v>38885957.249999993</v>
      </c>
      <c r="CP168" s="3">
        <f t="shared" si="331"/>
        <v>55075996.499999993</v>
      </c>
      <c r="CQ168" s="3">
        <f t="shared" si="341"/>
        <v>-1</v>
      </c>
      <c r="CR168" s="3"/>
      <c r="CS168" s="3">
        <f t="shared" si="342"/>
        <v>0</v>
      </c>
      <c r="CT168" s="3"/>
      <c r="CU168" s="3">
        <f t="shared" si="343"/>
        <v>0</v>
      </c>
      <c r="CV168" s="3"/>
      <c r="CW168" s="3">
        <f t="shared" ca="1" si="344"/>
        <v>70151.52496899548</v>
      </c>
      <c r="CY168" s="3">
        <f t="shared" ca="1" si="345"/>
        <v>-113.64807541040932</v>
      </c>
      <c r="CZ168" s="70" t="str">
        <f t="shared" ca="1" si="377"/>
        <v/>
      </c>
      <c r="DA168" s="3">
        <f>IF(RTD("tos.rtd",,DA$43,"."&amp;$B$134&amp;$AS$82&amp;"C"&amp;$A168)="N/A",0,RTD("tos.rtd",,DA$43,"."&amp;$B$134&amp;$AS$82&amp;"C"&amp;$A168))</f>
        <v>689.28</v>
      </c>
      <c r="DB168" s="3">
        <f>IF(RTD("tos.rtd",,DB$43,"."&amp;$B$134&amp;$AS$82&amp;"P"&amp;$A168)="N/A",0,RTD("tos.rtd",,DB$43,"."&amp;$B$134&amp;$AS$82&amp;"P"&amp;$A168))</f>
        <v>0.15</v>
      </c>
      <c r="DC168" s="3">
        <f>IF(RTD("tos.rtd",,DC$43,"."&amp;$B$134&amp;$AS$82&amp;"C"&amp;$A168)="N/A",0,RTD("tos.rtd",,DC$43,"."&amp;$B$134&amp;$AS$82&amp;"C"&amp;$A168))</f>
        <v>631.5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556.6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378"/>
        <v>-555.75</v>
      </c>
      <c r="DH168" s="3">
        <f t="shared" si="379"/>
        <v>0</v>
      </c>
      <c r="DI168" s="3">
        <f t="shared" si="380"/>
        <v>0</v>
      </c>
      <c r="DJ168" s="3">
        <f t="shared" si="346"/>
        <v>0</v>
      </c>
      <c r="DK168" s="3">
        <f t="shared" si="347"/>
        <v>0</v>
      </c>
      <c r="DL168" s="3">
        <f t="shared" si="381"/>
        <v>0</v>
      </c>
      <c r="DM168" s="3">
        <f t="shared" si="382"/>
        <v>0</v>
      </c>
      <c r="DN168" s="64" t="str">
        <f t="shared" si="348"/>
        <v>UNKNOWN</v>
      </c>
      <c r="DO168" s="64" t="str">
        <f t="shared" si="349"/>
        <v>UNKNOWN</v>
      </c>
      <c r="DP168" s="3">
        <f t="shared" si="350"/>
        <v>0</v>
      </c>
      <c r="DQ168" s="3">
        <f t="shared" si="351"/>
        <v>0</v>
      </c>
      <c r="DR168" s="3">
        <f t="shared" ca="1" si="352"/>
        <v>0</v>
      </c>
      <c r="DS168" s="3">
        <f t="shared" si="353"/>
        <v>0</v>
      </c>
      <c r="DT168" s="3">
        <f t="shared" si="383"/>
        <v>0</v>
      </c>
      <c r="DU168" s="3">
        <f t="shared" si="384"/>
        <v>0</v>
      </c>
      <c r="DV168" s="3">
        <f t="shared" si="354"/>
        <v>0</v>
      </c>
      <c r="DW168" s="3">
        <f t="shared" si="355"/>
        <v>0</v>
      </c>
      <c r="DX168" s="3">
        <f t="shared" ca="1" si="356"/>
        <v>3.9802430460643184E-4</v>
      </c>
      <c r="DY168" s="3">
        <f t="shared" ca="1" si="357"/>
        <v>-4.2089488958361949E-4</v>
      </c>
      <c r="DZ168" s="3">
        <f t="shared" ca="1" si="358"/>
        <v>4.1632210222218829E-4</v>
      </c>
      <c r="EA168" s="3">
        <f t="shared" ca="1" si="359"/>
        <v>-4.1619478451735542E-4</v>
      </c>
      <c r="EB168" s="3">
        <f t="shared" ca="1" si="360"/>
        <v>3.9855828324944124E-4</v>
      </c>
      <c r="EC168" s="3">
        <f t="shared" ca="1" si="361"/>
        <v>-4.0949764138717263E-4</v>
      </c>
      <c r="ED168" s="63">
        <f t="shared" si="385"/>
        <v>0</v>
      </c>
      <c r="EE168" s="59">
        <f t="shared" si="362"/>
        <v>1.7428999999999999</v>
      </c>
      <c r="EF168" s="59">
        <f t="shared" si="363"/>
        <v>2.3975</v>
      </c>
      <c r="EG168" s="59">
        <f t="shared" si="364"/>
        <v>0.25</v>
      </c>
      <c r="EH168" s="59">
        <f t="shared" si="365"/>
        <v>0.25559999999999999</v>
      </c>
      <c r="EI168" s="59">
        <f t="shared" si="366"/>
        <v>0.20649999999999999</v>
      </c>
      <c r="EJ168" s="59">
        <f t="shared" si="367"/>
        <v>0.22189999999999999</v>
      </c>
      <c r="EK168" s="63">
        <f t="shared" ca="1" si="386"/>
        <v>0</v>
      </c>
      <c r="EL168" s="3" t="str">
        <f>RTD("tos.rtd",,EL$43,"."&amp;$B$134&amp;$AS$82&amp;"C"&amp;$A168)</f>
        <v>174.29%</v>
      </c>
      <c r="EM168" s="3" t="str">
        <f>RTD("tos.rtd",,EM$43,"."&amp;$B$134&amp;$AS$82&amp;"P"&amp;$A168)</f>
        <v>239.75%</v>
      </c>
      <c r="EN168" s="3" t="str">
        <f>RTD("tos.rtd",,EN$2,"."&amp;$C$134&amp;$AU$82&amp;"C"&amp;$A168)</f>
        <v>--</v>
      </c>
      <c r="EO168" s="3" t="str">
        <f>RTD("tos.rtd",,EO$2,"."&amp;$C$134&amp;$AU$82&amp;"P"&amp;$A168)</f>
        <v>25.56%</v>
      </c>
      <c r="EP168" s="3" t="str">
        <f>RTD("tos.rtd",,EP$2,"."&amp;$D$134&amp;$AW$82&amp;"C"&amp;$A168)</f>
        <v>20.65%</v>
      </c>
      <c r="EQ168" s="3" t="str">
        <f>RTD("tos.rtd",,EQ$2,"."&amp;$D$134&amp;$AW$82&amp;"P"&amp;$A168)</f>
        <v>22.19%</v>
      </c>
      <c r="ES168" s="63" t="str">
        <f t="shared" si="368"/>
        <v>20775,00.00</v>
      </c>
      <c r="ET168" s="63" t="str">
        <f t="shared" ca="1" si="369"/>
        <v>20775,-00.11</v>
      </c>
      <c r="EU168" s="68">
        <v>592.64</v>
      </c>
      <c r="EV168" s="68" t="s">
        <v>1360</v>
      </c>
      <c r="EW168" s="68">
        <v>519.11</v>
      </c>
      <c r="EX168" s="68" t="s">
        <v>1361</v>
      </c>
      <c r="EY168" s="68">
        <v>5936.25</v>
      </c>
      <c r="EZ168" s="68" t="s">
        <v>1362</v>
      </c>
      <c r="FA168" s="68">
        <v>21309.5</v>
      </c>
      <c r="FB168" s="68" t="s">
        <v>1363</v>
      </c>
      <c r="FC168" s="68" t="s">
        <v>1364</v>
      </c>
      <c r="FD168" s="68" t="s">
        <v>1365</v>
      </c>
      <c r="FE168" s="68" t="s">
        <v>1366</v>
      </c>
      <c r="FF168" s="68" t="s">
        <v>1367</v>
      </c>
    </row>
    <row r="169" spans="1:162" ht="11.1" customHeight="1" thickBot="1" x14ac:dyDescent="0.25">
      <c r="A169" s="2">
        <f t="shared" si="387"/>
        <v>20750</v>
      </c>
      <c r="B169" s="3">
        <f t="shared" si="426"/>
        <v>26</v>
      </c>
      <c r="C169" s="3">
        <f t="shared" si="427"/>
        <v>14</v>
      </c>
      <c r="D169" s="3">
        <f t="shared" si="428"/>
        <v>49</v>
      </c>
      <c r="E169" s="3">
        <f t="shared" si="429"/>
        <v>89</v>
      </c>
      <c r="F169" s="4">
        <f t="shared" si="430"/>
        <v>20837.549664217153</v>
      </c>
      <c r="G169" s="5">
        <f t="shared" si="431"/>
        <v>505.4825779684258</v>
      </c>
      <c r="AM169" s="1">
        <v>1</v>
      </c>
      <c r="AN169" s="1">
        <v>10</v>
      </c>
      <c r="AO169" s="1">
        <v>20750</v>
      </c>
      <c r="AP169" s="1">
        <v>1</v>
      </c>
      <c r="AQ169" s="1">
        <v>-62</v>
      </c>
      <c r="AS169" s="54">
        <f>IF(RTD("tos.rtd",,AS$83,"."&amp;$B$134&amp;$AS$82&amp;"C"&amp;$A169)="N/A",0,RTD("tos.rtd",,AS$83,"."&amp;$B$134&amp;$AS$82&amp;"C"&amp;$A169))</f>
        <v>1</v>
      </c>
      <c r="AT169" s="3">
        <f>-IF(RTD("tos.rtd",,AT$83,"."&amp;$B$134&amp;$AS$82&amp;"P"&amp;$A169)="N/A",0,RTD("tos.rtd",,AT$83,"."&amp;$B$134&amp;$AS$82&amp;"P"&amp;$A169))</f>
        <v>-25</v>
      </c>
      <c r="AU169" s="54">
        <f>IF(RTD("tos.rtd",,AU$2,"."&amp;$C$134&amp;$AU$134&amp;"C"&amp;$A169)="N/A",0,RTD("tos.rtd",,AU$2,"."&amp;$C$134&amp;$AU$134&amp;"C"&amp;$A169))</f>
        <v>6</v>
      </c>
      <c r="AV169" s="3">
        <f>-IF(RTD("tos.rtd",,AV$2,"."&amp;$C$134&amp;$AU$134&amp;"P"&amp;$A169)="N/A",0,RTD("tos.rtd",,AV$2,"."&amp;$C$134&amp;$AU$134&amp;"P"&amp;$A169))</f>
        <v>-8</v>
      </c>
      <c r="AW169" s="54">
        <f>IF(RTD("tos.rtd",,AW$2,"."&amp;$D$134&amp;$AW$134&amp;"C"&amp;$A169)="N/A",0,RTD("tos.rtd",,AW$2,"."&amp;$D$134&amp;$AW$134&amp;"C"&amp;$A169))</f>
        <v>44</v>
      </c>
      <c r="AX169" s="3">
        <f>-IF(RTD("tos.rtd",,AX$2,"."&amp;$D$134&amp;$AW$134&amp;"P"&amp;$A169)="N/A",0,RTD("tos.rtd",,AX$2,"."&amp;$D$134&amp;$AW$134&amp;"P"&amp;$A169))</f>
        <v>-5</v>
      </c>
      <c r="AY169" s="76">
        <f t="shared" si="432"/>
        <v>13</v>
      </c>
      <c r="AZ169" s="8">
        <f t="shared" si="337"/>
        <v>20750</v>
      </c>
      <c r="BA169" s="54">
        <f>IF(RTD("tos.rtd",,BA$43,"."&amp;$B$134&amp;$AS$82&amp;"C"&amp;$A169)="N/A",0,RTD("tos.rtd",,BA$43,"."&amp;$B$134&amp;$AS$82&amp;"C"&amp;$A169))</f>
        <v>1</v>
      </c>
      <c r="BB169" s="3">
        <f>-IF(RTD("tos.rtd",,BB$43,"."&amp;$B$134&amp;$AS$82&amp;"P"&amp;$A169)="N/A",0,RTD("tos.rtd",,BB$43,"."&amp;$B$134&amp;$AS$82&amp;"P"&amp;$A169))</f>
        <v>-62</v>
      </c>
      <c r="BC169" s="54">
        <f>IF(RTD("tos.rtd",,BC$2,"."&amp;$C$134&amp;$AU$82&amp;"C"&amp;$A169)="N/A",0,RTD("tos.rtd",,BC$2,"."&amp;$C$134&amp;$AU$82&amp;"C"&amp;$A169))</f>
        <v>0</v>
      </c>
      <c r="BD169" s="3">
        <f>-IF(RTD("tos.rtd",,BD$2,"."&amp;$C$134&amp;$AU$82&amp;"P"&amp;$A169)="N/A",0,RTD("tos.rtd",,BD$2,"."&amp;$C$134&amp;$AU$82&amp;"P"&amp;$A169))</f>
        <v>-4</v>
      </c>
      <c r="BE169" s="54">
        <f>IF(RTD("tos.rtd",,BE$2,"."&amp;$D$134&amp;$AW$82&amp;"C"&amp;$A169)="N/A",0,RTD("tos.rtd",,BE$2,"."&amp;$D$134&amp;$AW$82&amp;"C"&amp;$A169))</f>
        <v>0</v>
      </c>
      <c r="BF169" s="3">
        <f>-IF(RTD("tos.rtd",,BF$2,"."&amp;$D$134&amp;$AW$82&amp;"P"&amp;$A169)="N/A",0,RTD("tos.rtd",,BF$2,"."&amp;$D$134&amp;$AW$82&amp;"P"&amp;$A169))</f>
        <v>0</v>
      </c>
      <c r="BG169" s="3">
        <f ca="1">+Hoja2!Y170</f>
        <v>-67</v>
      </c>
      <c r="BH169" s="7">
        <f t="shared" ca="1" si="338"/>
        <v>-132</v>
      </c>
      <c r="BI169" s="32" t="str">
        <f t="shared" ca="1" si="397"/>
        <v/>
      </c>
      <c r="BJ169" s="3">
        <f ca="1">IF($BP$1=1,DX169,IF(RTD("tos.rtd",,BJ$43,"."&amp;$B$134&amp;$AS$82&amp;"C"&amp;$A169)="N/A",0,RTD("tos.rtd",,BJ$43,"."&amp;$B$134&amp;$AS$82&amp;"C"&amp;$A169)))</f>
        <v>3.7742244243221861E-4</v>
      </c>
      <c r="BK169" s="3">
        <f ca="1">IF($BP$1=1,DY169,-IF(RTD("tos.rtd",,BK$43,"."&amp;$B$134&amp;$AS$82&amp;"P"&amp;$A169)="N/A",0,RTD("tos.rtd",,BK$43,"."&amp;$B$134&amp;$AS$82&amp;"P"&amp;$A169)))</f>
        <v>-4.0299502652970049E-4</v>
      </c>
      <c r="BL169" s="3">
        <f ca="1">IF($BP$1=1,DZ169,IF(RTD("tos.rtd",,BL$2,"."&amp;$C$134&amp;$AU$82&amp;"C"&amp;$A169)="N/A",0,RTD("tos.rtd",,BL$2,"."&amp;$C$134&amp;$AU$82&amp;"C"&amp;$A169)))</f>
        <v>3.972938184592947E-4</v>
      </c>
      <c r="BM169" s="3">
        <f ca="1">IF($BP$1=1,EA169,-IF(RTD("tos.rtd",,BM$2,"."&amp;$C$134&amp;$AU$82&amp;"P"&amp;$A169)="N/A",0,RTD("tos.rtd",,BM$2,"."&amp;$C$134&amp;$AU$82&amp;"P"&amp;$A169)))</f>
        <v>-3.9807683302666368E-4</v>
      </c>
      <c r="BN169" s="3">
        <f ca="1">IF($BP$1=1,EB169,IF(RTD("tos.rtd",,BN$2,"."&amp;$D$134&amp;$AW$82&amp;"C"&amp;$A169)="N/A",0,RTD("tos.rtd",,BN$2,"."&amp;$D$134&amp;$AW$82&amp;"C"&amp;$A169)))</f>
        <v>3.6307677465400342E-4</v>
      </c>
      <c r="BO169" s="3">
        <f ca="1">IF($BP$1=1,EC169,-IF(RTD("tos.rtd",,BO$2,"."&amp;$D$134&amp;$AW$82&amp;"P"&amp;$A169)="N/A",0,RTD("tos.rtd",,BO$2,"."&amp;$D$134&amp;$AW$82&amp;"P"&amp;$A169)))</f>
        <v>-3.8656327271677118E-4</v>
      </c>
      <c r="BQ169" s="3">
        <f t="shared" ca="1" si="433"/>
        <v>-341614.05197532004</v>
      </c>
      <c r="BR169" s="3" t="str">
        <f t="shared" ca="1" si="339"/>
        <v/>
      </c>
      <c r="BS169" s="3">
        <f t="shared" ca="1" si="434"/>
        <v>-28211.758933064571</v>
      </c>
      <c r="BT169" s="3" t="str">
        <f t="shared" ca="1" si="340"/>
        <v>Cruce -</v>
      </c>
      <c r="BU169" s="3">
        <f t="shared" ca="1" si="435"/>
        <v>494680.02582323243</v>
      </c>
      <c r="BV169" s="3" t="str">
        <f t="shared" ca="1" si="340"/>
        <v/>
      </c>
      <c r="BX169" s="3">
        <f t="shared" ca="1" si="370"/>
        <v>-6644.6100992144175</v>
      </c>
      <c r="BY169" s="3" t="str">
        <f t="shared" ca="1" si="371"/>
        <v/>
      </c>
      <c r="BZ169" s="3">
        <f t="shared" ca="1" si="372"/>
        <v>-429.94740072711858</v>
      </c>
      <c r="CA169" s="3" t="str">
        <f t="shared" ca="1" si="371"/>
        <v/>
      </c>
      <c r="CB169" s="3">
        <f t="shared" ca="1" si="373"/>
        <v>0</v>
      </c>
      <c r="CC169" s="3" t="str">
        <f t="shared" ca="1" si="371"/>
        <v/>
      </c>
      <c r="CD169" s="3">
        <f>IF(RTD("tos.rtd",,CD$43,"."&amp;$B$134&amp;$AS$82&amp;"C"&amp;$A169)="N/A",0,RTD("tos.rtd",,CD$43,"."&amp;$B$134&amp;$AS$82&amp;"C"&amp;$A169))</f>
        <v>0.98</v>
      </c>
      <c r="CE169" s="3">
        <f>-IF(RTD("tos.rtd",,CE$43,"."&amp;$B$134&amp;$AS$82&amp;"P"&amp;$A169)="N/A",0,RTD("tos.rtd",,CE$43,"."&amp;$B$134&amp;$AS$82&amp;"P"&amp;$A169))</f>
        <v>0.06</v>
      </c>
      <c r="CF169" s="3">
        <f>IF(RTD("tos.rtd",,CF$2,"."&amp;$C$134&amp;$AU$82&amp;"C"&amp;$A169)="N/A",0,RTD("tos.rtd",,CF$2,"."&amp;$C$134&amp;$AU$82&amp;"C"&amp;$A169))</f>
        <v>1</v>
      </c>
      <c r="CG169" s="3">
        <f>-IF(RTD("tos.rtd",,CG$2,"."&amp;$C$134&amp;$AU$82&amp;"P"&amp;$A169)="N/A",0,RTD("tos.rtd",,CG$2,"."&amp;$C$134&amp;$AU$82&amp;"P"&amp;$A169))</f>
        <v>0.1</v>
      </c>
      <c r="CH169" s="3">
        <f>IF(RTD("tos.rtd",,CH$2,"."&amp;$D$134&amp;$AW$82&amp;"C"&amp;$A169)="N/A",0,RTD("tos.rtd",,CH$2,"."&amp;$D$134&amp;$AW$82&amp;"C"&amp;$A169))</f>
        <v>0.73</v>
      </c>
      <c r="CI169" s="3">
        <f>-IF(RTD("tos.rtd",,CI$2,"."&amp;$D$134&amp;$AW$82&amp;"P"&amp;$A169)="N/A",0,RTD("tos.rtd",,CI$2,"."&amp;$D$134&amp;$AW$82&amp;"P"&amp;$A169))</f>
        <v>0.28999999999999998</v>
      </c>
      <c r="CK169" s="3">
        <f t="shared" si="374"/>
        <v>-1109199</v>
      </c>
      <c r="CL169" s="3"/>
      <c r="CM169" s="3">
        <f t="shared" si="375"/>
        <v>11091990</v>
      </c>
      <c r="CN169" s="3"/>
      <c r="CO169" s="3">
        <f t="shared" si="376"/>
        <v>65421410.249999985</v>
      </c>
      <c r="CP169" s="3">
        <f t="shared" si="331"/>
        <v>75404201.249999985</v>
      </c>
      <c r="CQ169" s="3">
        <f t="shared" si="341"/>
        <v>-61</v>
      </c>
      <c r="CR169" s="3"/>
      <c r="CS169" s="3">
        <f t="shared" si="342"/>
        <v>-4</v>
      </c>
      <c r="CT169" s="3"/>
      <c r="CU169" s="3">
        <f t="shared" si="343"/>
        <v>0</v>
      </c>
      <c r="CV169" s="3"/>
      <c r="CW169" s="3">
        <f t="shared" ca="1" si="344"/>
        <v>124854.21491484781</v>
      </c>
      <c r="CY169" s="3">
        <f t="shared" ca="1" si="345"/>
        <v>-7074.5574999415358</v>
      </c>
      <c r="CZ169" s="70" t="str">
        <f t="shared" ca="1" si="377"/>
        <v/>
      </c>
      <c r="DA169" s="3">
        <f>IF(RTD("tos.rtd",,DA$43,"."&amp;$B$134&amp;$AS$82&amp;"C"&amp;$A169)="N/A",0,RTD("tos.rtd",,DA$43,"."&amp;$B$134&amp;$AS$82&amp;"C"&amp;$A169))</f>
        <v>610.70000000000005</v>
      </c>
      <c r="DB169" s="3">
        <f>IF(RTD("tos.rtd",,DB$43,"."&amp;$B$134&amp;$AS$82&amp;"P"&amp;$A169)="N/A",0,RTD("tos.rtd",,DB$43,"."&amp;$B$134&amp;$AS$82&amp;"P"&amp;$A169))</f>
        <v>0.05</v>
      </c>
      <c r="DC169" s="3">
        <f>IF(RTD("tos.rtd",,DC$43,"."&amp;$B$134&amp;$AS$82&amp;"C"&amp;$A169)="N/A",0,RTD("tos.rtd",,DC$43,"."&amp;$B$134&amp;$AS$82&amp;"C"&amp;$A169))</f>
        <v>656</v>
      </c>
      <c r="DD169" s="3">
        <f>IF(RTD("tos.rtd",,DD$43,"."&amp;$B$134&amp;$AS$82&amp;"P"&amp;$A169)="N/A",0,RTD("tos.rtd",,DD$43,"."&amp;$B$134&amp;$AS$82&amp;"P"&amp;$A169))</f>
        <v>19.8</v>
      </c>
      <c r="DE169" s="3">
        <f>IF(RTD("tos.rtd",,DE$43,"."&amp;$B$134&amp;$AS$82&amp;"C"&amp;$A169)="N/A",0,RTD("tos.rtd",,DE$43,"."&amp;$B$134&amp;$AS$82&amp;"C"&amp;$A169))</f>
        <v>582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378"/>
        <v>-580.75</v>
      </c>
      <c r="DH169" s="3">
        <f t="shared" si="379"/>
        <v>0</v>
      </c>
      <c r="DI169" s="3">
        <f t="shared" si="380"/>
        <v>0</v>
      </c>
      <c r="DJ169" s="3">
        <f t="shared" si="346"/>
        <v>0</v>
      </c>
      <c r="DK169" s="3">
        <f t="shared" si="347"/>
        <v>0</v>
      </c>
      <c r="DL169" s="3">
        <f t="shared" si="381"/>
        <v>0</v>
      </c>
      <c r="DM169" s="3">
        <f t="shared" si="382"/>
        <v>0</v>
      </c>
      <c r="DN169" s="64" t="str">
        <f t="shared" si="348"/>
        <v>UNKNOWN</v>
      </c>
      <c r="DO169" s="64" t="str">
        <f t="shared" si="349"/>
        <v>UNKNOWN</v>
      </c>
      <c r="DP169" s="3">
        <f t="shared" si="350"/>
        <v>0</v>
      </c>
      <c r="DQ169" s="3">
        <f t="shared" si="351"/>
        <v>0</v>
      </c>
      <c r="DR169" s="3">
        <f t="shared" ca="1" si="352"/>
        <v>0</v>
      </c>
      <c r="DS169" s="3">
        <f t="shared" si="353"/>
        <v>0</v>
      </c>
      <c r="DT169" s="3">
        <f t="shared" si="383"/>
        <v>0</v>
      </c>
      <c r="DU169" s="3">
        <f t="shared" si="384"/>
        <v>0</v>
      </c>
      <c r="DV169" s="3">
        <f t="shared" si="354"/>
        <v>1</v>
      </c>
      <c r="DW169" s="3">
        <f t="shared" si="355"/>
        <v>10</v>
      </c>
      <c r="DX169" s="3">
        <f t="shared" ref="DX169:DX189" ca="1" si="436">(EXP(-POWER((LN($A$136/$A169)+($EC$1+POWER($EE169,2)/2)*($EM$1/$DY$1))/($EE169*SQRT($EM$1/$DY$1)),2)/2)/SQRT(2*PI())/($A$136*$EE169*SQRT($EM$1/$DY$1)))</f>
        <v>3.7742244243221861E-4</v>
      </c>
      <c r="DY169" s="3">
        <f t="shared" ref="DY169:DY189" ca="1" si="437">-(EXP(-POWER((LN($A$136/$A169)+($EC$1+POWER($EF169,2)/2)*($EM$1/$DY$1))/($EF169*SQRT($EM$1/$DY$1)),2)/2)/SQRT(2*PI())/($A$136*$EF169*SQRT($EM$1/$DY$1)))</f>
        <v>-4.0299502652970049E-4</v>
      </c>
      <c r="DZ169" s="3">
        <f t="shared" ref="DZ169:DZ189" ca="1" si="438">(EXP(-POWER((LN($A$136/$A169)+($EC$1+POWER($EG169,2)/2)*($EO$1/$DY$1))/($EG169*SQRT($EO$1/$DY$1)),2)/2)/SQRT(2*PI())/($A$136*$EG169*SQRT($EO$1/$DY$1)))</f>
        <v>3.972938184592947E-4</v>
      </c>
      <c r="EA169" s="3">
        <f t="shared" ref="EA169:EA189" ca="1" si="439">-(EXP(-POWER((LN($A$136/$A169)+($EC$1+POWER($EH169,2)/2)*($EO$1/$DY$1))/($EH169*SQRT($EO$1/$DY$1)),2)/2)/SQRT(2*PI())/($A$136*$EH169*SQRT($EO$1/$DY$1)))</f>
        <v>-3.9807683302666368E-4</v>
      </c>
      <c r="EB169" s="3">
        <f t="shared" ref="EB169:EB189" ca="1" si="440">(EXP(-POWER((LN($A$136/$A169)+($EC$1+POWER($EI169,2)/2)*($EO$1/$DY$1))/($EI169*SQRT($EO$1/$DY$1)),2)/2)/SQRT(2*PI())/($A$136*$EI169*SQRT($EO$1/$DY$1)))</f>
        <v>3.6307677465400342E-4</v>
      </c>
      <c r="EC169" s="3">
        <f t="shared" ref="EC169:EC189" ca="1" si="441">-(EXP(-POWER((LN($A$136/$A169)+($EC$1+POWER($EJ169,2)/2)*($EO$1/$DY$1))/($EJ169*SQRT($EO$1/$DY$1)),2)/2)/SQRT(2*PI())/($A$136*$EJ169*SQRT($EO$1/$DY$1)))</f>
        <v>-3.8656327271677118E-4</v>
      </c>
      <c r="ED169" s="63">
        <f t="shared" si="385"/>
        <v>11</v>
      </c>
      <c r="EE169" s="59">
        <f t="shared" si="362"/>
        <v>1.7988</v>
      </c>
      <c r="EF169" s="59">
        <f t="shared" si="363"/>
        <v>2.4779</v>
      </c>
      <c r="EG169" s="59">
        <f t="shared" si="364"/>
        <v>0.25</v>
      </c>
      <c r="EH169" s="59">
        <f t="shared" si="365"/>
        <v>0.2571</v>
      </c>
      <c r="EI169" s="59">
        <f t="shared" si="366"/>
        <v>0.19900000000000001</v>
      </c>
      <c r="EJ169" s="59">
        <f t="shared" si="367"/>
        <v>0.2228</v>
      </c>
      <c r="EK169" s="63">
        <f t="shared" ca="1" si="386"/>
        <v>-1661903.4304704261</v>
      </c>
      <c r="EL169" s="3" t="str">
        <f>RTD("tos.rtd",,EL$43,"."&amp;$B$134&amp;$AS$82&amp;"C"&amp;$A169)</f>
        <v>179.88%</v>
      </c>
      <c r="EM169" s="3" t="str">
        <f>RTD("tos.rtd",,EM$43,"."&amp;$B$134&amp;$AS$82&amp;"P"&amp;$A169)</f>
        <v>247.79%</v>
      </c>
      <c r="EN169" s="3" t="str">
        <f>RTD("tos.rtd",,EN$2,"."&amp;$C$134&amp;$AU$82&amp;"C"&amp;$A169)</f>
        <v>--</v>
      </c>
      <c r="EO169" s="3" t="str">
        <f>RTD("tos.rtd",,EO$2,"."&amp;$C$134&amp;$AU$82&amp;"P"&amp;$A169)</f>
        <v>25.71%</v>
      </c>
      <c r="EP169" s="3" t="str">
        <f>RTD("tos.rtd",,EP$2,"."&amp;$D$134&amp;$AW$82&amp;"C"&amp;$A169)</f>
        <v>19.90%</v>
      </c>
      <c r="EQ169" s="3" t="str">
        <f>RTD("tos.rtd",,EQ$2,"."&amp;$D$134&amp;$AW$82&amp;"P"&amp;$A169)</f>
        <v>22.28%</v>
      </c>
      <c r="ES169" s="63" t="str">
        <f t="shared" si="368"/>
        <v>20750,11.00</v>
      </c>
      <c r="ET169" s="63" t="str">
        <f t="shared" ca="1" si="369"/>
        <v>20750,-07.07</v>
      </c>
      <c r="EU169" s="68">
        <v>592.64</v>
      </c>
      <c r="EV169" s="68" t="s">
        <v>1368</v>
      </c>
      <c r="EW169" s="68">
        <v>519.11</v>
      </c>
      <c r="EX169" s="68" t="s">
        <v>1369</v>
      </c>
      <c r="EY169" s="68">
        <v>5936.25</v>
      </c>
      <c r="EZ169" s="68" t="s">
        <v>1370</v>
      </c>
      <c r="FA169" s="68">
        <v>21309.5</v>
      </c>
      <c r="FB169" s="68" t="s">
        <v>1371</v>
      </c>
      <c r="FC169" s="68" t="s">
        <v>1372</v>
      </c>
      <c r="FD169" s="68" t="s">
        <v>1373</v>
      </c>
      <c r="FE169" s="68" t="s">
        <v>1374</v>
      </c>
      <c r="FF169" s="68" t="s">
        <v>1375</v>
      </c>
    </row>
    <row r="170" spans="1:162" ht="11.1" customHeight="1" thickBot="1" x14ac:dyDescent="0.25">
      <c r="A170" s="2">
        <f t="shared" si="387"/>
        <v>20725</v>
      </c>
      <c r="B170" s="3">
        <f t="shared" si="426"/>
        <v>69</v>
      </c>
      <c r="C170" s="3">
        <f t="shared" si="427"/>
        <v>10</v>
      </c>
      <c r="D170" s="3">
        <f t="shared" si="428"/>
        <v>13</v>
      </c>
      <c r="E170" s="3">
        <f t="shared" si="429"/>
        <v>92</v>
      </c>
      <c r="F170" s="4">
        <f t="shared" si="430"/>
        <v>20812.444182693998</v>
      </c>
      <c r="G170" s="5">
        <f t="shared" si="431"/>
        <v>504.87356281424701</v>
      </c>
      <c r="AM170" s="1">
        <v>0</v>
      </c>
      <c r="AN170" s="1">
        <v>0</v>
      </c>
      <c r="AO170" s="1">
        <v>20725</v>
      </c>
      <c r="AP170" s="1">
        <v>0</v>
      </c>
      <c r="AQ170" s="1">
        <v>0</v>
      </c>
      <c r="AS170" s="54">
        <f>IF(RTD("tos.rtd",,AS$83,"."&amp;$B$134&amp;$AS$82&amp;"C"&amp;$A170)="N/A",0,RTD("tos.rtd",,AS$83,"."&amp;$B$134&amp;$AS$82&amp;"C"&amp;$A170))</f>
        <v>0</v>
      </c>
      <c r="AT170" s="3">
        <f>-IF(RTD("tos.rtd",,AT$83,"."&amp;$B$134&amp;$AS$82&amp;"P"&amp;$A170)="N/A",0,RTD("tos.rtd",,AT$83,"."&amp;$B$134&amp;$AS$82&amp;"P"&amp;$A170))</f>
        <v>-69</v>
      </c>
      <c r="AU170" s="54">
        <f>IF(RTD("tos.rtd",,AU$2,"."&amp;$C$134&amp;$AU$134&amp;"C"&amp;$A170)="N/A",0,RTD("tos.rtd",,AU$2,"."&amp;$C$134&amp;$AU$134&amp;"C"&amp;$A170))</f>
        <v>8</v>
      </c>
      <c r="AV170" s="3">
        <f>-IF(RTD("tos.rtd",,AV$2,"."&amp;$C$134&amp;$AU$134&amp;"P"&amp;$A170)="N/A",0,RTD("tos.rtd",,AV$2,"."&amp;$C$134&amp;$AU$134&amp;"P"&amp;$A170))</f>
        <v>-2</v>
      </c>
      <c r="AW170" s="54">
        <f>IF(RTD("tos.rtd",,AW$2,"."&amp;$D$134&amp;$AW$134&amp;"C"&amp;$A170)="N/A",0,RTD("tos.rtd",,AW$2,"."&amp;$D$134&amp;$AW$134&amp;"C"&amp;$A170))</f>
        <v>12</v>
      </c>
      <c r="AX170" s="3">
        <f>-IF(RTD("tos.rtd",,AX$2,"."&amp;$D$134&amp;$AW$134&amp;"P"&amp;$A170)="N/A",0,RTD("tos.rtd",,AX$2,"."&amp;$D$134&amp;$AW$134&amp;"P"&amp;$A170))</f>
        <v>-1</v>
      </c>
      <c r="AY170" s="76">
        <f t="shared" si="432"/>
        <v>-52</v>
      </c>
      <c r="AZ170" s="8">
        <f t="shared" si="337"/>
        <v>20725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0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0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0</v>
      </c>
      <c r="BG170" s="3">
        <f ca="1">+Hoja2!Y171</f>
        <v>-5</v>
      </c>
      <c r="BH170" s="7">
        <f t="shared" ca="1" si="338"/>
        <v>-5</v>
      </c>
      <c r="BI170" s="32" t="str">
        <f t="shared" ca="1" si="397"/>
        <v/>
      </c>
      <c r="BJ170" s="3">
        <f ca="1">IF($BP$1=1,DX170,IF(RTD("tos.rtd",,BJ$43,"."&amp;$B$134&amp;$AS$82&amp;"C"&amp;$A170)="N/A",0,RTD("tos.rtd",,BJ$43,"."&amp;$B$134&amp;$AS$82&amp;"C"&amp;$A170)))</f>
        <v>3.7450037486498182E-4</v>
      </c>
      <c r="BK170" s="3">
        <f ca="1">IF($BP$1=1,DY170,-IF(RTD("tos.rtd",,BK$43,"."&amp;$B$134&amp;$AS$82&amp;"P"&amp;$A170)="N/A",0,RTD("tos.rtd",,BK$43,"."&amp;$B$134&amp;$AS$82&amp;"P"&amp;$A170)))</f>
        <v>-3.8645050854123114E-4</v>
      </c>
      <c r="BL170" s="3">
        <f ca="1">IF($BP$1=1,DZ170,IF(RTD("tos.rtd",,BL$2,"."&amp;$C$134&amp;$AU$82&amp;"C"&amp;$A170)="N/A",0,RTD("tos.rtd",,BL$2,"."&amp;$C$134&amp;$AU$82&amp;"C"&amp;$A170)))</f>
        <v>3.7834618037476542E-4</v>
      </c>
      <c r="BM170" s="3">
        <f ca="1">IF($BP$1=1,EA170,-IF(RTD("tos.rtd",,BM$2,"."&amp;$C$134&amp;$AU$82&amp;"P"&amp;$A170)="N/A",0,RTD("tos.rtd",,BM$2,"."&amp;$C$134&amp;$AU$82&amp;"P"&amp;$A170)))</f>
        <v>-3.8040160304875892E-4</v>
      </c>
      <c r="BN170" s="3">
        <f ca="1">IF($BP$1=1,EB170,IF(RTD("tos.rtd",,BN$2,"."&amp;$D$134&amp;$AW$82&amp;"C"&amp;$A170)="N/A",0,RTD("tos.rtd",,BN$2,"."&amp;$D$134&amp;$AW$82&amp;"C"&amp;$A170)))</f>
        <v>3.4610869236400128E-4</v>
      </c>
      <c r="BO170" s="3">
        <f ca="1">IF($BP$1=1,EC170,-IF(RTD("tos.rtd",,BO$2,"."&amp;$D$134&amp;$AW$82&amp;"P"&amp;$A170)="N/A",0,RTD("tos.rtd",,BO$2,"."&amp;$D$134&amp;$AW$82&amp;"P"&amp;$A170)))</f>
        <v>-3.6428849867013279E-4</v>
      </c>
      <c r="BQ170" s="3">
        <f t="shared" ca="1" si="433"/>
        <v>-939336.08713780204</v>
      </c>
      <c r="BR170" s="3" t="str">
        <f t="shared" ca="1" si="339"/>
        <v/>
      </c>
      <c r="BS170" s="3">
        <f t="shared" ca="1" si="434"/>
        <v>79823.628967421129</v>
      </c>
      <c r="BT170" s="3" t="str">
        <f t="shared" ca="1" si="340"/>
        <v>Cruce +</v>
      </c>
      <c r="BU170" s="3">
        <f t="shared" ca="1" si="435"/>
        <v>133476.38955058416</v>
      </c>
      <c r="BV170" s="3" t="str">
        <f t="shared" ca="1" si="340"/>
        <v/>
      </c>
      <c r="BX170" s="3">
        <f t="shared" ca="1" si="370"/>
        <v>0</v>
      </c>
      <c r="BY170" s="3" t="str">
        <f t="shared" ca="1" si="371"/>
        <v/>
      </c>
      <c r="BZ170" s="3">
        <f t="shared" ca="1" si="372"/>
        <v>0</v>
      </c>
      <c r="CA170" s="3" t="str">
        <f t="shared" ca="1" si="371"/>
        <v/>
      </c>
      <c r="CB170" s="3">
        <f t="shared" ca="1" si="373"/>
        <v>0</v>
      </c>
      <c r="CC170" s="3" t="str">
        <f t="shared" ca="1" si="371"/>
        <v/>
      </c>
      <c r="CD170" s="3">
        <f>IF(RTD("tos.rtd",,CD$43,"."&amp;$B$134&amp;$AS$82&amp;"C"&amp;$A170)="N/A",0,RTD("tos.rtd",,CD$43,"."&amp;$B$134&amp;$AS$82&amp;"C"&amp;$A170))</f>
        <v>0.98</v>
      </c>
      <c r="CE170" s="3">
        <f>-IF(RTD("tos.rtd",,CE$43,"."&amp;$B$134&amp;$AS$82&amp;"P"&amp;$A170)="N/A",0,RTD("tos.rtd",,CE$43,"."&amp;$B$134&amp;$AS$82&amp;"P"&amp;$A170))</f>
        <v>0.06</v>
      </c>
      <c r="CF170" s="3">
        <f>IF(RTD("tos.rtd",,CF$2,"."&amp;$C$134&amp;$AU$82&amp;"C"&amp;$A170)="N/A",0,RTD("tos.rtd",,CF$2,"."&amp;$C$134&amp;$AU$82&amp;"C"&amp;$A170))</f>
        <v>1</v>
      </c>
      <c r="CG170" s="3">
        <f>-IF(RTD("tos.rtd",,CG$2,"."&amp;$C$134&amp;$AU$82&amp;"P"&amp;$A170)="N/A",0,RTD("tos.rtd",,CG$2,"."&amp;$C$134&amp;$AU$82&amp;"P"&amp;$A170))</f>
        <v>0.09</v>
      </c>
      <c r="CH170" s="3">
        <f>IF(RTD("tos.rtd",,CH$2,"."&amp;$D$134&amp;$AW$82&amp;"C"&amp;$A170)="N/A",0,RTD("tos.rtd",,CH$2,"."&amp;$D$134&amp;$AW$82&amp;"C"&amp;$A170))</f>
        <v>0.73</v>
      </c>
      <c r="CI170" s="3">
        <f>-IF(RTD("tos.rtd",,CI$2,"."&amp;$D$134&amp;$AW$82&amp;"P"&amp;$A170)="N/A",0,RTD("tos.rtd",,CI$2,"."&amp;$D$134&amp;$AW$82&amp;"P"&amp;$A170))</f>
        <v>0.28999999999999998</v>
      </c>
      <c r="CK170" s="3">
        <f t="shared" si="374"/>
        <v>-8830930.4999999981</v>
      </c>
      <c r="CL170" s="3"/>
      <c r="CM170" s="3">
        <f t="shared" si="375"/>
        <v>16680646.5</v>
      </c>
      <c r="CN170" s="3"/>
      <c r="CO170" s="3">
        <f t="shared" si="376"/>
        <v>18067145.25</v>
      </c>
      <c r="CP170" s="3">
        <f t="shared" si="331"/>
        <v>25916861.25</v>
      </c>
      <c r="CQ170" s="3">
        <f t="shared" si="341"/>
        <v>0</v>
      </c>
      <c r="CR170" s="3"/>
      <c r="CS170" s="3">
        <f t="shared" si="342"/>
        <v>0</v>
      </c>
      <c r="CT170" s="3"/>
      <c r="CU170" s="3">
        <f t="shared" si="343"/>
        <v>0</v>
      </c>
      <c r="CV170" s="3"/>
      <c r="CW170" s="3">
        <f t="shared" ca="1" si="344"/>
        <v>-726036.06861979677</v>
      </c>
      <c r="CY170" s="3">
        <f t="shared" ca="1" si="345"/>
        <v>0</v>
      </c>
      <c r="CZ170" s="70" t="str">
        <f t="shared" ca="1" si="377"/>
        <v/>
      </c>
      <c r="DA170" s="3">
        <f>IF(RTD("tos.rtd",,DA$43,"."&amp;$B$134&amp;$AS$82&amp;"C"&amp;$A170)="N/A",0,RTD("tos.rtd",,DA$43,"."&amp;$B$134&amp;$AS$82&amp;"C"&amp;$A170))</f>
        <v>634.37</v>
      </c>
      <c r="DB170" s="3">
        <f>IF(RTD("tos.rtd",,DB$43,"."&amp;$B$134&amp;$AS$82&amp;"P"&amp;$A170)="N/A",0,RTD("tos.rtd",,DB$43,"."&amp;$B$134&amp;$AS$82&amp;"P"&amp;$A170))</f>
        <v>1.02</v>
      </c>
      <c r="DC170" s="3">
        <f>IF(RTD("tos.rtd",,DC$43,"."&amp;$B$134&amp;$AS$82&amp;"C"&amp;$A170)="N/A",0,RTD("tos.rtd",,DC$43,"."&amp;$B$134&amp;$AS$82&amp;"C"&amp;$A170))</f>
        <v>683.1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607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378"/>
        <v>-605.75</v>
      </c>
      <c r="DH170" s="3">
        <f t="shared" si="379"/>
        <v>0</v>
      </c>
      <c r="DI170" s="3">
        <f t="shared" si="380"/>
        <v>0</v>
      </c>
      <c r="DJ170" s="3">
        <f t="shared" si="346"/>
        <v>0</v>
      </c>
      <c r="DK170" s="3">
        <f t="shared" si="347"/>
        <v>0</v>
      </c>
      <c r="DL170" s="3">
        <f t="shared" si="381"/>
        <v>0</v>
      </c>
      <c r="DM170" s="3">
        <f t="shared" si="382"/>
        <v>0</v>
      </c>
      <c r="DN170" s="64" t="str">
        <f t="shared" si="348"/>
        <v>UNKNOWN</v>
      </c>
      <c r="DO170" s="64" t="str">
        <f t="shared" si="349"/>
        <v>UNKNOWN</v>
      </c>
      <c r="DP170" s="3">
        <f t="shared" si="350"/>
        <v>0</v>
      </c>
      <c r="DQ170" s="3">
        <f t="shared" si="351"/>
        <v>0</v>
      </c>
      <c r="DR170" s="3">
        <f t="shared" ca="1" si="352"/>
        <v>0</v>
      </c>
      <c r="DS170" s="3">
        <f t="shared" si="353"/>
        <v>0</v>
      </c>
      <c r="DT170" s="3">
        <f t="shared" si="383"/>
        <v>0</v>
      </c>
      <c r="DU170" s="3">
        <f t="shared" si="384"/>
        <v>0</v>
      </c>
      <c r="DV170" s="3">
        <f t="shared" si="354"/>
        <v>0</v>
      </c>
      <c r="DW170" s="3">
        <f t="shared" si="355"/>
        <v>0</v>
      </c>
      <c r="DX170" s="3">
        <f t="shared" ca="1" si="436"/>
        <v>3.7450037486498182E-4</v>
      </c>
      <c r="DY170" s="3">
        <f t="shared" ca="1" si="437"/>
        <v>-3.8645050854123114E-4</v>
      </c>
      <c r="DZ170" s="3">
        <f t="shared" ca="1" si="438"/>
        <v>3.7834618037476542E-4</v>
      </c>
      <c r="EA170" s="3">
        <f t="shared" ca="1" si="439"/>
        <v>-3.8040160304875892E-4</v>
      </c>
      <c r="EB170" s="3">
        <f t="shared" ca="1" si="440"/>
        <v>3.4610869236400128E-4</v>
      </c>
      <c r="EC170" s="3">
        <f t="shared" ca="1" si="441"/>
        <v>-3.6428849867013279E-4</v>
      </c>
      <c r="ED170" s="63">
        <f t="shared" si="385"/>
        <v>0</v>
      </c>
      <c r="EE170" s="59">
        <f t="shared" si="362"/>
        <v>2.0087000000000002</v>
      </c>
      <c r="EF170" s="59">
        <f t="shared" si="363"/>
        <v>2.5579999999999998</v>
      </c>
      <c r="EG170" s="59">
        <f t="shared" si="364"/>
        <v>0.25</v>
      </c>
      <c r="EH170" s="59">
        <f t="shared" si="365"/>
        <v>0.25879999999999997</v>
      </c>
      <c r="EI170" s="59">
        <f t="shared" si="366"/>
        <v>0.20610000000000001</v>
      </c>
      <c r="EJ170" s="59">
        <f t="shared" si="367"/>
        <v>0.22370000000000001</v>
      </c>
      <c r="EK170" s="63">
        <f t="shared" ca="1" si="386"/>
        <v>0</v>
      </c>
      <c r="EL170" s="3" t="str">
        <f>RTD("tos.rtd",,EL$43,"."&amp;$B$134&amp;$AS$82&amp;"C"&amp;$A170)</f>
        <v>200.87%</v>
      </c>
      <c r="EM170" s="3" t="str">
        <f>RTD("tos.rtd",,EM$43,"."&amp;$B$134&amp;$AS$82&amp;"P"&amp;$A170)</f>
        <v>255.80%</v>
      </c>
      <c r="EN170" s="3" t="str">
        <f>RTD("tos.rtd",,EN$2,"."&amp;$C$134&amp;$AU$82&amp;"C"&amp;$A170)</f>
        <v>--</v>
      </c>
      <c r="EO170" s="3" t="str">
        <f>RTD("tos.rtd",,EO$2,"."&amp;$C$134&amp;$AU$82&amp;"P"&amp;$A170)</f>
        <v>25.88%</v>
      </c>
      <c r="EP170" s="3" t="str">
        <f>RTD("tos.rtd",,EP$2,"."&amp;$D$134&amp;$AW$82&amp;"C"&amp;$A170)</f>
        <v>20.61%</v>
      </c>
      <c r="EQ170" s="3" t="str">
        <f>RTD("tos.rtd",,EQ$2,"."&amp;$D$134&amp;$AW$82&amp;"P"&amp;$A170)</f>
        <v>22.37%</v>
      </c>
      <c r="ES170" s="63" t="str">
        <f t="shared" si="368"/>
        <v>20725,00.00</v>
      </c>
      <c r="ET170" s="63" t="str">
        <f t="shared" ca="1" si="369"/>
        <v>20725,00.00</v>
      </c>
      <c r="EU170" s="68">
        <v>592.64</v>
      </c>
      <c r="EV170" s="68" t="s">
        <v>1376</v>
      </c>
      <c r="EW170" s="68">
        <v>519.11</v>
      </c>
      <c r="EX170" s="68" t="s">
        <v>1377</v>
      </c>
      <c r="EY170" s="68">
        <v>5936.25</v>
      </c>
      <c r="EZ170" s="68" t="s">
        <v>1378</v>
      </c>
      <c r="FA170" s="68">
        <v>21309.5</v>
      </c>
      <c r="FB170" s="68" t="s">
        <v>1379</v>
      </c>
      <c r="FC170" s="68" t="s">
        <v>1380</v>
      </c>
      <c r="FD170" s="68" t="s">
        <v>1381</v>
      </c>
      <c r="FE170" s="68" t="s">
        <v>1382</v>
      </c>
      <c r="FF170" s="68" t="s">
        <v>1383</v>
      </c>
    </row>
    <row r="171" spans="1:162" ht="11.1" customHeight="1" thickBot="1" x14ac:dyDescent="0.25">
      <c r="A171" s="2">
        <f t="shared" si="387"/>
        <v>20700</v>
      </c>
      <c r="B171" s="3">
        <f t="shared" si="426"/>
        <v>56</v>
      </c>
      <c r="C171" s="3">
        <f t="shared" si="427"/>
        <v>17</v>
      </c>
      <c r="D171" s="3">
        <f t="shared" si="428"/>
        <v>304</v>
      </c>
      <c r="E171" s="3">
        <f t="shared" si="429"/>
        <v>377</v>
      </c>
      <c r="F171" s="4">
        <f t="shared" si="430"/>
        <v>20787.338701170844</v>
      </c>
      <c r="G171" s="5">
        <f t="shared" si="431"/>
        <v>504.26454766006816</v>
      </c>
      <c r="AM171" s="1">
        <v>0</v>
      </c>
      <c r="AN171" s="1">
        <v>-8</v>
      </c>
      <c r="AO171" s="1">
        <v>20700</v>
      </c>
      <c r="AP171" s="1">
        <v>0</v>
      </c>
      <c r="AQ171" s="1">
        <v>-51</v>
      </c>
      <c r="AS171" s="54">
        <f>IF(RTD("tos.rtd",,AS$83,"."&amp;$B$134&amp;$AS$82&amp;"C"&amp;$A171)="N/A",0,RTD("tos.rtd",,AS$83,"."&amp;$B$134&amp;$AS$82&amp;"C"&amp;$A171))</f>
        <v>2</v>
      </c>
      <c r="AT171" s="3">
        <f>-IF(RTD("tos.rtd",,AT$83,"."&amp;$B$134&amp;$AS$82&amp;"P"&amp;$A171)="N/A",0,RTD("tos.rtd",,AT$83,"."&amp;$B$134&amp;$AS$82&amp;"P"&amp;$A171))</f>
        <v>-54</v>
      </c>
      <c r="AU171" s="54">
        <f>IF(RTD("tos.rtd",,AU$2,"."&amp;$C$134&amp;$AU$134&amp;"C"&amp;$A171)="N/A",0,RTD("tos.rtd",,AU$2,"."&amp;$C$134&amp;$AU$134&amp;"C"&amp;$A171))</f>
        <v>4</v>
      </c>
      <c r="AV171" s="3">
        <f>-IF(RTD("tos.rtd",,AV$2,"."&amp;$C$134&amp;$AU$134&amp;"P"&amp;$A171)="N/A",0,RTD("tos.rtd",,AV$2,"."&amp;$C$134&amp;$AU$134&amp;"P"&amp;$A171))</f>
        <v>-13</v>
      </c>
      <c r="AW171" s="54">
        <f>IF(RTD("tos.rtd",,AW$2,"."&amp;$D$134&amp;$AW$134&amp;"C"&amp;$A171)="N/A",0,RTD("tos.rtd",,AW$2,"."&amp;$D$134&amp;$AW$134&amp;"C"&amp;$A171))</f>
        <v>46</v>
      </c>
      <c r="AX171" s="3">
        <f>-IF(RTD("tos.rtd",,AX$2,"."&amp;$D$134&amp;$AW$134&amp;"P"&amp;$A171)="N/A",0,RTD("tos.rtd",,AX$2,"."&amp;$D$134&amp;$AW$134&amp;"P"&amp;$A171))</f>
        <v>-258</v>
      </c>
      <c r="AY171" s="76">
        <f t="shared" si="432"/>
        <v>-273</v>
      </c>
      <c r="AZ171" s="8">
        <f t="shared" si="337"/>
        <v>20700</v>
      </c>
      <c r="BA171" s="54">
        <f>IF(RTD("tos.rtd",,BA$43,"."&amp;$B$134&amp;$AS$82&amp;"C"&amp;$A171)="N/A",0,RTD("tos.rtd",,BA$43,"."&amp;$B$134&amp;$AS$82&amp;"C"&amp;$A171))</f>
        <v>0</v>
      </c>
      <c r="BB171" s="3">
        <f>-IF(RTD("tos.rtd",,BB$43,"."&amp;$B$134&amp;$AS$82&amp;"P"&amp;$A171)="N/A",0,RTD("tos.rtd",,BB$43,"."&amp;$B$134&amp;$AS$82&amp;"P"&amp;$A171))</f>
        <v>-51</v>
      </c>
      <c r="BC171" s="54">
        <f>IF(RTD("tos.rtd",,BC$2,"."&amp;$C$134&amp;$AU$82&amp;"C"&amp;$A171)="N/A",0,RTD("tos.rtd",,BC$2,"."&amp;$C$134&amp;$AU$82&amp;"C"&amp;$A171))</f>
        <v>0</v>
      </c>
      <c r="BD171" s="3">
        <f>-IF(RTD("tos.rtd",,BD$2,"."&amp;$C$134&amp;$AU$82&amp;"P"&amp;$A171)="N/A",0,RTD("tos.rtd",,BD$2,"."&amp;$C$134&amp;$AU$82&amp;"P"&amp;$A171))</f>
        <v>-13</v>
      </c>
      <c r="BE171" s="54">
        <f>IF(RTD("tos.rtd",,BE$2,"."&amp;$D$134&amp;$AW$82&amp;"C"&amp;$A171)="N/A",0,RTD("tos.rtd",,BE$2,"."&amp;$D$134&amp;$AW$82&amp;"C"&amp;$A171))</f>
        <v>2</v>
      </c>
      <c r="BF171" s="3">
        <f>-IF(RTD("tos.rtd",,BF$2,"."&amp;$D$134&amp;$AW$82&amp;"P"&amp;$A171)="N/A",0,RTD("tos.rtd",,BF$2,"."&amp;$D$134&amp;$AW$82&amp;"P"&amp;$A171))</f>
        <v>-1</v>
      </c>
      <c r="BG171" s="3">
        <f ca="1">+Hoja2!Y172</f>
        <v>-92</v>
      </c>
      <c r="BH171" s="7">
        <f t="shared" ca="1" si="338"/>
        <v>-155</v>
      </c>
      <c r="BI171" s="32" t="str">
        <f t="shared" ca="1" si="397"/>
        <v/>
      </c>
      <c r="BJ171" s="3">
        <f ca="1">IF($BP$1=1,DX171,IF(RTD("tos.rtd",,BJ$43,"."&amp;$B$134&amp;$AS$82&amp;"C"&amp;$A171)="N/A",0,RTD("tos.rtd",,BJ$43,"."&amp;$B$134&amp;$AS$82&amp;"C"&amp;$A171)))</f>
        <v>3.6808175229473104E-4</v>
      </c>
      <c r="BK171" s="3">
        <f ca="1">IF($BP$1=1,DY171,-IF(RTD("tos.rtd",,BK$43,"."&amp;$B$134&amp;$AS$82&amp;"P"&amp;$A171)="N/A",0,RTD("tos.rtd",,BK$43,"."&amp;$B$134&amp;$AS$82&amp;"P"&amp;$A171)))</f>
        <v>-2.4722399899771282E-4</v>
      </c>
      <c r="BL171" s="3">
        <f ca="1">IF($BP$1=1,DZ171,IF(RTD("tos.rtd",,BL$2,"."&amp;$C$134&amp;$AU$82&amp;"C"&amp;$A171)="N/A",0,RTD("tos.rtd",,BL$2,"."&amp;$C$134&amp;$AU$82&amp;"C"&amp;$A171)))</f>
        <v>3.5954964022458209E-4</v>
      </c>
      <c r="BM171" s="3">
        <f ca="1">IF($BP$1=1,EA171,-IF(RTD("tos.rtd",,BM$2,"."&amp;$C$134&amp;$AU$82&amp;"P"&amp;$A171)="N/A",0,RTD("tos.rtd",,BM$2,"."&amp;$C$134&amp;$AU$82&amp;"P"&amp;$A171)))</f>
        <v>-3.6312229917769473E-4</v>
      </c>
      <c r="BN171" s="3">
        <f ca="1">IF($BP$1=1,EB171,IF(RTD("tos.rtd",,BN$2,"."&amp;$D$134&amp;$AW$82&amp;"C"&amp;$A171)="N/A",0,RTD("tos.rtd",,BN$2,"."&amp;$D$134&amp;$AW$82&amp;"C"&amp;$A171)))</f>
        <v>3.2274040942122578E-4</v>
      </c>
      <c r="BO171" s="3">
        <f ca="1">IF($BP$1=1,EC171,-IF(RTD("tos.rtd",,BO$2,"."&amp;$D$134&amp;$AW$82&amp;"P"&amp;$A171)="N/A",0,RTD("tos.rtd",,BO$2,"."&amp;$D$134&amp;$AW$82&amp;"P"&amp;$A171)))</f>
        <v>-3.4272215098645988E-4</v>
      </c>
      <c r="BQ171" s="3">
        <f t="shared" ca="1" si="433"/>
        <v>-444353.42707958393</v>
      </c>
      <c r="BR171" s="3" t="str">
        <f t="shared" ca="1" si="339"/>
        <v/>
      </c>
      <c r="BS171" s="3">
        <f t="shared" ca="1" si="434"/>
        <v>-115629.43139143926</v>
      </c>
      <c r="BT171" s="3" t="str">
        <f t="shared" ca="1" si="340"/>
        <v>Cruce -</v>
      </c>
      <c r="BU171" s="3">
        <f t="shared" ca="1" si="435"/>
        <v>-2591884.9424068751</v>
      </c>
      <c r="BV171" s="3" t="str">
        <f t="shared" ca="1" si="340"/>
        <v>Cruce -</v>
      </c>
      <c r="BX171" s="3">
        <f t="shared" ca="1" si="370"/>
        <v>-3404.4678403357671</v>
      </c>
      <c r="BY171" s="3" t="str">
        <f t="shared" ca="1" si="371"/>
        <v/>
      </c>
      <c r="BZ171" s="3">
        <f t="shared" ca="1" si="372"/>
        <v>-1274.6316693287818</v>
      </c>
      <c r="CA171" s="3" t="str">
        <f t="shared" ca="1" si="371"/>
        <v/>
      </c>
      <c r="CB171" s="3">
        <f t="shared" ca="1" si="373"/>
        <v>81.749483700530803</v>
      </c>
      <c r="CC171" s="3" t="str">
        <f t="shared" ca="1" si="371"/>
        <v/>
      </c>
      <c r="CD171" s="3">
        <f>IF(RTD("tos.rtd",,CD$43,"."&amp;$B$134&amp;$AS$82&amp;"C"&amp;$A171)="N/A",0,RTD("tos.rtd",,CD$43,"."&amp;$B$134&amp;$AS$82&amp;"C"&amp;$A171))</f>
        <v>0.97</v>
      </c>
      <c r="CE171" s="3">
        <f>-IF(RTD("tos.rtd",,CE$43,"."&amp;$B$134&amp;$AS$82&amp;"P"&amp;$A171)="N/A",0,RTD("tos.rtd",,CE$43,"."&amp;$B$134&amp;$AS$82&amp;"P"&amp;$A171))</f>
        <v>0</v>
      </c>
      <c r="CF171" s="3">
        <f>IF(RTD("tos.rtd",,CF$2,"."&amp;$C$134&amp;$AU$82&amp;"C"&amp;$A171)="N/A",0,RTD("tos.rtd",,CF$2,"."&amp;$C$134&amp;$AU$82&amp;"C"&amp;$A171))</f>
        <v>1</v>
      </c>
      <c r="CG171" s="3">
        <f>-IF(RTD("tos.rtd",,CG$2,"."&amp;$C$134&amp;$AU$82&amp;"P"&amp;$A171)="N/A",0,RTD("tos.rtd",,CG$2,"."&amp;$C$134&amp;$AU$82&amp;"P"&amp;$A171))</f>
        <v>0.08</v>
      </c>
      <c r="CH171" s="3">
        <f>IF(RTD("tos.rtd",,CH$2,"."&amp;$D$134&amp;$AW$82&amp;"C"&amp;$A171)="N/A",0,RTD("tos.rtd",,CH$2,"."&amp;$D$134&amp;$AW$82&amp;"C"&amp;$A171))</f>
        <v>0.73</v>
      </c>
      <c r="CI171" s="3">
        <f>-IF(RTD("tos.rtd",,CI$2,"."&amp;$D$134&amp;$AW$82&amp;"P"&amp;$A171)="N/A",0,RTD("tos.rtd",,CI$2,"."&amp;$D$134&amp;$AW$82&amp;"P"&amp;$A171))</f>
        <v>0.28000000000000003</v>
      </c>
      <c r="CK171" s="3">
        <f t="shared" si="374"/>
        <v>4138165.5</v>
      </c>
      <c r="CL171" s="3"/>
      <c r="CM171" s="3">
        <f t="shared" si="375"/>
        <v>6313902</v>
      </c>
      <c r="CN171" s="3"/>
      <c r="CO171" s="3">
        <f t="shared" si="376"/>
        <v>-82464679.50000003</v>
      </c>
      <c r="CP171" s="3">
        <f t="shared" si="331"/>
        <v>-72012612.00000003</v>
      </c>
      <c r="CQ171" s="3">
        <f t="shared" si="341"/>
        <v>-51</v>
      </c>
      <c r="CR171" s="3"/>
      <c r="CS171" s="3">
        <f t="shared" si="342"/>
        <v>-13</v>
      </c>
      <c r="CT171" s="3"/>
      <c r="CU171" s="3">
        <f t="shared" si="343"/>
        <v>1</v>
      </c>
      <c r="CV171" s="3"/>
      <c r="CW171" s="3">
        <f t="shared" ca="1" si="344"/>
        <v>-3151867.800877898</v>
      </c>
      <c r="CY171" s="3">
        <f t="shared" ca="1" si="345"/>
        <v>-4597.3500259640186</v>
      </c>
      <c r="CZ171" s="70" t="str">
        <f t="shared" ca="1" si="377"/>
        <v/>
      </c>
      <c r="DA171" s="3">
        <f>IF(RTD("tos.rtd",,DA$43,"."&amp;$B$134&amp;$AS$82&amp;"C"&amp;$A171)="N/A",0,RTD("tos.rtd",,DA$43,"."&amp;$B$134&amp;$AS$82&amp;"C"&amp;$A171))</f>
        <v>762.96</v>
      </c>
      <c r="DB171" s="3">
        <f>IF(RTD("tos.rtd",,DB$43,"."&amp;$B$134&amp;$AS$82&amp;"P"&amp;$A171)="N/A",0,RTD("tos.rtd",,DB$43,"."&amp;$B$134&amp;$AS$82&amp;"P"&amp;$A171))</f>
        <v>0.1</v>
      </c>
      <c r="DC171" s="3">
        <f>IF(RTD("tos.rtd",,DC$43,"."&amp;$B$134&amp;$AS$82&amp;"C"&amp;$A171)="N/A",0,RTD("tos.rtd",,DC$43,"."&amp;$B$134&amp;$AS$82&amp;"C"&amp;$A171))</f>
        <v>711.6</v>
      </c>
      <c r="DD171" s="3">
        <f>IF(RTD("tos.rtd",,DD$43,"."&amp;$B$134&amp;$AS$82&amp;"P"&amp;$A171)="N/A",0,RTD("tos.rtd",,DD$43,"."&amp;$B$134&amp;$AS$82&amp;"P"&amp;$A171))</f>
        <v>0.3</v>
      </c>
      <c r="DE171" s="3">
        <f>IF(RTD("tos.rtd",,DE$43,"."&amp;$B$134&amp;$AS$82&amp;"C"&amp;$A171)="N/A",0,RTD("tos.rtd",,DE$43,"."&amp;$B$134&amp;$AS$82&amp;"C"&amp;$A171))</f>
        <v>632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378"/>
        <v>-630.75</v>
      </c>
      <c r="DH171" s="3">
        <f t="shared" si="379"/>
        <v>0</v>
      </c>
      <c r="DI171" s="3">
        <f t="shared" si="380"/>
        <v>0</v>
      </c>
      <c r="DJ171" s="3">
        <f t="shared" si="346"/>
        <v>0</v>
      </c>
      <c r="DK171" s="3">
        <f t="shared" si="347"/>
        <v>0</v>
      </c>
      <c r="DL171" s="3">
        <f t="shared" si="381"/>
        <v>0</v>
      </c>
      <c r="DM171" s="3">
        <f t="shared" si="382"/>
        <v>0</v>
      </c>
      <c r="DN171" s="64" t="str">
        <f t="shared" si="348"/>
        <v>UNKNOWN</v>
      </c>
      <c r="DO171" s="64" t="str">
        <f t="shared" si="349"/>
        <v>UNKNOWN</v>
      </c>
      <c r="DP171" s="3">
        <f t="shared" si="350"/>
        <v>0</v>
      </c>
      <c r="DQ171" s="3">
        <f t="shared" si="351"/>
        <v>0</v>
      </c>
      <c r="DR171" s="3">
        <f t="shared" ca="1" si="352"/>
        <v>0</v>
      </c>
      <c r="DS171" s="3">
        <f t="shared" si="353"/>
        <v>0</v>
      </c>
      <c r="DT171" s="3">
        <f t="shared" si="383"/>
        <v>0</v>
      </c>
      <c r="DU171" s="3">
        <f t="shared" si="384"/>
        <v>0</v>
      </c>
      <c r="DV171" s="3">
        <f t="shared" si="354"/>
        <v>0</v>
      </c>
      <c r="DW171" s="3">
        <f t="shared" si="355"/>
        <v>-8</v>
      </c>
      <c r="DX171" s="3">
        <f t="shared" ca="1" si="436"/>
        <v>3.6808175229473104E-4</v>
      </c>
      <c r="DY171" s="3">
        <f t="shared" ca="1" si="437"/>
        <v>-2.4722399899771282E-4</v>
      </c>
      <c r="DZ171" s="3">
        <f t="shared" ca="1" si="438"/>
        <v>3.5954964022458209E-4</v>
      </c>
      <c r="EA171" s="3">
        <f t="shared" ca="1" si="439"/>
        <v>-3.6312229917769473E-4</v>
      </c>
      <c r="EB171" s="3">
        <f t="shared" ca="1" si="440"/>
        <v>3.2274040942122578E-4</v>
      </c>
      <c r="EC171" s="3">
        <f t="shared" ca="1" si="441"/>
        <v>-3.4272215098645988E-4</v>
      </c>
      <c r="ED171" s="63">
        <f t="shared" si="385"/>
        <v>-8</v>
      </c>
      <c r="EE171" s="59">
        <f t="shared" si="362"/>
        <v>2.2568999999999999</v>
      </c>
      <c r="EF171" s="59">
        <f t="shared" si="363"/>
        <v>1.4738</v>
      </c>
      <c r="EG171" s="59">
        <f t="shared" si="364"/>
        <v>0.25</v>
      </c>
      <c r="EH171" s="59">
        <f t="shared" si="365"/>
        <v>0.26019999999999999</v>
      </c>
      <c r="EI171" s="59">
        <f t="shared" si="366"/>
        <v>0.2072</v>
      </c>
      <c r="EJ171" s="59">
        <f t="shared" si="367"/>
        <v>0.22459999999999999</v>
      </c>
      <c r="EK171" s="63">
        <f t="shared" ca="1" si="386"/>
        <v>899897.1275880154</v>
      </c>
      <c r="EL171" s="3" t="str">
        <f>RTD("tos.rtd",,EL$43,"."&amp;$B$134&amp;$AS$82&amp;"C"&amp;$A171)</f>
        <v>225.69%</v>
      </c>
      <c r="EM171" s="3" t="str">
        <f>RTD("tos.rtd",,EM$43,"."&amp;$B$134&amp;$AS$82&amp;"P"&amp;$A171)</f>
        <v>147.38%</v>
      </c>
      <c r="EN171" s="3" t="str">
        <f>RTD("tos.rtd",,EN$2,"."&amp;$C$134&amp;$AU$82&amp;"C"&amp;$A171)</f>
        <v>--</v>
      </c>
      <c r="EO171" s="3" t="str">
        <f>RTD("tos.rtd",,EO$2,"."&amp;$C$134&amp;$AU$82&amp;"P"&amp;$A171)</f>
        <v>26.02%</v>
      </c>
      <c r="EP171" s="3" t="str">
        <f>RTD("tos.rtd",,EP$2,"."&amp;$D$134&amp;$AW$82&amp;"C"&amp;$A171)</f>
        <v>20.72%</v>
      </c>
      <c r="EQ171" s="3" t="str">
        <f>RTD("tos.rtd",,EQ$2,"."&amp;$D$134&amp;$AW$82&amp;"P"&amp;$A171)</f>
        <v>22.46%</v>
      </c>
      <c r="ES171" s="63" t="str">
        <f t="shared" si="368"/>
        <v>20700,-08.00</v>
      </c>
      <c r="ET171" s="63" t="str">
        <f t="shared" ca="1" si="369"/>
        <v>20700,-04.60</v>
      </c>
      <c r="EU171" s="68">
        <v>592.64</v>
      </c>
      <c r="EV171" s="68" t="s">
        <v>1384</v>
      </c>
      <c r="EW171" s="68">
        <v>519.11</v>
      </c>
      <c r="EX171" s="68" t="s">
        <v>1385</v>
      </c>
      <c r="EY171" s="68">
        <v>5936.25</v>
      </c>
      <c r="EZ171" s="68" t="s">
        <v>1386</v>
      </c>
      <c r="FA171" s="68">
        <v>21309.5</v>
      </c>
      <c r="FB171" s="68" t="s">
        <v>1387</v>
      </c>
      <c r="FC171" s="68" t="s">
        <v>1388</v>
      </c>
      <c r="FD171" s="68" t="s">
        <v>1389</v>
      </c>
      <c r="FE171" s="68" t="s">
        <v>1390</v>
      </c>
      <c r="FF171" s="68" t="s">
        <v>1391</v>
      </c>
    </row>
    <row r="172" spans="1:162" ht="11.1" customHeight="1" thickBot="1" x14ac:dyDescent="0.25">
      <c r="A172" s="2">
        <f t="shared" si="387"/>
        <v>20675</v>
      </c>
      <c r="B172" s="3">
        <f t="shared" si="426"/>
        <v>17</v>
      </c>
      <c r="C172" s="3">
        <f t="shared" si="427"/>
        <v>9</v>
      </c>
      <c r="D172" s="3">
        <f t="shared" si="428"/>
        <v>28</v>
      </c>
      <c r="E172" s="3">
        <f t="shared" si="429"/>
        <v>54</v>
      </c>
      <c r="F172" s="4">
        <f t="shared" si="430"/>
        <v>20762.233219647693</v>
      </c>
      <c r="G172" s="5">
        <f t="shared" si="431"/>
        <v>503.65553250588937</v>
      </c>
      <c r="AM172" s="1">
        <v>0</v>
      </c>
      <c r="AN172" s="1">
        <v>-7</v>
      </c>
      <c r="AO172" s="1">
        <v>20675</v>
      </c>
      <c r="AP172" s="1">
        <v>0</v>
      </c>
      <c r="AQ172" s="1">
        <v>-8</v>
      </c>
      <c r="AS172" s="54">
        <f>IF(RTD("tos.rtd",,AS$83,"."&amp;$B$134&amp;$AS$82&amp;"C"&amp;$A172)="N/A",0,RTD("tos.rtd",,AS$83,"."&amp;$B$134&amp;$AS$82&amp;"C"&amp;$A172))</f>
        <v>0</v>
      </c>
      <c r="AT172" s="3">
        <f>-IF(RTD("tos.rtd",,AT$83,"."&amp;$B$134&amp;$AS$82&amp;"P"&amp;$A172)="N/A",0,RTD("tos.rtd",,AT$83,"."&amp;$B$134&amp;$AS$82&amp;"P"&amp;$A172))</f>
        <v>-17</v>
      </c>
      <c r="AU172" s="54">
        <f>IF(RTD("tos.rtd",,AU$2,"."&amp;$C$134&amp;$AU$134&amp;"C"&amp;$A172)="N/A",0,RTD("tos.rtd",,AU$2,"."&amp;$C$134&amp;$AU$134&amp;"C"&amp;$A172))</f>
        <v>7</v>
      </c>
      <c r="AV172" s="3">
        <f>-IF(RTD("tos.rtd",,AV$2,"."&amp;$C$134&amp;$AU$134&amp;"P"&amp;$A172)="N/A",0,RTD("tos.rtd",,AV$2,"."&amp;$C$134&amp;$AU$134&amp;"P"&amp;$A172))</f>
        <v>-2</v>
      </c>
      <c r="AW172" s="54">
        <f>IF(RTD("tos.rtd",,AW$2,"."&amp;$D$134&amp;$AW$134&amp;"C"&amp;$A172)="N/A",0,RTD("tos.rtd",,AW$2,"."&amp;$D$134&amp;$AW$134&amp;"C"&amp;$A172))</f>
        <v>24</v>
      </c>
      <c r="AX172" s="3">
        <f>-IF(RTD("tos.rtd",,AX$2,"."&amp;$D$134&amp;$AW$134&amp;"P"&amp;$A172)="N/A",0,RTD("tos.rtd",,AX$2,"."&amp;$D$134&amp;$AW$134&amp;"P"&amp;$A172))</f>
        <v>-4</v>
      </c>
      <c r="AY172" s="76">
        <f t="shared" si="432"/>
        <v>8</v>
      </c>
      <c r="AZ172" s="8">
        <f t="shared" si="337"/>
        <v>20675</v>
      </c>
      <c r="BA172" s="54">
        <f>IF(RTD("tos.rtd",,BA$43,"."&amp;$B$134&amp;$AS$82&amp;"C"&amp;$A172)="N/A",0,RTD("tos.rtd",,BA$43,"."&amp;$B$134&amp;$AS$82&amp;"C"&amp;$A172))</f>
        <v>0</v>
      </c>
      <c r="BB172" s="3">
        <f>-IF(RTD("tos.rtd",,BB$43,"."&amp;$B$134&amp;$AS$82&amp;"P"&amp;$A172)="N/A",0,RTD("tos.rtd",,BB$43,"."&amp;$B$134&amp;$AS$82&amp;"P"&amp;$A172))</f>
        <v>-8</v>
      </c>
      <c r="BC172" s="54">
        <f>IF(RTD("tos.rtd",,BC$2,"."&amp;$C$134&amp;$AU$82&amp;"C"&amp;$A172)="N/A",0,RTD("tos.rtd",,BC$2,"."&amp;$C$134&amp;$AU$82&amp;"C"&amp;$A172))</f>
        <v>0</v>
      </c>
      <c r="BD172" s="3">
        <f>-IF(RTD("tos.rtd",,BD$2,"."&amp;$C$134&amp;$AU$82&amp;"P"&amp;$A172)="N/A",0,RTD("tos.rtd",,BD$2,"."&amp;$C$134&amp;$AU$82&amp;"P"&amp;$A172))</f>
        <v>0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0</v>
      </c>
      <c r="BG172" s="3">
        <f ca="1">+Hoja2!Y173</f>
        <v>-2</v>
      </c>
      <c r="BH172" s="7">
        <f t="shared" ca="1" si="338"/>
        <v>-10</v>
      </c>
      <c r="BI172" s="32" t="str">
        <f t="shared" ca="1" si="397"/>
        <v/>
      </c>
      <c r="BJ172" s="3">
        <f ca="1">IF($BP$1=1,DX172,IF(RTD("tos.rtd",,BJ$43,"."&amp;$B$134&amp;$AS$82&amp;"C"&amp;$A172)="N/A",0,RTD("tos.rtd",,BJ$43,"."&amp;$B$134&amp;$AS$82&amp;"C"&amp;$A172)))</f>
        <v>3.4706716326553472E-4</v>
      </c>
      <c r="BK172" s="3">
        <f ca="1">IF($BP$1=1,DY172,-IF(RTD("tos.rtd",,BK$43,"."&amp;$B$134&amp;$AS$82&amp;"P"&amp;$A172)="N/A",0,RTD("tos.rtd",,BK$43,"."&amp;$B$134&amp;$AS$82&amp;"P"&amp;$A172)))</f>
        <v>-3.5686591473056125E-4</v>
      </c>
      <c r="BL172" s="3">
        <f ca="1">IF($BP$1=1,DZ172,IF(RTD("tos.rtd",,BL$2,"."&amp;$C$134&amp;$AU$82&amp;"C"&amp;$A172)="N/A",0,RTD("tos.rtd",,BL$2,"."&amp;$C$134&amp;$AU$82&amp;"C"&amp;$A172)))</f>
        <v>3.4097069918914192E-4</v>
      </c>
      <c r="BM172" s="3">
        <f ca="1">IF($BP$1=1,EA172,-IF(RTD("tos.rtd",,BM$2,"."&amp;$C$134&amp;$AU$82&amp;"P"&amp;$A172)="N/A",0,RTD("tos.rtd",,BM$2,"."&amp;$C$134&amp;$AU$82&amp;"P"&amp;$A172)))</f>
        <v>-3.4643220161729006E-4</v>
      </c>
      <c r="BN172" s="3">
        <f ca="1">IF($BP$1=1,EB172,IF(RTD("tos.rtd",,BN$2,"."&amp;$D$134&amp;$AW$82&amp;"C"&amp;$A172)="N/A",0,RTD("tos.rtd",,BN$2,"."&amp;$D$134&amp;$AW$82&amp;"C"&amp;$A172)))</f>
        <v>2.9928283192569814E-4</v>
      </c>
      <c r="BO172" s="3">
        <f ca="1">IF($BP$1=1,EC172,-IF(RTD("tos.rtd",,BO$2,"."&amp;$D$134&amp;$AW$82&amp;"P"&amp;$A172)="N/A",0,RTD("tos.rtd",,BO$2,"."&amp;$D$134&amp;$AW$82&amp;"P"&amp;$A172)))</f>
        <v>-3.2190409619394726E-4</v>
      </c>
      <c r="BQ172" s="3">
        <f t="shared" ca="1" si="433"/>
        <v>-213713.53305250517</v>
      </c>
      <c r="BR172" s="3" t="str">
        <f t="shared" ca="1" si="339"/>
        <v/>
      </c>
      <c r="BS172" s="3">
        <f t="shared" ca="1" si="434"/>
        <v>59672.415597096959</v>
      </c>
      <c r="BT172" s="3" t="str">
        <f t="shared" ca="1" si="340"/>
        <v>Cruce +</v>
      </c>
      <c r="BU172" s="3">
        <f t="shared" ca="1" si="435"/>
        <v>207670.34448839855</v>
      </c>
      <c r="BV172" s="3" t="str">
        <f t="shared" ca="1" si="340"/>
        <v>Cruce +</v>
      </c>
      <c r="BX172" s="3">
        <f t="shared" ca="1" si="370"/>
        <v>-770.87416155279334</v>
      </c>
      <c r="BY172" s="3" t="str">
        <f t="shared" ca="1" si="371"/>
        <v/>
      </c>
      <c r="BZ172" s="3">
        <f t="shared" ca="1" si="372"/>
        <v>0</v>
      </c>
      <c r="CA172" s="3" t="str">
        <f t="shared" ca="1" si="371"/>
        <v/>
      </c>
      <c r="CB172" s="3">
        <f t="shared" ca="1" si="373"/>
        <v>0</v>
      </c>
      <c r="CC172" s="3" t="str">
        <f t="shared" ca="1" si="371"/>
        <v/>
      </c>
      <c r="CD172" s="3">
        <f>IF(RTD("tos.rtd",,CD$43,"."&amp;$B$134&amp;$AS$82&amp;"C"&amp;$A172)="N/A",0,RTD("tos.rtd",,CD$43,"."&amp;$B$134&amp;$AS$82&amp;"C"&amp;$A172))</f>
        <v>0.98</v>
      </c>
      <c r="CE172" s="3">
        <f>-IF(RTD("tos.rtd",,CE$43,"."&amp;$B$134&amp;$AS$82&amp;"P"&amp;$A172)="N/A",0,RTD("tos.rtd",,CE$43,"."&amp;$B$134&amp;$AS$82&amp;"P"&amp;$A172))</f>
        <v>0.05</v>
      </c>
      <c r="CF172" s="3">
        <f>IF(RTD("tos.rtd",,CF$2,"."&amp;$C$134&amp;$AU$82&amp;"C"&amp;$A172)="N/A",0,RTD("tos.rtd",,CF$2,"."&amp;$C$134&amp;$AU$82&amp;"C"&amp;$A172))</f>
        <v>1</v>
      </c>
      <c r="CG172" s="3">
        <f>-IF(RTD("tos.rtd",,CG$2,"."&amp;$C$134&amp;$AU$82&amp;"P"&amp;$A172)="N/A",0,RTD("tos.rtd",,CG$2,"."&amp;$C$134&amp;$AU$82&amp;"P"&amp;$A172))</f>
        <v>0.08</v>
      </c>
      <c r="CH172" s="3">
        <f>IF(RTD("tos.rtd",,CH$2,"."&amp;$D$134&amp;$AW$82&amp;"C"&amp;$A172)="N/A",0,RTD("tos.rtd",,CH$2,"."&amp;$D$134&amp;$AW$82&amp;"C"&amp;$A172))</f>
        <v>0.74</v>
      </c>
      <c r="CI172" s="3">
        <f>-IF(RTD("tos.rtd",,CI$2,"."&amp;$D$134&amp;$AW$82&amp;"P"&amp;$A172)="N/A",0,RTD("tos.rtd",,CI$2,"."&amp;$D$134&amp;$AW$82&amp;"P"&amp;$A172))</f>
        <v>0.28000000000000003</v>
      </c>
      <c r="CK172" s="3">
        <f t="shared" si="374"/>
        <v>-1813113.7500000002</v>
      </c>
      <c r="CL172" s="3"/>
      <c r="CM172" s="3">
        <f t="shared" si="375"/>
        <v>14590233</v>
      </c>
      <c r="CN172" s="3"/>
      <c r="CO172" s="3">
        <f t="shared" si="376"/>
        <v>35494367.999999993</v>
      </c>
      <c r="CP172" s="3">
        <f t="shared" si="331"/>
        <v>48271487.249999993</v>
      </c>
      <c r="CQ172" s="3">
        <f t="shared" si="341"/>
        <v>-8</v>
      </c>
      <c r="CR172" s="3"/>
      <c r="CS172" s="3">
        <f t="shared" si="342"/>
        <v>0</v>
      </c>
      <c r="CT172" s="3"/>
      <c r="CU172" s="3">
        <f t="shared" si="343"/>
        <v>0</v>
      </c>
      <c r="CV172" s="3"/>
      <c r="CW172" s="3">
        <f t="shared" ca="1" si="344"/>
        <v>53629.22703299034</v>
      </c>
      <c r="CY172" s="3">
        <f t="shared" ca="1" si="345"/>
        <v>-770.87416155279334</v>
      </c>
      <c r="CZ172" s="70" t="str">
        <f t="shared" ca="1" si="377"/>
        <v/>
      </c>
      <c r="DA172" s="3">
        <f>IF(RTD("tos.rtd",,DA$43,"."&amp;$B$134&amp;$AS$82&amp;"C"&amp;$A172)="N/A",0,RTD("tos.rtd",,DA$43,"."&amp;$B$134&amp;$AS$82&amp;"C"&amp;$A172))</f>
        <v>420</v>
      </c>
      <c r="DB172" s="3">
        <f>IF(RTD("tos.rtd",,DB$43,"."&amp;$B$134&amp;$AS$82&amp;"P"&amp;$A172)="N/A",0,RTD("tos.rtd",,DB$43,"."&amp;$B$134&amp;$AS$82&amp;"P"&amp;$A172))</f>
        <v>0.67</v>
      </c>
      <c r="DC172" s="3">
        <f>IF(RTD("tos.rtd",,DC$43,"."&amp;$B$134&amp;$AS$82&amp;"C"&amp;$A172)="N/A",0,RTD("tos.rtd",,DC$43,"."&amp;$B$134&amp;$AS$82&amp;"C"&amp;$A172))</f>
        <v>734.2</v>
      </c>
      <c r="DD172" s="3">
        <f>IF(RTD("tos.rtd",,DD$43,"."&amp;$B$134&amp;$AS$82&amp;"P"&amp;$A172)="N/A",0,RTD("tos.rtd",,DD$43,"."&amp;$B$134&amp;$AS$82&amp;"P"&amp;$A172))</f>
        <v>19.8</v>
      </c>
      <c r="DE172" s="3">
        <f>IF(RTD("tos.rtd",,DE$43,"."&amp;$B$134&amp;$AS$82&amp;"C"&amp;$A172)="N/A",0,RTD("tos.rtd",,DE$43,"."&amp;$B$134&amp;$AS$82&amp;"C"&amp;$A172))</f>
        <v>657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378"/>
        <v>-655.75</v>
      </c>
      <c r="DH172" s="3">
        <f t="shared" si="379"/>
        <v>0</v>
      </c>
      <c r="DI172" s="3">
        <f t="shared" si="380"/>
        <v>0</v>
      </c>
      <c r="DJ172" s="3">
        <f t="shared" si="346"/>
        <v>0</v>
      </c>
      <c r="DK172" s="3">
        <f t="shared" si="347"/>
        <v>0</v>
      </c>
      <c r="DL172" s="3">
        <f t="shared" si="381"/>
        <v>0</v>
      </c>
      <c r="DM172" s="3">
        <f t="shared" si="382"/>
        <v>0</v>
      </c>
      <c r="DN172" s="64" t="str">
        <f t="shared" si="348"/>
        <v>UNKNOWN</v>
      </c>
      <c r="DO172" s="64" t="str">
        <f t="shared" si="349"/>
        <v>UNKNOWN</v>
      </c>
      <c r="DP172" s="3">
        <f t="shared" si="350"/>
        <v>0</v>
      </c>
      <c r="DQ172" s="3">
        <f t="shared" si="351"/>
        <v>0</v>
      </c>
      <c r="DR172" s="3">
        <f t="shared" ca="1" si="352"/>
        <v>0</v>
      </c>
      <c r="DS172" s="3">
        <f t="shared" si="353"/>
        <v>0</v>
      </c>
      <c r="DT172" s="3">
        <f t="shared" si="383"/>
        <v>0</v>
      </c>
      <c r="DU172" s="3">
        <f t="shared" si="384"/>
        <v>0</v>
      </c>
      <c r="DV172" s="3">
        <f t="shared" si="354"/>
        <v>0</v>
      </c>
      <c r="DW172" s="3">
        <f t="shared" si="355"/>
        <v>-7</v>
      </c>
      <c r="DX172" s="3">
        <f t="shared" ca="1" si="436"/>
        <v>3.4706716326553472E-4</v>
      </c>
      <c r="DY172" s="3">
        <f t="shared" ca="1" si="437"/>
        <v>-3.5686591473056125E-4</v>
      </c>
      <c r="DZ172" s="3">
        <f t="shared" ca="1" si="438"/>
        <v>3.4097069918914192E-4</v>
      </c>
      <c r="EA172" s="3">
        <f t="shared" ca="1" si="439"/>
        <v>-3.4643220161729006E-4</v>
      </c>
      <c r="EB172" s="3">
        <f t="shared" ca="1" si="440"/>
        <v>2.9928283192569814E-4</v>
      </c>
      <c r="EC172" s="3">
        <f t="shared" ca="1" si="441"/>
        <v>-3.2190409619394726E-4</v>
      </c>
      <c r="ED172" s="63">
        <f t="shared" si="385"/>
        <v>-7</v>
      </c>
      <c r="EE172" s="59">
        <f t="shared" si="362"/>
        <v>2.2075999999999998</v>
      </c>
      <c r="EF172" s="59">
        <f t="shared" si="363"/>
        <v>2.7172000000000001</v>
      </c>
      <c r="EG172" s="59">
        <f t="shared" si="364"/>
        <v>0.25</v>
      </c>
      <c r="EH172" s="59">
        <f t="shared" si="365"/>
        <v>0.26200000000000001</v>
      </c>
      <c r="EI172" s="59">
        <f t="shared" si="366"/>
        <v>0.20749999999999999</v>
      </c>
      <c r="EJ172" s="59">
        <f t="shared" si="367"/>
        <v>0.22550000000000001</v>
      </c>
      <c r="EK172" s="63">
        <f t="shared" ca="1" si="386"/>
        <v>1136620.1755869528</v>
      </c>
      <c r="EL172" s="3" t="str">
        <f>RTD("tos.rtd",,EL$43,"."&amp;$B$134&amp;$AS$82&amp;"C"&amp;$A172)</f>
        <v>220.76%</v>
      </c>
      <c r="EM172" s="3" t="str">
        <f>RTD("tos.rtd",,EM$43,"."&amp;$B$134&amp;$AS$82&amp;"P"&amp;$A172)</f>
        <v>271.72%</v>
      </c>
      <c r="EN172" s="3" t="str">
        <f>RTD("tos.rtd",,EN$2,"."&amp;$C$134&amp;$AU$82&amp;"C"&amp;$A172)</f>
        <v>--</v>
      </c>
      <c r="EO172" s="3" t="str">
        <f>RTD("tos.rtd",,EO$2,"."&amp;$C$134&amp;$AU$82&amp;"P"&amp;$A172)</f>
        <v>26.20%</v>
      </c>
      <c r="EP172" s="3" t="str">
        <f>RTD("tos.rtd",,EP$2,"."&amp;$D$134&amp;$AW$82&amp;"C"&amp;$A172)</f>
        <v>20.75%</v>
      </c>
      <c r="EQ172" s="3" t="str">
        <f>RTD("tos.rtd",,EQ$2,"."&amp;$D$134&amp;$AW$82&amp;"P"&amp;$A172)</f>
        <v>22.55%</v>
      </c>
      <c r="ES172" s="63" t="str">
        <f t="shared" si="368"/>
        <v>20675,-07.00</v>
      </c>
      <c r="ET172" s="63" t="str">
        <f t="shared" ca="1" si="369"/>
        <v>20675,-00.77</v>
      </c>
      <c r="EU172" s="68">
        <v>592.64</v>
      </c>
      <c r="EV172" s="68" t="s">
        <v>1392</v>
      </c>
      <c r="EW172" s="68">
        <v>519.11</v>
      </c>
      <c r="EX172" s="68" t="s">
        <v>1393</v>
      </c>
      <c r="EY172" s="68">
        <v>5936.25</v>
      </c>
      <c r="EZ172" s="68" t="s">
        <v>1394</v>
      </c>
      <c r="FA172" s="68">
        <v>21309.5</v>
      </c>
      <c r="FB172" s="68" t="s">
        <v>1395</v>
      </c>
      <c r="FC172" s="68" t="s">
        <v>1396</v>
      </c>
      <c r="FD172" s="68" t="s">
        <v>1397</v>
      </c>
      <c r="FE172" s="68" t="s">
        <v>1398</v>
      </c>
      <c r="FF172" s="68" t="s">
        <v>1399</v>
      </c>
    </row>
    <row r="173" spans="1:162" ht="11.1" customHeight="1" thickBot="1" x14ac:dyDescent="0.25">
      <c r="A173" s="2">
        <f t="shared" si="387"/>
        <v>20650</v>
      </c>
      <c r="B173" s="3">
        <f t="shared" si="426"/>
        <v>15</v>
      </c>
      <c r="C173" s="3">
        <f t="shared" si="427"/>
        <v>26</v>
      </c>
      <c r="D173" s="3">
        <f t="shared" si="428"/>
        <v>15</v>
      </c>
      <c r="E173" s="3">
        <f t="shared" si="429"/>
        <v>56</v>
      </c>
      <c r="F173" s="4">
        <f t="shared" si="430"/>
        <v>20737.127738124538</v>
      </c>
      <c r="G173" s="5">
        <f t="shared" si="431"/>
        <v>503.04651735171052</v>
      </c>
      <c r="AM173" s="1">
        <v>0</v>
      </c>
      <c r="AN173" s="1">
        <v>25</v>
      </c>
      <c r="AO173" s="1">
        <v>20650</v>
      </c>
      <c r="AP173" s="1">
        <v>0</v>
      </c>
      <c r="AQ173" s="1">
        <v>-60</v>
      </c>
      <c r="AS173" s="54">
        <f>IF(RTD("tos.rtd",,AS$83,"."&amp;$B$134&amp;$AS$82&amp;"C"&amp;$A173)="N/A",0,RTD("tos.rtd",,AS$83,"."&amp;$B$134&amp;$AS$82&amp;"C"&amp;$A173))</f>
        <v>0</v>
      </c>
      <c r="AT173" s="3">
        <f>-IF(RTD("tos.rtd",,AT$83,"."&amp;$B$134&amp;$AS$82&amp;"P"&amp;$A173)="N/A",0,RTD("tos.rtd",,AT$83,"."&amp;$B$134&amp;$AS$82&amp;"P"&amp;$A173))</f>
        <v>-15</v>
      </c>
      <c r="AU173" s="54">
        <f>IF(RTD("tos.rtd",,AU$2,"."&amp;$C$134&amp;$AU$134&amp;"C"&amp;$A173)="N/A",0,RTD("tos.rtd",,AU$2,"."&amp;$C$134&amp;$AU$134&amp;"C"&amp;$A173))</f>
        <v>4</v>
      </c>
      <c r="AV173" s="3">
        <f>-IF(RTD("tos.rtd",,AV$2,"."&amp;$C$134&amp;$AU$134&amp;"P"&amp;$A173)="N/A",0,RTD("tos.rtd",,AV$2,"."&amp;$C$134&amp;$AU$134&amp;"P"&amp;$A173))</f>
        <v>-22</v>
      </c>
      <c r="AW173" s="54">
        <f>IF(RTD("tos.rtd",,AW$2,"."&amp;$D$134&amp;$AW$134&amp;"C"&amp;$A173)="N/A",0,RTD("tos.rtd",,AW$2,"."&amp;$D$134&amp;$AW$134&amp;"C"&amp;$A173))</f>
        <v>7</v>
      </c>
      <c r="AX173" s="3">
        <f>-IF(RTD("tos.rtd",,AX$2,"."&amp;$D$134&amp;$AW$134&amp;"P"&amp;$A173)="N/A",0,RTD("tos.rtd",,AX$2,"."&amp;$D$134&amp;$AW$134&amp;"P"&amp;$A173))</f>
        <v>-8</v>
      </c>
      <c r="AY173" s="76">
        <f t="shared" si="432"/>
        <v>-34</v>
      </c>
      <c r="AZ173" s="8">
        <f t="shared" si="337"/>
        <v>20650</v>
      </c>
      <c r="BA173" s="54">
        <f>IF(RTD("tos.rtd",,BA$43,"."&amp;$B$134&amp;$AS$82&amp;"C"&amp;$A173)="N/A",0,RTD("tos.rtd",,BA$43,"."&amp;$B$134&amp;$AS$82&amp;"C"&amp;$A173))</f>
        <v>0</v>
      </c>
      <c r="BB173" s="3">
        <f>-IF(RTD("tos.rtd",,BB$43,"."&amp;$B$134&amp;$AS$82&amp;"P"&amp;$A173)="N/A",0,RTD("tos.rtd",,BB$43,"."&amp;$B$134&amp;$AS$82&amp;"P"&amp;$A173))</f>
        <v>-60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-13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0</v>
      </c>
      <c r="BG173" s="3">
        <f ca="1">+Hoja2!Y174</f>
        <v>-33</v>
      </c>
      <c r="BH173" s="7">
        <f t="shared" ca="1" si="338"/>
        <v>-106</v>
      </c>
      <c r="BI173" s="32" t="str">
        <f t="shared" ca="1" si="397"/>
        <v/>
      </c>
      <c r="BJ173" s="3">
        <f ca="1">IF($BP$1=1,DX173,IF(RTD("tos.rtd",,BJ$43,"."&amp;$B$134&amp;$AS$82&amp;"C"&amp;$A173)="N/A",0,RTD("tos.rtd",,BJ$43,"."&amp;$B$134&amp;$AS$82&amp;"C"&amp;$A173)))</f>
        <v>3.3290972594063323E-4</v>
      </c>
      <c r="BK173" s="3">
        <f ca="1">IF($BP$1=1,DY173,-IF(RTD("tos.rtd",,BK$43,"."&amp;$B$134&amp;$AS$82&amp;"P"&amp;$A173)="N/A",0,RTD("tos.rtd",,BK$43,"."&amp;$B$134&amp;$AS$82&amp;"P"&amp;$A173)))</f>
        <v>-3.435901851140382E-4</v>
      </c>
      <c r="BL173" s="3">
        <f ca="1">IF($BP$1=1,DZ173,IF(RTD("tos.rtd",,BL$2,"."&amp;$C$134&amp;$AU$82&amp;"C"&amp;$A173)="N/A",0,RTD("tos.rtd",,BL$2,"."&amp;$C$134&amp;$AU$82&amp;"C"&amp;$A173)))</f>
        <v>3.2267155546025306E-4</v>
      </c>
      <c r="BM173" s="3">
        <f ca="1">IF($BP$1=1,EA173,-IF(RTD("tos.rtd",,BM$2,"."&amp;$C$134&amp;$AU$82&amp;"P"&amp;$A173)="N/A",0,RTD("tos.rtd",,BM$2,"."&amp;$C$134&amp;$AU$82&amp;"P"&amp;$A173)))</f>
        <v>-3.303185185637177E-4</v>
      </c>
      <c r="BN173" s="3">
        <f ca="1">IF($BP$1=1,EB173,IF(RTD("tos.rtd",,BN$2,"."&amp;$D$134&amp;$AW$82&amp;"C"&amp;$A173)="N/A",0,RTD("tos.rtd",,BN$2,"."&amp;$D$134&amp;$AW$82&amp;"C"&amp;$A173)))</f>
        <v>2.7774954984585622E-4</v>
      </c>
      <c r="BO173" s="3">
        <f ca="1">IF($BP$1=1,EC173,-IF(RTD("tos.rtd",,BO$2,"."&amp;$D$134&amp;$AW$82&amp;"P"&amp;$A173)="N/A",0,RTD("tos.rtd",,BO$2,"."&amp;$D$134&amp;$AW$82&amp;"P"&amp;$A173)))</f>
        <v>-3.0186574515839556E-4</v>
      </c>
      <c r="BQ173" s="3">
        <f t="shared" ca="1" si="433"/>
        <v>-181555.76420395868</v>
      </c>
      <c r="BR173" s="3" t="str">
        <f t="shared" ca="1" si="339"/>
        <v/>
      </c>
      <c r="BS173" s="3">
        <f t="shared" ca="1" si="434"/>
        <v>-210529.01725432498</v>
      </c>
      <c r="BT173" s="3" t="str">
        <f t="shared" ca="1" si="340"/>
        <v>Cruce -</v>
      </c>
      <c r="BU173" s="3">
        <f t="shared" ca="1" si="435"/>
        <v>-16580.703725765139</v>
      </c>
      <c r="BV173" s="3" t="str">
        <f t="shared" ca="1" si="340"/>
        <v>Cruce -</v>
      </c>
      <c r="BX173" s="3">
        <f t="shared" ca="1" si="370"/>
        <v>-5566.4771753460236</v>
      </c>
      <c r="BY173" s="3" t="str">
        <f t="shared" ca="1" si="371"/>
        <v/>
      </c>
      <c r="BZ173" s="3">
        <f t="shared" ca="1" si="372"/>
        <v>-1159.4838589657847</v>
      </c>
      <c r="CA173" s="3" t="str">
        <f t="shared" ca="1" si="371"/>
        <v/>
      </c>
      <c r="CB173" s="3">
        <f t="shared" ca="1" si="373"/>
        <v>0</v>
      </c>
      <c r="CC173" s="3" t="str">
        <f t="shared" ca="1" si="371"/>
        <v/>
      </c>
      <c r="CD173" s="3">
        <f>IF(RTD("tos.rtd",,CD$43,"."&amp;$B$134&amp;$AS$82&amp;"C"&amp;$A173)="N/A",0,RTD("tos.rtd",,CD$43,"."&amp;$B$134&amp;$AS$82&amp;"C"&amp;$A173))</f>
        <v>0.98</v>
      </c>
      <c r="CE173" s="3">
        <f>-IF(RTD("tos.rtd",,CE$43,"."&amp;$B$134&amp;$AS$82&amp;"P"&amp;$A173)="N/A",0,RTD("tos.rtd",,CE$43,"."&amp;$B$134&amp;$AS$82&amp;"P"&amp;$A173))</f>
        <v>0.05</v>
      </c>
      <c r="CF173" s="3">
        <f>IF(RTD("tos.rtd",,CF$2,"."&amp;$C$134&amp;$AU$82&amp;"C"&amp;$A173)="N/A",0,RTD("tos.rtd",,CF$2,"."&amp;$C$134&amp;$AU$82&amp;"C"&amp;$A173))</f>
        <v>1</v>
      </c>
      <c r="CG173" s="3">
        <f>-IF(RTD("tos.rtd",,CG$2,"."&amp;$C$134&amp;$AU$82&amp;"P"&amp;$A173)="N/A",0,RTD("tos.rtd",,CG$2,"."&amp;$C$134&amp;$AU$82&amp;"P"&amp;$A173))</f>
        <v>7.0000000000000007E-2</v>
      </c>
      <c r="CH173" s="3">
        <f>IF(RTD("tos.rtd",,CH$2,"."&amp;$D$134&amp;$AW$82&amp;"C"&amp;$A173)="N/A",0,RTD("tos.rtd",,CH$2,"."&amp;$D$134&amp;$AW$82&amp;"C"&amp;$A173))</f>
        <v>0.74</v>
      </c>
      <c r="CI173" s="3">
        <f>-IF(RTD("tos.rtd",,CI$2,"."&amp;$D$134&amp;$AW$82&amp;"P"&amp;$A173)="N/A",0,RTD("tos.rtd",,CI$2,"."&amp;$D$134&amp;$AW$82&amp;"P"&amp;$A173))</f>
        <v>0.27</v>
      </c>
      <c r="CK173" s="3">
        <f t="shared" si="374"/>
        <v>-1599806.25</v>
      </c>
      <c r="CL173" s="3"/>
      <c r="CM173" s="3">
        <f t="shared" si="375"/>
        <v>5247364.5</v>
      </c>
      <c r="CN173" s="3"/>
      <c r="CO173" s="3">
        <f t="shared" si="376"/>
        <v>6441886.5</v>
      </c>
      <c r="CP173" s="3">
        <f t="shared" si="331"/>
        <v>10089444.75</v>
      </c>
      <c r="CQ173" s="3">
        <f t="shared" si="341"/>
        <v>-60</v>
      </c>
      <c r="CR173" s="3"/>
      <c r="CS173" s="3">
        <f t="shared" si="342"/>
        <v>-13</v>
      </c>
      <c r="CT173" s="3"/>
      <c r="CU173" s="3">
        <f t="shared" si="343"/>
        <v>0</v>
      </c>
      <c r="CV173" s="3"/>
      <c r="CW173" s="3">
        <f t="shared" ca="1" si="344"/>
        <v>-408665.48518404877</v>
      </c>
      <c r="CY173" s="3">
        <f t="shared" ca="1" si="345"/>
        <v>-6725.9610343118084</v>
      </c>
      <c r="CZ173" s="70" t="str">
        <f t="shared" ca="1" si="377"/>
        <v/>
      </c>
      <c r="DA173" s="3">
        <f>IF(RTD("tos.rtd",,DA$43,"."&amp;$B$134&amp;$AS$82&amp;"C"&amp;$A173)="N/A",0,RTD("tos.rtd",,DA$43,"."&amp;$B$134&amp;$AS$82&amp;"C"&amp;$A173))</f>
        <v>0</v>
      </c>
      <c r="DB173" s="3">
        <f>IF(RTD("tos.rtd",,DB$43,"."&amp;$B$134&amp;$AS$82&amp;"P"&amp;$A173)="N/A",0,RTD("tos.rtd",,DB$43,"."&amp;$B$134&amp;$AS$82&amp;"P"&amp;$A173))</f>
        <v>0.25</v>
      </c>
      <c r="DC173" s="3">
        <f>IF(RTD("tos.rtd",,DC$43,"."&amp;$B$134&amp;$AS$82&amp;"C"&amp;$A173)="N/A",0,RTD("tos.rtd",,DC$43,"."&amp;$B$134&amp;$AS$82&amp;"C"&amp;$A173))</f>
        <v>759.2</v>
      </c>
      <c r="DD173" s="3">
        <f>IF(RTD("tos.rtd",,DD$43,"."&amp;$B$134&amp;$AS$82&amp;"P"&amp;$A173)="N/A",0,RTD("tos.rtd",,DD$43,"."&amp;$B$134&amp;$AS$82&amp;"P"&amp;$A173))</f>
        <v>19.8</v>
      </c>
      <c r="DE173" s="3">
        <f>IF(RTD("tos.rtd",,DE$43,"."&amp;$B$134&amp;$AS$82&amp;"C"&amp;$A173)="N/A",0,RTD("tos.rtd",,DE$43,"."&amp;$B$134&amp;$AS$82&amp;"C"&amp;$A173))</f>
        <v>682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378"/>
        <v>-680.75</v>
      </c>
      <c r="DH173" s="3">
        <f t="shared" si="379"/>
        <v>0</v>
      </c>
      <c r="DI173" s="3">
        <f t="shared" si="380"/>
        <v>0</v>
      </c>
      <c r="DJ173" s="3">
        <f t="shared" si="346"/>
        <v>0</v>
      </c>
      <c r="DK173" s="3">
        <f t="shared" si="347"/>
        <v>0</v>
      </c>
      <c r="DL173" s="3">
        <f t="shared" si="381"/>
        <v>0</v>
      </c>
      <c r="DM173" s="3">
        <f t="shared" si="382"/>
        <v>0</v>
      </c>
      <c r="DN173" s="64" t="str">
        <f t="shared" si="348"/>
        <v>UNKNOWN</v>
      </c>
      <c r="DO173" s="64" t="str">
        <f t="shared" si="349"/>
        <v>UNKNOWN</v>
      </c>
      <c r="DP173" s="3">
        <f t="shared" si="350"/>
        <v>0</v>
      </c>
      <c r="DQ173" s="3">
        <f t="shared" si="351"/>
        <v>0</v>
      </c>
      <c r="DR173" s="3">
        <f t="shared" ca="1" si="352"/>
        <v>0</v>
      </c>
      <c r="DS173" s="3">
        <f t="shared" si="353"/>
        <v>0</v>
      </c>
      <c r="DT173" s="3">
        <f t="shared" si="383"/>
        <v>0</v>
      </c>
      <c r="DU173" s="3">
        <f t="shared" si="384"/>
        <v>0</v>
      </c>
      <c r="DV173" s="3">
        <f t="shared" si="354"/>
        <v>0</v>
      </c>
      <c r="DW173" s="3">
        <f t="shared" si="355"/>
        <v>25</v>
      </c>
      <c r="DX173" s="3">
        <f t="shared" ca="1" si="436"/>
        <v>3.3290972594063323E-4</v>
      </c>
      <c r="DY173" s="3">
        <f t="shared" ca="1" si="437"/>
        <v>-3.435901851140382E-4</v>
      </c>
      <c r="DZ173" s="3">
        <f t="shared" ca="1" si="438"/>
        <v>3.2267155546025306E-4</v>
      </c>
      <c r="EA173" s="3">
        <f t="shared" ca="1" si="439"/>
        <v>-3.303185185637177E-4</v>
      </c>
      <c r="EB173" s="3">
        <f t="shared" ca="1" si="440"/>
        <v>2.7774954984585622E-4</v>
      </c>
      <c r="EC173" s="3">
        <f t="shared" ca="1" si="441"/>
        <v>-3.0186574515839556E-4</v>
      </c>
      <c r="ED173" s="63">
        <f t="shared" si="385"/>
        <v>25</v>
      </c>
      <c r="EE173" s="59">
        <f t="shared" si="362"/>
        <v>2.2757000000000001</v>
      </c>
      <c r="EF173" s="59">
        <f t="shared" si="363"/>
        <v>2.7963</v>
      </c>
      <c r="EG173" s="59">
        <f t="shared" si="364"/>
        <v>0.25</v>
      </c>
      <c r="EH173" s="59">
        <f t="shared" si="365"/>
        <v>0.26390000000000002</v>
      </c>
      <c r="EI173" s="59">
        <f t="shared" si="366"/>
        <v>0.2084</v>
      </c>
      <c r="EJ173" s="59">
        <f t="shared" si="367"/>
        <v>0.22639999999999999</v>
      </c>
      <c r="EK173" s="63">
        <f t="shared" ca="1" si="386"/>
        <v>-3908346.0483343136</v>
      </c>
      <c r="EL173" s="3" t="str">
        <f>RTD("tos.rtd",,EL$43,"."&amp;$B$134&amp;$AS$82&amp;"C"&amp;$A173)</f>
        <v>227.57%</v>
      </c>
      <c r="EM173" s="3" t="str">
        <f>RTD("tos.rtd",,EM$43,"."&amp;$B$134&amp;$AS$82&amp;"P"&amp;$A173)</f>
        <v>279.63%</v>
      </c>
      <c r="EN173" s="3" t="str">
        <f>RTD("tos.rtd",,EN$2,"."&amp;$C$134&amp;$AU$82&amp;"C"&amp;$A173)</f>
        <v>--</v>
      </c>
      <c r="EO173" s="3" t="str">
        <f>RTD("tos.rtd",,EO$2,"."&amp;$C$134&amp;$AU$82&amp;"P"&amp;$A173)</f>
        <v>26.39%</v>
      </c>
      <c r="EP173" s="3" t="str">
        <f>RTD("tos.rtd",,EP$2,"."&amp;$D$134&amp;$AW$82&amp;"C"&amp;$A173)</f>
        <v>20.84%</v>
      </c>
      <c r="EQ173" s="3" t="str">
        <f>RTD("tos.rtd",,EQ$2,"."&amp;$D$134&amp;$AW$82&amp;"P"&amp;$A173)</f>
        <v>22.64%</v>
      </c>
      <c r="ES173" s="63" t="str">
        <f t="shared" si="368"/>
        <v>20650,25.00</v>
      </c>
      <c r="ET173" s="63" t="str">
        <f t="shared" ca="1" si="369"/>
        <v>20650,-06.73</v>
      </c>
      <c r="EU173" s="68">
        <v>592.64</v>
      </c>
      <c r="EV173" s="68" t="s">
        <v>1400</v>
      </c>
      <c r="EW173" s="68">
        <v>519.11</v>
      </c>
      <c r="EX173" s="68" t="s">
        <v>1401</v>
      </c>
      <c r="EY173" s="68">
        <v>5936.25</v>
      </c>
      <c r="EZ173" s="68" t="s">
        <v>1402</v>
      </c>
      <c r="FA173" s="68">
        <v>21309.5</v>
      </c>
      <c r="FB173" s="68" t="s">
        <v>1403</v>
      </c>
      <c r="FC173" s="68" t="s">
        <v>1404</v>
      </c>
      <c r="FD173" s="68" t="s">
        <v>1405</v>
      </c>
      <c r="FE173" s="68" t="s">
        <v>1406</v>
      </c>
      <c r="FF173" s="68" t="s">
        <v>1407</v>
      </c>
    </row>
    <row r="174" spans="1:162" ht="11.1" customHeight="1" thickBot="1" x14ac:dyDescent="0.25">
      <c r="A174" s="2">
        <f t="shared" si="387"/>
        <v>20625</v>
      </c>
      <c r="B174" s="3">
        <f t="shared" si="426"/>
        <v>3</v>
      </c>
      <c r="C174" s="3">
        <f t="shared" si="427"/>
        <v>15</v>
      </c>
      <c r="D174" s="3">
        <f t="shared" si="428"/>
        <v>15</v>
      </c>
      <c r="E174" s="3">
        <f t="shared" si="429"/>
        <v>33</v>
      </c>
      <c r="F174" s="4">
        <f t="shared" si="430"/>
        <v>20712.022256601387</v>
      </c>
      <c r="G174" s="5">
        <f t="shared" si="431"/>
        <v>502.43750219753167</v>
      </c>
      <c r="AM174" s="1">
        <v>0</v>
      </c>
      <c r="AN174" s="1">
        <v>0</v>
      </c>
      <c r="AO174" s="1">
        <v>20625</v>
      </c>
      <c r="AP174" s="1">
        <v>0</v>
      </c>
      <c r="AQ174" s="1">
        <v>0</v>
      </c>
      <c r="AS174" s="54">
        <f>IF(RTD("tos.rtd",,AS$83,"."&amp;$B$134&amp;$AS$82&amp;"C"&amp;$A174)="N/A",0,RTD("tos.rtd",,AS$83,"."&amp;$B$134&amp;$AS$82&amp;"C"&amp;$A174))</f>
        <v>0</v>
      </c>
      <c r="AT174" s="3">
        <f>-IF(RTD("tos.rtd",,AT$83,"."&amp;$B$134&amp;$AS$82&amp;"P"&amp;$A174)="N/A",0,RTD("tos.rtd",,AT$83,"."&amp;$B$134&amp;$AS$82&amp;"P"&amp;$A174))</f>
        <v>-3</v>
      </c>
      <c r="AU174" s="54">
        <f>IF(RTD("tos.rtd",,AU$2,"."&amp;$C$134&amp;$AU$134&amp;"C"&amp;$A174)="N/A",0,RTD("tos.rtd",,AU$2,"."&amp;$C$134&amp;$AU$134&amp;"C"&amp;$A174))</f>
        <v>7</v>
      </c>
      <c r="AV174" s="3">
        <f>-IF(RTD("tos.rtd",,AV$2,"."&amp;$C$134&amp;$AU$134&amp;"P"&amp;$A174)="N/A",0,RTD("tos.rtd",,AV$2,"."&amp;$C$134&amp;$AU$134&amp;"P"&amp;$A174))</f>
        <v>-8</v>
      </c>
      <c r="AW174" s="54">
        <f>IF(RTD("tos.rtd",,AW$2,"."&amp;$D$134&amp;$AW$134&amp;"C"&amp;$A174)="N/A",0,RTD("tos.rtd",,AW$2,"."&amp;$D$134&amp;$AW$134&amp;"C"&amp;$A174))</f>
        <v>7</v>
      </c>
      <c r="AX174" s="3">
        <f>-IF(RTD("tos.rtd",,AX$2,"."&amp;$D$134&amp;$AW$134&amp;"P"&amp;$A174)="N/A",0,RTD("tos.rtd",,AX$2,"."&amp;$D$134&amp;$AW$134&amp;"P"&amp;$A174))</f>
        <v>-8</v>
      </c>
      <c r="AY174" s="76">
        <f t="shared" si="432"/>
        <v>-5</v>
      </c>
      <c r="AZ174" s="8">
        <f t="shared" si="337"/>
        <v>20625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0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0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0</v>
      </c>
      <c r="BG174" s="3">
        <f ca="1">+Hoja2!Y175</f>
        <v>-9</v>
      </c>
      <c r="BH174" s="7">
        <f t="shared" ca="1" si="338"/>
        <v>-9</v>
      </c>
      <c r="BI174" s="32" t="str">
        <f t="shared" ca="1" si="397"/>
        <v/>
      </c>
      <c r="BJ174" s="3">
        <f ca="1">IF($BP$1=1,DX174,IF(RTD("tos.rtd",,BJ$43,"."&amp;$B$134&amp;$AS$82&amp;"C"&amp;$A174)="N/A",0,RTD("tos.rtd",,BJ$43,"."&amp;$B$134&amp;$AS$82&amp;"C"&amp;$A174)))</f>
        <v>3.2273727790273996E-4</v>
      </c>
      <c r="BK174" s="3">
        <f ca="1">IF($BP$1=1,DY174,-IF(RTD("tos.rtd",,BK$43,"."&amp;$B$134&amp;$AS$82&amp;"P"&amp;$A174)="N/A",0,RTD("tos.rtd",,BK$43,"."&amp;$B$134&amp;$AS$82&amp;"P"&amp;$A174)))</f>
        <v>-3.3119336351671361E-4</v>
      </c>
      <c r="BL174" s="3">
        <f ca="1">IF($BP$1=1,DZ174,IF(RTD("tos.rtd",,BL$2,"."&amp;$C$134&amp;$AU$82&amp;"C"&amp;$A174)="N/A",0,RTD("tos.rtd",,BL$2,"."&amp;$C$134&amp;$AU$82&amp;"C"&amp;$A174)))</f>
        <v>3.0470980929952519E-4</v>
      </c>
      <c r="BM174" s="3">
        <f ca="1">IF($BP$1=1,EA174,-IF(RTD("tos.rtd",,BM$2,"."&amp;$C$134&amp;$AU$82&amp;"P"&amp;$A174)="N/A",0,RTD("tos.rtd",,BM$2,"."&amp;$C$134&amp;$AU$82&amp;"P"&amp;$A174)))</f>
        <v>-3.1455107936524923E-4</v>
      </c>
      <c r="BN174" s="3">
        <f ca="1">IF($BP$1=1,EB174,IF(RTD("tos.rtd",,BN$2,"."&amp;$D$134&amp;$AW$82&amp;"C"&amp;$A174)="N/A",0,RTD("tos.rtd",,BN$2,"."&amp;$D$134&amp;$AW$82&amp;"C"&amp;$A174)))</f>
        <v>2.5731183476950339E-4</v>
      </c>
      <c r="BO174" s="3">
        <f ca="1">IF($BP$1=1,EC174,-IF(RTD("tos.rtd",,BO$2,"."&amp;$D$134&amp;$AW$82&amp;"P"&amp;$A174)="N/A",0,RTD("tos.rtd",,BO$2,"."&amp;$D$134&amp;$AW$82&amp;"P"&amp;$A174)))</f>
        <v>-2.8263060274074861E-4</v>
      </c>
      <c r="BQ174" s="3">
        <f t="shared" ca="1" si="433"/>
        <v>-35001.037176075995</v>
      </c>
      <c r="BR174" s="3" t="str">
        <f t="shared" ca="1" si="339"/>
        <v/>
      </c>
      <c r="BS174" s="3">
        <f t="shared" ca="1" si="434"/>
        <v>-13507.513653195638</v>
      </c>
      <c r="BT174" s="3" t="str">
        <f t="shared" ca="1" si="340"/>
        <v/>
      </c>
      <c r="BU174" s="3">
        <f t="shared" ca="1" si="435"/>
        <v>-16199.646470181986</v>
      </c>
      <c r="BV174" s="3" t="str">
        <f t="shared" ca="1" si="340"/>
        <v/>
      </c>
      <c r="BX174" s="3">
        <f t="shared" ca="1" si="370"/>
        <v>0</v>
      </c>
      <c r="BY174" s="3" t="str">
        <f t="shared" ca="1" si="371"/>
        <v/>
      </c>
      <c r="BZ174" s="3">
        <f t="shared" ca="1" si="372"/>
        <v>0</v>
      </c>
      <c r="CA174" s="3" t="str">
        <f t="shared" ca="1" si="371"/>
        <v/>
      </c>
      <c r="CB174" s="3">
        <f t="shared" ca="1" si="373"/>
        <v>0</v>
      </c>
      <c r="CC174" s="3" t="str">
        <f t="shared" ca="1" si="371"/>
        <v/>
      </c>
      <c r="CD174" s="3">
        <f>IF(RTD("tos.rtd",,CD$43,"."&amp;$B$134&amp;$AS$82&amp;"C"&amp;$A174)="N/A",0,RTD("tos.rtd",,CD$43,"."&amp;$B$134&amp;$AS$82&amp;"C"&amp;$A174))</f>
        <v>0.98</v>
      </c>
      <c r="CE174" s="3">
        <f>-IF(RTD("tos.rtd",,CE$43,"."&amp;$B$134&amp;$AS$82&amp;"P"&amp;$A174)="N/A",0,RTD("tos.rtd",,CE$43,"."&amp;$B$134&amp;$AS$82&amp;"P"&amp;$A174))</f>
        <v>0.05</v>
      </c>
      <c r="CF174" s="3">
        <f>IF(RTD("tos.rtd",,CF$2,"."&amp;$C$134&amp;$AU$82&amp;"C"&amp;$A174)="N/A",0,RTD("tos.rtd",,CF$2,"."&amp;$C$134&amp;$AU$82&amp;"C"&amp;$A174))</f>
        <v>1</v>
      </c>
      <c r="CG174" s="3">
        <f>-IF(RTD("tos.rtd",,CG$2,"."&amp;$C$134&amp;$AU$82&amp;"P"&amp;$A174)="N/A",0,RTD("tos.rtd",,CG$2,"."&amp;$C$134&amp;$AU$82&amp;"P"&amp;$A174))</f>
        <v>7.0000000000000007E-2</v>
      </c>
      <c r="CH174" s="3">
        <f>IF(RTD("tos.rtd",,CH$2,"."&amp;$D$134&amp;$AW$82&amp;"C"&amp;$A174)="N/A",0,RTD("tos.rtd",,CH$2,"."&amp;$D$134&amp;$AW$82&amp;"C"&amp;$A174))</f>
        <v>0.75</v>
      </c>
      <c r="CI174" s="3">
        <f>-IF(RTD("tos.rtd",,CI$2,"."&amp;$D$134&amp;$AW$82&amp;"P"&amp;$A174)="N/A",0,RTD("tos.rtd",,CI$2,"."&amp;$D$134&amp;$AW$82&amp;"P"&amp;$A174))</f>
        <v>0.27</v>
      </c>
      <c r="CK174" s="3">
        <f t="shared" si="374"/>
        <v>-319961.25000000006</v>
      </c>
      <c r="CL174" s="3"/>
      <c r="CM174" s="3">
        <f t="shared" si="375"/>
        <v>13737003</v>
      </c>
      <c r="CN174" s="3"/>
      <c r="CO174" s="3">
        <f t="shared" si="376"/>
        <v>6591201.75</v>
      </c>
      <c r="CP174" s="3">
        <f t="shared" si="331"/>
        <v>20008243.5</v>
      </c>
      <c r="CQ174" s="3">
        <f t="shared" si="341"/>
        <v>0</v>
      </c>
      <c r="CR174" s="3"/>
      <c r="CS174" s="3">
        <f t="shared" si="342"/>
        <v>0</v>
      </c>
      <c r="CT174" s="3"/>
      <c r="CU174" s="3">
        <f t="shared" si="343"/>
        <v>0</v>
      </c>
      <c r="CV174" s="3"/>
      <c r="CW174" s="3">
        <f t="shared" ca="1" si="344"/>
        <v>-64708.197299453619</v>
      </c>
      <c r="CY174" s="3">
        <f t="shared" ca="1" si="345"/>
        <v>0</v>
      </c>
      <c r="CZ174" s="70" t="str">
        <f t="shared" ca="1" si="377"/>
        <v/>
      </c>
      <c r="DA174" s="3">
        <f>IF(RTD("tos.rtd",,DA$43,"."&amp;$B$134&amp;$AS$82&amp;"C"&amp;$A174)="N/A",0,RTD("tos.rtd",,DA$43,"."&amp;$B$134&amp;$AS$82&amp;"C"&amp;$A174))</f>
        <v>0</v>
      </c>
      <c r="DB174" s="3">
        <f>IF(RTD("tos.rtd",,DB$43,"."&amp;$B$134&amp;$AS$82&amp;"P"&amp;$A174)="N/A",0,RTD("tos.rtd",,DB$43,"."&amp;$B$134&amp;$AS$82&amp;"P"&amp;$A174))</f>
        <v>0.53</v>
      </c>
      <c r="DC174" s="3">
        <f>IF(RTD("tos.rtd",,DC$43,"."&amp;$B$134&amp;$AS$82&amp;"C"&amp;$A174)="N/A",0,RTD("tos.rtd",,DC$43,"."&amp;$B$134&amp;$AS$82&amp;"C"&amp;$A174))</f>
        <v>785.6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706.6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378"/>
        <v>-705.75</v>
      </c>
      <c r="DH174" s="3">
        <f t="shared" si="379"/>
        <v>0</v>
      </c>
      <c r="DI174" s="3">
        <f t="shared" si="380"/>
        <v>0</v>
      </c>
      <c r="DJ174" s="3">
        <f t="shared" si="346"/>
        <v>0</v>
      </c>
      <c r="DK174" s="3">
        <f t="shared" si="347"/>
        <v>0</v>
      </c>
      <c r="DL174" s="3">
        <f t="shared" si="381"/>
        <v>0</v>
      </c>
      <c r="DM174" s="3">
        <f t="shared" si="382"/>
        <v>0</v>
      </c>
      <c r="DN174" s="64" t="str">
        <f t="shared" si="348"/>
        <v>UNKNOWN</v>
      </c>
      <c r="DO174" s="64" t="str">
        <f t="shared" si="349"/>
        <v>UNKNOWN</v>
      </c>
      <c r="DP174" s="3">
        <f t="shared" si="350"/>
        <v>0</v>
      </c>
      <c r="DQ174" s="3">
        <f t="shared" si="351"/>
        <v>0</v>
      </c>
      <c r="DR174" s="3">
        <f t="shared" ca="1" si="352"/>
        <v>0</v>
      </c>
      <c r="DS174" s="3">
        <f t="shared" si="353"/>
        <v>0</v>
      </c>
      <c r="DT174" s="3">
        <f t="shared" si="383"/>
        <v>0</v>
      </c>
      <c r="DU174" s="3">
        <f t="shared" si="384"/>
        <v>0</v>
      </c>
      <c r="DV174" s="3">
        <f t="shared" si="354"/>
        <v>0</v>
      </c>
      <c r="DW174" s="3">
        <f t="shared" si="355"/>
        <v>0</v>
      </c>
      <c r="DX174" s="3">
        <f t="shared" ca="1" si="436"/>
        <v>3.2273727790273996E-4</v>
      </c>
      <c r="DY174" s="3">
        <f t="shared" ca="1" si="437"/>
        <v>-3.3119336351671361E-4</v>
      </c>
      <c r="DZ174" s="3">
        <f t="shared" ca="1" si="438"/>
        <v>3.0470980929952519E-4</v>
      </c>
      <c r="EA174" s="3">
        <f t="shared" ca="1" si="439"/>
        <v>-3.1455107936524923E-4</v>
      </c>
      <c r="EB174" s="3">
        <f t="shared" ca="1" si="440"/>
        <v>2.5731183476950339E-4</v>
      </c>
      <c r="EC174" s="3">
        <f t="shared" ca="1" si="441"/>
        <v>-2.8263060274074861E-4</v>
      </c>
      <c r="ED174" s="63">
        <f t="shared" si="385"/>
        <v>0</v>
      </c>
      <c r="EE174" s="59">
        <f t="shared" si="362"/>
        <v>2.3993000000000002</v>
      </c>
      <c r="EF174" s="59">
        <f t="shared" si="363"/>
        <v>2.8751000000000002</v>
      </c>
      <c r="EG174" s="59">
        <f t="shared" si="364"/>
        <v>0.25</v>
      </c>
      <c r="EH174" s="59">
        <f t="shared" si="365"/>
        <v>0.26540000000000002</v>
      </c>
      <c r="EI174" s="59">
        <f t="shared" si="366"/>
        <v>0.20930000000000001</v>
      </c>
      <c r="EJ174" s="59">
        <f t="shared" si="367"/>
        <v>0.2273</v>
      </c>
      <c r="EK174" s="63">
        <f t="shared" ca="1" si="386"/>
        <v>0</v>
      </c>
      <c r="EL174" s="3" t="str">
        <f>RTD("tos.rtd",,EL$43,"."&amp;$B$134&amp;$AS$82&amp;"C"&amp;$A174)</f>
        <v>239.93%</v>
      </c>
      <c r="EM174" s="3" t="str">
        <f>RTD("tos.rtd",,EM$43,"."&amp;$B$134&amp;$AS$82&amp;"P"&amp;$A174)</f>
        <v>287.51%</v>
      </c>
      <c r="EN174" s="3" t="str">
        <f>RTD("tos.rtd",,EN$2,"."&amp;$C$134&amp;$AU$82&amp;"C"&amp;$A174)</f>
        <v>--</v>
      </c>
      <c r="EO174" s="3" t="str">
        <f>RTD("tos.rtd",,EO$2,"."&amp;$C$134&amp;$AU$82&amp;"P"&amp;$A174)</f>
        <v>26.54%</v>
      </c>
      <c r="EP174" s="3" t="str">
        <f>RTD("tos.rtd",,EP$2,"."&amp;$D$134&amp;$AW$82&amp;"C"&amp;$A174)</f>
        <v>20.93%</v>
      </c>
      <c r="EQ174" s="3" t="str">
        <f>RTD("tos.rtd",,EQ$2,"."&amp;$D$134&amp;$AW$82&amp;"P"&amp;$A174)</f>
        <v>22.73%</v>
      </c>
      <c r="ES174" s="63" t="str">
        <f t="shared" si="368"/>
        <v>20625,00.00</v>
      </c>
      <c r="ET174" s="63" t="str">
        <f t="shared" ca="1" si="369"/>
        <v>20625,00.00</v>
      </c>
      <c r="EU174" s="68">
        <v>592.64</v>
      </c>
      <c r="EV174" s="68" t="s">
        <v>1408</v>
      </c>
      <c r="EW174" s="68">
        <v>519.11</v>
      </c>
      <c r="EX174" s="68" t="s">
        <v>1409</v>
      </c>
      <c r="EY174" s="68">
        <v>5936.25</v>
      </c>
      <c r="EZ174" s="68" t="s">
        <v>1410</v>
      </c>
      <c r="FA174" s="68">
        <v>21309.5</v>
      </c>
      <c r="FB174" s="68" t="s">
        <v>1411</v>
      </c>
      <c r="FC174" s="68" t="s">
        <v>1412</v>
      </c>
      <c r="FD174" s="68" t="s">
        <v>1413</v>
      </c>
      <c r="FE174" s="68" t="s">
        <v>1414</v>
      </c>
      <c r="FF174" s="68" t="s">
        <v>1415</v>
      </c>
    </row>
    <row r="175" spans="1:162" ht="11.1" customHeight="1" thickBot="1" x14ac:dyDescent="0.25">
      <c r="A175" s="2">
        <f t="shared" si="387"/>
        <v>20600</v>
      </c>
      <c r="B175" s="3">
        <f t="shared" si="426"/>
        <v>20</v>
      </c>
      <c r="C175" s="3">
        <f t="shared" si="427"/>
        <v>48</v>
      </c>
      <c r="D175" s="3">
        <f t="shared" si="428"/>
        <v>108</v>
      </c>
      <c r="E175" s="3">
        <f t="shared" si="429"/>
        <v>176</v>
      </c>
      <c r="F175" s="4">
        <f t="shared" si="430"/>
        <v>20686.916775078233</v>
      </c>
      <c r="G175" s="5">
        <f t="shared" si="431"/>
        <v>501.82848704335288</v>
      </c>
      <c r="AM175" s="1">
        <v>0</v>
      </c>
      <c r="AN175" s="1">
        <v>-27</v>
      </c>
      <c r="AO175" s="1">
        <v>20600</v>
      </c>
      <c r="AP175" s="1">
        <v>0</v>
      </c>
      <c r="AQ175" s="1">
        <v>-85</v>
      </c>
      <c r="AS175" s="54">
        <f>IF(RTD("tos.rtd",,AS$83,"."&amp;$B$134&amp;$AS$82&amp;"C"&amp;$A175)="N/A",0,RTD("tos.rtd",,AS$83,"."&amp;$B$134&amp;$AS$82&amp;"C"&amp;$A175))</f>
        <v>2</v>
      </c>
      <c r="AT175" s="3">
        <f>-IF(RTD("tos.rtd",,AT$83,"."&amp;$B$134&amp;$AS$82&amp;"P"&amp;$A175)="N/A",0,RTD("tos.rtd",,AT$83,"."&amp;$B$134&amp;$AS$82&amp;"P"&amp;$A175))</f>
        <v>-18</v>
      </c>
      <c r="AU175" s="54">
        <f>IF(RTD("tos.rtd",,AU$2,"."&amp;$C$134&amp;$AU$134&amp;"C"&amp;$A175)="N/A",0,RTD("tos.rtd",,AU$2,"."&amp;$C$134&amp;$AU$134&amp;"C"&amp;$A175))</f>
        <v>45</v>
      </c>
      <c r="AV175" s="3">
        <f>-IF(RTD("tos.rtd",,AV$2,"."&amp;$C$134&amp;$AU$134&amp;"P"&amp;$A175)="N/A",0,RTD("tos.rtd",,AV$2,"."&amp;$C$134&amp;$AU$134&amp;"P"&amp;$A175))</f>
        <v>-3</v>
      </c>
      <c r="AW175" s="54">
        <f>IF(RTD("tos.rtd",,AW$2,"."&amp;$D$134&amp;$AW$134&amp;"C"&amp;$A175)="N/A",0,RTD("tos.rtd",,AW$2,"."&amp;$D$134&amp;$AW$134&amp;"C"&amp;$A175))</f>
        <v>62</v>
      </c>
      <c r="AX175" s="3">
        <f>-IF(RTD("tos.rtd",,AX$2,"."&amp;$D$134&amp;$AW$134&amp;"P"&amp;$A175)="N/A",0,RTD("tos.rtd",,AX$2,"."&amp;$D$134&amp;$AW$134&amp;"P"&amp;$A175))</f>
        <v>-46</v>
      </c>
      <c r="AY175" s="76">
        <f t="shared" si="432"/>
        <v>42</v>
      </c>
      <c r="AZ175" s="8">
        <f t="shared" si="337"/>
        <v>20600</v>
      </c>
      <c r="BA175" s="54">
        <f>IF(RTD("tos.rtd",,BA$43,"."&amp;$B$134&amp;$AS$82&amp;"C"&amp;$A175)="N/A",0,RTD("tos.rtd",,BA$43,"."&amp;$B$134&amp;$AS$82&amp;"C"&amp;$A175))</f>
        <v>0</v>
      </c>
      <c r="BB175" s="3">
        <f>-IF(RTD("tos.rtd",,BB$43,"."&amp;$B$134&amp;$AS$82&amp;"P"&amp;$A175)="N/A",0,RTD("tos.rtd",,BB$43,"."&amp;$B$134&amp;$AS$82&amp;"P"&amp;$A175))</f>
        <v>-85</v>
      </c>
      <c r="BC175" s="54">
        <f>IF(RTD("tos.rtd",,BC$2,"."&amp;$C$134&amp;$AU$82&amp;"C"&amp;$A175)="N/A",0,RTD("tos.rtd",,BC$2,"."&amp;$C$134&amp;$AU$82&amp;"C"&amp;$A175))</f>
        <v>19</v>
      </c>
      <c r="BD175" s="3">
        <f>-IF(RTD("tos.rtd",,BD$2,"."&amp;$C$134&amp;$AU$82&amp;"P"&amp;$A175)="N/A",0,RTD("tos.rtd",,BD$2,"."&amp;$C$134&amp;$AU$82&amp;"P"&amp;$A175))</f>
        <v>-2</v>
      </c>
      <c r="BE175" s="54">
        <f>IF(RTD("tos.rtd",,BE$2,"."&amp;$D$134&amp;$AW$82&amp;"C"&amp;$A175)="N/A",0,RTD("tos.rtd",,BE$2,"."&amp;$D$134&amp;$AW$82&amp;"C"&amp;$A175))</f>
        <v>0</v>
      </c>
      <c r="BF175" s="3">
        <f>-IF(RTD("tos.rtd",,BF$2,"."&amp;$D$134&amp;$AW$82&amp;"P"&amp;$A175)="N/A",0,RTD("tos.rtd",,BF$2,"."&amp;$D$134&amp;$AW$82&amp;"P"&amp;$A175))</f>
        <v>-17</v>
      </c>
      <c r="BG175" s="3">
        <f ca="1">+Hoja2!Y176</f>
        <v>-16</v>
      </c>
      <c r="BH175" s="7">
        <f t="shared" ca="1" si="338"/>
        <v>-101</v>
      </c>
      <c r="BI175" s="32" t="str">
        <f t="shared" ca="1" si="397"/>
        <v/>
      </c>
      <c r="BJ175" s="3">
        <f ca="1">IF($BP$1=1,DX175,IF(RTD("tos.rtd",,BJ$43,"."&amp;$B$134&amp;$AS$82&amp;"C"&amp;$A175)="N/A",0,RTD("tos.rtd",,BJ$43,"."&amp;$B$134&amp;$AS$82&amp;"C"&amp;$A175)))</f>
        <v>3.1519527123366459E-4</v>
      </c>
      <c r="BK175" s="3">
        <f ca="1">IF($BP$1=1,DY175,-IF(RTD("tos.rtd",,BK$43,"."&amp;$B$134&amp;$AS$82&amp;"P"&amp;$A175)="N/A",0,RTD("tos.rtd",,BK$43,"."&amp;$B$134&amp;$AS$82&amp;"P"&amp;$A175)))</f>
        <v>-3.1959172677261668E-4</v>
      </c>
      <c r="BL175" s="3">
        <f ca="1">IF($BP$1=1,DZ175,IF(RTD("tos.rtd",,BL$2,"."&amp;$C$134&amp;$AU$82&amp;"C"&amp;$A175)="N/A",0,RTD("tos.rtd",,BL$2,"."&amp;$C$134&amp;$AU$82&amp;"C"&amp;$A175)))</f>
        <v>2.8713822618959916E-4</v>
      </c>
      <c r="BM175" s="3">
        <f ca="1">IF($BP$1=1,EA175,-IF(RTD("tos.rtd",,BM$2,"."&amp;$C$134&amp;$AU$82&amp;"P"&amp;$A175)="N/A",0,RTD("tos.rtd",,BM$2,"."&amp;$C$134&amp;$AU$82&amp;"P"&amp;$A175)))</f>
        <v>-2.9934687397447003E-4</v>
      </c>
      <c r="BN175" s="3">
        <f ca="1">IF($BP$1=1,EB175,IF(RTD("tos.rtd",,BN$2,"."&amp;$D$134&amp;$AW$82&amp;"C"&amp;$A175)="N/A",0,RTD("tos.rtd",,BN$2,"."&amp;$D$134&amp;$AW$82&amp;"C"&amp;$A175)))</f>
        <v>2.3780245764099512E-4</v>
      </c>
      <c r="BO175" s="3">
        <f ca="1">IF($BP$1=1,EC175,-IF(RTD("tos.rtd",,BO$2,"."&amp;$D$134&amp;$AW$82&amp;"P"&amp;$A175)="N/A",0,RTD("tos.rtd",,BO$2,"."&amp;$D$134&amp;$AW$82&amp;"P"&amp;$A175)))</f>
        <v>-2.6421484556317593E-4</v>
      </c>
      <c r="BQ175" s="3">
        <f t="shared" ca="1" si="433"/>
        <v>-180442.85837813994</v>
      </c>
      <c r="BR175" s="3" t="str">
        <f t="shared" ca="1" si="339"/>
        <v/>
      </c>
      <c r="BS175" s="3">
        <f t="shared" ca="1" si="434"/>
        <v>423542.86145416286</v>
      </c>
      <c r="BT175" s="3" t="str">
        <f t="shared" ca="1" si="340"/>
        <v>Cruce +</v>
      </c>
      <c r="BU175" s="3">
        <f t="shared" ca="1" si="435"/>
        <v>91233.830807456223</v>
      </c>
      <c r="BV175" s="3" t="str">
        <f t="shared" ca="1" si="340"/>
        <v>Cruce +</v>
      </c>
      <c r="BX175" s="3">
        <f t="shared" ca="1" si="370"/>
        <v>-7335.0467608716717</v>
      </c>
      <c r="BY175" s="3" t="str">
        <f t="shared" ca="1" si="371"/>
        <v/>
      </c>
      <c r="BZ175" s="3">
        <f t="shared" ca="1" si="372"/>
        <v>1311.4462786952508</v>
      </c>
      <c r="CA175" s="3" t="str">
        <f t="shared" ca="1" si="371"/>
        <v/>
      </c>
      <c r="CB175" s="3">
        <f t="shared" ca="1" si="373"/>
        <v>-1212.815029158281</v>
      </c>
      <c r="CC175" s="3" t="str">
        <f t="shared" ca="1" si="371"/>
        <v/>
      </c>
      <c r="CD175" s="3">
        <f>IF(RTD("tos.rtd",,CD$43,"."&amp;$B$134&amp;$AS$82&amp;"C"&amp;$A175)="N/A",0,RTD("tos.rtd",,CD$43,"."&amp;$B$134&amp;$AS$82&amp;"C"&amp;$A175))</f>
        <v>0.97</v>
      </c>
      <c r="CE175" s="3">
        <f>-IF(RTD("tos.rtd",,CE$43,"."&amp;$B$134&amp;$AS$82&amp;"P"&amp;$A175)="N/A",0,RTD("tos.rtd",,CE$43,"."&amp;$B$134&amp;$AS$82&amp;"P"&amp;$A175))</f>
        <v>0.05</v>
      </c>
      <c r="CF175" s="3">
        <f>IF(RTD("tos.rtd",,CF$2,"."&amp;$C$134&amp;$AU$82&amp;"C"&amp;$A175)="N/A",0,RTD("tos.rtd",,CF$2,"."&amp;$C$134&amp;$AU$82&amp;"C"&amp;$A175))</f>
        <v>1</v>
      </c>
      <c r="CG175" s="3">
        <f>-IF(RTD("tos.rtd",,CG$2,"."&amp;$C$134&amp;$AU$82&amp;"P"&amp;$A175)="N/A",0,RTD("tos.rtd",,CG$2,"."&amp;$C$134&amp;$AU$82&amp;"P"&amp;$A175))</f>
        <v>0.06</v>
      </c>
      <c r="CH175" s="3">
        <f>IF(RTD("tos.rtd",,CH$2,"."&amp;$D$134&amp;$AW$82&amp;"C"&amp;$A175)="N/A",0,RTD("tos.rtd",,CH$2,"."&amp;$D$134&amp;$AW$82&amp;"C"&amp;$A175))</f>
        <v>0.76</v>
      </c>
      <c r="CI175" s="3">
        <f>-IF(RTD("tos.rtd",,CI$2,"."&amp;$D$134&amp;$AW$82&amp;"P"&amp;$A175)="N/A",0,RTD("tos.rtd",,CI$2,"."&amp;$D$134&amp;$AW$82&amp;"P"&amp;$A175))</f>
        <v>0.26</v>
      </c>
      <c r="CK175" s="3">
        <f t="shared" si="374"/>
        <v>2218398</v>
      </c>
      <c r="CL175" s="3"/>
      <c r="CM175" s="3">
        <f t="shared" si="375"/>
        <v>95604421.5</v>
      </c>
      <c r="CN175" s="3"/>
      <c r="CO175" s="3">
        <f t="shared" si="376"/>
        <v>74998917</v>
      </c>
      <c r="CP175" s="3">
        <f t="shared" si="331"/>
        <v>172821736.5</v>
      </c>
      <c r="CQ175" s="3">
        <f t="shared" si="341"/>
        <v>-85</v>
      </c>
      <c r="CR175" s="3"/>
      <c r="CS175" s="3">
        <f t="shared" si="342"/>
        <v>17</v>
      </c>
      <c r="CT175" s="3"/>
      <c r="CU175" s="3">
        <f t="shared" si="343"/>
        <v>-17</v>
      </c>
      <c r="CV175" s="3"/>
      <c r="CW175" s="3">
        <f t="shared" ca="1" si="344"/>
        <v>334333.83388347912</v>
      </c>
      <c r="CY175" s="3">
        <f t="shared" ca="1" si="345"/>
        <v>-7236.4155113347024</v>
      </c>
      <c r="CZ175" s="70" t="str">
        <f t="shared" ca="1" si="377"/>
        <v/>
      </c>
      <c r="DA175" s="3">
        <f>IF(RTD("tos.rtd",,DA$43,"."&amp;$B$134&amp;$AS$82&amp;"C"&amp;$A175)="N/A",0,RTD("tos.rtd",,DA$43,"."&amp;$B$134&amp;$AS$82&amp;"C"&amp;$A175))</f>
        <v>144.69999999999999</v>
      </c>
      <c r="DB175" s="3">
        <f>IF(RTD("tos.rtd",,DB$43,"."&amp;$B$134&amp;$AS$82&amp;"P"&amp;$A175)="N/A",0,RTD("tos.rtd",,DB$43,"."&amp;$B$134&amp;$AS$82&amp;"P"&amp;$A175))</f>
        <v>0.1</v>
      </c>
      <c r="DC175" s="3">
        <f>IF(RTD("tos.rtd",,DC$43,"."&amp;$B$134&amp;$AS$82&amp;"C"&amp;$A175)="N/A",0,RTD("tos.rtd",,DC$43,"."&amp;$B$134&amp;$AS$82&amp;"C"&amp;$A175))</f>
        <v>810.6</v>
      </c>
      <c r="DD175" s="3">
        <f>IF(RTD("tos.rtd",,DD$43,"."&amp;$B$134&amp;$AS$82&amp;"P"&amp;$A175)="N/A",0,RTD("tos.rtd",,DD$43,"."&amp;$B$134&amp;$AS$82&amp;"P"&amp;$A175))</f>
        <v>19.8</v>
      </c>
      <c r="DE175" s="3">
        <f>IF(RTD("tos.rtd",,DE$43,"."&amp;$B$134&amp;$AS$82&amp;"C"&amp;$A175)="N/A",0,RTD("tos.rtd",,DE$43,"."&amp;$B$134&amp;$AS$82&amp;"C"&amp;$A175))</f>
        <v>734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378"/>
        <v>-730.75</v>
      </c>
      <c r="DH175" s="3">
        <f t="shared" si="379"/>
        <v>0</v>
      </c>
      <c r="DI175" s="3">
        <f t="shared" si="380"/>
        <v>0</v>
      </c>
      <c r="DJ175" s="3">
        <f t="shared" si="346"/>
        <v>0</v>
      </c>
      <c r="DK175" s="3">
        <f t="shared" si="347"/>
        <v>0</v>
      </c>
      <c r="DL175" s="3">
        <f t="shared" si="381"/>
        <v>0</v>
      </c>
      <c r="DM175" s="3">
        <f t="shared" si="382"/>
        <v>0</v>
      </c>
      <c r="DN175" s="64" t="str">
        <f t="shared" si="348"/>
        <v>UNKNOWN</v>
      </c>
      <c r="DO175" s="64" t="str">
        <f t="shared" si="349"/>
        <v>UNKNOWN</v>
      </c>
      <c r="DP175" s="3">
        <f t="shared" si="350"/>
        <v>0</v>
      </c>
      <c r="DQ175" s="3">
        <f t="shared" si="351"/>
        <v>0</v>
      </c>
      <c r="DR175" s="3">
        <f t="shared" ca="1" si="352"/>
        <v>0</v>
      </c>
      <c r="DS175" s="3">
        <f t="shared" si="353"/>
        <v>0</v>
      </c>
      <c r="DT175" s="3">
        <f t="shared" si="383"/>
        <v>0</v>
      </c>
      <c r="DU175" s="3">
        <f t="shared" si="384"/>
        <v>0</v>
      </c>
      <c r="DV175" s="3">
        <f t="shared" si="354"/>
        <v>0</v>
      </c>
      <c r="DW175" s="3">
        <f t="shared" si="355"/>
        <v>-27</v>
      </c>
      <c r="DX175" s="3">
        <f t="shared" ca="1" si="436"/>
        <v>3.1519527123366459E-4</v>
      </c>
      <c r="DY175" s="3">
        <f t="shared" ca="1" si="437"/>
        <v>-3.1959172677261668E-4</v>
      </c>
      <c r="DZ175" s="3">
        <f t="shared" ca="1" si="438"/>
        <v>2.8713822618959916E-4</v>
      </c>
      <c r="EA175" s="3">
        <f t="shared" ca="1" si="439"/>
        <v>-2.9934687397447003E-4</v>
      </c>
      <c r="EB175" s="3">
        <f t="shared" ca="1" si="440"/>
        <v>2.3780245764099512E-4</v>
      </c>
      <c r="EC175" s="3">
        <f t="shared" ca="1" si="441"/>
        <v>-2.6421484556317593E-4</v>
      </c>
      <c r="ED175" s="63">
        <f t="shared" si="385"/>
        <v>-27</v>
      </c>
      <c r="EE175" s="59">
        <f t="shared" si="362"/>
        <v>2.5872999999999999</v>
      </c>
      <c r="EF175" s="59">
        <f t="shared" si="363"/>
        <v>2.9537</v>
      </c>
      <c r="EG175" s="59">
        <f t="shared" si="364"/>
        <v>0.25</v>
      </c>
      <c r="EH175" s="59">
        <f t="shared" si="365"/>
        <v>0.26700000000000002</v>
      </c>
      <c r="EI175" s="59">
        <f t="shared" si="366"/>
        <v>0.21010000000000001</v>
      </c>
      <c r="EJ175" s="59">
        <f t="shared" si="367"/>
        <v>0.22819999999999999</v>
      </c>
      <c r="EK175" s="63">
        <f t="shared" ca="1" si="386"/>
        <v>3926192.0911894725</v>
      </c>
      <c r="EL175" s="3" t="str">
        <f>RTD("tos.rtd",,EL$43,"."&amp;$B$134&amp;$AS$82&amp;"C"&amp;$A175)</f>
        <v>258.73%</v>
      </c>
      <c r="EM175" s="3" t="str">
        <f>RTD("tos.rtd",,EM$43,"."&amp;$B$134&amp;$AS$82&amp;"P"&amp;$A175)</f>
        <v>295.37%</v>
      </c>
      <c r="EN175" s="3" t="str">
        <f>RTD("tos.rtd",,EN$2,"."&amp;$C$134&amp;$AU$82&amp;"C"&amp;$A175)</f>
        <v>--</v>
      </c>
      <c r="EO175" s="3" t="str">
        <f>RTD("tos.rtd",,EO$2,"."&amp;$C$134&amp;$AU$82&amp;"P"&amp;$A175)</f>
        <v>26.70%</v>
      </c>
      <c r="EP175" s="3" t="str">
        <f>RTD("tos.rtd",,EP$2,"."&amp;$D$134&amp;$AW$82&amp;"C"&amp;$A175)</f>
        <v>21.01%</v>
      </c>
      <c r="EQ175" s="3" t="str">
        <f>RTD("tos.rtd",,EQ$2,"."&amp;$D$134&amp;$AW$82&amp;"P"&amp;$A175)</f>
        <v>22.82%</v>
      </c>
      <c r="ES175" s="63" t="str">
        <f t="shared" si="368"/>
        <v>20600,-27.00</v>
      </c>
      <c r="ET175" s="63" t="str">
        <f t="shared" ca="1" si="369"/>
        <v>20600,-07.24</v>
      </c>
      <c r="EU175" s="68">
        <v>592.64</v>
      </c>
      <c r="EV175" s="68" t="s">
        <v>1416</v>
      </c>
      <c r="EW175" s="68">
        <v>519.11</v>
      </c>
      <c r="EX175" s="68" t="s">
        <v>1417</v>
      </c>
      <c r="EY175" s="68">
        <v>5936.25</v>
      </c>
      <c r="EZ175" s="68" t="s">
        <v>1418</v>
      </c>
      <c r="FA175" s="68">
        <v>21309.5</v>
      </c>
      <c r="FB175" s="68" t="s">
        <v>1419</v>
      </c>
      <c r="FC175" s="68" t="s">
        <v>1420</v>
      </c>
      <c r="FD175" s="68" t="s">
        <v>1421</v>
      </c>
      <c r="FE175" s="68" t="s">
        <v>1422</v>
      </c>
      <c r="FF175" s="68" t="s">
        <v>1423</v>
      </c>
    </row>
    <row r="176" spans="1:162" ht="11.1" customHeight="1" thickBot="1" x14ac:dyDescent="0.25">
      <c r="A176" s="2">
        <f t="shared" si="387"/>
        <v>20575</v>
      </c>
      <c r="B176" s="3">
        <f t="shared" si="416"/>
        <v>2</v>
      </c>
      <c r="C176" s="3">
        <f t="shared" si="417"/>
        <v>3</v>
      </c>
      <c r="D176" s="3">
        <f t="shared" si="418"/>
        <v>15</v>
      </c>
      <c r="E176" s="3">
        <f t="shared" si="419"/>
        <v>20</v>
      </c>
      <c r="F176" s="4">
        <f t="shared" si="420"/>
        <v>20661.811293555078</v>
      </c>
      <c r="G176" s="5">
        <f t="shared" si="421"/>
        <v>501.21947188917403</v>
      </c>
      <c r="AM176" s="1">
        <v>0</v>
      </c>
      <c r="AN176" s="1">
        <v>-10</v>
      </c>
      <c r="AO176" s="1">
        <v>20575</v>
      </c>
      <c r="AP176" s="1">
        <v>0</v>
      </c>
      <c r="AQ176" s="1">
        <v>-10</v>
      </c>
      <c r="AS176" s="54">
        <f>IF(RTD("tos.rtd",,AS$83,"."&amp;$B$134&amp;$AS$82&amp;"C"&amp;$A176)="N/A",0,RTD("tos.rtd",,AS$83,"."&amp;$B$134&amp;$AS$82&amp;"C"&amp;$A176))</f>
        <v>0</v>
      </c>
      <c r="AT176" s="3">
        <f>-IF(RTD("tos.rtd",,AT$83,"."&amp;$B$134&amp;$AS$82&amp;"P"&amp;$A176)="N/A",0,RTD("tos.rtd",,AT$83,"."&amp;$B$134&amp;$AS$82&amp;"P"&amp;$A176))</f>
        <v>-2</v>
      </c>
      <c r="AU176" s="54">
        <f>IF(RTD("tos.rtd",,AU$2,"."&amp;$C$134&amp;$AU$134&amp;"C"&amp;$A176)="N/A",0,RTD("tos.rtd",,AU$2,"."&amp;$C$134&amp;$AU$134&amp;"C"&amp;$A176))</f>
        <v>1</v>
      </c>
      <c r="AV176" s="3">
        <f>-IF(RTD("tos.rtd",,AV$2,"."&amp;$C$134&amp;$AU$134&amp;"P"&amp;$A176)="N/A",0,RTD("tos.rtd",,AV$2,"."&amp;$C$134&amp;$AU$134&amp;"P"&amp;$A176))</f>
        <v>-2</v>
      </c>
      <c r="AW176" s="54">
        <f>IF(RTD("tos.rtd",,AW$2,"."&amp;$D$134&amp;$AW$134&amp;"C"&amp;$A176)="N/A",0,RTD("tos.rtd",,AW$2,"."&amp;$D$134&amp;$AW$134&amp;"C"&amp;$A176))</f>
        <v>10</v>
      </c>
      <c r="AX176" s="3">
        <f>-IF(RTD("tos.rtd",,AX$2,"."&amp;$D$134&amp;$AW$134&amp;"P"&amp;$A176)="N/A",0,RTD("tos.rtd",,AX$2,"."&amp;$D$134&amp;$AW$134&amp;"P"&amp;$A176))</f>
        <v>-5</v>
      </c>
      <c r="AY176" s="76">
        <f t="shared" si="422"/>
        <v>2</v>
      </c>
      <c r="AZ176" s="8">
        <f t="shared" si="337"/>
        <v>20575</v>
      </c>
      <c r="BA176" s="54">
        <f>IF(RTD("tos.rtd",,BA$43,"."&amp;$B$134&amp;$AS$82&amp;"C"&amp;$A176)="N/A",0,RTD("tos.rtd",,BA$43,"."&amp;$B$134&amp;$AS$82&amp;"C"&amp;$A176))</f>
        <v>0</v>
      </c>
      <c r="BB176" s="3">
        <f>-IF(RTD("tos.rtd",,BB$43,"."&amp;$B$134&amp;$AS$82&amp;"P"&amp;$A176)="N/A",0,RTD("tos.rtd",,BB$43,"."&amp;$B$134&amp;$AS$82&amp;"P"&amp;$A176))</f>
        <v>-10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0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-1</v>
      </c>
      <c r="BG176" s="3">
        <f ca="1">+Hoja2!Y177</f>
        <v>-4</v>
      </c>
      <c r="BH176" s="7">
        <f t="shared" ca="1" si="338"/>
        <v>-15</v>
      </c>
      <c r="BI176" s="32" t="str">
        <f t="shared" ca="1" si="397"/>
        <v/>
      </c>
      <c r="BJ176" s="3">
        <f ca="1">IF($BP$1=1,DX176,IF(RTD("tos.rtd",,BJ$43,"."&amp;$B$134&amp;$AS$82&amp;"C"&amp;$A176)="N/A",0,RTD("tos.rtd",,BJ$43,"."&amp;$B$134&amp;$AS$82&amp;"C"&amp;$A176)))</f>
        <v>3.0217476271272858E-4</v>
      </c>
      <c r="BK176" s="3">
        <f ca="1">IF($BP$1=1,DY176,-IF(RTD("tos.rtd",,BK$43,"."&amp;$B$134&amp;$AS$82&amp;"P"&amp;$A176)="N/A",0,RTD("tos.rtd",,BK$43,"."&amp;$B$134&amp;$AS$82&amp;"P"&amp;$A176)))</f>
        <v>-3.087127411054383E-4</v>
      </c>
      <c r="BL176" s="3">
        <f ca="1">IF($BP$1=1,DZ176,IF(RTD("tos.rtd",,BL$2,"."&amp;$C$134&amp;$AU$82&amp;"C"&amp;$A176)="N/A",0,RTD("tos.rtd",,BL$2,"."&amp;$C$134&amp;$AU$82&amp;"C"&amp;$A176)))</f>
        <v>2.7000455835481861E-4</v>
      </c>
      <c r="BM176" s="3">
        <f ca="1">IF($BP$1=1,EA176,-IF(RTD("tos.rtd",,BM$2,"."&amp;$C$134&amp;$AU$82&amp;"P"&amp;$A176)="N/A",0,RTD("tos.rtd",,BM$2,"."&amp;$C$134&amp;$AU$82&amp;"P"&amp;$A176)))</f>
        <v>-2.8492731344403714E-4</v>
      </c>
      <c r="BN176" s="3">
        <f ca="1">IF($BP$1=1,EB176,IF(RTD("tos.rtd",,BN$2,"."&amp;$D$134&amp;$AW$82&amp;"C"&amp;$A176)="N/A",0,RTD("tos.rtd",,BN$2,"."&amp;$D$134&amp;$AW$82&amp;"C"&amp;$A176)))</f>
        <v>2.1852831717478256E-4</v>
      </c>
      <c r="BO176" s="3">
        <f ca="1">IF($BP$1=1,EC176,-IF(RTD("tos.rtd",,BO$2,"."&amp;$D$134&amp;$AW$82&amp;"P"&amp;$A176)="N/A",0,RTD("tos.rtd",,BO$2,"."&amp;$D$134&amp;$AW$82&amp;"P"&amp;$A176)))</f>
        <v>-2.4649644676414116E-4</v>
      </c>
      <c r="BQ176" s="3">
        <f t="shared" ca="1" si="423"/>
        <v>-21750.166354836969</v>
      </c>
      <c r="BR176" s="3" t="str">
        <f t="shared" ca="1" si="339"/>
        <v/>
      </c>
      <c r="BS176" s="3">
        <f t="shared" ca="1" si="424"/>
        <v>-10562.876104099818</v>
      </c>
      <c r="BT176" s="3" t="str">
        <f t="shared" ca="1" si="340"/>
        <v>Cruce -</v>
      </c>
      <c r="BU176" s="3">
        <f t="shared" ca="1" si="425"/>
        <v>33564.502114089257</v>
      </c>
      <c r="BV176" s="3" t="str">
        <f t="shared" ca="1" si="340"/>
        <v/>
      </c>
      <c r="BX176" s="3">
        <f t="shared" ca="1" si="370"/>
        <v>-833.57174794907394</v>
      </c>
      <c r="BY176" s="3" t="str">
        <f t="shared" ca="1" si="371"/>
        <v/>
      </c>
      <c r="BZ176" s="3">
        <f t="shared" ca="1" si="372"/>
        <v>0</v>
      </c>
      <c r="CA176" s="3" t="str">
        <f t="shared" ca="1" si="371"/>
        <v/>
      </c>
      <c r="CB176" s="3">
        <f t="shared" ca="1" si="373"/>
        <v>-66.557821117672489</v>
      </c>
      <c r="CC176" s="3" t="str">
        <f t="shared" ca="1" si="371"/>
        <v/>
      </c>
      <c r="CD176" s="3">
        <f>IF(RTD("tos.rtd",,CD$43,"."&amp;$B$134&amp;$AS$82&amp;"C"&amp;$A176)="N/A",0,RTD("tos.rtd",,CD$43,"."&amp;$B$134&amp;$AS$82&amp;"C"&amp;$A176))</f>
        <v>0.97</v>
      </c>
      <c r="CE176" s="3">
        <f>-IF(RTD("tos.rtd",,CE$43,"."&amp;$B$134&amp;$AS$82&amp;"P"&amp;$A176)="N/A",0,RTD("tos.rtd",,CE$43,"."&amp;$B$134&amp;$AS$82&amp;"P"&amp;$A176))</f>
        <v>0.05</v>
      </c>
      <c r="CF176" s="3">
        <f>IF(RTD("tos.rtd",,CF$2,"."&amp;$C$134&amp;$AU$82&amp;"C"&amp;$A176)="N/A",0,RTD("tos.rtd",,CF$2,"."&amp;$C$134&amp;$AU$82&amp;"C"&amp;$A176))</f>
        <v>1</v>
      </c>
      <c r="CG176" s="3">
        <f>-IF(RTD("tos.rtd",,CG$2,"."&amp;$C$134&amp;$AU$82&amp;"P"&amp;$A176)="N/A",0,RTD("tos.rtd",,CG$2,"."&amp;$C$134&amp;$AU$82&amp;"P"&amp;$A176))</f>
        <v>0.06</v>
      </c>
      <c r="CH176" s="3">
        <f>IF(RTD("tos.rtd",,CH$2,"."&amp;$D$134&amp;$AW$82&amp;"C"&amp;$A176)="N/A",0,RTD("tos.rtd",,CH$2,"."&amp;$D$134&amp;$AW$82&amp;"C"&amp;$A176))</f>
        <v>0.76</v>
      </c>
      <c r="CI176" s="3">
        <f>-IF(RTD("tos.rtd",,CI$2,"."&amp;$D$134&amp;$AW$82&amp;"P"&amp;$A176)="N/A",0,RTD("tos.rtd",,CI$2,"."&amp;$D$134&amp;$AW$82&amp;"P"&amp;$A176))</f>
        <v>0.25</v>
      </c>
      <c r="CK176" s="3">
        <f t="shared" si="374"/>
        <v>-213307.5</v>
      </c>
      <c r="CL176" s="3"/>
      <c r="CM176" s="3">
        <f t="shared" si="375"/>
        <v>1877106</v>
      </c>
      <c r="CN176" s="3"/>
      <c r="CO176" s="3">
        <f t="shared" si="376"/>
        <v>13545026.25</v>
      </c>
      <c r="CP176" s="3">
        <f t="shared" si="331"/>
        <v>15208824.75</v>
      </c>
      <c r="CQ176" s="3">
        <f t="shared" si="341"/>
        <v>-10</v>
      </c>
      <c r="CR176" s="3"/>
      <c r="CS176" s="3">
        <f t="shared" si="342"/>
        <v>0</v>
      </c>
      <c r="CT176" s="3"/>
      <c r="CU176" s="3">
        <f t="shared" si="343"/>
        <v>-1</v>
      </c>
      <c r="CV176" s="3"/>
      <c r="CW176" s="3">
        <f t="shared" ca="1" si="344"/>
        <v>1251.4596551524701</v>
      </c>
      <c r="CY176" s="3">
        <f t="shared" ca="1" si="345"/>
        <v>-900.1295690667464</v>
      </c>
      <c r="CZ176" s="70" t="str">
        <f t="shared" ca="1" si="377"/>
        <v/>
      </c>
      <c r="DA176" s="3">
        <f>IF(RTD("tos.rtd",,DA$43,"."&amp;$B$134&amp;$AS$82&amp;"C"&amp;$A176)="N/A",0,RTD("tos.rtd",,DA$43,"."&amp;$B$134&amp;$AS$82&amp;"C"&amp;$A176))</f>
        <v>0</v>
      </c>
      <c r="DB176" s="3">
        <f>IF(RTD("tos.rtd",,DB$43,"."&amp;$B$134&amp;$AS$82&amp;"P"&amp;$A176)="N/A",0,RTD("tos.rtd",,DB$43,"."&amp;$B$134&amp;$AS$82&amp;"P"&amp;$A176))</f>
        <v>0.25</v>
      </c>
      <c r="DC176" s="3">
        <f>IF(RTD("tos.rtd",,DC$43,"."&amp;$B$134&amp;$AS$82&amp;"C"&amp;$A176)="N/A",0,RTD("tos.rtd",,DC$43,"."&amp;$B$134&amp;$AS$82&amp;"C"&amp;$A176))</f>
        <v>835.6</v>
      </c>
      <c r="DD176" s="3">
        <f>IF(RTD("tos.rtd",,DD$43,"."&amp;$B$134&amp;$AS$82&amp;"P"&amp;$A176)="N/A",0,RTD("tos.rtd",,DD$43,"."&amp;$B$134&amp;$AS$82&amp;"P"&amp;$A176))</f>
        <v>19.8</v>
      </c>
      <c r="DE176" s="3">
        <f>IF(RTD("tos.rtd",,DE$43,"."&amp;$B$134&amp;$AS$82&amp;"C"&amp;$A176)="N/A",0,RTD("tos.rtd",,DE$43,"."&amp;$B$134&amp;$AS$82&amp;"C"&amp;$A176))</f>
        <v>758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378"/>
        <v>-755.75</v>
      </c>
      <c r="DH176" s="3">
        <f t="shared" si="379"/>
        <v>0</v>
      </c>
      <c r="DI176" s="3">
        <f t="shared" si="380"/>
        <v>0</v>
      </c>
      <c r="DJ176" s="3">
        <f t="shared" si="346"/>
        <v>0</v>
      </c>
      <c r="DK176" s="3">
        <f t="shared" si="347"/>
        <v>0</v>
      </c>
      <c r="DL176" s="3">
        <f t="shared" si="381"/>
        <v>0</v>
      </c>
      <c r="DM176" s="3">
        <f t="shared" si="382"/>
        <v>0</v>
      </c>
      <c r="DN176" s="64" t="str">
        <f t="shared" si="348"/>
        <v>UNKNOWN</v>
      </c>
      <c r="DO176" s="64" t="str">
        <f t="shared" si="349"/>
        <v>UNKNOWN</v>
      </c>
      <c r="DP176" s="3">
        <f t="shared" si="350"/>
        <v>0</v>
      </c>
      <c r="DQ176" s="3">
        <f t="shared" si="351"/>
        <v>0</v>
      </c>
      <c r="DR176" s="3">
        <f t="shared" ca="1" si="352"/>
        <v>0</v>
      </c>
      <c r="DS176" s="3">
        <f t="shared" si="353"/>
        <v>0</v>
      </c>
      <c r="DT176" s="3">
        <f t="shared" si="383"/>
        <v>0</v>
      </c>
      <c r="DU176" s="3">
        <f t="shared" si="384"/>
        <v>0</v>
      </c>
      <c r="DV176" s="3">
        <f t="shared" si="354"/>
        <v>0</v>
      </c>
      <c r="DW176" s="3">
        <f t="shared" si="355"/>
        <v>-10</v>
      </c>
      <c r="DX176" s="3">
        <f t="shared" ca="1" si="436"/>
        <v>3.0217476271272858E-4</v>
      </c>
      <c r="DY176" s="3">
        <f t="shared" ca="1" si="437"/>
        <v>-3.087127411054383E-4</v>
      </c>
      <c r="DZ176" s="3">
        <f t="shared" ca="1" si="438"/>
        <v>2.7000455835481861E-4</v>
      </c>
      <c r="EA176" s="3">
        <f t="shared" ca="1" si="439"/>
        <v>-2.8492731344403714E-4</v>
      </c>
      <c r="EB176" s="3">
        <f t="shared" ca="1" si="440"/>
        <v>2.1852831717478256E-4</v>
      </c>
      <c r="EC176" s="3">
        <f t="shared" ca="1" si="441"/>
        <v>-2.4649644676414116E-4</v>
      </c>
      <c r="ED176" s="63">
        <f t="shared" si="385"/>
        <v>-10</v>
      </c>
      <c r="EE176" s="59">
        <f t="shared" si="362"/>
        <v>2.6105</v>
      </c>
      <c r="EF176" s="59">
        <f t="shared" si="363"/>
        <v>3.032</v>
      </c>
      <c r="EG176" s="59">
        <f t="shared" si="364"/>
        <v>0.25</v>
      </c>
      <c r="EH176" s="59">
        <f t="shared" si="365"/>
        <v>0.26900000000000002</v>
      </c>
      <c r="EI176" s="59">
        <f t="shared" si="366"/>
        <v>0.2104</v>
      </c>
      <c r="EJ176" s="59">
        <f t="shared" si="367"/>
        <v>0.22900000000000001</v>
      </c>
      <c r="EK176" s="63">
        <f t="shared" ca="1" si="386"/>
        <v>1404645.7367452865</v>
      </c>
      <c r="EL176" s="3" t="str">
        <f>RTD("tos.rtd",,EL$43,"."&amp;$B$134&amp;$AS$82&amp;"C"&amp;$A176)</f>
        <v>261.05%</v>
      </c>
      <c r="EM176" s="3" t="str">
        <f>RTD("tos.rtd",,EM$43,"."&amp;$B$134&amp;$AS$82&amp;"P"&amp;$A176)</f>
        <v>303.20%</v>
      </c>
      <c r="EN176" s="3" t="str">
        <f>RTD("tos.rtd",,EN$2,"."&amp;$C$134&amp;$AU$82&amp;"C"&amp;$A176)</f>
        <v>--</v>
      </c>
      <c r="EO176" s="3" t="str">
        <f>RTD("tos.rtd",,EO$2,"."&amp;$C$134&amp;$AU$82&amp;"P"&amp;$A176)</f>
        <v>26.90%</v>
      </c>
      <c r="EP176" s="3" t="str">
        <f>RTD("tos.rtd",,EP$2,"."&amp;$D$134&amp;$AW$82&amp;"C"&amp;$A176)</f>
        <v>21.04%</v>
      </c>
      <c r="EQ176" s="3" t="str">
        <f>RTD("tos.rtd",,EQ$2,"."&amp;$D$134&amp;$AW$82&amp;"P"&amp;$A176)</f>
        <v>22.90%</v>
      </c>
      <c r="ES176" s="63" t="str">
        <f t="shared" si="368"/>
        <v>20575,-10.00</v>
      </c>
      <c r="ET176" s="63" t="str">
        <f t="shared" ca="1" si="369"/>
        <v>20575,-00.90</v>
      </c>
      <c r="EU176" s="68">
        <v>592.64</v>
      </c>
      <c r="EV176" s="68" t="s">
        <v>1424</v>
      </c>
      <c r="EW176" s="68">
        <v>519.11</v>
      </c>
      <c r="EX176" s="68" t="s">
        <v>1425</v>
      </c>
      <c r="EY176" s="68">
        <v>5936.25</v>
      </c>
      <c r="EZ176" s="68" t="s">
        <v>1426</v>
      </c>
      <c r="FA176" s="68">
        <v>21309.5</v>
      </c>
      <c r="FB176" s="68" t="s">
        <v>1427</v>
      </c>
      <c r="FC176" s="68" t="s">
        <v>1428</v>
      </c>
      <c r="FD176" s="68" t="s">
        <v>1429</v>
      </c>
      <c r="FE176" s="68" t="s">
        <v>1430</v>
      </c>
      <c r="FF176" s="68" t="s">
        <v>1431</v>
      </c>
    </row>
    <row r="177" spans="1:162" ht="11.1" customHeight="1" thickBot="1" x14ac:dyDescent="0.25">
      <c r="A177" s="2">
        <f t="shared" si="387"/>
        <v>20550</v>
      </c>
      <c r="B177" s="3">
        <f t="shared" si="416"/>
        <v>1</v>
      </c>
      <c r="C177" s="3">
        <f t="shared" si="417"/>
        <v>27</v>
      </c>
      <c r="D177" s="3">
        <f t="shared" si="418"/>
        <v>27</v>
      </c>
      <c r="E177" s="3">
        <f t="shared" si="419"/>
        <v>55</v>
      </c>
      <c r="F177" s="4">
        <f t="shared" si="420"/>
        <v>20636.705812031927</v>
      </c>
      <c r="G177" s="5">
        <f t="shared" si="421"/>
        <v>500.61045673499524</v>
      </c>
      <c r="AM177" s="1">
        <v>0</v>
      </c>
      <c r="AN177" s="1">
        <v>0</v>
      </c>
      <c r="AO177" s="1">
        <v>20550</v>
      </c>
      <c r="AP177" s="1">
        <v>0</v>
      </c>
      <c r="AQ177" s="1">
        <v>0</v>
      </c>
      <c r="AS177" s="54">
        <f>IF(RTD("tos.rtd",,AS$83,"."&amp;$B$134&amp;$AS$82&amp;"C"&amp;$A177)="N/A",0,RTD("tos.rtd",,AS$83,"."&amp;$B$134&amp;$AS$82&amp;"C"&amp;$A177))</f>
        <v>0</v>
      </c>
      <c r="AT177" s="3">
        <f>-IF(RTD("tos.rtd",,AT$83,"."&amp;$B$134&amp;$AS$82&amp;"P"&amp;$A177)="N/A",0,RTD("tos.rtd",,AT$83,"."&amp;$B$134&amp;$AS$82&amp;"P"&amp;$A177))</f>
        <v>-1</v>
      </c>
      <c r="AU177" s="54">
        <f>IF(RTD("tos.rtd",,AU$2,"."&amp;$C$134&amp;$AU$134&amp;"C"&amp;$A177)="N/A",0,RTD("tos.rtd",,AU$2,"."&amp;$C$134&amp;$AU$134&amp;"C"&amp;$A177))</f>
        <v>9</v>
      </c>
      <c r="AV177" s="3">
        <f>-IF(RTD("tos.rtd",,AV$2,"."&amp;$C$134&amp;$AU$134&amp;"P"&amp;$A177)="N/A",0,RTD("tos.rtd",,AV$2,"."&amp;$C$134&amp;$AU$134&amp;"P"&amp;$A177))</f>
        <v>-18</v>
      </c>
      <c r="AW177" s="54">
        <f>IF(RTD("tos.rtd",,AW$2,"."&amp;$D$134&amp;$AW$134&amp;"C"&amp;$A177)="N/A",0,RTD("tos.rtd",,AW$2,"."&amp;$D$134&amp;$AW$134&amp;"C"&amp;$A177))</f>
        <v>20</v>
      </c>
      <c r="AX177" s="3">
        <f>-IF(RTD("tos.rtd",,AX$2,"."&amp;$D$134&amp;$AW$134&amp;"P"&amp;$A177)="N/A",0,RTD("tos.rtd",,AX$2,"."&amp;$D$134&amp;$AW$134&amp;"P"&amp;$A177))</f>
        <v>-7</v>
      </c>
      <c r="AY177" s="76">
        <f t="shared" si="422"/>
        <v>3</v>
      </c>
      <c r="AZ177" s="8">
        <f t="shared" si="337"/>
        <v>20550</v>
      </c>
      <c r="BA177" s="54">
        <f>IF(RTD("tos.rtd",,BA$43,"."&amp;$B$134&amp;$AS$82&amp;"C"&amp;$A177)="N/A",0,RTD("tos.rtd",,BA$43,"."&amp;$B$134&amp;$AS$82&amp;"C"&amp;$A177))</f>
        <v>0</v>
      </c>
      <c r="BB177" s="3">
        <f>-IF(RTD("tos.rtd",,BB$43,"."&amp;$B$134&amp;$AS$82&amp;"P"&amp;$A177)="N/A",0,RTD("tos.rtd",,BB$43,"."&amp;$B$134&amp;$AS$82&amp;"P"&amp;$A177))</f>
        <v>0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-4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0</v>
      </c>
      <c r="BG177" s="3">
        <f ca="1">+Hoja2!Y178</f>
        <v>-53</v>
      </c>
      <c r="BH177" s="7">
        <f t="shared" ca="1" si="338"/>
        <v>-57</v>
      </c>
      <c r="BI177" s="32" t="str">
        <f t="shared" ca="1" si="397"/>
        <v/>
      </c>
      <c r="BJ177" s="3">
        <f ca="1">IF($BP$1=1,DX177,IF(RTD("tos.rtd",,BJ$43,"."&amp;$B$134&amp;$AS$82&amp;"C"&amp;$A177)="N/A",0,RTD("tos.rtd",,BJ$43,"."&amp;$B$134&amp;$AS$82&amp;"C"&amp;$A177)))</f>
        <v>2.9238656837441866E-4</v>
      </c>
      <c r="BK177" s="3">
        <f ca="1">IF($BP$1=1,DY177,-IF(RTD("tos.rtd",,BK$43,"."&amp;$B$134&amp;$AS$82&amp;"P"&amp;$A177)="N/A",0,RTD("tos.rtd",,BK$43,"."&amp;$B$134&amp;$AS$82&amp;"P"&amp;$A177)))</f>
        <v>-2.9849161618817179E-4</v>
      </c>
      <c r="BL177" s="3">
        <f ca="1">IF($BP$1=1,DZ177,IF(RTD("tos.rtd",,BL$2,"."&amp;$C$134&amp;$AU$82&amp;"C"&amp;$A177)="N/A",0,RTD("tos.rtd",,BL$2,"."&amp;$C$134&amp;$AU$82&amp;"C"&amp;$A177)))</f>
        <v>2.5335142411263463E-4</v>
      </c>
      <c r="BM177" s="3">
        <f ca="1">IF($BP$1=1,EA177,-IF(RTD("tos.rtd",,BM$2,"."&amp;$C$134&amp;$AU$82&amp;"P"&amp;$A177)="N/A",0,RTD("tos.rtd",,BM$2,"."&amp;$C$134&amp;$AU$82&amp;"P"&amp;$A177)))</f>
        <v>-2.7079746171317754E-4</v>
      </c>
      <c r="BN177" s="3">
        <f ca="1">IF($BP$1=1,EB177,IF(RTD("tos.rtd",,BN$2,"."&amp;$D$134&amp;$AW$82&amp;"C"&amp;$A177)="N/A",0,RTD("tos.rtd",,BN$2,"."&amp;$D$134&amp;$AW$82&amp;"C"&amp;$A177)))</f>
        <v>2.0116330258242399E-4</v>
      </c>
      <c r="BO177" s="3">
        <f ca="1">IF($BP$1=1,EC177,-IF(RTD("tos.rtd",,BO$2,"."&amp;$D$134&amp;$AW$82&amp;"P"&amp;$A177)="N/A",0,RTD("tos.rtd",,BO$2,"."&amp;$D$134&amp;$AW$82&amp;"P"&amp;$A177)))</f>
        <v>-2.3000816294469747E-4</v>
      </c>
      <c r="BQ177" s="3">
        <f t="shared" ca="1" si="423"/>
        <v>-10515.02164175257</v>
      </c>
      <c r="BR177" s="3" t="str">
        <f t="shared" ca="1" si="339"/>
        <v/>
      </c>
      <c r="BS177" s="3">
        <f t="shared" ca="1" si="424"/>
        <v>-91386.083296919402</v>
      </c>
      <c r="BT177" s="3" t="str">
        <f t="shared" ca="1" si="340"/>
        <v/>
      </c>
      <c r="BU177" s="3">
        <f t="shared" ca="1" si="425"/>
        <v>85010.575002591911</v>
      </c>
      <c r="BV177" s="3" t="str">
        <f t="shared" ca="1" si="340"/>
        <v/>
      </c>
      <c r="BX177" s="3">
        <f t="shared" ca="1" si="370"/>
        <v>0</v>
      </c>
      <c r="BY177" s="3" t="str">
        <f t="shared" ca="1" si="371"/>
        <v/>
      </c>
      <c r="BZ177" s="3">
        <f t="shared" ca="1" si="372"/>
        <v>-292.47787142459396</v>
      </c>
      <c r="CA177" s="3" t="str">
        <f t="shared" ca="1" si="371"/>
        <v/>
      </c>
      <c r="CB177" s="3">
        <f t="shared" ca="1" si="373"/>
        <v>0</v>
      </c>
      <c r="CC177" s="3" t="str">
        <f t="shared" ca="1" si="371"/>
        <v/>
      </c>
      <c r="CD177" s="3">
        <f>IF(RTD("tos.rtd",,CD$43,"."&amp;$B$134&amp;$AS$82&amp;"C"&amp;$A177)="N/A",0,RTD("tos.rtd",,CD$43,"."&amp;$B$134&amp;$AS$82&amp;"C"&amp;$A177))</f>
        <v>0.97</v>
      </c>
      <c r="CE177" s="3">
        <f>-IF(RTD("tos.rtd",,CE$43,"."&amp;$B$134&amp;$AS$82&amp;"P"&amp;$A177)="N/A",0,RTD("tos.rtd",,CE$43,"."&amp;$B$134&amp;$AS$82&amp;"P"&amp;$A177))</f>
        <v>0.05</v>
      </c>
      <c r="CF177" s="3">
        <f>IF(RTD("tos.rtd",,CF$2,"."&amp;$C$134&amp;$AU$82&amp;"C"&amp;$A177)="N/A",0,RTD("tos.rtd",,CF$2,"."&amp;$C$134&amp;$AU$82&amp;"C"&amp;$A177))</f>
        <v>1</v>
      </c>
      <c r="CG177" s="3">
        <f>-IF(RTD("tos.rtd",,CG$2,"."&amp;$C$134&amp;$AU$82&amp;"P"&amp;$A177)="N/A",0,RTD("tos.rtd",,CG$2,"."&amp;$C$134&amp;$AU$82&amp;"P"&amp;$A177))</f>
        <v>0.05</v>
      </c>
      <c r="CH177" s="3">
        <f>IF(RTD("tos.rtd",,CH$2,"."&amp;$D$134&amp;$AW$82&amp;"C"&amp;$A177)="N/A",0,RTD("tos.rtd",,CH$2,"."&amp;$D$134&amp;$AW$82&amp;"C"&amp;$A177))</f>
        <v>0.77</v>
      </c>
      <c r="CI177" s="3">
        <f>-IF(RTD("tos.rtd",,CI$2,"."&amp;$D$134&amp;$AW$82&amp;"P"&amp;$A177)="N/A",0,RTD("tos.rtd",,CI$2,"."&amp;$D$134&amp;$AW$82&amp;"P"&amp;$A177))</f>
        <v>0.25</v>
      </c>
      <c r="CK177" s="3">
        <f t="shared" si="374"/>
        <v>-106653.75</v>
      </c>
      <c r="CL177" s="3"/>
      <c r="CM177" s="3">
        <f t="shared" si="375"/>
        <v>17277907.5</v>
      </c>
      <c r="CN177" s="3"/>
      <c r="CO177" s="3">
        <f t="shared" si="376"/>
        <v>29116473.75</v>
      </c>
      <c r="CP177" s="3">
        <f t="shared" si="331"/>
        <v>46287727.5</v>
      </c>
      <c r="CQ177" s="3">
        <f t="shared" si="341"/>
        <v>0</v>
      </c>
      <c r="CR177" s="3"/>
      <c r="CS177" s="3">
        <f t="shared" si="342"/>
        <v>-4</v>
      </c>
      <c r="CT177" s="3"/>
      <c r="CU177" s="3">
        <f t="shared" si="343"/>
        <v>0</v>
      </c>
      <c r="CV177" s="3"/>
      <c r="CW177" s="3">
        <f t="shared" ca="1" si="344"/>
        <v>-16890.529936080056</v>
      </c>
      <c r="CY177" s="3">
        <f t="shared" ca="1" si="345"/>
        <v>-292.47787142459396</v>
      </c>
      <c r="CZ177" s="70" t="str">
        <f t="shared" ca="1" si="377"/>
        <v/>
      </c>
      <c r="DA177" s="3">
        <f>IF(RTD("tos.rtd",,DA$43,"."&amp;$B$134&amp;$AS$82&amp;"C"&amp;$A177)="N/A",0,RTD("tos.rtd",,DA$43,"."&amp;$B$134&amp;$AS$82&amp;"C"&amp;$A177))</f>
        <v>0</v>
      </c>
      <c r="DB177" s="3">
        <f>IF(RTD("tos.rtd",,DB$43,"."&amp;$B$134&amp;$AS$82&amp;"P"&amp;$A177)="N/A",0,RTD("tos.rtd",,DB$43,"."&amp;$B$134&amp;$AS$82&amp;"P"&amp;$A177))</f>
        <v>0.99</v>
      </c>
      <c r="DC177" s="3">
        <f>IF(RTD("tos.rtd",,DC$43,"."&amp;$B$134&amp;$AS$82&amp;"C"&amp;$A177)="N/A",0,RTD("tos.rtd",,DC$43,"."&amp;$B$134&amp;$AS$82&amp;"C"&amp;$A177))</f>
        <v>860.1</v>
      </c>
      <c r="DD177" s="3">
        <f>IF(RTD("tos.rtd",,DD$43,"."&amp;$B$134&amp;$AS$82&amp;"P"&amp;$A177)="N/A",0,RTD("tos.rtd",,DD$43,"."&amp;$B$134&amp;$AS$82&amp;"P"&amp;$A177))</f>
        <v>19.8</v>
      </c>
      <c r="DE177" s="3">
        <f>IF(RTD("tos.rtd",,DE$43,"."&amp;$B$134&amp;$AS$82&amp;"C"&amp;$A177)="N/A",0,RTD("tos.rtd",,DE$43,"."&amp;$B$134&amp;$AS$82&amp;"C"&amp;$A177))</f>
        <v>784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378"/>
        <v>-780.75</v>
      </c>
      <c r="DH177" s="3">
        <f t="shared" si="379"/>
        <v>0</v>
      </c>
      <c r="DI177" s="3">
        <f t="shared" si="380"/>
        <v>0</v>
      </c>
      <c r="DJ177" s="3">
        <f t="shared" si="346"/>
        <v>0</v>
      </c>
      <c r="DK177" s="3">
        <f t="shared" si="347"/>
        <v>0</v>
      </c>
      <c r="DL177" s="3">
        <f t="shared" si="381"/>
        <v>0</v>
      </c>
      <c r="DM177" s="3">
        <f t="shared" si="382"/>
        <v>0</v>
      </c>
      <c r="DN177" s="64" t="str">
        <f t="shared" si="348"/>
        <v>UNKNOWN</v>
      </c>
      <c r="DO177" s="64" t="str">
        <f t="shared" si="349"/>
        <v>UNKNOWN</v>
      </c>
      <c r="DP177" s="3">
        <f t="shared" si="350"/>
        <v>0</v>
      </c>
      <c r="DQ177" s="3">
        <f t="shared" si="351"/>
        <v>0</v>
      </c>
      <c r="DR177" s="3">
        <f t="shared" ca="1" si="352"/>
        <v>0</v>
      </c>
      <c r="DS177" s="3">
        <f t="shared" si="353"/>
        <v>0</v>
      </c>
      <c r="DT177" s="3">
        <f t="shared" si="383"/>
        <v>0</v>
      </c>
      <c r="DU177" s="3">
        <f t="shared" si="384"/>
        <v>0</v>
      </c>
      <c r="DV177" s="3">
        <f t="shared" si="354"/>
        <v>0</v>
      </c>
      <c r="DW177" s="3">
        <f t="shared" si="355"/>
        <v>0</v>
      </c>
      <c r="DX177" s="3">
        <f t="shared" ca="1" si="436"/>
        <v>2.9238656837441866E-4</v>
      </c>
      <c r="DY177" s="3">
        <f t="shared" ca="1" si="437"/>
        <v>-2.9849161618817179E-4</v>
      </c>
      <c r="DZ177" s="3">
        <f t="shared" ca="1" si="438"/>
        <v>2.5335142411263463E-4</v>
      </c>
      <c r="EA177" s="3">
        <f t="shared" ca="1" si="439"/>
        <v>-2.7079746171317754E-4</v>
      </c>
      <c r="EB177" s="3">
        <f t="shared" ca="1" si="440"/>
        <v>2.0116330258242399E-4</v>
      </c>
      <c r="EC177" s="3">
        <f t="shared" ca="1" si="441"/>
        <v>-2.3000816294469747E-4</v>
      </c>
      <c r="ED177" s="63">
        <f t="shared" si="385"/>
        <v>0</v>
      </c>
      <c r="EE177" s="59">
        <f t="shared" si="362"/>
        <v>2.7054999999999998</v>
      </c>
      <c r="EF177" s="59">
        <f t="shared" si="363"/>
        <v>3.1101000000000001</v>
      </c>
      <c r="EG177" s="59">
        <f t="shared" si="364"/>
        <v>0.25</v>
      </c>
      <c r="EH177" s="59">
        <f t="shared" si="365"/>
        <v>0.27060000000000001</v>
      </c>
      <c r="EI177" s="59">
        <f t="shared" si="366"/>
        <v>0.2112</v>
      </c>
      <c r="EJ177" s="59">
        <f t="shared" si="367"/>
        <v>0.2301</v>
      </c>
      <c r="EK177" s="63">
        <f t="shared" ca="1" si="386"/>
        <v>0</v>
      </c>
      <c r="EL177" s="3" t="str">
        <f>RTD("tos.rtd",,EL$43,"."&amp;$B$134&amp;$AS$82&amp;"C"&amp;$A177)</f>
        <v>270.55%</v>
      </c>
      <c r="EM177" s="3" t="str">
        <f>RTD("tos.rtd",,EM$43,"."&amp;$B$134&amp;$AS$82&amp;"P"&amp;$A177)</f>
        <v>311.01%</v>
      </c>
      <c r="EN177" s="3" t="str">
        <f>RTD("tos.rtd",,EN$2,"."&amp;$C$134&amp;$AU$82&amp;"C"&amp;$A177)</f>
        <v>--</v>
      </c>
      <c r="EO177" s="3" t="str">
        <f>RTD("tos.rtd",,EO$2,"."&amp;$C$134&amp;$AU$82&amp;"P"&amp;$A177)</f>
        <v>27.06%</v>
      </c>
      <c r="EP177" s="3" t="str">
        <f>RTD("tos.rtd",,EP$2,"."&amp;$D$134&amp;$AW$82&amp;"C"&amp;$A177)</f>
        <v>21.12%</v>
      </c>
      <c r="EQ177" s="3" t="str">
        <f>RTD("tos.rtd",,EQ$2,"."&amp;$D$134&amp;$AW$82&amp;"P"&amp;$A177)</f>
        <v>23.01%</v>
      </c>
      <c r="ES177" s="63" t="str">
        <f t="shared" si="368"/>
        <v>20550,00.00</v>
      </c>
      <c r="ET177" s="63" t="str">
        <f t="shared" ca="1" si="369"/>
        <v>20550,-00.29</v>
      </c>
      <c r="EU177" s="68">
        <v>592.64</v>
      </c>
      <c r="EV177" s="68" t="s">
        <v>1432</v>
      </c>
      <c r="EW177" s="68">
        <v>519.11</v>
      </c>
      <c r="EX177" s="68" t="s">
        <v>1433</v>
      </c>
      <c r="EY177" s="68">
        <v>5936.25</v>
      </c>
      <c r="EZ177" s="68" t="s">
        <v>1434</v>
      </c>
      <c r="FA177" s="68">
        <v>21309.5</v>
      </c>
      <c r="FB177" s="68" t="s">
        <v>1435</v>
      </c>
      <c r="FC177" s="68" t="s">
        <v>1436</v>
      </c>
      <c r="FD177" s="68" t="s">
        <v>1437</v>
      </c>
      <c r="FE177" s="68" t="s">
        <v>1438</v>
      </c>
      <c r="FF177" s="68" t="s">
        <v>1439</v>
      </c>
    </row>
    <row r="178" spans="1:162" ht="11.1" customHeight="1" thickBot="1" x14ac:dyDescent="0.25">
      <c r="A178" s="2">
        <f t="shared" si="387"/>
        <v>20525</v>
      </c>
      <c r="B178" s="3">
        <f t="shared" si="416"/>
        <v>1</v>
      </c>
      <c r="C178" s="3">
        <f t="shared" si="417"/>
        <v>18</v>
      </c>
      <c r="D178" s="3">
        <f t="shared" si="418"/>
        <v>12</v>
      </c>
      <c r="E178" s="3">
        <f t="shared" si="419"/>
        <v>31</v>
      </c>
      <c r="F178" s="4">
        <f t="shared" si="420"/>
        <v>20611.600330508772</v>
      </c>
      <c r="G178" s="5">
        <f t="shared" si="421"/>
        <v>500.00144158081639</v>
      </c>
      <c r="AM178" s="1">
        <v>0</v>
      </c>
      <c r="AN178" s="1">
        <v>10</v>
      </c>
      <c r="AO178" s="1">
        <v>20525</v>
      </c>
      <c r="AP178" s="1">
        <v>0</v>
      </c>
      <c r="AQ178" s="1">
        <v>-16</v>
      </c>
      <c r="AS178" s="54">
        <f>IF(RTD("tos.rtd",,AS$83,"."&amp;$B$134&amp;$AS$82&amp;"C"&amp;$A178)="N/A",0,RTD("tos.rtd",,AS$83,"."&amp;$B$134&amp;$AS$82&amp;"C"&amp;$A178))</f>
        <v>0</v>
      </c>
      <c r="AT178" s="3">
        <f>-IF(RTD("tos.rtd",,AT$83,"."&amp;$B$134&amp;$AS$82&amp;"P"&amp;$A178)="N/A",0,RTD("tos.rtd",,AT$83,"."&amp;$B$134&amp;$AS$82&amp;"P"&amp;$A178))</f>
        <v>-1</v>
      </c>
      <c r="AU178" s="54">
        <f>IF(RTD("tos.rtd",,AU$2,"."&amp;$C$134&amp;$AU$134&amp;"C"&amp;$A178)="N/A",0,RTD("tos.rtd",,AU$2,"."&amp;$C$134&amp;$AU$134&amp;"C"&amp;$A178))</f>
        <v>11</v>
      </c>
      <c r="AV178" s="3">
        <f>-IF(RTD("tos.rtd",,AV$2,"."&amp;$C$134&amp;$AU$134&amp;"P"&amp;$A178)="N/A",0,RTD("tos.rtd",,AV$2,"."&amp;$C$134&amp;$AU$134&amp;"P"&amp;$A178))</f>
        <v>-7</v>
      </c>
      <c r="AW178" s="54">
        <f>IF(RTD("tos.rtd",,AW$2,"."&amp;$D$134&amp;$AW$134&amp;"C"&amp;$A178)="N/A",0,RTD("tos.rtd",,AW$2,"."&amp;$D$134&amp;$AW$134&amp;"C"&amp;$A178))</f>
        <v>8</v>
      </c>
      <c r="AX178" s="3">
        <f>-IF(RTD("tos.rtd",,AX$2,"."&amp;$D$134&amp;$AW$134&amp;"P"&amp;$A178)="N/A",0,RTD("tos.rtd",,AX$2,"."&amp;$D$134&amp;$AW$134&amp;"P"&amp;$A178))</f>
        <v>-4</v>
      </c>
      <c r="AY178" s="76">
        <f t="shared" si="422"/>
        <v>7</v>
      </c>
      <c r="AZ178" s="8">
        <f t="shared" si="337"/>
        <v>20525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-16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0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0</v>
      </c>
      <c r="BG178" s="3">
        <f ca="1">+Hoja2!Y179</f>
        <v>-7</v>
      </c>
      <c r="BH178" s="7">
        <f t="shared" ca="1" si="338"/>
        <v>-23</v>
      </c>
      <c r="BI178" s="32" t="str">
        <f t="shared" ca="1" si="397"/>
        <v/>
      </c>
      <c r="BJ178" s="3">
        <f ca="1">IF($BP$1=1,DX178,IF(RTD("tos.rtd",,BJ$43,"."&amp;$B$134&amp;$AS$82&amp;"C"&amp;$A178)="N/A",0,RTD("tos.rtd",,BJ$43,"."&amp;$B$134&amp;$AS$82&amp;"C"&amp;$A178)))</f>
        <v>2.557546832978923E-4</v>
      </c>
      <c r="BK178" s="3">
        <f ca="1">IF($BP$1=1,DY178,-IF(RTD("tos.rtd",,BK$43,"."&amp;$B$134&amp;$AS$82&amp;"P"&amp;$A178)="N/A",0,RTD("tos.rtd",,BK$43,"."&amp;$B$134&amp;$AS$82&amp;"P"&amp;$A178)))</f>
        <v>-2.8887132677390525E-4</v>
      </c>
      <c r="BL178" s="3">
        <f ca="1">IF($BP$1=1,DZ178,IF(RTD("tos.rtd",,BL$2,"."&amp;$C$134&amp;$AU$82&amp;"C"&amp;$A178)="N/A",0,RTD("tos.rtd",,BL$2,"."&amp;$C$134&amp;$AU$82&amp;"C"&amp;$A178)))</f>
        <v>2.3721624374407093E-4</v>
      </c>
      <c r="BM178" s="3">
        <f ca="1">IF($BP$1=1,EA178,-IF(RTD("tos.rtd",,BM$2,"."&amp;$C$134&amp;$AU$82&amp;"P"&amp;$A178)="N/A",0,RTD("tos.rtd",,BM$2,"."&amp;$C$134&amp;$AU$82&amp;"P"&amp;$A178)))</f>
        <v>-2.5741671779158664E-4</v>
      </c>
      <c r="BN178" s="3">
        <f ca="1">IF($BP$1=1,EB178,IF(RTD("tos.rtd",,BN$2,"."&amp;$D$134&amp;$AW$82&amp;"C"&amp;$A178)="N/A",0,RTD("tos.rtd",,BN$2,"."&amp;$D$134&amp;$AW$82&amp;"C"&amp;$A178)))</f>
        <v>1.8468459124936388E-4</v>
      </c>
      <c r="BO178" s="3">
        <f ca="1">IF($BP$1=1,EC178,-IF(RTD("tos.rtd",,BO$2,"."&amp;$D$134&amp;$AW$82&amp;"P"&amp;$A178)="N/A",0,RTD("tos.rtd",,BO$2,"."&amp;$D$134&amp;$AW$82&amp;"P"&amp;$A178)))</f>
        <v>-2.1408592146535067E-4</v>
      </c>
      <c r="BQ178" s="3">
        <f t="shared" ca="1" si="423"/>
        <v>-10176.125854049222</v>
      </c>
      <c r="BR178" s="3" t="str">
        <f t="shared" ca="1" si="339"/>
        <v/>
      </c>
      <c r="BS178" s="3">
        <f t="shared" ca="1" si="424"/>
        <v>28444.607265421953</v>
      </c>
      <c r="BT178" s="3" t="str">
        <f t="shared" ca="1" si="340"/>
        <v>Cruce +</v>
      </c>
      <c r="BU178" s="3">
        <f t="shared" ca="1" si="425"/>
        <v>21880.773352622909</v>
      </c>
      <c r="BV178" s="3" t="str">
        <f t="shared" ca="1" si="340"/>
        <v/>
      </c>
      <c r="BX178" s="3">
        <f t="shared" ca="1" si="370"/>
        <v>-1247.9950179136963</v>
      </c>
      <c r="BY178" s="3" t="str">
        <f t="shared" ca="1" si="371"/>
        <v/>
      </c>
      <c r="BZ178" s="3">
        <f t="shared" ca="1" si="372"/>
        <v>0</v>
      </c>
      <c r="CA178" s="3" t="str">
        <f t="shared" ca="1" si="371"/>
        <v/>
      </c>
      <c r="CB178" s="3">
        <f t="shared" ca="1" si="373"/>
        <v>0</v>
      </c>
      <c r="CC178" s="3" t="str">
        <f t="shared" ca="1" si="371"/>
        <v/>
      </c>
      <c r="CD178" s="3">
        <f>IF(RTD("tos.rtd",,CD$43,"."&amp;$B$134&amp;$AS$82&amp;"C"&amp;$A178)="N/A",0,RTD("tos.rtd",,CD$43,"."&amp;$B$134&amp;$AS$82&amp;"C"&amp;$A178))</f>
        <v>0.99</v>
      </c>
      <c r="CE178" s="3">
        <f>-IF(RTD("tos.rtd",,CE$43,"."&amp;$B$134&amp;$AS$82&amp;"P"&amp;$A178)="N/A",0,RTD("tos.rtd",,CE$43,"."&amp;$B$134&amp;$AS$82&amp;"P"&amp;$A178))</f>
        <v>0.05</v>
      </c>
      <c r="CF178" s="3">
        <f>IF(RTD("tos.rtd",,CF$2,"."&amp;$C$134&amp;$AU$82&amp;"C"&amp;$A178)="N/A",0,RTD("tos.rtd",,CF$2,"."&amp;$C$134&amp;$AU$82&amp;"C"&amp;$A178))</f>
        <v>1</v>
      </c>
      <c r="CG178" s="3">
        <f>-IF(RTD("tos.rtd",,CG$2,"."&amp;$C$134&amp;$AU$82&amp;"P"&amp;$A178)="N/A",0,RTD("tos.rtd",,CG$2,"."&amp;$C$134&amp;$AU$82&amp;"P"&amp;$A178))</f>
        <v>0.05</v>
      </c>
      <c r="CH178" s="3">
        <f>IF(RTD("tos.rtd",,CH$2,"."&amp;$D$134&amp;$AW$82&amp;"C"&amp;$A178)="N/A",0,RTD("tos.rtd",,CH$2,"."&amp;$D$134&amp;$AW$82&amp;"C"&amp;$A178))</f>
        <v>0.77</v>
      </c>
      <c r="CI178" s="3">
        <f>-IF(RTD("tos.rtd",,CI$2,"."&amp;$D$134&amp;$AW$82&amp;"P"&amp;$A178)="N/A",0,RTD("tos.rtd",,CI$2,"."&amp;$D$134&amp;$AW$82&amp;"P"&amp;$A178))</f>
        <v>0.24</v>
      </c>
      <c r="CK178" s="3">
        <f t="shared" si="374"/>
        <v>-106653.75</v>
      </c>
      <c r="CL178" s="3"/>
      <c r="CM178" s="3">
        <f t="shared" si="375"/>
        <v>22717248.75</v>
      </c>
      <c r="CN178" s="3"/>
      <c r="CO178" s="3">
        <f t="shared" si="376"/>
        <v>11091990</v>
      </c>
      <c r="CP178" s="3">
        <f t="shared" si="331"/>
        <v>33702585</v>
      </c>
      <c r="CQ178" s="3">
        <f t="shared" si="341"/>
        <v>-16</v>
      </c>
      <c r="CR178" s="3"/>
      <c r="CS178" s="3">
        <f t="shared" si="342"/>
        <v>0</v>
      </c>
      <c r="CT178" s="3"/>
      <c r="CU178" s="3">
        <f t="shared" si="343"/>
        <v>0</v>
      </c>
      <c r="CV178" s="3"/>
      <c r="CW178" s="3">
        <f t="shared" ca="1" si="344"/>
        <v>40149.254763995646</v>
      </c>
      <c r="CY178" s="3">
        <f t="shared" ca="1" si="345"/>
        <v>-1247.9950179136963</v>
      </c>
      <c r="CZ178" s="70" t="str">
        <f t="shared" ca="1" si="377"/>
        <v/>
      </c>
      <c r="DA178" s="3">
        <f>IF(RTD("tos.rtd",,DA$43,"."&amp;$B$134&amp;$AS$82&amp;"C"&amp;$A178)="N/A",0,RTD("tos.rtd",,DA$43,"."&amp;$B$134&amp;$AS$82&amp;"C"&amp;$A178))</f>
        <v>0</v>
      </c>
      <c r="DB178" s="3">
        <f>IF(RTD("tos.rtd",,DB$43,"."&amp;$B$134&amp;$AS$82&amp;"P"&amp;$A178)="N/A",0,RTD("tos.rtd",,DB$43,"."&amp;$B$134&amp;$AS$82&amp;"P"&amp;$A178))</f>
        <v>0.3</v>
      </c>
      <c r="DC178" s="3">
        <f>IF(RTD("tos.rtd",,DC$43,"."&amp;$B$134&amp;$AS$82&amp;"C"&amp;$A178)="N/A",0,RTD("tos.rtd",,DC$43,"."&amp;$B$134&amp;$AS$82&amp;"C"&amp;$A178))</f>
        <v>882.2</v>
      </c>
      <c r="DD178" s="3">
        <f>IF(RTD("tos.rtd",,DD$43,"."&amp;$B$134&amp;$AS$82&amp;"P"&amp;$A178)="N/A",0,RTD("tos.rtd",,DD$43,"."&amp;$B$134&amp;$AS$82&amp;"P"&amp;$A178))</f>
        <v>19.8</v>
      </c>
      <c r="DE178" s="3">
        <f>IF(RTD("tos.rtd",,DE$43,"."&amp;$B$134&amp;$AS$82&amp;"C"&amp;$A178)="N/A",0,RTD("tos.rtd",,DE$43,"."&amp;$B$134&amp;$AS$82&amp;"C"&amp;$A178))</f>
        <v>805.6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378"/>
        <v>-805.75</v>
      </c>
      <c r="DH178" s="3">
        <f t="shared" si="379"/>
        <v>0</v>
      </c>
      <c r="DI178" s="3">
        <f t="shared" si="380"/>
        <v>0</v>
      </c>
      <c r="DJ178" s="3">
        <f t="shared" si="346"/>
        <v>0</v>
      </c>
      <c r="DK178" s="3">
        <f t="shared" si="347"/>
        <v>0</v>
      </c>
      <c r="DL178" s="3">
        <f t="shared" si="381"/>
        <v>0</v>
      </c>
      <c r="DM178" s="3">
        <f t="shared" si="382"/>
        <v>0</v>
      </c>
      <c r="DN178" s="64" t="str">
        <f t="shared" si="348"/>
        <v>UNKNOWN</v>
      </c>
      <c r="DO178" s="64" t="str">
        <f t="shared" si="349"/>
        <v>UNKNOWN</v>
      </c>
      <c r="DP178" s="3">
        <f t="shared" si="350"/>
        <v>0</v>
      </c>
      <c r="DQ178" s="3">
        <f t="shared" si="351"/>
        <v>0</v>
      </c>
      <c r="DR178" s="3">
        <f t="shared" ca="1" si="352"/>
        <v>0</v>
      </c>
      <c r="DS178" s="3">
        <f t="shared" si="353"/>
        <v>0</v>
      </c>
      <c r="DT178" s="3">
        <f t="shared" si="383"/>
        <v>0</v>
      </c>
      <c r="DU178" s="3">
        <f t="shared" si="384"/>
        <v>0</v>
      </c>
      <c r="DV178" s="3">
        <f t="shared" si="354"/>
        <v>0</v>
      </c>
      <c r="DW178" s="3">
        <f t="shared" si="355"/>
        <v>10</v>
      </c>
      <c r="DX178" s="3">
        <f t="shared" ca="1" si="436"/>
        <v>2.557546832978923E-4</v>
      </c>
      <c r="DY178" s="3">
        <f t="shared" ca="1" si="437"/>
        <v>-2.8887132677390525E-4</v>
      </c>
      <c r="DZ178" s="3">
        <f t="shared" ca="1" si="438"/>
        <v>2.3721624374407093E-4</v>
      </c>
      <c r="EA178" s="3">
        <f t="shared" ca="1" si="439"/>
        <v>-2.5741671779158664E-4</v>
      </c>
      <c r="EB178" s="3">
        <f t="shared" ca="1" si="440"/>
        <v>1.8468459124936388E-4</v>
      </c>
      <c r="EC178" s="3">
        <f t="shared" ca="1" si="441"/>
        <v>-2.1408592146535067E-4</v>
      </c>
      <c r="ED178" s="63">
        <f t="shared" si="385"/>
        <v>10</v>
      </c>
      <c r="EE178" s="59">
        <f t="shared" si="362"/>
        <v>2.3441999999999998</v>
      </c>
      <c r="EF178" s="59">
        <f t="shared" si="363"/>
        <v>3.1879</v>
      </c>
      <c r="EG178" s="59">
        <f t="shared" si="364"/>
        <v>0.25</v>
      </c>
      <c r="EH178" s="59">
        <f t="shared" si="365"/>
        <v>0.27250000000000002</v>
      </c>
      <c r="EI178" s="59">
        <f t="shared" si="366"/>
        <v>0.21190000000000001</v>
      </c>
      <c r="EJ178" s="59">
        <f t="shared" si="367"/>
        <v>0.23100000000000001</v>
      </c>
      <c r="EK178" s="63">
        <f t="shared" ca="1" si="386"/>
        <v>-1314367.1238445449</v>
      </c>
      <c r="EL178" s="3" t="str">
        <f>RTD("tos.rtd",,EL$43,"."&amp;$B$134&amp;$AS$82&amp;"C"&amp;$A178)</f>
        <v>234.42%</v>
      </c>
      <c r="EM178" s="3" t="str">
        <f>RTD("tos.rtd",,EM$43,"."&amp;$B$134&amp;$AS$82&amp;"P"&amp;$A178)</f>
        <v>318.79%</v>
      </c>
      <c r="EN178" s="3" t="str">
        <f>RTD("tos.rtd",,EN$2,"."&amp;$C$134&amp;$AU$82&amp;"C"&amp;$A178)</f>
        <v>--</v>
      </c>
      <c r="EO178" s="3" t="str">
        <f>RTD("tos.rtd",,EO$2,"."&amp;$C$134&amp;$AU$82&amp;"P"&amp;$A178)</f>
        <v>27.25%</v>
      </c>
      <c r="EP178" s="3" t="str">
        <f>RTD("tos.rtd",,EP$2,"."&amp;$D$134&amp;$AW$82&amp;"C"&amp;$A178)</f>
        <v>21.19%</v>
      </c>
      <c r="EQ178" s="3" t="str">
        <f>RTD("tos.rtd",,EQ$2,"."&amp;$D$134&amp;$AW$82&amp;"P"&amp;$A178)</f>
        <v>23.10%</v>
      </c>
      <c r="ES178" s="63" t="str">
        <f t="shared" si="368"/>
        <v>20525,10.00</v>
      </c>
      <c r="ET178" s="63" t="str">
        <f t="shared" ca="1" si="369"/>
        <v>20525,-01.25</v>
      </c>
      <c r="EU178" s="68">
        <v>592.64</v>
      </c>
      <c r="EV178" s="68" t="s">
        <v>1440</v>
      </c>
      <c r="EW178" s="68">
        <v>519.11</v>
      </c>
      <c r="EX178" s="68" t="s">
        <v>1441</v>
      </c>
      <c r="EY178" s="68">
        <v>5936.25</v>
      </c>
      <c r="EZ178" s="68" t="s">
        <v>1442</v>
      </c>
      <c r="FA178" s="68">
        <v>21309.5</v>
      </c>
      <c r="FB178" s="68" t="s">
        <v>1443</v>
      </c>
      <c r="FC178" s="68" t="s">
        <v>1444</v>
      </c>
      <c r="FD178" s="68" t="s">
        <v>1445</v>
      </c>
      <c r="FE178" s="68" t="s">
        <v>1446</v>
      </c>
      <c r="FF178" s="68" t="s">
        <v>1447</v>
      </c>
    </row>
    <row r="179" spans="1:162" ht="11.1" customHeight="1" thickBot="1" x14ac:dyDescent="0.25">
      <c r="A179" s="2">
        <f t="shared" si="387"/>
        <v>20500</v>
      </c>
      <c r="B179" s="3">
        <f t="shared" si="416"/>
        <v>19</v>
      </c>
      <c r="C179" s="3">
        <f t="shared" si="417"/>
        <v>109</v>
      </c>
      <c r="D179" s="3">
        <f t="shared" si="418"/>
        <v>506</v>
      </c>
      <c r="E179" s="3">
        <f t="shared" si="419"/>
        <v>634</v>
      </c>
      <c r="F179" s="4">
        <f t="shared" si="420"/>
        <v>20586.494848985618</v>
      </c>
      <c r="G179" s="5">
        <f t="shared" si="421"/>
        <v>499.39242642663754</v>
      </c>
      <c r="AM179" s="1">
        <v>0</v>
      </c>
      <c r="AN179" s="1">
        <v>1</v>
      </c>
      <c r="AO179" s="1">
        <v>20500</v>
      </c>
      <c r="AP179" s="1">
        <v>1</v>
      </c>
      <c r="AQ179" s="1">
        <v>-88</v>
      </c>
      <c r="AS179" s="54">
        <f>IF(RTD("tos.rtd",,AS$83,"."&amp;$B$134&amp;$AS$82&amp;"C"&amp;$A179)="N/A",0,RTD("tos.rtd",,AS$83,"."&amp;$B$134&amp;$AS$82&amp;"C"&amp;$A179))</f>
        <v>11</v>
      </c>
      <c r="AT179" s="3">
        <f>-IF(RTD("tos.rtd",,AT$83,"."&amp;$B$134&amp;$AS$82&amp;"P"&amp;$A179)="N/A",0,RTD("tos.rtd",,AT$83,"."&amp;$B$134&amp;$AS$82&amp;"P"&amp;$A179))</f>
        <v>-8</v>
      </c>
      <c r="AU179" s="54">
        <f>IF(RTD("tos.rtd",,AU$2,"."&amp;$C$134&amp;$AU$134&amp;"C"&amp;$A179)="N/A",0,RTD("tos.rtd",,AU$2,"."&amp;$C$134&amp;$AU$134&amp;"C"&amp;$A179))</f>
        <v>42</v>
      </c>
      <c r="AV179" s="3">
        <f>-IF(RTD("tos.rtd",,AV$2,"."&amp;$C$134&amp;$AU$134&amp;"P"&amp;$A179)="N/A",0,RTD("tos.rtd",,AV$2,"."&amp;$C$134&amp;$AU$134&amp;"P"&amp;$A179))</f>
        <v>-67</v>
      </c>
      <c r="AW179" s="54">
        <f>IF(RTD("tos.rtd",,AW$2,"."&amp;$D$134&amp;$AW$134&amp;"C"&amp;$A179)="N/A",0,RTD("tos.rtd",,AW$2,"."&amp;$D$134&amp;$AW$134&amp;"C"&amp;$A179))</f>
        <v>339</v>
      </c>
      <c r="AX179" s="3">
        <f>-IF(RTD("tos.rtd",,AX$2,"."&amp;$D$134&amp;$AW$134&amp;"P"&amp;$A179)="N/A",0,RTD("tos.rtd",,AX$2,"."&amp;$D$134&amp;$AW$134&amp;"P"&amp;$A179))</f>
        <v>-167</v>
      </c>
      <c r="AY179" s="76">
        <f t="shared" si="422"/>
        <v>150</v>
      </c>
      <c r="AZ179" s="8">
        <f t="shared" si="337"/>
        <v>20500</v>
      </c>
      <c r="BA179" s="54">
        <f>IF(RTD("tos.rtd",,BA$43,"."&amp;$B$134&amp;$AS$82&amp;"C"&amp;$A179)="N/A",0,RTD("tos.rtd",,BA$43,"."&amp;$B$134&amp;$AS$82&amp;"C"&amp;$A179))</f>
        <v>1</v>
      </c>
      <c r="BB179" s="3">
        <f>-IF(RTD("tos.rtd",,BB$43,"."&amp;$B$134&amp;$AS$82&amp;"P"&amp;$A179)="N/A",0,RTD("tos.rtd",,BB$43,"."&amp;$B$134&amp;$AS$82&amp;"P"&amp;$A179))</f>
        <v>-88</v>
      </c>
      <c r="BC179" s="54">
        <f>IF(RTD("tos.rtd",,BC$2,"."&amp;$C$134&amp;$AU$82&amp;"C"&amp;$A179)="N/A",0,RTD("tos.rtd",,BC$2,"."&amp;$C$134&amp;$AU$82&amp;"C"&amp;$A179))</f>
        <v>19</v>
      </c>
      <c r="BD179" s="3">
        <f>-IF(RTD("tos.rtd",,BD$2,"."&amp;$C$134&amp;$AU$82&amp;"P"&amp;$A179)="N/A",0,RTD("tos.rtd",,BD$2,"."&amp;$C$134&amp;$AU$82&amp;"P"&amp;$A179))</f>
        <v>-15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-1</v>
      </c>
      <c r="BG179" s="3">
        <f ca="1">+Hoja2!Y180</f>
        <v>-51</v>
      </c>
      <c r="BH179" s="7">
        <f t="shared" ca="1" si="338"/>
        <v>-135</v>
      </c>
      <c r="BI179" s="32" t="str">
        <f t="shared" ca="1" si="397"/>
        <v/>
      </c>
      <c r="BJ179" s="3">
        <f ca="1">IF($BP$1=1,DX179,IF(RTD("tos.rtd",,BJ$43,"."&amp;$B$134&amp;$AS$82&amp;"C"&amp;$A179)="N/A",0,RTD("tos.rtd",,BJ$43,"."&amp;$B$134&amp;$AS$82&amp;"C"&amp;$A179)))</f>
        <v>2.3081182334821877E-4</v>
      </c>
      <c r="BK179" s="3">
        <f ca="1">IF($BP$1=1,DY179,-IF(RTD("tos.rtd",,BK$43,"."&amp;$B$134&amp;$AS$82&amp;"P"&amp;$A179)="N/A",0,RTD("tos.rtd",,BK$43,"."&amp;$B$134&amp;$AS$82&amp;"P"&amp;$A179)))</f>
        <v>-1.726417889685132E-4</v>
      </c>
      <c r="BL179" s="3">
        <f ca="1">IF($BP$1=1,DZ179,IF(RTD("tos.rtd",,BL$2,"."&amp;$C$134&amp;$AU$82&amp;"C"&amp;$A179)="N/A",0,RTD("tos.rtd",,BL$2,"."&amp;$C$134&amp;$AU$82&amp;"C"&amp;$A179)))</f>
        <v>2.216312298533726E-4</v>
      </c>
      <c r="BM179" s="3">
        <f ca="1">IF($BP$1=1,EA179,-IF(RTD("tos.rtd",,BM$2,"."&amp;$C$134&amp;$AU$82&amp;"P"&amp;$A179)="N/A",0,RTD("tos.rtd",,BM$2,"."&amp;$C$134&amp;$AU$82&amp;"P"&amp;$A179)))</f>
        <v>-2.4442700784874327E-4</v>
      </c>
      <c r="BN179" s="3">
        <f ca="1">IF($BP$1=1,EB179,IF(RTD("tos.rtd",,BN$2,"."&amp;$D$134&amp;$AW$82&amp;"C"&amp;$A179)="N/A",0,RTD("tos.rtd",,BN$2,"."&amp;$D$134&amp;$AW$82&amp;"C"&amp;$A179)))</f>
        <v>1.6924037255375697E-4</v>
      </c>
      <c r="BO179" s="3">
        <f ca="1">IF($BP$1=1,EC179,-IF(RTD("tos.rtd",,BO$2,"."&amp;$D$134&amp;$AW$82&amp;"P"&amp;$A179)="N/A",0,RTD("tos.rtd",,BO$2,"."&amp;$D$134&amp;$AW$82&amp;"P"&amp;$A179)))</f>
        <v>-1.9898539839947039E-4</v>
      </c>
      <c r="BQ179" s="3">
        <f t="shared" ca="1" si="423"/>
        <v>40785.893660057372</v>
      </c>
      <c r="BR179" s="3" t="str">
        <f t="shared" ca="1" si="339"/>
        <v>Cruce +</v>
      </c>
      <c r="BS179" s="3">
        <f t="shared" ca="1" si="424"/>
        <v>-248989.24478839128</v>
      </c>
      <c r="BT179" s="3" t="str">
        <f t="shared" ca="1" si="340"/>
        <v>Cruce -</v>
      </c>
      <c r="BU179" s="3">
        <f t="shared" ca="1" si="425"/>
        <v>850452.23245601286</v>
      </c>
      <c r="BV179" s="3" t="str">
        <f t="shared" ca="1" si="340"/>
        <v/>
      </c>
      <c r="BX179" s="3">
        <f t="shared" ca="1" si="370"/>
        <v>-4039.8791791570857</v>
      </c>
      <c r="BY179" s="3" t="str">
        <f t="shared" ca="1" si="371"/>
        <v/>
      </c>
      <c r="BZ179" s="3">
        <f t="shared" ca="1" si="372"/>
        <v>147.04717965591476</v>
      </c>
      <c r="CA179" s="3" t="str">
        <f t="shared" ca="1" si="371"/>
        <v/>
      </c>
      <c r="CB179" s="3">
        <f t="shared" ca="1" si="373"/>
        <v>-53.729109387013715</v>
      </c>
      <c r="CC179" s="3" t="str">
        <f t="shared" ca="1" si="371"/>
        <v/>
      </c>
      <c r="CD179" s="3">
        <f>IF(RTD("tos.rtd",,CD$43,"."&amp;$B$134&amp;$AS$82&amp;"C"&amp;$A179)="N/A",0,RTD("tos.rtd",,CD$43,"."&amp;$B$134&amp;$AS$82&amp;"C"&amp;$A179))</f>
        <v>0.99</v>
      </c>
      <c r="CE179" s="3">
        <f>-IF(RTD("tos.rtd",,CE$43,"."&amp;$B$134&amp;$AS$82&amp;"P"&amp;$A179)="N/A",0,RTD("tos.rtd",,CE$43,"."&amp;$B$134&amp;$AS$82&amp;"P"&amp;$A179))</f>
        <v>0</v>
      </c>
      <c r="CF179" s="3">
        <f>IF(RTD("tos.rtd",,CF$2,"."&amp;$C$134&amp;$AU$82&amp;"C"&amp;$A179)="N/A",0,RTD("tos.rtd",,CF$2,"."&amp;$C$134&amp;$AU$82&amp;"C"&amp;$A179))</f>
        <v>1</v>
      </c>
      <c r="CG179" s="3">
        <f>-IF(RTD("tos.rtd",,CG$2,"."&amp;$C$134&amp;$AU$82&amp;"P"&amp;$A179)="N/A",0,RTD("tos.rtd",,CG$2,"."&amp;$C$134&amp;$AU$82&amp;"P"&amp;$A179))</f>
        <v>0.04</v>
      </c>
      <c r="CH179" s="3">
        <f>IF(RTD("tos.rtd",,CH$2,"."&amp;$D$134&amp;$AW$82&amp;"C"&amp;$A179)="N/A",0,RTD("tos.rtd",,CH$2,"."&amp;$D$134&amp;$AW$82&amp;"C"&amp;$A179))</f>
        <v>0.78</v>
      </c>
      <c r="CI179" s="3">
        <f>-IF(RTD("tos.rtd",,CI$2,"."&amp;$D$134&amp;$AW$82&amp;"P"&amp;$A179)="N/A",0,RTD("tos.rtd",,CI$2,"."&amp;$D$134&amp;$AW$82&amp;"P"&amp;$A179))</f>
        <v>0.24</v>
      </c>
      <c r="CK179" s="3">
        <f t="shared" si="374"/>
        <v>23229186.75</v>
      </c>
      <c r="CL179" s="3"/>
      <c r="CM179" s="3">
        <f t="shared" si="375"/>
        <v>83872509</v>
      </c>
      <c r="CN179" s="3"/>
      <c r="CO179" s="3">
        <f t="shared" si="376"/>
        <v>478534045.5</v>
      </c>
      <c r="CP179" s="3">
        <f t="shared" si="331"/>
        <v>585635741.25</v>
      </c>
      <c r="CQ179" s="3">
        <f t="shared" si="341"/>
        <v>-87</v>
      </c>
      <c r="CR179" s="3"/>
      <c r="CS179" s="3">
        <f t="shared" si="342"/>
        <v>4</v>
      </c>
      <c r="CT179" s="3"/>
      <c r="CU179" s="3">
        <f t="shared" si="343"/>
        <v>-1</v>
      </c>
      <c r="CV179" s="3"/>
      <c r="CW179" s="3">
        <f t="shared" ca="1" si="344"/>
        <v>642248.88132767892</v>
      </c>
      <c r="CY179" s="3">
        <f t="shared" ca="1" si="345"/>
        <v>-3946.5611088881842</v>
      </c>
      <c r="CZ179" s="70" t="str">
        <f t="shared" ca="1" si="377"/>
        <v/>
      </c>
      <c r="DA179" s="3">
        <f>IF(RTD("tos.rtd",,DA$43,"."&amp;$B$134&amp;$AS$82&amp;"C"&amp;$A179)="N/A",0,RTD("tos.rtd",,DA$43,"."&amp;$B$134&amp;$AS$82&amp;"C"&amp;$A179))</f>
        <v>833.95</v>
      </c>
      <c r="DB179" s="3">
        <f>IF(RTD("tos.rtd",,DB$43,"."&amp;$B$134&amp;$AS$82&amp;"P"&amp;$A179)="N/A",0,RTD("tos.rtd",,DB$43,"."&amp;$B$134&amp;$AS$82&amp;"P"&amp;$A179))</f>
        <v>0.05</v>
      </c>
      <c r="DC179" s="3">
        <f>IF(RTD("tos.rtd",,DC$43,"."&amp;$B$134&amp;$AS$82&amp;"C"&amp;$A179)="N/A",0,RTD("tos.rtd",,DC$43,"."&amp;$B$134&amp;$AS$82&amp;"C"&amp;$A179))</f>
        <v>905.8</v>
      </c>
      <c r="DD179" s="3">
        <f>IF(RTD("tos.rtd",,DD$43,"."&amp;$B$134&amp;$AS$82&amp;"P"&amp;$A179)="N/A",0,RTD("tos.rtd",,DD$43,"."&amp;$B$134&amp;$AS$82&amp;"P"&amp;$A179))</f>
        <v>0.3</v>
      </c>
      <c r="DE179" s="3">
        <f>IF(RTD("tos.rtd",,DE$43,"."&amp;$B$134&amp;$AS$82&amp;"C"&amp;$A179)="N/A",0,RTD("tos.rtd",,DE$43,"."&amp;$B$134&amp;$AS$82&amp;"C"&amp;$A179))</f>
        <v>830.8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378"/>
        <v>-830.75</v>
      </c>
      <c r="DH179" s="3">
        <f t="shared" si="379"/>
        <v>0</v>
      </c>
      <c r="DI179" s="3">
        <f t="shared" si="380"/>
        <v>0</v>
      </c>
      <c r="DJ179" s="3">
        <f t="shared" si="346"/>
        <v>0</v>
      </c>
      <c r="DK179" s="3">
        <f t="shared" si="347"/>
        <v>0</v>
      </c>
      <c r="DL179" s="3">
        <f t="shared" si="381"/>
        <v>0</v>
      </c>
      <c r="DM179" s="3">
        <f t="shared" si="382"/>
        <v>0</v>
      </c>
      <c r="DN179" s="64" t="str">
        <f t="shared" si="348"/>
        <v>UNKNOWN</v>
      </c>
      <c r="DO179" s="64" t="str">
        <f t="shared" si="349"/>
        <v>UNKNOWN</v>
      </c>
      <c r="DP179" s="3">
        <f t="shared" si="350"/>
        <v>0</v>
      </c>
      <c r="DQ179" s="3">
        <f t="shared" si="351"/>
        <v>0</v>
      </c>
      <c r="DR179" s="3">
        <f t="shared" ca="1" si="352"/>
        <v>0</v>
      </c>
      <c r="DS179" s="3">
        <f t="shared" si="353"/>
        <v>0</v>
      </c>
      <c r="DT179" s="3">
        <f t="shared" si="383"/>
        <v>0</v>
      </c>
      <c r="DU179" s="3">
        <f t="shared" si="384"/>
        <v>0</v>
      </c>
      <c r="DV179" s="3">
        <f t="shared" si="354"/>
        <v>0</v>
      </c>
      <c r="DW179" s="3">
        <f t="shared" si="355"/>
        <v>1</v>
      </c>
      <c r="DX179" s="3">
        <f t="shared" ca="1" si="436"/>
        <v>2.3081182334821877E-4</v>
      </c>
      <c r="DY179" s="3">
        <f t="shared" ca="1" si="437"/>
        <v>-1.726417889685132E-4</v>
      </c>
      <c r="DZ179" s="3">
        <f t="shared" ca="1" si="438"/>
        <v>2.216312298533726E-4</v>
      </c>
      <c r="EA179" s="3">
        <f t="shared" ca="1" si="439"/>
        <v>-2.4442700784874327E-4</v>
      </c>
      <c r="EB179" s="3">
        <f t="shared" ca="1" si="440"/>
        <v>1.6924037255375697E-4</v>
      </c>
      <c r="EC179" s="3">
        <f t="shared" ca="1" si="441"/>
        <v>-1.9898539839947039E-4</v>
      </c>
      <c r="ED179" s="63">
        <f t="shared" si="385"/>
        <v>1</v>
      </c>
      <c r="EE179" s="59">
        <f t="shared" si="362"/>
        <v>2.2541000000000002</v>
      </c>
      <c r="EF179" s="59">
        <f t="shared" si="363"/>
        <v>1.879</v>
      </c>
      <c r="EG179" s="59">
        <f t="shared" si="364"/>
        <v>0.25</v>
      </c>
      <c r="EH179" s="59">
        <f t="shared" si="365"/>
        <v>0.2742</v>
      </c>
      <c r="EI179" s="59">
        <f t="shared" si="366"/>
        <v>0.21260000000000001</v>
      </c>
      <c r="EJ179" s="59">
        <f t="shared" si="367"/>
        <v>0.2319</v>
      </c>
      <c r="EK179" s="63">
        <f t="shared" ca="1" si="386"/>
        <v>-78552.168592185641</v>
      </c>
      <c r="EL179" s="3" t="str">
        <f>RTD("tos.rtd",,EL$43,"."&amp;$B$134&amp;$AS$82&amp;"C"&amp;$A179)</f>
        <v>225.41%</v>
      </c>
      <c r="EM179" s="3" t="str">
        <f>RTD("tos.rtd",,EM$43,"."&amp;$B$134&amp;$AS$82&amp;"P"&amp;$A179)</f>
        <v>187.90%</v>
      </c>
      <c r="EN179" s="3" t="str">
        <f>RTD("tos.rtd",,EN$2,"."&amp;$C$134&amp;$AU$82&amp;"C"&amp;$A179)</f>
        <v>--</v>
      </c>
      <c r="EO179" s="3" t="str">
        <f>RTD("tos.rtd",,EO$2,"."&amp;$C$134&amp;$AU$82&amp;"P"&amp;$A179)</f>
        <v>27.42%</v>
      </c>
      <c r="EP179" s="3" t="str">
        <f>RTD("tos.rtd",,EP$2,"."&amp;$D$134&amp;$AW$82&amp;"C"&amp;$A179)</f>
        <v>21.26%</v>
      </c>
      <c r="EQ179" s="3" t="str">
        <f>RTD("tos.rtd",,EQ$2,"."&amp;$D$134&amp;$AW$82&amp;"P"&amp;$A179)</f>
        <v>23.19%</v>
      </c>
      <c r="ES179" s="63" t="str">
        <f t="shared" si="368"/>
        <v>20500,01.00</v>
      </c>
      <c r="ET179" s="63" t="str">
        <f t="shared" ca="1" si="369"/>
        <v>20500,-03.95</v>
      </c>
      <c r="EU179" s="68">
        <v>592.64</v>
      </c>
      <c r="EV179" s="68" t="s">
        <v>1448</v>
      </c>
      <c r="EW179" s="68">
        <v>519.11</v>
      </c>
      <c r="EX179" s="68" t="s">
        <v>1449</v>
      </c>
      <c r="EY179" s="68">
        <v>5936.25</v>
      </c>
      <c r="EZ179" s="68" t="s">
        <v>1450</v>
      </c>
      <c r="FA179" s="68">
        <v>21309.5</v>
      </c>
      <c r="FB179" s="68" t="s">
        <v>1451</v>
      </c>
      <c r="FC179" s="68" t="s">
        <v>1452</v>
      </c>
      <c r="FD179" s="68" t="s">
        <v>1453</v>
      </c>
      <c r="FE179" s="68" t="s">
        <v>1454</v>
      </c>
      <c r="FF179" s="68" t="s">
        <v>1455</v>
      </c>
    </row>
    <row r="180" spans="1:162" ht="11.1" customHeight="1" thickBot="1" x14ac:dyDescent="0.25">
      <c r="A180" s="2">
        <f t="shared" si="387"/>
        <v>20475</v>
      </c>
      <c r="B180" s="3">
        <f t="shared" si="416"/>
        <v>2</v>
      </c>
      <c r="C180" s="3">
        <f t="shared" si="417"/>
        <v>25</v>
      </c>
      <c r="D180" s="3">
        <f t="shared" si="418"/>
        <v>76</v>
      </c>
      <c r="E180" s="3">
        <f t="shared" si="419"/>
        <v>103</v>
      </c>
      <c r="F180" s="4">
        <f t="shared" si="420"/>
        <v>20561.389367462467</v>
      </c>
      <c r="G180" s="5">
        <f t="shared" si="421"/>
        <v>498.78341127245875</v>
      </c>
      <c r="AM180" s="1">
        <v>1</v>
      </c>
      <c r="AN180" s="1">
        <v>1</v>
      </c>
      <c r="AO180" s="1">
        <v>20475</v>
      </c>
      <c r="AP180" s="1">
        <v>1</v>
      </c>
      <c r="AQ180" s="1">
        <v>-1</v>
      </c>
      <c r="AS180" s="54">
        <f>IF(RTD("tos.rtd",,AS$83,"."&amp;$B$134&amp;$AS$82&amp;"C"&amp;$A180)="N/A",0,RTD("tos.rtd",,AS$83,"."&amp;$B$134&amp;$AS$82&amp;"C"&amp;$A180))</f>
        <v>2</v>
      </c>
      <c r="AT180" s="3">
        <f>-IF(RTD("tos.rtd",,AT$83,"."&amp;$B$134&amp;$AS$82&amp;"P"&amp;$A180)="N/A",0,RTD("tos.rtd",,AT$83,"."&amp;$B$134&amp;$AS$82&amp;"P"&amp;$A180))</f>
        <v>0</v>
      </c>
      <c r="AU180" s="54">
        <f>IF(RTD("tos.rtd",,AU$2,"."&amp;$C$134&amp;$AU$134&amp;"C"&amp;$A180)="N/A",0,RTD("tos.rtd",,AU$2,"."&amp;$C$134&amp;$AU$134&amp;"C"&amp;$A180))</f>
        <v>6</v>
      </c>
      <c r="AV180" s="3">
        <f>-IF(RTD("tos.rtd",,AV$2,"."&amp;$C$134&amp;$AU$134&amp;"P"&amp;$A180)="N/A",0,RTD("tos.rtd",,AV$2,"."&amp;$C$134&amp;$AU$134&amp;"P"&amp;$A180))</f>
        <v>-19</v>
      </c>
      <c r="AW180" s="54">
        <f>IF(RTD("tos.rtd",,AW$2,"."&amp;$D$134&amp;$AW$134&amp;"C"&amp;$A180)="N/A",0,RTD("tos.rtd",,AW$2,"."&amp;$D$134&amp;$AW$134&amp;"C"&amp;$A180))</f>
        <v>39</v>
      </c>
      <c r="AX180" s="3">
        <f>-IF(RTD("tos.rtd",,AX$2,"."&amp;$D$134&amp;$AW$134&amp;"P"&amp;$A180)="N/A",0,RTD("tos.rtd",,AX$2,"."&amp;$D$134&amp;$AW$134&amp;"P"&amp;$A180))</f>
        <v>-37</v>
      </c>
      <c r="AY180" s="76">
        <f t="shared" si="422"/>
        <v>-9</v>
      </c>
      <c r="AZ180" s="8">
        <f t="shared" si="337"/>
        <v>20475</v>
      </c>
      <c r="BA180" s="54">
        <f>IF(RTD("tos.rtd",,BA$43,"."&amp;$B$134&amp;$AS$82&amp;"C"&amp;$A180)="N/A",0,RTD("tos.rtd",,BA$43,"."&amp;$B$134&amp;$AS$82&amp;"C"&amp;$A180))</f>
        <v>1</v>
      </c>
      <c r="BB180" s="3">
        <f>-IF(RTD("tos.rtd",,BB$43,"."&amp;$B$134&amp;$AS$82&amp;"P"&amp;$A180)="N/A",0,RTD("tos.rtd",,BB$43,"."&amp;$B$134&amp;$AS$82&amp;"P"&amp;$A180))</f>
        <v>-1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-3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0</v>
      </c>
      <c r="BG180" s="3">
        <f ca="1">+Hoja2!Y181</f>
        <v>-6</v>
      </c>
      <c r="BH180" s="7">
        <f t="shared" ca="1" si="338"/>
        <v>-9</v>
      </c>
      <c r="BI180" s="32" t="str">
        <f t="shared" ca="1" si="397"/>
        <v/>
      </c>
      <c r="BJ180" s="3">
        <f ca="1">IF($BP$1=1,DX180,IF(RTD("tos.rtd",,BJ$43,"."&amp;$B$134&amp;$AS$82&amp;"C"&amp;$A180)="N/A",0,RTD("tos.rtd",,BJ$43,"."&amp;$B$134&amp;$AS$82&amp;"C"&amp;$A180)))</f>
        <v>2.6989997451345237E-43</v>
      </c>
      <c r="BK180" s="3">
        <f ca="1">IF($BP$1=1,DY180,-IF(RTD("tos.rtd",,BK$43,"."&amp;$B$134&amp;$AS$82&amp;"P"&amp;$A180)="N/A",0,RTD("tos.rtd",,BK$43,"."&amp;$B$134&amp;$AS$82&amp;"P"&amp;$A180)))</f>
        <v>-2.7123603742255302E-4</v>
      </c>
      <c r="BL180" s="3">
        <f ca="1">IF($BP$1=1,DZ180,IF(RTD("tos.rtd",,BL$2,"."&amp;$C$134&amp;$AU$82&amp;"C"&amp;$A180)="N/A",0,RTD("tos.rtd",,BL$2,"."&amp;$C$134&amp;$AU$82&amp;"C"&amp;$A180)))</f>
        <v>2.2552350619611987E-4</v>
      </c>
      <c r="BM180" s="3">
        <f ca="1">IF($BP$1=1,EA180,-IF(RTD("tos.rtd",,BM$2,"."&amp;$C$134&amp;$AU$82&amp;"P"&amp;$A180)="N/A",0,RTD("tos.rtd",,BM$2,"."&amp;$C$134&amp;$AU$82&amp;"P"&amp;$A180)))</f>
        <v>-2.3188093127969142E-4</v>
      </c>
      <c r="BN180" s="3">
        <f ca="1">IF($BP$1=1,EB180,IF(RTD("tos.rtd",,BN$2,"."&amp;$D$134&amp;$AW$82&amp;"C"&amp;$A180)="N/A",0,RTD("tos.rtd",,BN$2,"."&amp;$D$134&amp;$AW$82&amp;"C"&amp;$A180)))</f>
        <v>1.556334413171458E-4</v>
      </c>
      <c r="BO180" s="3">
        <f ca="1">IF($BP$1=1,EC180,-IF(RTD("tos.rtd",,BO$2,"."&amp;$D$134&amp;$AW$82&amp;"P"&amp;$A180)="N/A",0,RTD("tos.rtd",,BO$2,"."&amp;$D$134&amp;$AW$82&amp;"P"&amp;$A180)))</f>
        <v>-1.8427520501080745E-4</v>
      </c>
      <c r="BQ180" s="3">
        <f t="shared" ca="1" si="423"/>
        <v>1.9015636749598459E-35</v>
      </c>
      <c r="BR180" s="3" t="str">
        <f t="shared" ca="1" si="339"/>
        <v/>
      </c>
      <c r="BS180" s="3">
        <f t="shared" ca="1" si="424"/>
        <v>-107534.41025662361</v>
      </c>
      <c r="BT180" s="3" t="str">
        <f t="shared" ca="1" si="340"/>
        <v/>
      </c>
      <c r="BU180" s="3">
        <f t="shared" ca="1" si="425"/>
        <v>-26366.791810863622</v>
      </c>
      <c r="BV180" s="3" t="str">
        <f t="shared" ca="1" si="340"/>
        <v>Cruce -</v>
      </c>
      <c r="BX180" s="3">
        <f t="shared" ca="1" si="370"/>
        <v>-73.23789002407166</v>
      </c>
      <c r="BY180" s="3" t="str">
        <f t="shared" ca="1" si="371"/>
        <v/>
      </c>
      <c r="BZ180" s="3">
        <f t="shared" ca="1" si="372"/>
        <v>-187.83422334051488</v>
      </c>
      <c r="CA180" s="3" t="str">
        <f t="shared" ca="1" si="371"/>
        <v>Cruce -</v>
      </c>
      <c r="CB180" s="3">
        <f t="shared" ca="1" si="373"/>
        <v>0</v>
      </c>
      <c r="CC180" s="3" t="str">
        <f t="shared" ca="1" si="371"/>
        <v/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0.04</v>
      </c>
      <c r="CF180" s="3">
        <f>IF(RTD("tos.rtd",,CF$2,"."&amp;$C$134&amp;$AU$82&amp;"C"&amp;$A180)="N/A",0,RTD("tos.rtd",,CF$2,"."&amp;$C$134&amp;$AU$82&amp;"C"&amp;$A180))</f>
        <v>0.96</v>
      </c>
      <c r="CG180" s="3">
        <f>-IF(RTD("tos.rtd",,CG$2,"."&amp;$C$134&amp;$AU$82&amp;"P"&amp;$A180)="N/A",0,RTD("tos.rtd",,CG$2,"."&amp;$C$134&amp;$AU$82&amp;"P"&amp;$A180))</f>
        <v>0.04</v>
      </c>
      <c r="CH180" s="3">
        <f>IF(RTD("tos.rtd",,CH$2,"."&amp;$D$134&amp;$AW$82&amp;"C"&amp;$A180)="N/A",0,RTD("tos.rtd",,CH$2,"."&amp;$D$134&amp;$AW$82&amp;"C"&amp;$A180))</f>
        <v>0.78</v>
      </c>
      <c r="CI180" s="3">
        <f>-IF(RTD("tos.rtd",,CI$2,"."&amp;$D$134&amp;$AW$82&amp;"P"&amp;$A180)="N/A",0,RTD("tos.rtd",,CI$2,"."&amp;$D$134&amp;$AW$82&amp;"P"&amp;$A180))</f>
        <v>0.23</v>
      </c>
      <c r="CK180" s="3">
        <f t="shared" si="374"/>
        <v>4266150</v>
      </c>
      <c r="CL180" s="3"/>
      <c r="CM180" s="3">
        <f t="shared" si="375"/>
        <v>10665375</v>
      </c>
      <c r="CN180" s="3"/>
      <c r="CO180" s="3">
        <f t="shared" si="376"/>
        <v>46735673.25</v>
      </c>
      <c r="CP180" s="3">
        <f t="shared" si="331"/>
        <v>61667198.25</v>
      </c>
      <c r="CQ180" s="3">
        <f t="shared" si="341"/>
        <v>0</v>
      </c>
      <c r="CR180" s="3"/>
      <c r="CS180" s="3">
        <f t="shared" si="342"/>
        <v>-3</v>
      </c>
      <c r="CT180" s="3"/>
      <c r="CU180" s="3">
        <f t="shared" si="343"/>
        <v>0</v>
      </c>
      <c r="CV180" s="3"/>
      <c r="CW180" s="3">
        <f t="shared" ca="1" si="344"/>
        <v>-133901.20206748723</v>
      </c>
      <c r="CY180" s="3">
        <f t="shared" ca="1" si="345"/>
        <v>-261.07211336458653</v>
      </c>
      <c r="CZ180" s="70" t="str">
        <f t="shared" ca="1" si="377"/>
        <v/>
      </c>
      <c r="DA180" s="3">
        <f>IF(RTD("tos.rtd",,DA$43,"."&amp;$B$134&amp;$AS$82&amp;"C"&amp;$A180)="N/A",0,RTD("tos.rtd",,DA$43,"."&amp;$B$134&amp;$AS$82&amp;"C"&amp;$A180))</f>
        <v>920.35</v>
      </c>
      <c r="DB180" s="3">
        <f>IF(RTD("tos.rtd",,DB$43,"."&amp;$B$134&amp;$AS$82&amp;"P"&amp;$A180)="N/A",0,RTD("tos.rtd",,DB$43,"."&amp;$B$134&amp;$AS$82&amp;"P"&amp;$A180))</f>
        <v>0.35</v>
      </c>
      <c r="DC180" s="3">
        <f>IF(RTD("tos.rtd",,DC$43,"."&amp;$B$134&amp;$AS$82&amp;"C"&amp;$A180)="N/A",0,RTD("tos.rtd",,DC$43,"."&amp;$B$134&amp;$AS$82&amp;"C"&amp;$A180))</f>
        <v>925.6</v>
      </c>
      <c r="DD180" s="3">
        <f>IF(RTD("tos.rtd",,DD$43,"."&amp;$B$134&amp;$AS$82&amp;"P"&amp;$A180)="N/A",0,RTD("tos.rtd",,DD$43,"."&amp;$B$134&amp;$AS$82&amp;"P"&amp;$A180))</f>
        <v>19.8</v>
      </c>
      <c r="DE180" s="3">
        <f>IF(RTD("tos.rtd",,DE$43,"."&amp;$B$134&amp;$AS$82&amp;"C"&amp;$A180)="N/A",0,RTD("tos.rtd",,DE$43,"."&amp;$B$134&amp;$AS$82&amp;"C"&amp;$A180))</f>
        <v>845.8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378"/>
        <v>-855.75</v>
      </c>
      <c r="DH180" s="3">
        <f t="shared" si="379"/>
        <v>0</v>
      </c>
      <c r="DI180" s="3">
        <f t="shared" si="380"/>
        <v>0</v>
      </c>
      <c r="DJ180" s="3">
        <f t="shared" si="346"/>
        <v>0</v>
      </c>
      <c r="DK180" s="3">
        <f t="shared" si="347"/>
        <v>0</v>
      </c>
      <c r="DL180" s="3">
        <f t="shared" si="381"/>
        <v>0</v>
      </c>
      <c r="DM180" s="3">
        <f t="shared" si="382"/>
        <v>0</v>
      </c>
      <c r="DN180" s="64" t="str">
        <f t="shared" si="348"/>
        <v>UNKNOWN</v>
      </c>
      <c r="DO180" s="64" t="str">
        <f t="shared" si="349"/>
        <v>UNKNOWN</v>
      </c>
      <c r="DP180" s="3">
        <f t="shared" si="350"/>
        <v>0</v>
      </c>
      <c r="DQ180" s="3">
        <f t="shared" si="351"/>
        <v>0</v>
      </c>
      <c r="DR180" s="3">
        <f t="shared" ca="1" si="352"/>
        <v>0</v>
      </c>
      <c r="DS180" s="3">
        <f t="shared" si="353"/>
        <v>0</v>
      </c>
      <c r="DT180" s="3">
        <f t="shared" si="383"/>
        <v>0</v>
      </c>
      <c r="DU180" s="3">
        <f t="shared" si="384"/>
        <v>0</v>
      </c>
      <c r="DV180" s="3">
        <f t="shared" si="354"/>
        <v>1</v>
      </c>
      <c r="DW180" s="3">
        <f t="shared" si="355"/>
        <v>1</v>
      </c>
      <c r="DX180" s="3">
        <f t="shared" ca="1" si="436"/>
        <v>2.6989997451345237E-43</v>
      </c>
      <c r="DY180" s="3">
        <f t="shared" ca="1" si="437"/>
        <v>-2.7123603742255302E-4</v>
      </c>
      <c r="DZ180" s="3">
        <f t="shared" ca="1" si="438"/>
        <v>2.2552350619611987E-4</v>
      </c>
      <c r="EA180" s="3">
        <f t="shared" ca="1" si="439"/>
        <v>-2.3188093127969142E-4</v>
      </c>
      <c r="EB180" s="3">
        <f t="shared" ca="1" si="440"/>
        <v>1.556334413171458E-4</v>
      </c>
      <c r="EC180" s="3">
        <f t="shared" ca="1" si="441"/>
        <v>-1.8427520501080745E-4</v>
      </c>
      <c r="ED180" s="63">
        <f t="shared" si="385"/>
        <v>2</v>
      </c>
      <c r="EE180" s="59">
        <f t="shared" si="362"/>
        <v>0.25</v>
      </c>
      <c r="EF180" s="59">
        <f t="shared" si="363"/>
        <v>3.343</v>
      </c>
      <c r="EG180" s="59">
        <f t="shared" si="364"/>
        <v>0.26840000000000003</v>
      </c>
      <c r="EH180" s="59">
        <f t="shared" si="365"/>
        <v>0.27579999999999999</v>
      </c>
      <c r="EI180" s="59">
        <f t="shared" si="366"/>
        <v>0.21379999999999999</v>
      </c>
      <c r="EJ180" s="59">
        <f t="shared" si="367"/>
        <v>0.23250000000000001</v>
      </c>
      <c r="EK180" s="63">
        <f t="shared" ca="1" si="386"/>
        <v>-123412.63993608538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334.30%</v>
      </c>
      <c r="EN180" s="3" t="str">
        <f>RTD("tos.rtd",,EN$2,"."&amp;$C$134&amp;$AU$82&amp;"C"&amp;$A180)</f>
        <v>26.84%</v>
      </c>
      <c r="EO180" s="3" t="str">
        <f>RTD("tos.rtd",,EO$2,"."&amp;$C$134&amp;$AU$82&amp;"P"&amp;$A180)</f>
        <v>27.58%</v>
      </c>
      <c r="EP180" s="3" t="str">
        <f>RTD("tos.rtd",,EP$2,"."&amp;$D$134&amp;$AW$82&amp;"C"&amp;$A180)</f>
        <v>21.38%</v>
      </c>
      <c r="EQ180" s="3" t="str">
        <f>RTD("tos.rtd",,EQ$2,"."&amp;$D$134&amp;$AW$82&amp;"P"&amp;$A180)</f>
        <v>23.25%</v>
      </c>
      <c r="ES180" s="63" t="str">
        <f t="shared" si="368"/>
        <v>20475,02.00</v>
      </c>
      <c r="ET180" s="63" t="str">
        <f t="shared" ca="1" si="369"/>
        <v>20475,-00.26</v>
      </c>
      <c r="EU180" s="68">
        <v>592.64</v>
      </c>
      <c r="EV180" s="68" t="s">
        <v>1456</v>
      </c>
      <c r="EW180" s="68">
        <v>519.11</v>
      </c>
      <c r="EX180" s="68" t="s">
        <v>1457</v>
      </c>
      <c r="EY180" s="68">
        <v>5936.25</v>
      </c>
      <c r="EZ180" s="68" t="s">
        <v>1458</v>
      </c>
      <c r="FA180" s="68">
        <v>21309.5</v>
      </c>
      <c r="FB180" s="68" t="s">
        <v>1459</v>
      </c>
      <c r="FC180" s="68" t="s">
        <v>1460</v>
      </c>
      <c r="FD180" s="68" t="s">
        <v>1461</v>
      </c>
      <c r="FE180" s="68" t="s">
        <v>1462</v>
      </c>
      <c r="FF180" s="68" t="s">
        <v>1463</v>
      </c>
    </row>
    <row r="181" spans="1:162" ht="11.1" customHeight="1" thickBot="1" x14ac:dyDescent="0.25">
      <c r="A181" s="2">
        <f t="shared" si="387"/>
        <v>20450</v>
      </c>
      <c r="B181" s="3">
        <f t="shared" si="416"/>
        <v>13</v>
      </c>
      <c r="C181" s="3">
        <f t="shared" si="417"/>
        <v>25</v>
      </c>
      <c r="D181" s="3">
        <f t="shared" si="418"/>
        <v>240</v>
      </c>
      <c r="E181" s="3">
        <f t="shared" si="419"/>
        <v>278</v>
      </c>
      <c r="F181" s="4">
        <f t="shared" si="420"/>
        <v>20536.283885939312</v>
      </c>
      <c r="G181" s="5">
        <f t="shared" si="421"/>
        <v>498.1743961182799</v>
      </c>
      <c r="AM181" s="1">
        <v>1</v>
      </c>
      <c r="AN181" s="1">
        <v>0</v>
      </c>
      <c r="AO181" s="1">
        <v>20450</v>
      </c>
      <c r="AP181" s="1">
        <v>1</v>
      </c>
      <c r="AQ181" s="1">
        <v>0</v>
      </c>
      <c r="AS181" s="54">
        <f>IF(RTD("tos.rtd",,AS$83,"."&amp;$B$134&amp;$AS$82&amp;"C"&amp;$A181)="N/A",0,RTD("tos.rtd",,AS$83,"."&amp;$B$134&amp;$AS$82&amp;"C"&amp;$A181))</f>
        <v>1</v>
      </c>
      <c r="AT181" s="3">
        <f>-IF(RTD("tos.rtd",,AT$83,"."&amp;$B$134&amp;$AS$82&amp;"P"&amp;$A181)="N/A",0,RTD("tos.rtd",,AT$83,"."&amp;$B$134&amp;$AS$82&amp;"P"&amp;$A181))</f>
        <v>-12</v>
      </c>
      <c r="AU181" s="54">
        <f>IF(RTD("tos.rtd",,AU$2,"."&amp;$C$134&amp;$AU$134&amp;"C"&amp;$A181)="N/A",0,RTD("tos.rtd",,AU$2,"."&amp;$C$134&amp;$AU$134&amp;"C"&amp;$A181))</f>
        <v>4</v>
      </c>
      <c r="AV181" s="3">
        <f>-IF(RTD("tos.rtd",,AV$2,"."&amp;$C$134&amp;$AU$134&amp;"P"&amp;$A181)="N/A",0,RTD("tos.rtd",,AV$2,"."&amp;$C$134&amp;$AU$134&amp;"P"&amp;$A181))</f>
        <v>-21</v>
      </c>
      <c r="AW181" s="54">
        <f>IF(RTD("tos.rtd",,AW$2,"."&amp;$D$134&amp;$AW$134&amp;"C"&amp;$A181)="N/A",0,RTD("tos.rtd",,AW$2,"."&amp;$D$134&amp;$AW$134&amp;"C"&amp;$A181))</f>
        <v>225</v>
      </c>
      <c r="AX181" s="3">
        <f>-IF(RTD("tos.rtd",,AX$2,"."&amp;$D$134&amp;$AW$134&amp;"P"&amp;$A181)="N/A",0,RTD("tos.rtd",,AX$2,"."&amp;$D$134&amp;$AW$134&amp;"P"&amp;$A181))</f>
        <v>-15</v>
      </c>
      <c r="AY181" s="76">
        <f t="shared" si="422"/>
        <v>182</v>
      </c>
      <c r="AZ181" s="8">
        <f t="shared" si="337"/>
        <v>20450</v>
      </c>
      <c r="BA181" s="54">
        <f>IF(RTD("tos.rtd",,BA$43,"."&amp;$B$134&amp;$AS$82&amp;"C"&amp;$A181)="N/A",0,RTD("tos.rtd",,BA$43,"."&amp;$B$134&amp;$AS$82&amp;"C"&amp;$A181))</f>
        <v>1</v>
      </c>
      <c r="BB181" s="3">
        <f>-IF(RTD("tos.rtd",,BB$43,"."&amp;$B$134&amp;$AS$82&amp;"P"&amp;$A181)="N/A",0,RTD("tos.rtd",,BB$43,"."&amp;$B$134&amp;$AS$82&amp;"P"&amp;$A181))</f>
        <v>0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-2</v>
      </c>
      <c r="BE181" s="54">
        <f>IF(RTD("tos.rtd",,BE$2,"."&amp;$D$134&amp;$AW$82&amp;"C"&amp;$A181)="N/A",0,RTD("tos.rtd",,BE$2,"."&amp;$D$134&amp;$AW$82&amp;"C"&amp;$A181))</f>
        <v>4</v>
      </c>
      <c r="BF181" s="3">
        <f>-IF(RTD("tos.rtd",,BF$2,"."&amp;$D$134&amp;$AW$82&amp;"P"&amp;$A181)="N/A",0,RTD("tos.rtd",,BF$2,"."&amp;$D$134&amp;$AW$82&amp;"P"&amp;$A181))</f>
        <v>0</v>
      </c>
      <c r="BG181" s="3">
        <f ca="1">+Hoja2!Y182</f>
        <v>-14</v>
      </c>
      <c r="BH181" s="7">
        <f t="shared" ca="1" si="338"/>
        <v>-11</v>
      </c>
      <c r="BI181" s="32" t="str">
        <f t="shared" ca="1" si="397"/>
        <v/>
      </c>
      <c r="BJ181" s="3">
        <f ca="1">IF($BP$1=1,DX181,IF(RTD("tos.rtd",,BJ$43,"."&amp;$B$134&amp;$AS$82&amp;"C"&amp;$A181)="N/A",0,RTD("tos.rtd",,BJ$43,"."&amp;$B$134&amp;$AS$82&amp;"C"&amp;$A181)))</f>
        <v>9.7084020315188507E-46</v>
      </c>
      <c r="BK181" s="3">
        <f ca="1">IF($BP$1=1,DY181,-IF(RTD("tos.rtd",,BK$43,"."&amp;$B$134&amp;$AS$82&amp;"P"&amp;$A181)="N/A",0,RTD("tos.rtd",,BK$43,"."&amp;$B$134&amp;$AS$82&amp;"P"&amp;$A181)))</f>
        <v>-2.6313523928708278E-4</v>
      </c>
      <c r="BL181" s="3">
        <f ca="1">IF($BP$1=1,DZ181,IF(RTD("tos.rtd",,BL$2,"."&amp;$C$134&amp;$AU$82&amp;"C"&amp;$A181)="N/A",0,RTD("tos.rtd",,BL$2,"."&amp;$C$134&amp;$AU$82&amp;"C"&amp;$A181)))</f>
        <v>1.9221481507511213E-4</v>
      </c>
      <c r="BM181" s="3">
        <f ca="1">IF($BP$1=1,EA181,-IF(RTD("tos.rtd",,BM$2,"."&amp;$C$134&amp;$AU$82&amp;"P"&amp;$A181)="N/A",0,RTD("tos.rtd",,BM$2,"."&amp;$C$134&amp;$AU$82&amp;"P"&amp;$A181)))</f>
        <v>-2.197626440097208E-4</v>
      </c>
      <c r="BN181" s="3">
        <f ca="1">IF($BP$1=1,EB181,IF(RTD("tos.rtd",,BN$2,"."&amp;$D$134&amp;$AW$82&amp;"C"&amp;$A181)="N/A",0,RTD("tos.rtd",,BN$2,"."&amp;$D$134&amp;$AW$82&amp;"C"&amp;$A181)))</f>
        <v>1.4215694842118301E-4</v>
      </c>
      <c r="BO181" s="3">
        <f ca="1">IF($BP$1=1,EC181,-IF(RTD("tos.rtd",,BO$2,"."&amp;$D$134&amp;$AW$82&amp;"P"&amp;$A181)="N/A",0,RTD("tos.rtd",,BO$2,"."&amp;$D$134&amp;$AW$82&amp;"P"&amp;$A181)))</f>
        <v>-1.6979836603944778E-4</v>
      </c>
      <c r="BQ181" s="3">
        <f t="shared" ca="1" si="423"/>
        <v>-111234.18893214696</v>
      </c>
      <c r="BR181" s="3" t="str">
        <f t="shared" ca="1" si="339"/>
        <v>Cruce -</v>
      </c>
      <c r="BS181" s="3">
        <f t="shared" ca="1" si="424"/>
        <v>-135489.28733400081</v>
      </c>
      <c r="BT181" s="3" t="str">
        <f t="shared" ca="1" si="340"/>
        <v/>
      </c>
      <c r="BU181" s="3">
        <f t="shared" ca="1" si="425"/>
        <v>1037029.9980702962</v>
      </c>
      <c r="BV181" s="3" t="str">
        <f t="shared" ca="1" si="340"/>
        <v>Cruce +</v>
      </c>
      <c r="BX181" s="3">
        <f t="shared" ca="1" si="370"/>
        <v>2.6214174453012067E-40</v>
      </c>
      <c r="BY181" s="3" t="str">
        <f t="shared" ca="1" si="371"/>
        <v>Cruce +</v>
      </c>
      <c r="BZ181" s="3">
        <f t="shared" ca="1" si="372"/>
        <v>-118.67856872063905</v>
      </c>
      <c r="CA181" s="3" t="str">
        <f t="shared" ca="1" si="371"/>
        <v/>
      </c>
      <c r="CB181" s="3">
        <f t="shared" ca="1" si="373"/>
        <v>153.53822528248659</v>
      </c>
      <c r="CC181" s="3" t="str">
        <f t="shared" ca="1" si="371"/>
        <v/>
      </c>
      <c r="CD181" s="3">
        <f>IF(RTD("tos.rtd",,CD$43,"."&amp;$B$134&amp;$AS$82&amp;"C"&amp;$A181)="N/A",0,RTD("tos.rtd",,CD$43,"."&amp;$B$134&amp;$AS$82&amp;"C"&amp;$A181))</f>
        <v>1</v>
      </c>
      <c r="CE181" s="3">
        <f>-IF(RTD("tos.rtd",,CE$43,"."&amp;$B$134&amp;$AS$82&amp;"P"&amp;$A181)="N/A",0,RTD("tos.rtd",,CE$43,"."&amp;$B$134&amp;$AS$82&amp;"P"&amp;$A181))</f>
        <v>0.04</v>
      </c>
      <c r="CF181" s="3">
        <f>IF(RTD("tos.rtd",,CF$2,"."&amp;$C$134&amp;$AU$82&amp;"C"&amp;$A181)="N/A",0,RTD("tos.rtd",,CF$2,"."&amp;$C$134&amp;$AU$82&amp;"C"&amp;$A181))</f>
        <v>1</v>
      </c>
      <c r="CG181" s="3">
        <f>-IF(RTD("tos.rtd",,CG$2,"."&amp;$C$134&amp;$AU$82&amp;"P"&amp;$A181)="N/A",0,RTD("tos.rtd",,CG$2,"."&amp;$C$134&amp;$AU$82&amp;"P"&amp;$A181))</f>
        <v>0.04</v>
      </c>
      <c r="CH181" s="3">
        <f>IF(RTD("tos.rtd",,CH$2,"."&amp;$D$134&amp;$AW$82&amp;"C"&amp;$A181)="N/A",0,RTD("tos.rtd",,CH$2,"."&amp;$D$134&amp;$AW$82&amp;"C"&amp;$A181))</f>
        <v>0.79</v>
      </c>
      <c r="CI181" s="3">
        <f>-IF(RTD("tos.rtd",,CI$2,"."&amp;$D$134&amp;$AW$82&amp;"P"&amp;$A181)="N/A",0,RTD("tos.rtd",,CI$2,"."&amp;$D$134&amp;$AW$82&amp;"P"&amp;$A181))</f>
        <v>0.23</v>
      </c>
      <c r="CK181" s="3">
        <f t="shared" si="374"/>
        <v>1109199</v>
      </c>
      <c r="CL181" s="3"/>
      <c r="CM181" s="3">
        <f t="shared" si="375"/>
        <v>6740517</v>
      </c>
      <c r="CN181" s="3"/>
      <c r="CO181" s="3">
        <f t="shared" si="376"/>
        <v>371794972.5</v>
      </c>
      <c r="CP181" s="3">
        <f t="shared" si="331"/>
        <v>379644688.5</v>
      </c>
      <c r="CQ181" s="3">
        <f t="shared" si="341"/>
        <v>1</v>
      </c>
      <c r="CR181" s="3"/>
      <c r="CS181" s="3">
        <f t="shared" si="342"/>
        <v>-2</v>
      </c>
      <c r="CT181" s="3"/>
      <c r="CU181" s="3">
        <f t="shared" si="343"/>
        <v>4</v>
      </c>
      <c r="CV181" s="3"/>
      <c r="CW181" s="3">
        <f t="shared" ca="1" si="344"/>
        <v>790306.52180414845</v>
      </c>
      <c r="CY181" s="3">
        <f t="shared" ca="1" si="345"/>
        <v>34.859656561847544</v>
      </c>
      <c r="CZ181" s="70" t="str">
        <f t="shared" ca="1" si="377"/>
        <v>Cruce +</v>
      </c>
      <c r="DA181" s="3">
        <f>IF(RTD("tos.rtd",,DA$43,"."&amp;$B$134&amp;$AS$82&amp;"C"&amp;$A181)="N/A",0,RTD("tos.rtd",,DA$43,"."&amp;$B$134&amp;$AS$82&amp;"C"&amp;$A181))</f>
        <v>940.35</v>
      </c>
      <c r="DB181" s="3">
        <f>IF(RTD("tos.rtd",,DB$43,"."&amp;$B$134&amp;$AS$82&amp;"P"&amp;$A181)="N/A",0,RTD("tos.rtd",,DB$43,"."&amp;$B$134&amp;$AS$82&amp;"P"&amp;$A181))</f>
        <v>1.92</v>
      </c>
      <c r="DC181" s="3">
        <f>IF(RTD("tos.rtd",,DC$43,"."&amp;$B$134&amp;$AS$82&amp;"C"&amp;$A181)="N/A",0,RTD("tos.rtd",,DC$43,"."&amp;$B$134&amp;$AS$82&amp;"C"&amp;$A181))</f>
        <v>1000.6</v>
      </c>
      <c r="DD181" s="3">
        <f>IF(RTD("tos.rtd",,DD$43,"."&amp;$B$134&amp;$AS$82&amp;"P"&amp;$A181)="N/A",0,RTD("tos.rtd",,DD$43,"."&amp;$B$134&amp;$AS$82&amp;"P"&amp;$A181))</f>
        <v>19.8</v>
      </c>
      <c r="DE181" s="3">
        <f>IF(RTD("tos.rtd",,DE$43,"."&amp;$B$134&amp;$AS$82&amp;"C"&amp;$A181)="N/A",0,RTD("tos.rtd",,DE$43,"."&amp;$B$134&amp;$AS$82&amp;"C"&amp;$A181))</f>
        <v>824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378"/>
        <v>-880.75</v>
      </c>
      <c r="DH181" s="3">
        <f t="shared" si="379"/>
        <v>0</v>
      </c>
      <c r="DI181" s="3">
        <f t="shared" si="380"/>
        <v>0</v>
      </c>
      <c r="DJ181" s="3">
        <f t="shared" si="346"/>
        <v>0</v>
      </c>
      <c r="DK181" s="3">
        <f t="shared" si="347"/>
        <v>0</v>
      </c>
      <c r="DL181" s="3">
        <f t="shared" si="381"/>
        <v>0</v>
      </c>
      <c r="DM181" s="3">
        <f t="shared" si="382"/>
        <v>0</v>
      </c>
      <c r="DN181" s="64" t="str">
        <f t="shared" si="348"/>
        <v>UNKNOWN</v>
      </c>
      <c r="DO181" s="64" t="str">
        <f t="shared" si="349"/>
        <v>UNKNOWN</v>
      </c>
      <c r="DP181" s="3">
        <f t="shared" si="350"/>
        <v>0</v>
      </c>
      <c r="DQ181" s="3">
        <f t="shared" si="351"/>
        <v>0</v>
      </c>
      <c r="DR181" s="3">
        <f t="shared" ca="1" si="352"/>
        <v>0</v>
      </c>
      <c r="DS181" s="3">
        <f t="shared" si="353"/>
        <v>0</v>
      </c>
      <c r="DT181" s="3">
        <f t="shared" si="383"/>
        <v>0</v>
      </c>
      <c r="DU181" s="3">
        <f t="shared" si="384"/>
        <v>0</v>
      </c>
      <c r="DV181" s="3">
        <f t="shared" si="354"/>
        <v>1</v>
      </c>
      <c r="DW181" s="3">
        <f t="shared" si="355"/>
        <v>0</v>
      </c>
      <c r="DX181" s="3">
        <f t="shared" ca="1" si="436"/>
        <v>9.7084020315188507E-46</v>
      </c>
      <c r="DY181" s="3">
        <f t="shared" ca="1" si="437"/>
        <v>-2.6313523928708278E-4</v>
      </c>
      <c r="DZ181" s="3">
        <f t="shared" ca="1" si="438"/>
        <v>1.9221481507511213E-4</v>
      </c>
      <c r="EA181" s="3">
        <f t="shared" ca="1" si="439"/>
        <v>-2.197626440097208E-4</v>
      </c>
      <c r="EB181" s="3">
        <f t="shared" ca="1" si="440"/>
        <v>1.4215694842118301E-4</v>
      </c>
      <c r="EC181" s="3">
        <f t="shared" ca="1" si="441"/>
        <v>-1.6979836603944778E-4</v>
      </c>
      <c r="ED181" s="63">
        <f t="shared" si="385"/>
        <v>1</v>
      </c>
      <c r="EE181" s="59">
        <f t="shared" si="362"/>
        <v>0.25</v>
      </c>
      <c r="EF181" s="59">
        <f t="shared" si="363"/>
        <v>3.4201999999999999</v>
      </c>
      <c r="EG181" s="59">
        <f t="shared" si="364"/>
        <v>0.25</v>
      </c>
      <c r="EH181" s="59">
        <f t="shared" si="365"/>
        <v>0.27729999999999999</v>
      </c>
      <c r="EI181" s="59">
        <f t="shared" si="366"/>
        <v>0.2145</v>
      </c>
      <c r="EJ181" s="59">
        <f t="shared" si="367"/>
        <v>0.23269999999999999</v>
      </c>
      <c r="EK181" s="63">
        <f t="shared" ca="1" si="386"/>
        <v>4.4173316188218717E-37</v>
      </c>
      <c r="EL181" s="3" t="str">
        <f>RTD("tos.rtd",,EL$43,"."&amp;$B$134&amp;$AS$82&amp;"C"&amp;$A181)</f>
        <v>--</v>
      </c>
      <c r="EM181" s="3" t="str">
        <f>RTD("tos.rtd",,EM$43,"."&amp;$B$134&amp;$AS$82&amp;"P"&amp;$A181)</f>
        <v>342.02%</v>
      </c>
      <c r="EN181" s="3" t="str">
        <f>RTD("tos.rtd",,EN$2,"."&amp;$C$134&amp;$AU$82&amp;"C"&amp;$A181)</f>
        <v>--</v>
      </c>
      <c r="EO181" s="3" t="str">
        <f>RTD("tos.rtd",,EO$2,"."&amp;$C$134&amp;$AU$82&amp;"P"&amp;$A181)</f>
        <v>27.73%</v>
      </c>
      <c r="EP181" s="3" t="str">
        <f>RTD("tos.rtd",,EP$2,"."&amp;$D$134&amp;$AW$82&amp;"C"&amp;$A181)</f>
        <v>21.45%</v>
      </c>
      <c r="EQ181" s="3" t="str">
        <f>RTD("tos.rtd",,EQ$2,"."&amp;$D$134&amp;$AW$82&amp;"P"&amp;$A181)</f>
        <v>23.27%</v>
      </c>
      <c r="ES181" s="63" t="str">
        <f t="shared" si="368"/>
        <v>20450,01.00</v>
      </c>
      <c r="ET181" s="63" t="str">
        <f t="shared" ca="1" si="369"/>
        <v>20450,00.03</v>
      </c>
      <c r="EU181" s="68">
        <v>592.64</v>
      </c>
      <c r="EV181" s="68" t="s">
        <v>1464</v>
      </c>
      <c r="EW181" s="68">
        <v>519.11</v>
      </c>
      <c r="EX181" s="68" t="s">
        <v>1465</v>
      </c>
      <c r="EY181" s="68">
        <v>5936.25</v>
      </c>
      <c r="EZ181" s="68" t="s">
        <v>1466</v>
      </c>
      <c r="FA181" s="68">
        <v>21309.5</v>
      </c>
      <c r="FB181" s="68" t="s">
        <v>1467</v>
      </c>
      <c r="FC181" s="68" t="s">
        <v>1468</v>
      </c>
      <c r="FD181" s="68" t="s">
        <v>1469</v>
      </c>
      <c r="FE181" s="68" t="s">
        <v>1470</v>
      </c>
      <c r="FF181" s="68" t="s">
        <v>1471</v>
      </c>
    </row>
    <row r="182" spans="1:162" ht="11.1" customHeight="1" thickBot="1" x14ac:dyDescent="0.25">
      <c r="A182" s="2">
        <f t="shared" si="387"/>
        <v>20425</v>
      </c>
      <c r="B182" s="3">
        <f t="shared" si="413"/>
        <v>1</v>
      </c>
      <c r="C182" s="3">
        <f t="shared" si="414"/>
        <v>33</v>
      </c>
      <c r="D182" s="3">
        <f t="shared" si="415"/>
        <v>36</v>
      </c>
      <c r="E182" s="3">
        <f t="shared" ref="E182:E189" si="442">SUM(B182:D182)</f>
        <v>70</v>
      </c>
      <c r="F182" s="4">
        <f t="shared" si="408"/>
        <v>20511.178404416161</v>
      </c>
      <c r="G182" s="5">
        <f t="shared" ref="G182:G189" si="443">+$G$136/$A$136*A182</f>
        <v>497.56538096410111</v>
      </c>
      <c r="AM182" s="1">
        <v>0</v>
      </c>
      <c r="AN182" s="1">
        <v>-1</v>
      </c>
      <c r="AO182" s="1">
        <v>20425</v>
      </c>
      <c r="AP182" s="1">
        <v>0</v>
      </c>
      <c r="AQ182" s="1">
        <v>-1</v>
      </c>
      <c r="AS182" s="54">
        <f>IF(RTD("tos.rtd",,AS$83,"."&amp;$B$134&amp;$AS$82&amp;"C"&amp;$A182)="N/A",0,RTD("tos.rtd",,AS$83,"."&amp;$B$134&amp;$AS$82&amp;"C"&amp;$A182))</f>
        <v>0</v>
      </c>
      <c r="AT182" s="3">
        <f>-IF(RTD("tos.rtd",,AT$83,"."&amp;$B$134&amp;$AS$82&amp;"P"&amp;$A182)="N/A",0,RTD("tos.rtd",,AT$83,"."&amp;$B$134&amp;$AS$82&amp;"P"&amp;$A182))</f>
        <v>-1</v>
      </c>
      <c r="AU182" s="54">
        <f>IF(RTD("tos.rtd",,AU$2,"."&amp;$C$134&amp;$AU$134&amp;"C"&amp;$A182)="N/A",0,RTD("tos.rtd",,AU$2,"."&amp;$C$134&amp;$AU$134&amp;"C"&amp;$A182))</f>
        <v>1</v>
      </c>
      <c r="AV182" s="3">
        <f>-IF(RTD("tos.rtd",,AV$2,"."&amp;$C$134&amp;$AU$134&amp;"P"&amp;$A182)="N/A",0,RTD("tos.rtd",,AV$2,"."&amp;$C$134&amp;$AU$134&amp;"P"&amp;$A182))</f>
        <v>-32</v>
      </c>
      <c r="AW182" s="54">
        <f>IF(RTD("tos.rtd",,AW$2,"."&amp;$D$134&amp;$AW$134&amp;"C"&amp;$A182)="N/A",0,RTD("tos.rtd",,AW$2,"."&amp;$D$134&amp;$AW$134&amp;"C"&amp;$A182))</f>
        <v>23</v>
      </c>
      <c r="AX182" s="3">
        <f>-IF(RTD("tos.rtd",,AX$2,"."&amp;$D$134&amp;$AW$134&amp;"P"&amp;$A182)="N/A",0,RTD("tos.rtd",,AX$2,"."&amp;$D$134&amp;$AW$134&amp;"P"&amp;$A182))</f>
        <v>-13</v>
      </c>
      <c r="AY182" s="76">
        <f t="shared" si="409"/>
        <v>-22</v>
      </c>
      <c r="AZ182" s="8">
        <f t="shared" si="337"/>
        <v>20425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-1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-3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0</v>
      </c>
      <c r="BG182" s="3">
        <f ca="1">+Hoja2!Y183</f>
        <v>-8</v>
      </c>
      <c r="BH182" s="7">
        <f t="shared" ca="1" si="338"/>
        <v>-12</v>
      </c>
      <c r="BI182" s="32" t="str">
        <f t="shared" ca="1" si="397"/>
        <v/>
      </c>
      <c r="BJ182" s="3">
        <f ca="1">IF($BP$1=1,DX182,IF(RTD("tos.rtd",,BJ$43,"."&amp;$B$134&amp;$AS$82&amp;"C"&amp;$A182)="N/A",0,RTD("tos.rtd",,BJ$43,"."&amp;$B$134&amp;$AS$82&amp;"C"&amp;$A182)))</f>
        <v>2.9385564015743731E-48</v>
      </c>
      <c r="BK182" s="3">
        <f ca="1">IF($BP$1=1,DY182,-IF(RTD("tos.rtd",,BK$43,"."&amp;$B$134&amp;$AS$82&amp;"P"&amp;$A182)="N/A",0,RTD("tos.rtd",,BK$43,"."&amp;$B$134&amp;$AS$82&amp;"P"&amp;$A182)))</f>
        <v>-2.554631037246313E-4</v>
      </c>
      <c r="BL182" s="3">
        <f ca="1">IF($BP$1=1,DZ182,IF(RTD("tos.rtd",,BL$2,"."&amp;$C$134&amp;$AU$82&amp;"C"&amp;$A182)="N/A",0,RTD("tos.rtd",,BL$2,"."&amp;$C$134&amp;$AU$82&amp;"C"&amp;$A182)))</f>
        <v>2.1456469998189397E-4</v>
      </c>
      <c r="BM182" s="3">
        <f ca="1">IF($BP$1=1,EA182,-IF(RTD("tos.rtd",,BM$2,"."&amp;$C$134&amp;$AU$82&amp;"P"&amp;$A182)="N/A",0,RTD("tos.rtd",,BM$2,"."&amp;$C$134&amp;$AU$82&amp;"P"&amp;$A182)))</f>
        <v>-2.0831721139066703E-4</v>
      </c>
      <c r="BN182" s="3">
        <f ca="1">IF($BP$1=1,EB182,IF(RTD("tos.rtd",,BN$2,"."&amp;$D$134&amp;$AW$82&amp;"C"&amp;$A182)="N/A",0,RTD("tos.rtd",,BN$2,"."&amp;$D$134&amp;$AW$82&amp;"C"&amp;$A182)))</f>
        <v>1.2946040644978455E-4</v>
      </c>
      <c r="BO182" s="3">
        <f ca="1">IF($BP$1=1,EC182,-IF(RTD("tos.rtd",,BO$2,"."&amp;$D$134&amp;$AW$82&amp;"P"&amp;$A182)="N/A",0,RTD("tos.rtd",,BO$2,"."&amp;$D$134&amp;$AW$82&amp;"P"&amp;$A182)))</f>
        <v>-1.5861979986215471E-4</v>
      </c>
      <c r="BQ182" s="3">
        <f t="shared" ca="1" si="410"/>
        <v>-8999.2479475214986</v>
      </c>
      <c r="BR182" s="3" t="str">
        <f t="shared" ca="1" si="339"/>
        <v/>
      </c>
      <c r="BS182" s="3">
        <f t="shared" ca="1" si="411"/>
        <v>-227271.26462836826</v>
      </c>
      <c r="BT182" s="3" t="str">
        <f t="shared" ca="1" si="340"/>
        <v/>
      </c>
      <c r="BU182" s="3">
        <f t="shared" ca="1" si="412"/>
        <v>32251.620304598429</v>
      </c>
      <c r="BV182" s="3" t="str">
        <f t="shared" ca="1" si="340"/>
        <v/>
      </c>
      <c r="BX182" s="3">
        <f t="shared" ca="1" si="370"/>
        <v>-68.978956017725963</v>
      </c>
      <c r="BY182" s="3" t="str">
        <f t="shared" ca="1" si="371"/>
        <v>Cruce -</v>
      </c>
      <c r="BZ182" s="3">
        <f t="shared" ca="1" si="372"/>
        <v>-168.74652604715843</v>
      </c>
      <c r="CA182" s="3" t="str">
        <f t="shared" ca="1" si="371"/>
        <v/>
      </c>
      <c r="CB182" s="3">
        <f t="shared" ca="1" si="373"/>
        <v>0</v>
      </c>
      <c r="CC182" s="3" t="str">
        <f t="shared" ca="1" si="371"/>
        <v/>
      </c>
      <c r="CD182" s="3">
        <f>IF(RTD("tos.rtd",,CD$43,"."&amp;$B$134&amp;$AS$82&amp;"C"&amp;$A182)="N/A",0,RTD("tos.rtd",,CD$43,"."&amp;$B$134&amp;$AS$82&amp;"C"&amp;$A182))</f>
        <v>1</v>
      </c>
      <c r="CE182" s="3">
        <f>-IF(RTD("tos.rtd",,CE$43,"."&amp;$B$134&amp;$AS$82&amp;"P"&amp;$A182)="N/A",0,RTD("tos.rtd",,CE$43,"."&amp;$B$134&amp;$AS$82&amp;"P"&amp;$A182))</f>
        <v>0.04</v>
      </c>
      <c r="CF182" s="3">
        <f>IF(RTD("tos.rtd",,CF$2,"."&amp;$C$134&amp;$AU$82&amp;"C"&amp;$A182)="N/A",0,RTD("tos.rtd",,CF$2,"."&amp;$C$134&amp;$AU$82&amp;"C"&amp;$A182))</f>
        <v>0.96</v>
      </c>
      <c r="CG182" s="3">
        <f>-IF(RTD("tos.rtd",,CG$2,"."&amp;$C$134&amp;$AU$82&amp;"P"&amp;$A182)="N/A",0,RTD("tos.rtd",,CG$2,"."&amp;$C$134&amp;$AU$82&amp;"P"&amp;$A182))</f>
        <v>0.04</v>
      </c>
      <c r="CH182" s="3">
        <f>IF(RTD("tos.rtd",,CH$2,"."&amp;$D$134&amp;$AW$82&amp;"C"&amp;$A182)="N/A",0,RTD("tos.rtd",,CH$2,"."&amp;$D$134&amp;$AW$82&amp;"C"&amp;$A182))</f>
        <v>0.79</v>
      </c>
      <c r="CI182" s="3">
        <f>-IF(RTD("tos.rtd",,CI$2,"."&amp;$D$134&amp;$AW$82&amp;"P"&amp;$A182)="N/A",0,RTD("tos.rtd",,CI$2,"."&amp;$D$134&amp;$AW$82&amp;"P"&amp;$A182))</f>
        <v>0.23</v>
      </c>
      <c r="CK182" s="3">
        <f t="shared" si="374"/>
        <v>-85323</v>
      </c>
      <c r="CL182" s="3"/>
      <c r="CM182" s="3">
        <f t="shared" si="375"/>
        <v>-682584</v>
      </c>
      <c r="CN182" s="3"/>
      <c r="CO182" s="3">
        <f t="shared" si="376"/>
        <v>32380078.500000007</v>
      </c>
      <c r="CP182" s="3">
        <f t="shared" si="331"/>
        <v>31612171.500000007</v>
      </c>
      <c r="CQ182" s="3">
        <f t="shared" si="341"/>
        <v>-1</v>
      </c>
      <c r="CR182" s="3"/>
      <c r="CS182" s="3">
        <f t="shared" si="342"/>
        <v>-3</v>
      </c>
      <c r="CT182" s="3"/>
      <c r="CU182" s="3">
        <f t="shared" si="343"/>
        <v>0</v>
      </c>
      <c r="CV182" s="3"/>
      <c r="CW182" s="3">
        <f t="shared" ca="1" si="344"/>
        <v>-204018.89227129135</v>
      </c>
      <c r="CY182" s="3">
        <f t="shared" ca="1" si="345"/>
        <v>-237.72548206488437</v>
      </c>
      <c r="CZ182" s="70" t="str">
        <f t="shared" ca="1" si="377"/>
        <v>Cruce -</v>
      </c>
      <c r="DA182" s="3">
        <f>IF(RTD("tos.rtd",,DA$43,"."&amp;$B$134&amp;$AS$82&amp;"C"&amp;$A182)="N/A",0,RTD("tos.rtd",,DA$43,"."&amp;$B$134&amp;$AS$82&amp;"C"&amp;$A182))</f>
        <v>0</v>
      </c>
      <c r="DB182" s="3">
        <f>IF(RTD("tos.rtd",,DB$43,"."&amp;$B$134&amp;$AS$82&amp;"P"&amp;$A182)="N/A",0,RTD("tos.rtd",,DB$43,"."&amp;$B$134&amp;$AS$82&amp;"P"&amp;$A182))</f>
        <v>0.35</v>
      </c>
      <c r="DC182" s="3">
        <f>IF(RTD("tos.rtd",,DC$43,"."&amp;$B$134&amp;$AS$82&amp;"C"&amp;$A182)="N/A",0,RTD("tos.rtd",,DC$43,"."&amp;$B$134&amp;$AS$82&amp;"C"&amp;$A182))</f>
        <v>1014</v>
      </c>
      <c r="DD182" s="3">
        <f>IF(RTD("tos.rtd",,DD$43,"."&amp;$B$134&amp;$AS$82&amp;"P"&amp;$A182)="N/A",0,RTD("tos.rtd",,DD$43,"."&amp;$B$134&amp;$AS$82&amp;"P"&amp;$A182))</f>
        <v>19.8</v>
      </c>
      <c r="DE182" s="3">
        <f>IF(RTD("tos.rtd",,DE$43,"."&amp;$B$134&amp;$AS$82&amp;"C"&amp;$A182)="N/A",0,RTD("tos.rtd",,DE$43,"."&amp;$B$134&amp;$AS$82&amp;"C"&amp;$A182))</f>
        <v>848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378"/>
        <v>-905.75</v>
      </c>
      <c r="DH182" s="3">
        <f t="shared" si="379"/>
        <v>0</v>
      </c>
      <c r="DI182" s="3">
        <f t="shared" si="380"/>
        <v>0</v>
      </c>
      <c r="DJ182" s="3">
        <f t="shared" si="346"/>
        <v>0</v>
      </c>
      <c r="DK182" s="3">
        <f t="shared" si="347"/>
        <v>0</v>
      </c>
      <c r="DL182" s="3">
        <f t="shared" si="381"/>
        <v>0</v>
      </c>
      <c r="DM182" s="3">
        <f t="shared" si="382"/>
        <v>0</v>
      </c>
      <c r="DN182" s="64" t="str">
        <f t="shared" si="348"/>
        <v>UNKNOWN</v>
      </c>
      <c r="DO182" s="64" t="str">
        <f t="shared" si="349"/>
        <v>UNKNOWN</v>
      </c>
      <c r="DP182" s="3">
        <f t="shared" si="350"/>
        <v>0</v>
      </c>
      <c r="DQ182" s="3">
        <f t="shared" si="351"/>
        <v>0</v>
      </c>
      <c r="DR182" s="3">
        <f t="shared" ca="1" si="352"/>
        <v>0</v>
      </c>
      <c r="DS182" s="3">
        <f t="shared" si="353"/>
        <v>0</v>
      </c>
      <c r="DT182" s="3">
        <f t="shared" si="383"/>
        <v>0</v>
      </c>
      <c r="DU182" s="3">
        <f t="shared" si="384"/>
        <v>0</v>
      </c>
      <c r="DV182" s="3">
        <f t="shared" si="354"/>
        <v>0</v>
      </c>
      <c r="DW182" s="3">
        <f t="shared" si="355"/>
        <v>-1</v>
      </c>
      <c r="DX182" s="3">
        <f t="shared" ca="1" si="436"/>
        <v>2.9385564015743731E-48</v>
      </c>
      <c r="DY182" s="3">
        <f t="shared" ca="1" si="437"/>
        <v>-2.554631037246313E-4</v>
      </c>
      <c r="DZ182" s="3">
        <f t="shared" ca="1" si="438"/>
        <v>2.1456469998189397E-4</v>
      </c>
      <c r="EA182" s="3">
        <f t="shared" ca="1" si="439"/>
        <v>-2.0831721139066703E-4</v>
      </c>
      <c r="EB182" s="3">
        <f t="shared" ca="1" si="440"/>
        <v>1.2946040644978455E-4</v>
      </c>
      <c r="EC182" s="3">
        <f t="shared" ca="1" si="441"/>
        <v>-1.5861979986215471E-4</v>
      </c>
      <c r="ED182" s="63">
        <f t="shared" si="385"/>
        <v>-1</v>
      </c>
      <c r="EE182" s="59">
        <f t="shared" si="362"/>
        <v>0.25</v>
      </c>
      <c r="EF182" s="59">
        <f t="shared" si="363"/>
        <v>3.4973000000000001</v>
      </c>
      <c r="EG182" s="59">
        <f t="shared" si="364"/>
        <v>0.28660000000000002</v>
      </c>
      <c r="EH182" s="59">
        <f t="shared" si="365"/>
        <v>0.27900000000000003</v>
      </c>
      <c r="EI182" s="59">
        <f t="shared" si="366"/>
        <v>0.21510000000000001</v>
      </c>
      <c r="EJ182" s="59">
        <f t="shared" si="367"/>
        <v>0.23469999999999999</v>
      </c>
      <c r="EK182" s="63">
        <f t="shared" ca="1" si="386"/>
        <v>116235.94097788307</v>
      </c>
      <c r="EL182" s="3" t="str">
        <f>RTD("tos.rtd",,EL$43,"."&amp;$B$134&amp;$AS$82&amp;"C"&amp;$A182)</f>
        <v>--</v>
      </c>
      <c r="EM182" s="3" t="str">
        <f>RTD("tos.rtd",,EM$43,"."&amp;$B$134&amp;$AS$82&amp;"P"&amp;$A182)</f>
        <v>349.73%</v>
      </c>
      <c r="EN182" s="3" t="str">
        <f>RTD("tos.rtd",,EN$2,"."&amp;$C$134&amp;$AU$82&amp;"C"&amp;$A182)</f>
        <v>28.66%</v>
      </c>
      <c r="EO182" s="3" t="str">
        <f>RTD("tos.rtd",,EO$2,"."&amp;$C$134&amp;$AU$82&amp;"P"&amp;$A182)</f>
        <v>27.90%</v>
      </c>
      <c r="EP182" s="3" t="str">
        <f>RTD("tos.rtd",,EP$2,"."&amp;$D$134&amp;$AW$82&amp;"C"&amp;$A182)</f>
        <v>21.51%</v>
      </c>
      <c r="EQ182" s="3" t="str">
        <f>RTD("tos.rtd",,EQ$2,"."&amp;$D$134&amp;$AW$82&amp;"P"&amp;$A182)</f>
        <v>23.47%</v>
      </c>
      <c r="ES182" s="63" t="str">
        <f t="shared" si="368"/>
        <v>20425,-01.00</v>
      </c>
      <c r="ET182" s="63" t="str">
        <f t="shared" ca="1" si="369"/>
        <v>20425,-00.24</v>
      </c>
      <c r="EU182" s="68">
        <v>592.64</v>
      </c>
      <c r="EV182" s="68" t="s">
        <v>1472</v>
      </c>
      <c r="EW182" s="68">
        <v>519.11</v>
      </c>
      <c r="EX182" s="68" t="s">
        <v>1473</v>
      </c>
      <c r="EY182" s="68">
        <v>5936.25</v>
      </c>
      <c r="EZ182" s="68" t="s">
        <v>1474</v>
      </c>
      <c r="FA182" s="68">
        <v>21309.5</v>
      </c>
      <c r="FB182" s="68" t="s">
        <v>1475</v>
      </c>
      <c r="FC182" s="68" t="s">
        <v>1476</v>
      </c>
      <c r="FD182" s="68" t="s">
        <v>1477</v>
      </c>
      <c r="FE182" s="68" t="s">
        <v>1478</v>
      </c>
      <c r="FF182" s="68" t="s">
        <v>1479</v>
      </c>
    </row>
    <row r="183" spans="1:162" ht="11.1" customHeight="1" thickBot="1" x14ac:dyDescent="0.25">
      <c r="A183" s="2">
        <f t="shared" si="387"/>
        <v>20400</v>
      </c>
      <c r="B183" s="3">
        <f t="shared" si="413"/>
        <v>18</v>
      </c>
      <c r="C183" s="3">
        <f t="shared" si="414"/>
        <v>118</v>
      </c>
      <c r="D183" s="3">
        <f t="shared" si="415"/>
        <v>61</v>
      </c>
      <c r="E183" s="3">
        <f t="shared" si="442"/>
        <v>197</v>
      </c>
      <c r="F183" s="4">
        <f t="shared" si="408"/>
        <v>20486.072922893007</v>
      </c>
      <c r="G183" s="5">
        <f t="shared" si="443"/>
        <v>496.95636580992226</v>
      </c>
      <c r="AM183" s="1">
        <v>0</v>
      </c>
      <c r="AN183" s="1">
        <v>-23</v>
      </c>
      <c r="AO183" s="1">
        <v>20400</v>
      </c>
      <c r="AP183" s="1">
        <v>10</v>
      </c>
      <c r="AQ183" s="1">
        <v>-25</v>
      </c>
      <c r="AS183" s="54">
        <f>IF(RTD("tos.rtd",,AS$83,"."&amp;$B$134&amp;$AS$82&amp;"C"&amp;$A183)="N/A",0,RTD("tos.rtd",,AS$83,"."&amp;$B$134&amp;$AS$82&amp;"C"&amp;$A183))</f>
        <v>12</v>
      </c>
      <c r="AT183" s="3">
        <f>-IF(RTD("tos.rtd",,AT$83,"."&amp;$B$134&amp;$AS$82&amp;"P"&amp;$A183)="N/A",0,RTD("tos.rtd",,AT$83,"."&amp;$B$134&amp;$AS$82&amp;"P"&amp;$A183))</f>
        <v>-6</v>
      </c>
      <c r="AU183" s="54">
        <f>IF(RTD("tos.rtd",,AU$2,"."&amp;$C$134&amp;$AU$134&amp;"C"&amp;$A183)="N/A",0,RTD("tos.rtd",,AU$2,"."&amp;$C$134&amp;$AU$134&amp;"C"&amp;$A183))</f>
        <v>1</v>
      </c>
      <c r="AV183" s="3">
        <f>-IF(RTD("tos.rtd",,AV$2,"."&amp;$C$134&amp;$AU$134&amp;"P"&amp;$A183)="N/A",0,RTD("tos.rtd",,AV$2,"."&amp;$C$134&amp;$AU$134&amp;"P"&amp;$A183))</f>
        <v>-117</v>
      </c>
      <c r="AW183" s="54">
        <f>IF(RTD("tos.rtd",,AW$2,"."&amp;$D$134&amp;$AW$134&amp;"C"&amp;$A183)="N/A",0,RTD("tos.rtd",,AW$2,"."&amp;$D$134&amp;$AW$134&amp;"C"&amp;$A183))</f>
        <v>31</v>
      </c>
      <c r="AX183" s="3">
        <f>-IF(RTD("tos.rtd",,AX$2,"."&amp;$D$134&amp;$AW$134&amp;"P"&amp;$A183)="N/A",0,RTD("tos.rtd",,AX$2,"."&amp;$D$134&amp;$AW$134&amp;"P"&amp;$A183))</f>
        <v>-30</v>
      </c>
      <c r="AY183" s="76">
        <f t="shared" si="409"/>
        <v>-109</v>
      </c>
      <c r="AZ183" s="8">
        <f t="shared" si="337"/>
        <v>20400</v>
      </c>
      <c r="BA183" s="54">
        <f>IF(RTD("tos.rtd",,BA$43,"."&amp;$B$134&amp;$AS$82&amp;"C"&amp;$A183)="N/A",0,RTD("tos.rtd",,BA$43,"."&amp;$B$134&amp;$AS$82&amp;"C"&amp;$A183))</f>
        <v>10</v>
      </c>
      <c r="BB183" s="3">
        <f>-IF(RTD("tos.rtd",,BB$43,"."&amp;$B$134&amp;$AS$82&amp;"P"&amp;$A183)="N/A",0,RTD("tos.rtd",,BB$43,"."&amp;$B$134&amp;$AS$82&amp;"P"&amp;$A183))</f>
        <v>-25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-132</v>
      </c>
      <c r="BE183" s="54">
        <f>IF(RTD("tos.rtd",,BE$2,"."&amp;$D$134&amp;$AW$82&amp;"C"&amp;$A183)="N/A",0,RTD("tos.rtd",,BE$2,"."&amp;$D$134&amp;$AW$82&amp;"C"&amp;$A183))</f>
        <v>0</v>
      </c>
      <c r="BF183" s="3">
        <f>-IF(RTD("tos.rtd",,BF$2,"."&amp;$D$134&amp;$AW$82&amp;"P"&amp;$A183)="N/A",0,RTD("tos.rtd",,BF$2,"."&amp;$D$134&amp;$AW$82&amp;"P"&amp;$A183))</f>
        <v>0</v>
      </c>
      <c r="BG183" s="3">
        <f ca="1">+Hoja2!Y184</f>
        <v>6</v>
      </c>
      <c r="BH183" s="7">
        <f t="shared" ca="1" si="338"/>
        <v>-141</v>
      </c>
      <c r="BI183" s="32" t="str">
        <f t="shared" ca="1" si="397"/>
        <v/>
      </c>
      <c r="BJ183" s="3">
        <f ca="1">IF($BP$1=1,DX183,IF(RTD("tos.rtd",,BJ$43,"."&amp;$B$134&amp;$AS$82&amp;"C"&amp;$A183)="N/A",0,RTD("tos.rtd",,BJ$43,"."&amp;$B$134&amp;$AS$82&amp;"C"&amp;$A183)))</f>
        <v>1.290153519448377E-4</v>
      </c>
      <c r="BK183" s="3">
        <f ca="1">IF($BP$1=1,DY183,-IF(RTD("tos.rtd",,BK$43,"."&amp;$B$134&amp;$AS$82&amp;"P"&amp;$A183)="N/A",0,RTD("tos.rtd",,BK$43,"."&amp;$B$134&amp;$AS$82&amp;"P"&amp;$A183)))</f>
        <v>-2.4818663442680592E-4</v>
      </c>
      <c r="BL183" s="3">
        <f ca="1">IF($BP$1=1,DZ183,IF(RTD("tos.rtd",,BL$2,"."&amp;$C$134&amp;$AU$82&amp;"C"&amp;$A183)="N/A",0,RTD("tos.rtd",,BL$2,"."&amp;$C$134&amp;$AU$82&amp;"C"&amp;$A183)))</f>
        <v>1.6525851243341934E-4</v>
      </c>
      <c r="BM183" s="3">
        <f ca="1">IF($BP$1=1,EA183,-IF(RTD("tos.rtd",,BM$2,"."&amp;$C$134&amp;$AU$82&amp;"P"&amp;$A183)="N/A",0,RTD("tos.rtd",,BM$2,"."&amp;$C$134&amp;$AU$82&amp;"P"&amp;$A183)))</f>
        <v>-1.9763459474310104E-4</v>
      </c>
      <c r="BN183" s="3">
        <f ca="1">IF($BP$1=1,EB183,IF(RTD("tos.rtd",,BN$2,"."&amp;$D$134&amp;$AW$82&amp;"C"&amp;$A183)="N/A",0,RTD("tos.rtd",,BN$2,"."&amp;$D$134&amp;$AW$82&amp;"C"&amp;$A183)))</f>
        <v>1.1767447515208224E-4</v>
      </c>
      <c r="BO183" s="3">
        <f ca="1">IF($BP$1=1,EC183,-IF(RTD("tos.rtd",,BO$2,"."&amp;$D$134&amp;$AW$82&amp;"P"&amp;$A183)="N/A",0,RTD("tos.rtd",,BO$2,"."&amp;$D$134&amp;$AW$82&amp;"P"&amp;$A183)))</f>
        <v>-1.4679133344935345E-4</v>
      </c>
      <c r="BQ183" s="3">
        <f t="shared" ca="1" si="410"/>
        <v>2080.6735834027786</v>
      </c>
      <c r="BR183" s="3" t="str">
        <f t="shared" ca="1" si="339"/>
        <v>Cruce +</v>
      </c>
      <c r="BS183" s="3">
        <f t="shared" ca="1" si="411"/>
        <v>-808745.50190505944</v>
      </c>
      <c r="BT183" s="3" t="str">
        <f t="shared" ca="1" si="340"/>
        <v/>
      </c>
      <c r="BU183" s="3">
        <f t="shared" ca="1" si="412"/>
        <v>-26625.813825716454</v>
      </c>
      <c r="BV183" s="3" t="str">
        <f t="shared" ca="1" si="340"/>
        <v>Cruce -</v>
      </c>
      <c r="BX183" s="3">
        <f t="shared" ca="1" si="370"/>
        <v>-1326.9937055142041</v>
      </c>
      <c r="BY183" s="3" t="str">
        <f t="shared" ca="1" si="371"/>
        <v/>
      </c>
      <c r="BZ183" s="3">
        <f t="shared" ca="1" si="372"/>
        <v>-7044.0970621102479</v>
      </c>
      <c r="CA183" s="3" t="str">
        <f t="shared" ca="1" si="371"/>
        <v/>
      </c>
      <c r="CB183" s="3">
        <f t="shared" ca="1" si="373"/>
        <v>0</v>
      </c>
      <c r="CC183" s="3" t="str">
        <f t="shared" ca="1" si="371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0.04</v>
      </c>
      <c r="CF183" s="3">
        <f>IF(RTD("tos.rtd",,CF$2,"."&amp;$C$134&amp;$AU$82&amp;"C"&amp;$A183)="N/A",0,RTD("tos.rtd",,CF$2,"."&amp;$C$134&amp;$AU$82&amp;"C"&amp;$A183))</f>
        <v>1</v>
      </c>
      <c r="CG183" s="3">
        <f>-IF(RTD("tos.rtd",,CG$2,"."&amp;$C$134&amp;$AU$82&amp;"P"&amp;$A183)="N/A",0,RTD("tos.rtd",,CG$2,"."&amp;$C$134&amp;$AU$82&amp;"P"&amp;$A183))</f>
        <v>0.03</v>
      </c>
      <c r="CH183" s="3">
        <f>IF(RTD("tos.rtd",,CH$2,"."&amp;$D$134&amp;$AW$82&amp;"C"&amp;$A183)="N/A",0,RTD("tos.rtd",,CH$2,"."&amp;$D$134&amp;$AW$82&amp;"C"&amp;$A183))</f>
        <v>0.8</v>
      </c>
      <c r="CI183" s="3">
        <f>-IF(RTD("tos.rtd",,CI$2,"."&amp;$D$134&amp;$AW$82&amp;"P"&amp;$A183)="N/A",0,RTD("tos.rtd",,CI$2,"."&amp;$D$134&amp;$AW$82&amp;"P"&amp;$A183))</f>
        <v>0.22</v>
      </c>
      <c r="CK183" s="3">
        <f t="shared" si="374"/>
        <v>25084962</v>
      </c>
      <c r="CL183" s="3"/>
      <c r="CM183" s="3">
        <f t="shared" si="375"/>
        <v>-5354018.25</v>
      </c>
      <c r="CN183" s="3"/>
      <c r="CO183" s="3">
        <f t="shared" si="376"/>
        <v>38821965</v>
      </c>
      <c r="CP183" s="3">
        <f t="shared" si="331"/>
        <v>58552908.75</v>
      </c>
      <c r="CQ183" s="3">
        <f t="shared" si="341"/>
        <v>-15</v>
      </c>
      <c r="CR183" s="3"/>
      <c r="CS183" s="3">
        <f t="shared" si="342"/>
        <v>-132</v>
      </c>
      <c r="CT183" s="3"/>
      <c r="CU183" s="3">
        <f t="shared" si="343"/>
        <v>0</v>
      </c>
      <c r="CV183" s="3"/>
      <c r="CW183" s="3">
        <f t="shared" ca="1" si="344"/>
        <v>-833290.64214737318</v>
      </c>
      <c r="CY183" s="3">
        <f t="shared" ca="1" si="345"/>
        <v>-8371.0907676244515</v>
      </c>
      <c r="CZ183" s="70" t="str">
        <f t="shared" ca="1" si="377"/>
        <v/>
      </c>
      <c r="DA183" s="3">
        <f>IF(RTD("tos.rtd",,DA$43,"."&amp;$B$134&amp;$AS$82&amp;"C"&amp;$A183)="N/A",0,RTD("tos.rtd",,DA$43,"."&amp;$B$134&amp;$AS$82&amp;"C"&amp;$A183))</f>
        <v>883.4</v>
      </c>
      <c r="DB183" s="3">
        <f>IF(RTD("tos.rtd",,DB$43,"."&amp;$B$134&amp;$AS$82&amp;"P"&amp;$A183)="N/A",0,RTD("tos.rtd",,DB$43,"."&amp;$B$134&amp;$AS$82&amp;"P"&amp;$A183))</f>
        <v>0.2</v>
      </c>
      <c r="DC183" s="3">
        <f>IF(RTD("tos.rtd",,DC$43,"."&amp;$B$134&amp;$AS$82&amp;"C"&amp;$A183)="N/A",0,RTD("tos.rtd",,DC$43,"."&amp;$B$134&amp;$AS$82&amp;"C"&amp;$A183))</f>
        <v>1061</v>
      </c>
      <c r="DD183" s="3">
        <f>IF(RTD("tos.rtd",,DD$43,"."&amp;$B$134&amp;$AS$82&amp;"P"&amp;$A183)="N/A",0,RTD("tos.rtd",,DD$43,"."&amp;$B$134&amp;$AS$82&amp;"P"&amp;$A183))</f>
        <v>19.8</v>
      </c>
      <c r="DE183" s="3">
        <f>IF(RTD("tos.rtd",,DE$43,"."&amp;$B$134&amp;$AS$82&amp;"C"&amp;$A183)="N/A",0,RTD("tos.rtd",,DE$43,"."&amp;$B$134&amp;$AS$82&amp;"C"&amp;$A183))</f>
        <v>874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378"/>
        <v>-930.75</v>
      </c>
      <c r="DH183" s="3">
        <f t="shared" si="379"/>
        <v>0</v>
      </c>
      <c r="DI183" s="3">
        <f t="shared" si="380"/>
        <v>0</v>
      </c>
      <c r="DJ183" s="3">
        <f t="shared" si="346"/>
        <v>0</v>
      </c>
      <c r="DK183" s="3">
        <f t="shared" si="347"/>
        <v>0</v>
      </c>
      <c r="DL183" s="3">
        <f t="shared" si="381"/>
        <v>0</v>
      </c>
      <c r="DM183" s="3">
        <f t="shared" si="382"/>
        <v>0</v>
      </c>
      <c r="DN183" s="64" t="str">
        <f t="shared" si="348"/>
        <v>UNKNOWN</v>
      </c>
      <c r="DO183" s="64" t="str">
        <f t="shared" si="349"/>
        <v>UNKNOWN</v>
      </c>
      <c r="DP183" s="3">
        <f t="shared" si="350"/>
        <v>0</v>
      </c>
      <c r="DQ183" s="3">
        <f t="shared" si="351"/>
        <v>0</v>
      </c>
      <c r="DR183" s="3">
        <f t="shared" ca="1" si="352"/>
        <v>0</v>
      </c>
      <c r="DS183" s="3">
        <f t="shared" si="353"/>
        <v>0</v>
      </c>
      <c r="DT183" s="3">
        <f t="shared" si="383"/>
        <v>0</v>
      </c>
      <c r="DU183" s="3">
        <f t="shared" si="384"/>
        <v>0</v>
      </c>
      <c r="DV183" s="3">
        <f t="shared" si="354"/>
        <v>0</v>
      </c>
      <c r="DW183" s="3">
        <f t="shared" si="355"/>
        <v>-23</v>
      </c>
      <c r="DX183" s="3">
        <f t="shared" ca="1" si="436"/>
        <v>1.290153519448377E-4</v>
      </c>
      <c r="DY183" s="3">
        <f t="shared" ca="1" si="437"/>
        <v>-2.4818663442680592E-4</v>
      </c>
      <c r="DZ183" s="3">
        <f t="shared" ca="1" si="438"/>
        <v>1.6525851243341934E-4</v>
      </c>
      <c r="EA183" s="3">
        <f t="shared" ca="1" si="439"/>
        <v>-1.9763459474310104E-4</v>
      </c>
      <c r="EB183" s="3">
        <f t="shared" ca="1" si="440"/>
        <v>1.1767447515208224E-4</v>
      </c>
      <c r="EC183" s="3">
        <f t="shared" ca="1" si="441"/>
        <v>-1.4679133344935345E-4</v>
      </c>
      <c r="ED183" s="63">
        <f t="shared" si="385"/>
        <v>-23</v>
      </c>
      <c r="EE183" s="59">
        <f t="shared" si="362"/>
        <v>1.9599</v>
      </c>
      <c r="EF183" s="59">
        <f t="shared" si="363"/>
        <v>3.5741999999999998</v>
      </c>
      <c r="EG183" s="59">
        <f t="shared" si="364"/>
        <v>0.25</v>
      </c>
      <c r="EH183" s="59">
        <f t="shared" si="365"/>
        <v>0.28100000000000003</v>
      </c>
      <c r="EI183" s="59">
        <f t="shared" si="366"/>
        <v>0.2157</v>
      </c>
      <c r="EJ183" s="59">
        <f t="shared" si="367"/>
        <v>0.23569999999999999</v>
      </c>
      <c r="EK183" s="63">
        <f t="shared" ca="1" si="386"/>
        <v>2597278.2414093083</v>
      </c>
      <c r="EL183" s="3" t="str">
        <f>RTD("tos.rtd",,EL$43,"."&amp;$B$134&amp;$AS$82&amp;"C"&amp;$A183)</f>
        <v>195.99%</v>
      </c>
      <c r="EM183" s="3" t="str">
        <f>RTD("tos.rtd",,EM$43,"."&amp;$B$134&amp;$AS$82&amp;"P"&amp;$A183)</f>
        <v>357.42%</v>
      </c>
      <c r="EN183" s="3" t="str">
        <f>RTD("tos.rtd",,EN$2,"."&amp;$C$134&amp;$AU$82&amp;"C"&amp;$A183)</f>
        <v>--</v>
      </c>
      <c r="EO183" s="3" t="str">
        <f>RTD("tos.rtd",,EO$2,"."&amp;$C$134&amp;$AU$82&amp;"P"&amp;$A183)</f>
        <v>28.10%</v>
      </c>
      <c r="EP183" s="3" t="str">
        <f>RTD("tos.rtd",,EP$2,"."&amp;$D$134&amp;$AW$82&amp;"C"&amp;$A183)</f>
        <v>21.57%</v>
      </c>
      <c r="EQ183" s="3" t="str">
        <f>RTD("tos.rtd",,EQ$2,"."&amp;$D$134&amp;$AW$82&amp;"P"&amp;$A183)</f>
        <v>23.57%</v>
      </c>
      <c r="ES183" s="63" t="str">
        <f t="shared" si="368"/>
        <v>20400,-23.00</v>
      </c>
      <c r="ET183" s="63" t="str">
        <f t="shared" ca="1" si="369"/>
        <v>20400,-08.37</v>
      </c>
      <c r="EU183" s="68">
        <v>592.64</v>
      </c>
      <c r="EV183" s="68" t="s">
        <v>1480</v>
      </c>
      <c r="EW183" s="68">
        <v>519.11</v>
      </c>
      <c r="EX183" s="68" t="s">
        <v>1481</v>
      </c>
      <c r="EY183" s="68">
        <v>5936.25</v>
      </c>
      <c r="EZ183" s="68" t="s">
        <v>1482</v>
      </c>
      <c r="FA183" s="68">
        <v>21309.5</v>
      </c>
      <c r="FB183" s="68" t="s">
        <v>1483</v>
      </c>
      <c r="FC183" s="68" t="s">
        <v>1484</v>
      </c>
      <c r="FD183" s="68" t="s">
        <v>1485</v>
      </c>
      <c r="FE183" s="68" t="s">
        <v>1486</v>
      </c>
      <c r="FF183" s="68" t="s">
        <v>1487</v>
      </c>
    </row>
    <row r="184" spans="1:162" ht="11.1" customHeight="1" thickBot="1" x14ac:dyDescent="0.25">
      <c r="A184" s="2">
        <f t="shared" si="387"/>
        <v>20375</v>
      </c>
      <c r="B184" s="3">
        <f t="shared" si="413"/>
        <v>2</v>
      </c>
      <c r="C184" s="3">
        <f t="shared" si="414"/>
        <v>31</v>
      </c>
      <c r="D184" s="3">
        <f t="shared" si="415"/>
        <v>86</v>
      </c>
      <c r="E184" s="3">
        <f t="shared" si="442"/>
        <v>119</v>
      </c>
      <c r="F184" s="4">
        <f t="shared" si="408"/>
        <v>20460.967441369852</v>
      </c>
      <c r="G184" s="5">
        <f t="shared" si="443"/>
        <v>496.34735065574341</v>
      </c>
      <c r="AM184" s="1">
        <v>0</v>
      </c>
      <c r="AN184" s="1">
        <v>1</v>
      </c>
      <c r="AO184" s="1">
        <v>20375</v>
      </c>
      <c r="AP184" s="1">
        <v>0</v>
      </c>
      <c r="AQ184" s="1">
        <v>-1</v>
      </c>
      <c r="AS184" s="54">
        <f>IF(RTD("tos.rtd",,AS$83,"."&amp;$B$134&amp;$AS$82&amp;"C"&amp;$A184)="N/A",0,RTD("tos.rtd",,AS$83,"."&amp;$B$134&amp;$AS$82&amp;"C"&amp;$A184))</f>
        <v>0</v>
      </c>
      <c r="AT184" s="3">
        <f>-IF(RTD("tos.rtd",,AT$83,"."&amp;$B$134&amp;$AS$82&amp;"P"&amp;$A184)="N/A",0,RTD("tos.rtd",,AT$83,"."&amp;$B$134&amp;$AS$82&amp;"P"&amp;$A184))</f>
        <v>-2</v>
      </c>
      <c r="AU184" s="54">
        <f>IF(RTD("tos.rtd",,AU$2,"."&amp;$C$134&amp;$AU$134&amp;"C"&amp;$A184)="N/A",0,RTD("tos.rtd",,AU$2,"."&amp;$C$134&amp;$AU$134&amp;"C"&amp;$A184))</f>
        <v>4</v>
      </c>
      <c r="AV184" s="3">
        <f>-IF(RTD("tos.rtd",,AV$2,"."&amp;$C$134&amp;$AU$134&amp;"P"&amp;$A184)="N/A",0,RTD("tos.rtd",,AV$2,"."&amp;$C$134&amp;$AU$134&amp;"P"&amp;$A184))</f>
        <v>-27</v>
      </c>
      <c r="AW184" s="54">
        <f>IF(RTD("tos.rtd",,AW$2,"."&amp;$D$134&amp;$AW$134&amp;"C"&amp;$A184)="N/A",0,RTD("tos.rtd",,AW$2,"."&amp;$D$134&amp;$AW$134&amp;"C"&amp;$A184))</f>
        <v>19</v>
      </c>
      <c r="AX184" s="3">
        <f>-IF(RTD("tos.rtd",,AX$2,"."&amp;$D$134&amp;$AW$134&amp;"P"&amp;$A184)="N/A",0,RTD("tos.rtd",,AX$2,"."&amp;$D$134&amp;$AW$134&amp;"P"&amp;$A184))</f>
        <v>-67</v>
      </c>
      <c r="AY184" s="76">
        <f t="shared" si="409"/>
        <v>-73</v>
      </c>
      <c r="AZ184" s="8">
        <f t="shared" si="337"/>
        <v>20375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-1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0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0</v>
      </c>
      <c r="BG184" s="3">
        <f ca="1">+Hoja2!Y185</f>
        <v>0</v>
      </c>
      <c r="BH184" s="7">
        <f t="shared" ca="1" si="338"/>
        <v>-1</v>
      </c>
      <c r="BI184" s="32" t="str">
        <f t="shared" ca="1" si="397"/>
        <v/>
      </c>
      <c r="BJ184" s="3">
        <f ca="1">IF($BP$1=1,DX184,IF(RTD("tos.rtd",,BJ$43,"."&amp;$B$134&amp;$AS$82&amp;"C"&amp;$A184)="N/A",0,RTD("tos.rtd",,BJ$43,"."&amp;$B$134&amp;$AS$82&amp;"C"&amp;$A184)))</f>
        <v>1.6000820443598546E-53</v>
      </c>
      <c r="BK184" s="3">
        <f ca="1">IF($BP$1=1,DY184,-IF(RTD("tos.rtd",,BK$43,"."&amp;$B$134&amp;$AS$82&amp;"P"&amp;$A184)="N/A",0,RTD("tos.rtd",,BK$43,"."&amp;$B$134&amp;$AS$82&amp;"P"&amp;$A184)))</f>
        <v>-2.4127634779647243E-4</v>
      </c>
      <c r="BL184" s="3">
        <f ca="1">IF($BP$1=1,DZ184,IF(RTD("tos.rtd",,BL$2,"."&amp;$C$134&amp;$AU$82&amp;"C"&amp;$A184)="N/A",0,RTD("tos.rtd",,BL$2,"."&amp;$C$134&amp;$AU$82&amp;"C"&amp;$A184)))</f>
        <v>1.5273081274831937E-4</v>
      </c>
      <c r="BM184" s="3">
        <f ca="1">IF($BP$1=1,EA184,-IF(RTD("tos.rtd",,BM$2,"."&amp;$C$134&amp;$AU$82&amp;"P"&amp;$A184)="N/A",0,RTD("tos.rtd",,BM$2,"."&amp;$C$134&amp;$AU$82&amp;"P"&amp;$A184)))</f>
        <v>-1.8717987480742999E-4</v>
      </c>
      <c r="BN184" s="3">
        <f ca="1">IF($BP$1=1,EB184,IF(RTD("tos.rtd",,BN$2,"."&amp;$D$134&amp;$AW$82&amp;"C"&amp;$A184)="N/A",0,RTD("tos.rtd",,BN$2,"."&amp;$D$134&amp;$AW$82&amp;"C"&amp;$A184)))</f>
        <v>1.0750140323149501E-4</v>
      </c>
      <c r="BO184" s="3">
        <f ca="1">IF($BP$1=1,EC184,-IF(RTD("tos.rtd",,BO$2,"."&amp;$D$134&amp;$AW$82&amp;"P"&amp;$A184)="N/A",0,RTD("tos.rtd",,BO$2,"."&amp;$D$134&amp;$AW$82&amp;"P"&amp;$A184)))</f>
        <v>-1.3555500848195189E-4</v>
      </c>
      <c r="BQ184" s="3">
        <f t="shared" ca="1" si="410"/>
        <v>-16998.976729206115</v>
      </c>
      <c r="BR184" s="3" t="str">
        <f t="shared" ca="1" si="339"/>
        <v>Cruce -</v>
      </c>
      <c r="BS184" s="3">
        <f t="shared" ca="1" si="411"/>
        <v>-156512.06932533273</v>
      </c>
      <c r="BT184" s="3" t="str">
        <f t="shared" ca="1" si="340"/>
        <v/>
      </c>
      <c r="BU184" s="3">
        <f t="shared" ca="1" si="412"/>
        <v>-247987.41988741583</v>
      </c>
      <c r="BV184" s="3" t="str">
        <f t="shared" ca="1" si="340"/>
        <v/>
      </c>
      <c r="BX184" s="3">
        <f t="shared" ca="1" si="370"/>
        <v>-65.148314336266083</v>
      </c>
      <c r="BY184" s="3" t="str">
        <f t="shared" ca="1" si="371"/>
        <v/>
      </c>
      <c r="BZ184" s="3">
        <f t="shared" ca="1" si="372"/>
        <v>0</v>
      </c>
      <c r="CA184" s="3" t="str">
        <f t="shared" ca="1" si="371"/>
        <v/>
      </c>
      <c r="CB184" s="3">
        <f t="shared" ca="1" si="373"/>
        <v>0</v>
      </c>
      <c r="CC184" s="3" t="str">
        <f t="shared" ca="1" si="371"/>
        <v/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0.04</v>
      </c>
      <c r="CF184" s="3">
        <f>IF(RTD("tos.rtd",,CF$2,"."&amp;$C$134&amp;$AU$82&amp;"C"&amp;$A184)="N/A",0,RTD("tos.rtd",,CF$2,"."&amp;$C$134&amp;$AU$82&amp;"C"&amp;$A184))</f>
        <v>1</v>
      </c>
      <c r="CG184" s="3">
        <f>-IF(RTD("tos.rtd",,CG$2,"."&amp;$C$134&amp;$AU$82&amp;"P"&amp;$A184)="N/A",0,RTD("tos.rtd",,CG$2,"."&amp;$C$134&amp;$AU$82&amp;"P"&amp;$A184))</f>
        <v>0.03</v>
      </c>
      <c r="CH184" s="3">
        <f>IF(RTD("tos.rtd",,CH$2,"."&amp;$D$134&amp;$AW$82&amp;"C"&amp;$A184)="N/A",0,RTD("tos.rtd",,CH$2,"."&amp;$D$134&amp;$AW$82&amp;"C"&amp;$A184))</f>
        <v>0.8</v>
      </c>
      <c r="CI184" s="3">
        <f>-IF(RTD("tos.rtd",,CI$2,"."&amp;$D$134&amp;$AW$82&amp;"P"&amp;$A184)="N/A",0,RTD("tos.rtd",,CI$2,"."&amp;$D$134&amp;$AW$82&amp;"P"&amp;$A184))</f>
        <v>0.22</v>
      </c>
      <c r="CK184" s="3">
        <f t="shared" si="374"/>
        <v>-170646</v>
      </c>
      <c r="CL184" s="3"/>
      <c r="CM184" s="3">
        <f t="shared" si="375"/>
        <v>6804509.25</v>
      </c>
      <c r="CN184" s="3"/>
      <c r="CO184" s="3">
        <f t="shared" si="376"/>
        <v>981214.5</v>
      </c>
      <c r="CP184" s="3">
        <f t="shared" si="331"/>
        <v>7615077.75</v>
      </c>
      <c r="CQ184" s="3">
        <f t="shared" si="341"/>
        <v>-1</v>
      </c>
      <c r="CR184" s="3"/>
      <c r="CS184" s="3">
        <f t="shared" si="342"/>
        <v>0</v>
      </c>
      <c r="CT184" s="3"/>
      <c r="CU184" s="3">
        <f t="shared" si="343"/>
        <v>0</v>
      </c>
      <c r="CV184" s="3"/>
      <c r="CW184" s="3">
        <f t="shared" ca="1" si="344"/>
        <v>-421498.4659419547</v>
      </c>
      <c r="CY184" s="3">
        <f t="shared" ca="1" si="345"/>
        <v>-65.148314336266083</v>
      </c>
      <c r="CZ184" s="70" t="str">
        <f t="shared" ca="1" si="377"/>
        <v/>
      </c>
      <c r="DA184" s="3">
        <f>IF(RTD("tos.rtd",,DA$43,"."&amp;$B$134&amp;$AS$82&amp;"C"&amp;$A184)="N/A",0,RTD("tos.rtd",,DA$43,"."&amp;$B$134&amp;$AS$82&amp;"C"&amp;$A184))</f>
        <v>0</v>
      </c>
      <c r="DB184" s="3">
        <f>IF(RTD("tos.rtd",,DB$43,"."&amp;$B$134&amp;$AS$82&amp;"P"&amp;$A184)="N/A",0,RTD("tos.rtd",,DB$43,"."&amp;$B$134&amp;$AS$82&amp;"P"&amp;$A184))</f>
        <v>0.2</v>
      </c>
      <c r="DC184" s="3">
        <f>IF(RTD("tos.rtd",,DC$43,"."&amp;$B$134&amp;$AS$82&amp;"C"&amp;$A184)="N/A",0,RTD("tos.rtd",,DC$43,"."&amp;$B$134&amp;$AS$82&amp;"C"&amp;$A184))</f>
        <v>1066.3</v>
      </c>
      <c r="DD184" s="3">
        <f>IF(RTD("tos.rtd",,DD$43,"."&amp;$B$134&amp;$AS$82&amp;"P"&amp;$A184)="N/A",0,RTD("tos.rtd",,DD$43,"."&amp;$B$134&amp;$AS$82&amp;"P"&amp;$A184))</f>
        <v>19.8</v>
      </c>
      <c r="DE184" s="3">
        <f>IF(RTD("tos.rtd",,DE$43,"."&amp;$B$134&amp;$AS$82&amp;"C"&amp;$A184)="N/A",0,RTD("tos.rtd",,DE$43,"."&amp;$B$134&amp;$AS$82&amp;"C"&amp;$A184))</f>
        <v>896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378"/>
        <v>-955.75</v>
      </c>
      <c r="DH184" s="3">
        <f t="shared" si="379"/>
        <v>0</v>
      </c>
      <c r="DI184" s="3">
        <f t="shared" si="380"/>
        <v>0</v>
      </c>
      <c r="DJ184" s="3">
        <f t="shared" si="346"/>
        <v>0</v>
      </c>
      <c r="DK184" s="3">
        <f t="shared" si="347"/>
        <v>0</v>
      </c>
      <c r="DL184" s="3">
        <f t="shared" si="381"/>
        <v>0</v>
      </c>
      <c r="DM184" s="3">
        <f t="shared" si="382"/>
        <v>0</v>
      </c>
      <c r="DN184" s="64" t="str">
        <f t="shared" si="348"/>
        <v>UNKNOWN</v>
      </c>
      <c r="DO184" s="64" t="str">
        <f t="shared" si="349"/>
        <v>UNKNOWN</v>
      </c>
      <c r="DP184" s="3">
        <f t="shared" si="350"/>
        <v>0</v>
      </c>
      <c r="DQ184" s="3">
        <f t="shared" si="351"/>
        <v>0</v>
      </c>
      <c r="DR184" s="3">
        <f t="shared" ca="1" si="352"/>
        <v>0</v>
      </c>
      <c r="DS184" s="3">
        <f t="shared" si="353"/>
        <v>0</v>
      </c>
      <c r="DT184" s="3">
        <f t="shared" si="383"/>
        <v>0</v>
      </c>
      <c r="DU184" s="3">
        <f t="shared" si="384"/>
        <v>0</v>
      </c>
      <c r="DV184" s="3">
        <f t="shared" si="354"/>
        <v>0</v>
      </c>
      <c r="DW184" s="3">
        <f t="shared" si="355"/>
        <v>1</v>
      </c>
      <c r="DX184" s="3">
        <f t="shared" ca="1" si="436"/>
        <v>1.6000820443598546E-53</v>
      </c>
      <c r="DY184" s="3">
        <f t="shared" ca="1" si="437"/>
        <v>-2.4127634779647243E-4</v>
      </c>
      <c r="DZ184" s="3">
        <f t="shared" ca="1" si="438"/>
        <v>1.5273081274831937E-4</v>
      </c>
      <c r="EA184" s="3">
        <f t="shared" ca="1" si="439"/>
        <v>-1.8717987480742999E-4</v>
      </c>
      <c r="EB184" s="3">
        <f t="shared" ca="1" si="440"/>
        <v>1.0750140323149501E-4</v>
      </c>
      <c r="EC184" s="3">
        <f t="shared" ca="1" si="441"/>
        <v>-1.3555500848195189E-4</v>
      </c>
      <c r="ED184" s="63">
        <f t="shared" si="385"/>
        <v>1</v>
      </c>
      <c r="EE184" s="59">
        <f t="shared" si="362"/>
        <v>0.25</v>
      </c>
      <c r="EF184" s="59">
        <f t="shared" si="363"/>
        <v>3.6509</v>
      </c>
      <c r="EG184" s="59">
        <f t="shared" si="364"/>
        <v>0.25</v>
      </c>
      <c r="EH184" s="59">
        <f t="shared" si="365"/>
        <v>0.28270000000000001</v>
      </c>
      <c r="EI184" s="59">
        <f t="shared" si="366"/>
        <v>0.21679999999999999</v>
      </c>
      <c r="EJ184" s="59">
        <f t="shared" si="367"/>
        <v>0.2366</v>
      </c>
      <c r="EK184" s="63">
        <f t="shared" ca="1" si="386"/>
        <v>-109780.95432544418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365.09%</v>
      </c>
      <c r="EN184" s="3" t="str">
        <f>RTD("tos.rtd",,EN$2,"."&amp;$C$134&amp;$AU$82&amp;"C"&amp;$A184)</f>
        <v>--</v>
      </c>
      <c r="EO184" s="3" t="str">
        <f>RTD("tos.rtd",,EO$2,"."&amp;$C$134&amp;$AU$82&amp;"P"&amp;$A184)</f>
        <v>28.27%</v>
      </c>
      <c r="EP184" s="3" t="str">
        <f>RTD("tos.rtd",,EP$2,"."&amp;$D$134&amp;$AW$82&amp;"C"&amp;$A184)</f>
        <v>21.68%</v>
      </c>
      <c r="EQ184" s="3" t="str">
        <f>RTD("tos.rtd",,EQ$2,"."&amp;$D$134&amp;$AW$82&amp;"P"&amp;$A184)</f>
        <v>23.66%</v>
      </c>
      <c r="ES184" s="63" t="str">
        <f t="shared" si="368"/>
        <v>20375,01.00</v>
      </c>
      <c r="ET184" s="63" t="str">
        <f t="shared" ca="1" si="369"/>
        <v>20375,-00.07</v>
      </c>
      <c r="EU184" s="68">
        <v>592.64</v>
      </c>
      <c r="EV184" s="68" t="s">
        <v>1488</v>
      </c>
      <c r="EW184" s="68">
        <v>519.11</v>
      </c>
      <c r="EX184" s="68" t="s">
        <v>1489</v>
      </c>
      <c r="EY184" s="68">
        <v>5936.25</v>
      </c>
      <c r="EZ184" s="68" t="s">
        <v>1490</v>
      </c>
      <c r="FA184" s="68">
        <v>21309.5</v>
      </c>
      <c r="FB184" s="68" t="s">
        <v>1491</v>
      </c>
      <c r="FC184" s="68" t="s">
        <v>1492</v>
      </c>
      <c r="FD184" s="68" t="s">
        <v>1493</v>
      </c>
      <c r="FE184" s="68" t="s">
        <v>1494</v>
      </c>
      <c r="FF184" s="68" t="s">
        <v>1495</v>
      </c>
    </row>
    <row r="185" spans="1:162" ht="11.1" customHeight="1" thickBot="1" x14ac:dyDescent="0.25">
      <c r="A185" s="2">
        <f t="shared" si="387"/>
        <v>20350</v>
      </c>
      <c r="B185" s="3">
        <f t="shared" si="413"/>
        <v>18</v>
      </c>
      <c r="C185" s="3">
        <f t="shared" si="414"/>
        <v>24</v>
      </c>
      <c r="D185" s="3">
        <f t="shared" si="415"/>
        <v>131</v>
      </c>
      <c r="E185" s="3">
        <f t="shared" si="442"/>
        <v>173</v>
      </c>
      <c r="F185" s="4">
        <f t="shared" si="408"/>
        <v>20435.861959846701</v>
      </c>
      <c r="G185" s="5">
        <f t="shared" si="443"/>
        <v>495.73833550156462</v>
      </c>
      <c r="AM185" s="1">
        <v>0</v>
      </c>
      <c r="AN185" s="1">
        <v>5</v>
      </c>
      <c r="AO185" s="1">
        <v>20350</v>
      </c>
      <c r="AP185" s="1">
        <v>0</v>
      </c>
      <c r="AQ185" s="1">
        <v>-29</v>
      </c>
      <c r="AS185" s="54">
        <f>IF(RTD("tos.rtd",,AS$83,"."&amp;$B$134&amp;$AS$82&amp;"C"&amp;$A185)="N/A",0,RTD("tos.rtd",,AS$83,"."&amp;$B$134&amp;$AS$82&amp;"C"&amp;$A185))</f>
        <v>0</v>
      </c>
      <c r="AT185" s="3">
        <f>-IF(RTD("tos.rtd",,AT$83,"."&amp;$B$134&amp;$AS$82&amp;"P"&amp;$A185)="N/A",0,RTD("tos.rtd",,AT$83,"."&amp;$B$134&amp;$AS$82&amp;"P"&amp;$A185))</f>
        <v>-18</v>
      </c>
      <c r="AU185" s="54">
        <f>IF(RTD("tos.rtd",,AU$2,"."&amp;$C$134&amp;$AU$134&amp;"C"&amp;$A185)="N/A",0,RTD("tos.rtd",,AU$2,"."&amp;$C$134&amp;$AU$134&amp;"C"&amp;$A185))</f>
        <v>3</v>
      </c>
      <c r="AV185" s="3">
        <f>-IF(RTD("tos.rtd",,AV$2,"."&amp;$C$134&amp;$AU$134&amp;"P"&amp;$A185)="N/A",0,RTD("tos.rtd",,AV$2,"."&amp;$C$134&amp;$AU$134&amp;"P"&amp;$A185))</f>
        <v>-21</v>
      </c>
      <c r="AW185" s="54">
        <f>IF(RTD("tos.rtd",,AW$2,"."&amp;$D$134&amp;$AW$134&amp;"C"&amp;$A185)="N/A",0,RTD("tos.rtd",,AW$2,"."&amp;$D$134&amp;$AW$134&amp;"C"&amp;$A185))</f>
        <v>67</v>
      </c>
      <c r="AX185" s="3">
        <f>-IF(RTD("tos.rtd",,AX$2,"."&amp;$D$134&amp;$AW$134&amp;"P"&amp;$A185)="N/A",0,RTD("tos.rtd",,AX$2,"."&amp;$D$134&amp;$AW$134&amp;"P"&amp;$A185))</f>
        <v>-64</v>
      </c>
      <c r="AY185" s="76">
        <f t="shared" si="409"/>
        <v>-33</v>
      </c>
      <c r="AZ185" s="8">
        <f t="shared" si="337"/>
        <v>20350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-29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-1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-2</v>
      </c>
      <c r="BG185" s="3">
        <f ca="1">+Hoja2!Y186</f>
        <v>-3</v>
      </c>
      <c r="BH185" s="7">
        <f t="shared" ca="1" si="338"/>
        <v>-35</v>
      </c>
      <c r="BI185" s="32" t="str">
        <f t="shared" ca="1" si="397"/>
        <v/>
      </c>
      <c r="BJ185" s="3">
        <f ca="1">IF($BP$1=1,DX185,IF(RTD("tos.rtd",,BJ$43,"."&amp;$B$134&amp;$AS$82&amp;"C"&amp;$A185)="N/A",0,RTD("tos.rtd",,BJ$43,"."&amp;$B$134&amp;$AS$82&amp;"C"&amp;$A185)))</f>
        <v>2.8748614848552176E-56</v>
      </c>
      <c r="BK185" s="3">
        <f ca="1">IF($BP$1=1,DY185,-IF(RTD("tos.rtd",,BK$43,"."&amp;$B$134&amp;$AS$82&amp;"P"&amp;$A185)="N/A",0,RTD("tos.rtd",,BK$43,"."&amp;$B$134&amp;$AS$82&amp;"P"&amp;$A185)))</f>
        <v>-2.3470557997123787E-4</v>
      </c>
      <c r="BL185" s="3">
        <f ca="1">IF($BP$1=1,DZ185,IF(RTD("tos.rtd",,BL$2,"."&amp;$C$134&amp;$AU$82&amp;"C"&amp;$A185)="N/A",0,RTD("tos.rtd",,BL$2,"."&amp;$C$134&amp;$AU$82&amp;"C"&amp;$A185)))</f>
        <v>1.1579403203672746E-4</v>
      </c>
      <c r="BM185" s="3">
        <f ca="1">IF($BP$1=1,EA185,-IF(RTD("tos.rtd",,BM$2,"."&amp;$C$134&amp;$AU$82&amp;"P"&amp;$A185)="N/A",0,RTD("tos.rtd",,BM$2,"."&amp;$C$134&amp;$AU$82&amp;"P"&amp;$A185)))</f>
        <v>-1.7710954242016366E-4</v>
      </c>
      <c r="BN185" s="3">
        <f ca="1">IF($BP$1=1,EB185,IF(RTD("tos.rtd",,BN$2,"."&amp;$D$134&amp;$AW$82&amp;"C"&amp;$A185)="N/A",0,RTD("tos.rtd",,BN$2,"."&amp;$D$134&amp;$AW$82&amp;"C"&amp;$A185)))</f>
        <v>9.7250868089962184E-5</v>
      </c>
      <c r="BO185" s="3">
        <f ca="1">IF($BP$1=1,EC185,-IF(RTD("tos.rtd",,BO$2,"."&amp;$D$134&amp;$AW$82&amp;"P"&amp;$A185)="N/A",0,RTD("tos.rtd",,BO$2,"."&amp;$D$134&amp;$AW$82&amp;"P"&amp;$A185)))</f>
        <v>-1.2502385770167177E-4</v>
      </c>
      <c r="BQ185" s="3">
        <f t="shared" ca="1" si="410"/>
        <v>-148824.33590052073</v>
      </c>
      <c r="BR185" s="3" t="str">
        <f t="shared" ca="1" si="339"/>
        <v/>
      </c>
      <c r="BS185" s="3">
        <f t="shared" ca="1" si="411"/>
        <v>-118783.21507288044</v>
      </c>
      <c r="BT185" s="3" t="str">
        <f t="shared" ca="1" si="340"/>
        <v/>
      </c>
      <c r="BU185" s="3">
        <f t="shared" ca="1" si="412"/>
        <v>-52337.699826406228</v>
      </c>
      <c r="BV185" s="3" t="str">
        <f t="shared" ca="1" si="340"/>
        <v/>
      </c>
      <c r="BX185" s="3">
        <f t="shared" ca="1" si="370"/>
        <v>-1837.8490811990669</v>
      </c>
      <c r="BY185" s="3" t="str">
        <f t="shared" ca="1" si="371"/>
        <v/>
      </c>
      <c r="BZ185" s="3">
        <f t="shared" ca="1" si="372"/>
        <v>-47.822292764785331</v>
      </c>
      <c r="CA185" s="3" t="str">
        <f t="shared" ca="1" si="371"/>
        <v/>
      </c>
      <c r="CB185" s="3">
        <f t="shared" ca="1" si="373"/>
        <v>-67.516718115709125</v>
      </c>
      <c r="CC185" s="3" t="str">
        <f t="shared" ca="1" si="371"/>
        <v/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0.04</v>
      </c>
      <c r="CF185" s="3">
        <f>IF(RTD("tos.rtd",,CF$2,"."&amp;$C$134&amp;$AU$82&amp;"C"&amp;$A185)="N/A",0,RTD("tos.rtd",,CF$2,"."&amp;$C$134&amp;$AU$82&amp;"C"&amp;$A185))</f>
        <v>0.99</v>
      </c>
      <c r="CG185" s="3">
        <f>-IF(RTD("tos.rtd",,CG$2,"."&amp;$C$134&amp;$AU$82&amp;"P"&amp;$A185)="N/A",0,RTD("tos.rtd",,CG$2,"."&amp;$C$134&amp;$AU$82&amp;"P"&amp;$A185))</f>
        <v>0.03</v>
      </c>
      <c r="CH185" s="3">
        <f>IF(RTD("tos.rtd",,CH$2,"."&amp;$D$134&amp;$AW$82&amp;"C"&amp;$A185)="N/A",0,RTD("tos.rtd",,CH$2,"."&amp;$D$134&amp;$AW$82&amp;"C"&amp;$A185))</f>
        <v>0.81</v>
      </c>
      <c r="CI185" s="3">
        <f>-IF(RTD("tos.rtd",,CI$2,"."&amp;$D$134&amp;$AW$82&amp;"P"&amp;$A185)="N/A",0,RTD("tos.rtd",,CI$2,"."&amp;$D$134&amp;$AW$82&amp;"P"&amp;$A185))</f>
        <v>0.21</v>
      </c>
      <c r="CK185" s="3">
        <f t="shared" si="374"/>
        <v>-1535814</v>
      </c>
      <c r="CL185" s="3"/>
      <c r="CM185" s="3">
        <f t="shared" si="375"/>
        <v>4991395.5</v>
      </c>
      <c r="CN185" s="3"/>
      <c r="CO185" s="3">
        <f t="shared" si="376"/>
        <v>87093452.25</v>
      </c>
      <c r="CP185" s="3">
        <f t="shared" si="331"/>
        <v>90549033.75</v>
      </c>
      <c r="CQ185" s="3">
        <f t="shared" si="341"/>
        <v>-29</v>
      </c>
      <c r="CR185" s="3"/>
      <c r="CS185" s="3">
        <f t="shared" si="342"/>
        <v>-1</v>
      </c>
      <c r="CT185" s="3"/>
      <c r="CU185" s="3">
        <f t="shared" si="343"/>
        <v>-2</v>
      </c>
      <c r="CV185" s="3"/>
      <c r="CW185" s="3">
        <f t="shared" ca="1" si="344"/>
        <v>-319945.25079980737</v>
      </c>
      <c r="CY185" s="3">
        <f t="shared" ca="1" si="345"/>
        <v>-1953.1880920795613</v>
      </c>
      <c r="CZ185" s="70" t="str">
        <f t="shared" ca="1" si="377"/>
        <v/>
      </c>
      <c r="DA185" s="3">
        <f>IF(RTD("tos.rtd",,DA$43,"."&amp;$B$134&amp;$AS$82&amp;"C"&amp;$A185)="N/A",0,RTD("tos.rtd",,DA$43,"."&amp;$B$134&amp;$AS$82&amp;"C"&amp;$A185))</f>
        <v>0</v>
      </c>
      <c r="DB185" s="3">
        <f>IF(RTD("tos.rtd",,DB$43,"."&amp;$B$134&amp;$AS$82&amp;"P"&amp;$A185)="N/A",0,RTD("tos.rtd",,DB$43,"."&amp;$B$134&amp;$AS$82&amp;"P"&amp;$A185))</f>
        <v>0.05</v>
      </c>
      <c r="DC185" s="3">
        <f>IF(RTD("tos.rtd",,DC$43,"."&amp;$B$134&amp;$AS$82&amp;"C"&amp;$A185)="N/A",0,RTD("tos.rtd",,DC$43,"."&amp;$B$134&amp;$AS$82&amp;"C"&amp;$A185))</f>
        <v>1101.4000000000001</v>
      </c>
      <c r="DD185" s="3">
        <f>IF(RTD("tos.rtd",,DD$43,"."&amp;$B$134&amp;$AS$82&amp;"P"&amp;$A185)="N/A",0,RTD("tos.rtd",,DD$43,"."&amp;$B$134&amp;$AS$82&amp;"P"&amp;$A185))</f>
        <v>19.8</v>
      </c>
      <c r="DE185" s="3">
        <f>IF(RTD("tos.rtd",,DE$43,"."&amp;$B$134&amp;$AS$82&amp;"C"&amp;$A185)="N/A",0,RTD("tos.rtd",,DE$43,"."&amp;$B$134&amp;$AS$82&amp;"C"&amp;$A185))</f>
        <v>922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378"/>
        <v>-980.75</v>
      </c>
      <c r="DH185" s="3">
        <f t="shared" si="379"/>
        <v>0</v>
      </c>
      <c r="DI185" s="3">
        <f t="shared" si="380"/>
        <v>0</v>
      </c>
      <c r="DJ185" s="3">
        <f t="shared" si="346"/>
        <v>0</v>
      </c>
      <c r="DK185" s="3">
        <f t="shared" si="347"/>
        <v>0</v>
      </c>
      <c r="DL185" s="3">
        <f t="shared" si="381"/>
        <v>0</v>
      </c>
      <c r="DM185" s="3">
        <f t="shared" si="382"/>
        <v>0</v>
      </c>
      <c r="DN185" s="64" t="str">
        <f t="shared" si="348"/>
        <v>UNKNOWN</v>
      </c>
      <c r="DO185" s="64" t="str">
        <f t="shared" si="349"/>
        <v>UNKNOWN</v>
      </c>
      <c r="DP185" s="3">
        <f t="shared" si="350"/>
        <v>0</v>
      </c>
      <c r="DQ185" s="3">
        <f t="shared" si="351"/>
        <v>0</v>
      </c>
      <c r="DR185" s="3">
        <f t="shared" ca="1" si="352"/>
        <v>0</v>
      </c>
      <c r="DS185" s="3">
        <f t="shared" si="353"/>
        <v>0</v>
      </c>
      <c r="DT185" s="3">
        <f t="shared" si="383"/>
        <v>0</v>
      </c>
      <c r="DU185" s="3">
        <f t="shared" si="384"/>
        <v>0</v>
      </c>
      <c r="DV185" s="3">
        <f t="shared" si="354"/>
        <v>0</v>
      </c>
      <c r="DW185" s="3">
        <f t="shared" si="355"/>
        <v>5</v>
      </c>
      <c r="DX185" s="3">
        <f t="shared" ca="1" si="436"/>
        <v>2.8748614848552176E-56</v>
      </c>
      <c r="DY185" s="3">
        <f t="shared" ca="1" si="437"/>
        <v>-2.3470557997123787E-4</v>
      </c>
      <c r="DZ185" s="3">
        <f t="shared" ca="1" si="438"/>
        <v>1.1579403203672746E-4</v>
      </c>
      <c r="EA185" s="3">
        <f t="shared" ca="1" si="439"/>
        <v>-1.7710954242016366E-4</v>
      </c>
      <c r="EB185" s="3">
        <f t="shared" ca="1" si="440"/>
        <v>9.7250868089962184E-5</v>
      </c>
      <c r="EC185" s="3">
        <f t="shared" ca="1" si="441"/>
        <v>-1.2502385770167177E-4</v>
      </c>
      <c r="ED185" s="63">
        <f t="shared" si="385"/>
        <v>5</v>
      </c>
      <c r="EE185" s="59">
        <f t="shared" si="362"/>
        <v>0.25</v>
      </c>
      <c r="EF185" s="59">
        <f t="shared" si="363"/>
        <v>3.7273999999999998</v>
      </c>
      <c r="EG185" s="59">
        <f t="shared" si="364"/>
        <v>0.2306</v>
      </c>
      <c r="EH185" s="59">
        <f t="shared" si="365"/>
        <v>0.2843</v>
      </c>
      <c r="EI185" s="59">
        <f t="shared" si="366"/>
        <v>0.21729999999999999</v>
      </c>
      <c r="EJ185" s="59">
        <f t="shared" si="367"/>
        <v>0.23749999999999999</v>
      </c>
      <c r="EK185" s="63">
        <f t="shared" ca="1" si="386"/>
        <v>-533956.2454021459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372.74%</v>
      </c>
      <c r="EN185" s="3" t="str">
        <f>RTD("tos.rtd",,EN$2,"."&amp;$C$134&amp;$AU$82&amp;"C"&amp;$A185)</f>
        <v>23.06%</v>
      </c>
      <c r="EO185" s="3" t="str">
        <f>RTD("tos.rtd",,EO$2,"."&amp;$C$134&amp;$AU$82&amp;"P"&amp;$A185)</f>
        <v>28.43%</v>
      </c>
      <c r="EP185" s="3" t="str">
        <f>RTD("tos.rtd",,EP$2,"."&amp;$D$134&amp;$AW$82&amp;"C"&amp;$A185)</f>
        <v>21.73%</v>
      </c>
      <c r="EQ185" s="3" t="str">
        <f>RTD("tos.rtd",,EQ$2,"."&amp;$D$134&amp;$AW$82&amp;"P"&amp;$A185)</f>
        <v>23.75%</v>
      </c>
      <c r="ES185" s="63" t="str">
        <f t="shared" si="368"/>
        <v>20350,05.00</v>
      </c>
      <c r="ET185" s="63" t="str">
        <f t="shared" ca="1" si="369"/>
        <v>20350,-01.95</v>
      </c>
      <c r="EU185" s="68">
        <v>592.64</v>
      </c>
      <c r="EV185" s="68" t="s">
        <v>1496</v>
      </c>
      <c r="EW185" s="68">
        <v>519.11</v>
      </c>
      <c r="EX185" s="68" t="s">
        <v>1497</v>
      </c>
      <c r="EY185" s="68">
        <v>5936.25</v>
      </c>
      <c r="EZ185" s="68" t="s">
        <v>1498</v>
      </c>
      <c r="FA185" s="68">
        <v>21309.5</v>
      </c>
      <c r="FB185" s="68" t="s">
        <v>1499</v>
      </c>
      <c r="FC185" s="68" t="s">
        <v>1500</v>
      </c>
      <c r="FD185" s="68" t="s">
        <v>1501</v>
      </c>
      <c r="FE185" s="68" t="s">
        <v>1502</v>
      </c>
      <c r="FF185" s="68" t="s">
        <v>1503</v>
      </c>
    </row>
    <row r="186" spans="1:162" ht="11.1" customHeight="1" thickBot="1" x14ac:dyDescent="0.25">
      <c r="A186" s="2">
        <f t="shared" si="387"/>
        <v>20325</v>
      </c>
      <c r="B186" s="3">
        <f t="shared" si="413"/>
        <v>11</v>
      </c>
      <c r="C186" s="3">
        <f t="shared" si="414"/>
        <v>23</v>
      </c>
      <c r="D186" s="3">
        <f t="shared" si="415"/>
        <v>71</v>
      </c>
      <c r="E186" s="3">
        <f t="shared" si="442"/>
        <v>105</v>
      </c>
      <c r="F186" s="4">
        <f t="shared" si="408"/>
        <v>20410.756478323547</v>
      </c>
      <c r="G186" s="5">
        <f t="shared" si="443"/>
        <v>495.12932034738577</v>
      </c>
      <c r="AM186" s="1">
        <v>0</v>
      </c>
      <c r="AN186" s="1">
        <v>0</v>
      </c>
      <c r="AO186" s="1">
        <v>20325</v>
      </c>
      <c r="AP186" s="1">
        <v>0</v>
      </c>
      <c r="AQ186" s="1">
        <v>0</v>
      </c>
      <c r="AS186" s="54">
        <f>IF(RTD("tos.rtd",,AS$83,"."&amp;$B$134&amp;$AS$82&amp;"C"&amp;$A186)="N/A",0,RTD("tos.rtd",,AS$83,"."&amp;$B$134&amp;$AS$82&amp;"C"&amp;$A186))</f>
        <v>3</v>
      </c>
      <c r="AT186" s="3">
        <f>-IF(RTD("tos.rtd",,AT$83,"."&amp;$B$134&amp;$AS$82&amp;"P"&amp;$A186)="N/A",0,RTD("tos.rtd",,AT$83,"."&amp;$B$134&amp;$AS$82&amp;"P"&amp;$A186))</f>
        <v>-8</v>
      </c>
      <c r="AU186" s="54">
        <f>IF(RTD("tos.rtd",,AU$2,"."&amp;$C$134&amp;$AU$134&amp;"C"&amp;$A186)="N/A",0,RTD("tos.rtd",,AU$2,"."&amp;$C$134&amp;$AU$134&amp;"C"&amp;$A186))</f>
        <v>4</v>
      </c>
      <c r="AV186" s="3">
        <f>-IF(RTD("tos.rtd",,AV$2,"."&amp;$C$134&amp;$AU$134&amp;"P"&amp;$A186)="N/A",0,RTD("tos.rtd",,AV$2,"."&amp;$C$134&amp;$AU$134&amp;"P"&amp;$A186))</f>
        <v>-19</v>
      </c>
      <c r="AW186" s="54">
        <f>IF(RTD("tos.rtd",,AW$2,"."&amp;$D$134&amp;$AW$134&amp;"C"&amp;$A186)="N/A",0,RTD("tos.rtd",,AW$2,"."&amp;$D$134&amp;$AW$134&amp;"C"&amp;$A186))</f>
        <v>33</v>
      </c>
      <c r="AX186" s="3">
        <f>-IF(RTD("tos.rtd",,AX$2,"."&amp;$D$134&amp;$AW$134&amp;"P"&amp;$A186)="N/A",0,RTD("tos.rtd",,AX$2,"."&amp;$D$134&amp;$AW$134&amp;"P"&amp;$A186))</f>
        <v>-38</v>
      </c>
      <c r="AY186" s="76">
        <f t="shared" si="409"/>
        <v>-25</v>
      </c>
      <c r="AZ186" s="8">
        <f t="shared" si="337"/>
        <v>20325</v>
      </c>
      <c r="BA186" s="54">
        <f>IF(RTD("tos.rtd",,BA$43,"."&amp;$B$134&amp;$AS$82&amp;"C"&amp;$A186)="N/A",0,RTD("tos.rtd",,BA$43,"."&amp;$B$134&amp;$AS$82&amp;"C"&amp;$A186))</f>
        <v>0</v>
      </c>
      <c r="BB186" s="3">
        <f>-IF(RTD("tos.rtd",,BB$43,"."&amp;$B$134&amp;$AS$82&amp;"P"&amp;$A186)="N/A",0,RTD("tos.rtd",,BB$43,"."&amp;$B$134&amp;$AS$82&amp;"P"&amp;$A186))</f>
        <v>0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0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0</v>
      </c>
      <c r="BG186" s="3">
        <f ca="1">+Hoja2!Y187</f>
        <v>-3</v>
      </c>
      <c r="BH186" s="7">
        <f t="shared" ca="1" si="338"/>
        <v>-3</v>
      </c>
      <c r="BI186" s="32" t="str">
        <f t="shared" ca="1" si="397"/>
        <v/>
      </c>
      <c r="BJ186" s="3">
        <f ca="1">IF($BP$1=1,DX186,IF(RTD("tos.rtd",,BJ$43,"."&amp;$B$134&amp;$AS$82&amp;"C"&amp;$A186)="N/A",0,RTD("tos.rtd",,BJ$43,"."&amp;$B$134&amp;$AS$82&amp;"C"&amp;$A186)))</f>
        <v>4.335492246684063E-59</v>
      </c>
      <c r="BK186" s="3">
        <f ca="1">IF($BP$1=1,DY186,-IF(RTD("tos.rtd",,BK$43,"."&amp;$B$134&amp;$AS$82&amp;"P"&amp;$A186)="N/A",0,RTD("tos.rtd",,BK$43,"."&amp;$B$134&amp;$AS$82&amp;"P"&amp;$A186)))</f>
        <v>-2.2845155922659305E-4</v>
      </c>
      <c r="BL186" s="3">
        <f ca="1">IF($BP$1=1,DZ186,IF(RTD("tos.rtd",,BL$2,"."&amp;$C$134&amp;$AU$82&amp;"C"&amp;$A186)="N/A",0,RTD("tos.rtd",,BL$2,"."&amp;$C$134&amp;$AU$82&amp;"C"&amp;$A186)))</f>
        <v>8.426178495281775E-5</v>
      </c>
      <c r="BM186" s="3">
        <f ca="1">IF($BP$1=1,EA186,-IF(RTD("tos.rtd",,BM$2,"."&amp;$C$134&amp;$AU$82&amp;"P"&amp;$A186)="N/A",0,RTD("tos.rtd",,BM$2,"."&amp;$C$134&amp;$AU$82&amp;"P"&amp;$A186)))</f>
        <v>-1.6794891630779091E-4</v>
      </c>
      <c r="BN186" s="3">
        <f ca="1">IF($BP$1=1,EB186,IF(RTD("tos.rtd",,BN$2,"."&amp;$D$134&amp;$AW$82&amp;"C"&amp;$A186)="N/A",0,RTD("tos.rtd",,BN$2,"."&amp;$D$134&amp;$AW$82&amp;"C"&amp;$A186)))</f>
        <v>8.7802933739437452E-5</v>
      </c>
      <c r="BO186" s="3">
        <f ca="1">IF($BP$1=1,EC186,-IF(RTD("tos.rtd",,BO$2,"."&amp;$D$134&amp;$AW$82&amp;"P"&amp;$A186)="N/A",0,RTD("tos.rtd",,BO$2,"."&amp;$D$134&amp;$AW$82&amp;"P"&amp;$A186)))</f>
        <v>-1.1529918923790616E-4</v>
      </c>
      <c r="BQ186" s="3">
        <f t="shared" ca="1" si="410"/>
        <v>-64381.656544628539</v>
      </c>
      <c r="BR186" s="3" t="str">
        <f t="shared" ca="1" si="339"/>
        <v/>
      </c>
      <c r="BS186" s="3">
        <f t="shared" ca="1" si="411"/>
        <v>-100537.78299654569</v>
      </c>
      <c r="BT186" s="3" t="str">
        <f t="shared" ca="1" si="340"/>
        <v/>
      </c>
      <c r="BU186" s="3">
        <f t="shared" ca="1" si="412"/>
        <v>-52272.657985263708</v>
      </c>
      <c r="BV186" s="3" t="str">
        <f t="shared" ca="1" si="340"/>
        <v/>
      </c>
      <c r="BX186" s="3">
        <f t="shared" ca="1" si="370"/>
        <v>0</v>
      </c>
      <c r="BY186" s="3" t="str">
        <f t="shared" ca="1" si="371"/>
        <v/>
      </c>
      <c r="BZ186" s="3">
        <f t="shared" ca="1" si="372"/>
        <v>0</v>
      </c>
      <c r="CA186" s="3" t="str">
        <f t="shared" ca="1" si="371"/>
        <v/>
      </c>
      <c r="CB186" s="3">
        <f t="shared" ca="1" si="373"/>
        <v>0</v>
      </c>
      <c r="CC186" s="3" t="str">
        <f t="shared" ca="1" si="371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0.04</v>
      </c>
      <c r="CF186" s="3">
        <f>IF(RTD("tos.rtd",,CF$2,"."&amp;$C$134&amp;$AU$82&amp;"C"&amp;$A186)="N/A",0,RTD("tos.rtd",,CF$2,"."&amp;$C$134&amp;$AU$82&amp;"C"&amp;$A186))</f>
        <v>1</v>
      </c>
      <c r="CG186" s="3">
        <f>-IF(RTD("tos.rtd",,CG$2,"."&amp;$C$134&amp;$AU$82&amp;"P"&amp;$A186)="N/A",0,RTD("tos.rtd",,CG$2,"."&amp;$C$134&amp;$AU$82&amp;"P"&amp;$A186))</f>
        <v>0.03</v>
      </c>
      <c r="CH186" s="3">
        <f>IF(RTD("tos.rtd",,CH$2,"."&amp;$D$134&amp;$AW$82&amp;"C"&amp;$A186)="N/A",0,RTD("tos.rtd",,CH$2,"."&amp;$D$134&amp;$AW$82&amp;"C"&amp;$A186))</f>
        <v>0.81</v>
      </c>
      <c r="CI186" s="3">
        <f>-IF(RTD("tos.rtd",,CI$2,"."&amp;$D$134&amp;$AW$82&amp;"P"&amp;$A186)="N/A",0,RTD("tos.rtd",,CI$2,"."&amp;$D$134&amp;$AW$82&amp;"P"&amp;$A186))</f>
        <v>0.21</v>
      </c>
      <c r="CK186" s="3">
        <f t="shared" si="374"/>
        <v>5716641</v>
      </c>
      <c r="CL186" s="3"/>
      <c r="CM186" s="3">
        <f t="shared" si="375"/>
        <v>7316447.25</v>
      </c>
      <c r="CN186" s="3"/>
      <c r="CO186" s="3">
        <f t="shared" si="376"/>
        <v>39995156.25</v>
      </c>
      <c r="CP186" s="3">
        <f t="shared" si="331"/>
        <v>53028244.5</v>
      </c>
      <c r="CQ186" s="3">
        <f t="shared" si="341"/>
        <v>0</v>
      </c>
      <c r="CR186" s="3"/>
      <c r="CS186" s="3">
        <f t="shared" si="342"/>
        <v>0</v>
      </c>
      <c r="CT186" s="3"/>
      <c r="CU186" s="3">
        <f t="shared" si="343"/>
        <v>0</v>
      </c>
      <c r="CV186" s="3"/>
      <c r="CW186" s="3">
        <f t="shared" ca="1" si="344"/>
        <v>-217192.09752643792</v>
      </c>
      <c r="CY186" s="3">
        <f t="shared" ca="1" si="345"/>
        <v>0</v>
      </c>
      <c r="CZ186" s="70" t="str">
        <f t="shared" ca="1" si="377"/>
        <v/>
      </c>
      <c r="DA186" s="3">
        <f>IF(RTD("tos.rtd",,DA$43,"."&amp;$B$134&amp;$AS$82&amp;"C"&amp;$A186)="N/A",0,RTD("tos.rtd",,DA$43,"."&amp;$B$134&amp;$AS$82&amp;"C"&amp;$A186))</f>
        <v>281</v>
      </c>
      <c r="DB186" s="3">
        <f>IF(RTD("tos.rtd",,DB$43,"."&amp;$B$134&amp;$AS$82&amp;"P"&amp;$A186)="N/A",0,RTD("tos.rtd",,DB$43,"."&amp;$B$134&amp;$AS$82&amp;"P"&amp;$A186))</f>
        <v>0.4</v>
      </c>
      <c r="DC186" s="3">
        <f>IF(RTD("tos.rtd",,DC$43,"."&amp;$B$134&amp;$AS$82&amp;"C"&amp;$A186)="N/A",0,RTD("tos.rtd",,DC$43,"."&amp;$B$134&amp;$AS$82&amp;"C"&amp;$A186))</f>
        <v>1126.4000000000001</v>
      </c>
      <c r="DD186" s="3">
        <f>IF(RTD("tos.rtd",,DD$43,"."&amp;$B$134&amp;$AS$82&amp;"P"&amp;$A186)="N/A",0,RTD("tos.rtd",,DD$43,"."&amp;$B$134&amp;$AS$82&amp;"P"&amp;$A186))</f>
        <v>19.8</v>
      </c>
      <c r="DE186" s="3">
        <f>IF(RTD("tos.rtd",,DE$43,"."&amp;$B$134&amp;$AS$82&amp;"C"&amp;$A186)="N/A",0,RTD("tos.rtd",,DE$43,"."&amp;$B$134&amp;$AS$82&amp;"C"&amp;$A186))</f>
        <v>946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378"/>
        <v>-1005.75</v>
      </c>
      <c r="DH186" s="3">
        <f t="shared" si="379"/>
        <v>0</v>
      </c>
      <c r="DI186" s="3">
        <f t="shared" si="380"/>
        <v>0</v>
      </c>
      <c r="DJ186" s="3">
        <f t="shared" si="346"/>
        <v>0</v>
      </c>
      <c r="DK186" s="3">
        <f t="shared" si="347"/>
        <v>0</v>
      </c>
      <c r="DL186" s="3">
        <f t="shared" si="381"/>
        <v>0</v>
      </c>
      <c r="DM186" s="3">
        <f t="shared" si="382"/>
        <v>0</v>
      </c>
      <c r="DN186" s="64" t="str">
        <f t="shared" si="348"/>
        <v>UNKNOWN</v>
      </c>
      <c r="DO186" s="64" t="str">
        <f t="shared" si="349"/>
        <v>UNKNOWN</v>
      </c>
      <c r="DP186" s="3">
        <f t="shared" si="350"/>
        <v>0</v>
      </c>
      <c r="DQ186" s="3">
        <f t="shared" si="351"/>
        <v>0</v>
      </c>
      <c r="DR186" s="3">
        <f t="shared" ca="1" si="352"/>
        <v>0</v>
      </c>
      <c r="DS186" s="3">
        <f t="shared" si="353"/>
        <v>0</v>
      </c>
      <c r="DT186" s="3">
        <f t="shared" si="383"/>
        <v>0</v>
      </c>
      <c r="DU186" s="3">
        <f t="shared" si="384"/>
        <v>0</v>
      </c>
      <c r="DV186" s="3">
        <f t="shared" si="354"/>
        <v>0</v>
      </c>
      <c r="DW186" s="3">
        <f t="shared" si="355"/>
        <v>0</v>
      </c>
      <c r="DX186" s="3">
        <f t="shared" ca="1" si="436"/>
        <v>4.335492246684063E-59</v>
      </c>
      <c r="DY186" s="3">
        <f t="shared" ca="1" si="437"/>
        <v>-2.2845155922659305E-4</v>
      </c>
      <c r="DZ186" s="3">
        <f t="shared" ca="1" si="438"/>
        <v>8.426178495281775E-5</v>
      </c>
      <c r="EA186" s="3">
        <f t="shared" ca="1" si="439"/>
        <v>-1.6794891630779091E-4</v>
      </c>
      <c r="EB186" s="3">
        <f t="shared" ca="1" si="440"/>
        <v>8.7802933739437452E-5</v>
      </c>
      <c r="EC186" s="3">
        <f t="shared" ca="1" si="441"/>
        <v>-1.1529918923790616E-4</v>
      </c>
      <c r="ED186" s="63">
        <f t="shared" si="385"/>
        <v>0</v>
      </c>
      <c r="EE186" s="59">
        <f t="shared" si="362"/>
        <v>0.25</v>
      </c>
      <c r="EF186" s="59">
        <f t="shared" si="363"/>
        <v>3.8039000000000001</v>
      </c>
      <c r="EG186" s="59">
        <f t="shared" si="364"/>
        <v>0.2152</v>
      </c>
      <c r="EH186" s="59">
        <f t="shared" si="365"/>
        <v>0.28639999999999999</v>
      </c>
      <c r="EI186" s="59">
        <f t="shared" si="366"/>
        <v>0.21779999999999999</v>
      </c>
      <c r="EJ186" s="59">
        <f t="shared" si="367"/>
        <v>0.23849999999999999</v>
      </c>
      <c r="EK186" s="63">
        <f t="shared" ca="1" si="386"/>
        <v>0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380.39%</v>
      </c>
      <c r="EN186" s="3" t="str">
        <f>RTD("tos.rtd",,EN$2,"."&amp;$C$134&amp;$AU$82&amp;"C"&amp;$A186)</f>
        <v>21.52%</v>
      </c>
      <c r="EO186" s="3" t="str">
        <f>RTD("tos.rtd",,EO$2,"."&amp;$C$134&amp;$AU$82&amp;"P"&amp;$A186)</f>
        <v>28.64%</v>
      </c>
      <c r="EP186" s="3" t="str">
        <f>RTD("tos.rtd",,EP$2,"."&amp;$D$134&amp;$AW$82&amp;"C"&amp;$A186)</f>
        <v>21.78%</v>
      </c>
      <c r="EQ186" s="3" t="str">
        <f>RTD("tos.rtd",,EQ$2,"."&amp;$D$134&amp;$AW$82&amp;"P"&amp;$A186)</f>
        <v>23.85%</v>
      </c>
      <c r="ES186" s="63" t="str">
        <f t="shared" si="368"/>
        <v>20325,00.00</v>
      </c>
      <c r="ET186" s="63" t="str">
        <f t="shared" ca="1" si="369"/>
        <v>20325,00.00</v>
      </c>
      <c r="EU186" s="68">
        <v>592.64</v>
      </c>
      <c r="EV186" s="68" t="s">
        <v>1504</v>
      </c>
      <c r="EW186" s="68">
        <v>519.11</v>
      </c>
      <c r="EX186" s="68" t="s">
        <v>1505</v>
      </c>
      <c r="EY186" s="68">
        <v>5936.25</v>
      </c>
      <c r="EZ186" s="68" t="s">
        <v>1506</v>
      </c>
      <c r="FA186" s="68">
        <v>21309.5</v>
      </c>
      <c r="FB186" s="68" t="s">
        <v>1507</v>
      </c>
      <c r="FC186" s="68" t="s">
        <v>1508</v>
      </c>
      <c r="FD186" s="68" t="s">
        <v>1509</v>
      </c>
      <c r="FE186" s="68" t="s">
        <v>1510</v>
      </c>
      <c r="FF186" s="68" t="s">
        <v>1511</v>
      </c>
    </row>
    <row r="187" spans="1:162" ht="11.1" customHeight="1" thickBot="1" x14ac:dyDescent="0.25">
      <c r="A187" s="2">
        <f t="shared" si="387"/>
        <v>20300</v>
      </c>
      <c r="B187" s="3">
        <f t="shared" si="413"/>
        <v>5</v>
      </c>
      <c r="C187" s="3">
        <f t="shared" si="414"/>
        <v>38</v>
      </c>
      <c r="D187" s="3">
        <f t="shared" si="415"/>
        <v>271</v>
      </c>
      <c r="E187" s="3">
        <f t="shared" si="442"/>
        <v>314</v>
      </c>
      <c r="F187" s="4">
        <f t="shared" si="408"/>
        <v>20385.650996800396</v>
      </c>
      <c r="G187" s="5">
        <f t="shared" si="443"/>
        <v>494.52030519320692</v>
      </c>
      <c r="AM187" s="1">
        <v>0</v>
      </c>
      <c r="AN187" s="1">
        <v>10</v>
      </c>
      <c r="AO187" s="1">
        <v>20300</v>
      </c>
      <c r="AP187" s="1">
        <v>0</v>
      </c>
      <c r="AQ187" s="1">
        <v>-36</v>
      </c>
      <c r="AS187" s="54">
        <f>IF(RTD("tos.rtd",,AS$83,"."&amp;$B$134&amp;$AS$82&amp;"C"&amp;$A187)="N/A",0,RTD("tos.rtd",,AS$83,"."&amp;$B$134&amp;$AS$82&amp;"C"&amp;$A187))</f>
        <v>2</v>
      </c>
      <c r="AT187" s="3">
        <f>-IF(RTD("tos.rtd",,AT$83,"."&amp;$B$134&amp;$AS$82&amp;"P"&amp;$A187)="N/A",0,RTD("tos.rtd",,AT$83,"."&amp;$B$134&amp;$AS$82&amp;"P"&amp;$A187))</f>
        <v>-3</v>
      </c>
      <c r="AU187" s="54">
        <f>IF(RTD("tos.rtd",,AU$2,"."&amp;$C$134&amp;$AU$134&amp;"C"&amp;$A187)="N/A",0,RTD("tos.rtd",,AU$2,"."&amp;$C$134&amp;$AU$134&amp;"C"&amp;$A187))</f>
        <v>4</v>
      </c>
      <c r="AV187" s="3">
        <f>-IF(RTD("tos.rtd",,AV$2,"."&amp;$C$134&amp;$AU$134&amp;"P"&amp;$A187)="N/A",0,RTD("tos.rtd",,AV$2,"."&amp;$C$134&amp;$AU$134&amp;"P"&amp;$A187))</f>
        <v>-34</v>
      </c>
      <c r="AW187" s="54">
        <f>IF(RTD("tos.rtd",,AW$2,"."&amp;$D$134&amp;$AW$134&amp;"C"&amp;$A187)="N/A",0,RTD("tos.rtd",,AW$2,"."&amp;$D$134&amp;$AW$134&amp;"C"&amp;$A187))</f>
        <v>111</v>
      </c>
      <c r="AX187" s="3">
        <f>-IF(RTD("tos.rtd",,AX$2,"."&amp;$D$134&amp;$AW$134&amp;"P"&amp;$A187)="N/A",0,RTD("tos.rtd",,AX$2,"."&amp;$D$134&amp;$AW$134&amp;"P"&amp;$A187))</f>
        <v>-160</v>
      </c>
      <c r="AY187" s="76">
        <f t="shared" si="409"/>
        <v>-80</v>
      </c>
      <c r="AZ187" s="8">
        <f t="shared" si="337"/>
        <v>20300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-36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-9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0</v>
      </c>
      <c r="BG187" s="3">
        <f ca="1">+Hoja2!Y188</f>
        <v>-25</v>
      </c>
      <c r="BH187" s="7">
        <f t="shared" ca="1" si="338"/>
        <v>-70</v>
      </c>
      <c r="BI187" s="32" t="str">
        <f t="shared" ca="1" si="397"/>
        <v/>
      </c>
      <c r="BJ187" s="3">
        <f ca="1">IF($BP$1=1,DX187,IF(RTD("tos.rtd",,BJ$43,"."&amp;$B$134&amp;$AS$82&amp;"C"&amp;$A187)="N/A",0,RTD("tos.rtd",,BJ$43,"."&amp;$B$134&amp;$AS$82&amp;"C"&amp;$A187)))</f>
        <v>5.4844111686836275E-62</v>
      </c>
      <c r="BK187" s="3">
        <f ca="1">IF($BP$1=1,DY187,-IF(RTD("tos.rtd",,BK$43,"."&amp;$B$134&amp;$AS$82&amp;"P"&amp;$A187)="N/A",0,RTD("tos.rtd",,BK$43,"."&amp;$B$134&amp;$AS$82&amp;"P"&amp;$A187)))</f>
        <v>-8.8518452583424712E-5</v>
      </c>
      <c r="BL187" s="3">
        <f ca="1">IF($BP$1=1,DZ187,IF(RTD("tos.rtd",,BL$2,"."&amp;$C$134&amp;$AU$82&amp;"C"&amp;$A187)="N/A",0,RTD("tos.rtd",,BL$2,"."&amp;$C$134&amp;$AU$82&amp;"C"&amp;$A187)))</f>
        <v>1.1897917511188777E-4</v>
      </c>
      <c r="BM187" s="3">
        <f ca="1">IF($BP$1=1,EA187,-IF(RTD("tos.rtd",,BM$2,"."&amp;$C$134&amp;$AU$82&amp;"P"&amp;$A187)="N/A",0,RTD("tos.rtd",,BM$2,"."&amp;$C$134&amp;$AU$82&amp;"P"&amp;$A187)))</f>
        <v>-1.5896612736854499E-4</v>
      </c>
      <c r="BN187" s="3">
        <f ca="1">IF($BP$1=1,EB187,IF(RTD("tos.rtd",,BN$2,"."&amp;$D$134&amp;$AW$82&amp;"C"&amp;$A187)="N/A",0,RTD("tos.rtd",,BN$2,"."&amp;$D$134&amp;$AW$82&amp;"C"&amp;$A187)))</f>
        <v>7.9765198002380367E-5</v>
      </c>
      <c r="BO187" s="3">
        <f ca="1">IF($BP$1=1,EC187,-IF(RTD("tos.rtd",,BO$2,"."&amp;$D$134&amp;$AW$82&amp;"P"&amp;$A187)="N/A",0,RTD("tos.rtd",,BO$2,"."&amp;$D$134&amp;$AW$82&amp;"P"&amp;$A187)))</f>
        <v>-1.0609334325751324E-4</v>
      </c>
      <c r="BQ187" s="3">
        <f t="shared" ca="1" si="410"/>
        <v>-9354.7697234724837</v>
      </c>
      <c r="BR187" s="3" t="str">
        <f t="shared" ca="1" si="339"/>
        <v/>
      </c>
      <c r="BS187" s="3">
        <f t="shared" ca="1" si="411"/>
        <v>-173632.4236603301</v>
      </c>
      <c r="BT187" s="3" t="str">
        <f t="shared" ca="1" si="340"/>
        <v/>
      </c>
      <c r="BU187" s="3">
        <f t="shared" ca="1" si="412"/>
        <v>-286079.95833553973</v>
      </c>
      <c r="BV187" s="3" t="str">
        <f t="shared" ca="1" si="340"/>
        <v/>
      </c>
      <c r="BX187" s="3">
        <f t="shared" ca="1" si="370"/>
        <v>-860.44823266248352</v>
      </c>
      <c r="BY187" s="3" t="str">
        <f t="shared" ca="1" si="371"/>
        <v/>
      </c>
      <c r="BZ187" s="3">
        <f t="shared" ca="1" si="372"/>
        <v>-386.30963193395388</v>
      </c>
      <c r="CA187" s="3" t="str">
        <f t="shared" ca="1" si="371"/>
        <v/>
      </c>
      <c r="CB187" s="3">
        <f t="shared" ca="1" si="373"/>
        <v>0</v>
      </c>
      <c r="CC187" s="3" t="str">
        <f t="shared" ca="1" si="371"/>
        <v/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</v>
      </c>
      <c r="CF187" s="3">
        <f>IF(RTD("tos.rtd",,CF$2,"."&amp;$C$134&amp;$AU$82&amp;"C"&amp;$A187)="N/A",0,RTD("tos.rtd",,CF$2,"."&amp;$C$134&amp;$AU$82&amp;"C"&amp;$A187))</f>
        <v>1</v>
      </c>
      <c r="CG187" s="3">
        <f>-IF(RTD("tos.rtd",,CG$2,"."&amp;$C$134&amp;$AU$82&amp;"P"&amp;$A187)="N/A",0,RTD("tos.rtd",,CG$2,"."&amp;$C$134&amp;$AU$82&amp;"P"&amp;$A187))</f>
        <v>0.02</v>
      </c>
      <c r="CH187" s="3">
        <f>IF(RTD("tos.rtd",,CH$2,"."&amp;$D$134&amp;$AW$82&amp;"C"&amp;$A187)="N/A",0,RTD("tos.rtd",,CH$2,"."&amp;$D$134&amp;$AW$82&amp;"C"&amp;$A187))</f>
        <v>0.82</v>
      </c>
      <c r="CI187" s="3">
        <f>-IF(RTD("tos.rtd",,CI$2,"."&amp;$D$134&amp;$AW$82&amp;"P"&amp;$A187)="N/A",0,RTD("tos.rtd",,CI$2,"."&amp;$D$134&amp;$AW$82&amp;"P"&amp;$A187))</f>
        <v>0.2</v>
      </c>
      <c r="CK187" s="3">
        <f t="shared" si="374"/>
        <v>4266150</v>
      </c>
      <c r="CL187" s="3"/>
      <c r="CM187" s="3">
        <f t="shared" si="375"/>
        <v>7081809</v>
      </c>
      <c r="CN187" s="3"/>
      <c r="CO187" s="3">
        <f t="shared" si="376"/>
        <v>125894086.5</v>
      </c>
      <c r="CP187" s="3">
        <f t="shared" si="331"/>
        <v>137242045.5</v>
      </c>
      <c r="CQ187" s="3">
        <f t="shared" si="341"/>
        <v>-36</v>
      </c>
      <c r="CR187" s="3"/>
      <c r="CS187" s="3">
        <f t="shared" si="342"/>
        <v>-9</v>
      </c>
      <c r="CT187" s="3"/>
      <c r="CU187" s="3">
        <f t="shared" si="343"/>
        <v>0</v>
      </c>
      <c r="CV187" s="3"/>
      <c r="CW187" s="3">
        <f t="shared" ca="1" si="344"/>
        <v>-469067.15171934234</v>
      </c>
      <c r="CY187" s="3">
        <f t="shared" ca="1" si="345"/>
        <v>-1246.7578645964375</v>
      </c>
      <c r="CZ187" s="70" t="str">
        <f t="shared" ca="1" si="377"/>
        <v/>
      </c>
      <c r="DA187" s="3">
        <f>IF(RTD("tos.rtd",,DA$43,"."&amp;$B$134&amp;$AS$82&amp;"C"&amp;$A187)="N/A",0,RTD("tos.rtd",,DA$43,"."&amp;$B$134&amp;$AS$82&amp;"C"&amp;$A187))</f>
        <v>294</v>
      </c>
      <c r="DB187" s="3">
        <f>IF(RTD("tos.rtd",,DB$43,"."&amp;$B$134&amp;$AS$82&amp;"P"&amp;$A187)="N/A",0,RTD("tos.rtd",,DB$43,"."&amp;$B$134&amp;$AS$82&amp;"P"&amp;$A187))</f>
        <v>0.05</v>
      </c>
      <c r="DC187" s="3">
        <f>IF(RTD("tos.rtd",,DC$43,"."&amp;$B$134&amp;$AS$82&amp;"C"&amp;$A187)="N/A",0,RTD("tos.rtd",,DC$43,"."&amp;$B$134&amp;$AS$82&amp;"C"&amp;$A187))</f>
        <v>1151.4000000000001</v>
      </c>
      <c r="DD187" s="3">
        <f>IF(RTD("tos.rtd",,DD$43,"."&amp;$B$134&amp;$AS$82&amp;"P"&amp;$A187)="N/A",0,RTD("tos.rtd",,DD$43,"."&amp;$B$134&amp;$AS$82&amp;"P"&amp;$A187))</f>
        <v>0.05</v>
      </c>
      <c r="DE187" s="3">
        <f>IF(RTD("tos.rtd",,DE$43,"."&amp;$B$134&amp;$AS$82&amp;"C"&amp;$A187)="N/A",0,RTD("tos.rtd",,DE$43,"."&amp;$B$134&amp;$AS$82&amp;"C"&amp;$A187))</f>
        <v>972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378"/>
        <v>-1030.75</v>
      </c>
      <c r="DH187" s="3">
        <f t="shared" si="379"/>
        <v>0</v>
      </c>
      <c r="DI187" s="3">
        <f t="shared" si="380"/>
        <v>0</v>
      </c>
      <c r="DJ187" s="3">
        <f t="shared" si="346"/>
        <v>0</v>
      </c>
      <c r="DK187" s="3">
        <f t="shared" si="347"/>
        <v>0</v>
      </c>
      <c r="DL187" s="3">
        <f t="shared" si="381"/>
        <v>0</v>
      </c>
      <c r="DM187" s="3">
        <f t="shared" si="382"/>
        <v>0</v>
      </c>
      <c r="DN187" s="64" t="str">
        <f t="shared" si="348"/>
        <v>UNKNOWN</v>
      </c>
      <c r="DO187" s="64" t="str">
        <f t="shared" si="349"/>
        <v>UNKNOWN</v>
      </c>
      <c r="DP187" s="3">
        <f t="shared" si="350"/>
        <v>0</v>
      </c>
      <c r="DQ187" s="3">
        <f t="shared" si="351"/>
        <v>0</v>
      </c>
      <c r="DR187" s="3">
        <f t="shared" ca="1" si="352"/>
        <v>0</v>
      </c>
      <c r="DS187" s="3">
        <f t="shared" si="353"/>
        <v>0</v>
      </c>
      <c r="DT187" s="3">
        <f t="shared" si="383"/>
        <v>0</v>
      </c>
      <c r="DU187" s="3">
        <f t="shared" si="384"/>
        <v>0</v>
      </c>
      <c r="DV187" s="3">
        <f t="shared" si="354"/>
        <v>0</v>
      </c>
      <c r="DW187" s="3">
        <f t="shared" si="355"/>
        <v>10</v>
      </c>
      <c r="DX187" s="3">
        <f t="shared" ca="1" si="436"/>
        <v>5.4844111686836275E-62</v>
      </c>
      <c r="DY187" s="3">
        <f t="shared" ca="1" si="437"/>
        <v>-8.8518452583424712E-5</v>
      </c>
      <c r="DZ187" s="3">
        <f t="shared" ca="1" si="438"/>
        <v>1.1897917511188777E-4</v>
      </c>
      <c r="EA187" s="3">
        <f t="shared" ca="1" si="439"/>
        <v>-1.5896612736854499E-4</v>
      </c>
      <c r="EB187" s="3">
        <f t="shared" ca="1" si="440"/>
        <v>7.9765198002380367E-5</v>
      </c>
      <c r="EC187" s="3">
        <f t="shared" ca="1" si="441"/>
        <v>-1.0609334325751324E-4</v>
      </c>
      <c r="ED187" s="63">
        <f t="shared" si="385"/>
        <v>10</v>
      </c>
      <c r="EE187" s="59">
        <f t="shared" si="362"/>
        <v>0.25</v>
      </c>
      <c r="EF187" s="59">
        <f t="shared" si="363"/>
        <v>1.9850000000000001</v>
      </c>
      <c r="EG187" s="59">
        <f t="shared" si="364"/>
        <v>0.25</v>
      </c>
      <c r="EH187" s="59">
        <f t="shared" si="365"/>
        <v>0.28820000000000001</v>
      </c>
      <c r="EI187" s="59">
        <f t="shared" si="366"/>
        <v>0.21879999999999999</v>
      </c>
      <c r="EJ187" s="59">
        <f t="shared" si="367"/>
        <v>0.2394</v>
      </c>
      <c r="EK187" s="63">
        <f t="shared" ca="1" si="386"/>
        <v>-402759.75199264934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198.50%</v>
      </c>
      <c r="EN187" s="3" t="str">
        <f>RTD("tos.rtd",,EN$2,"."&amp;$C$134&amp;$AU$82&amp;"C"&amp;$A187)</f>
        <v>--</v>
      </c>
      <c r="EO187" s="3" t="str">
        <f>RTD("tos.rtd",,EO$2,"."&amp;$C$134&amp;$AU$82&amp;"P"&amp;$A187)</f>
        <v>28.82%</v>
      </c>
      <c r="EP187" s="3" t="str">
        <f>RTD("tos.rtd",,EP$2,"."&amp;$D$134&amp;$AW$82&amp;"C"&amp;$A187)</f>
        <v>21.88%</v>
      </c>
      <c r="EQ187" s="3" t="str">
        <f>RTD("tos.rtd",,EQ$2,"."&amp;$D$134&amp;$AW$82&amp;"P"&amp;$A187)</f>
        <v>23.94%</v>
      </c>
      <c r="ES187" s="63" t="str">
        <f t="shared" si="368"/>
        <v>20300,10.00</v>
      </c>
      <c r="ET187" s="63" t="str">
        <f t="shared" ca="1" si="369"/>
        <v>20300,-01.25</v>
      </c>
      <c r="EU187" s="68">
        <v>592.64</v>
      </c>
      <c r="EV187" s="68" t="s">
        <v>1512</v>
      </c>
      <c r="EW187" s="68">
        <v>519.11</v>
      </c>
      <c r="EX187" s="68" t="s">
        <v>1513</v>
      </c>
      <c r="EY187" s="68">
        <v>5936.25</v>
      </c>
      <c r="EZ187" s="68" t="s">
        <v>1514</v>
      </c>
      <c r="FA187" s="68">
        <v>21309.5</v>
      </c>
      <c r="FB187" s="68" t="s">
        <v>1515</v>
      </c>
      <c r="FC187" s="68" t="s">
        <v>1516</v>
      </c>
      <c r="FD187" s="68" t="s">
        <v>1517</v>
      </c>
      <c r="FE187" s="68" t="s">
        <v>1518</v>
      </c>
      <c r="FF187" s="68" t="s">
        <v>1519</v>
      </c>
    </row>
    <row r="188" spans="1:162" ht="11.1" customHeight="1" thickBot="1" x14ac:dyDescent="0.25">
      <c r="A188" s="2">
        <f t="shared" si="387"/>
        <v>20275</v>
      </c>
      <c r="B188" s="3">
        <f t="shared" si="413"/>
        <v>0</v>
      </c>
      <c r="C188" s="3">
        <f t="shared" si="414"/>
        <v>19</v>
      </c>
      <c r="D188" s="3">
        <f t="shared" si="415"/>
        <v>43</v>
      </c>
      <c r="E188" s="3">
        <f t="shared" si="442"/>
        <v>62</v>
      </c>
      <c r="F188" s="11">
        <f t="shared" si="408"/>
        <v>20360.545515277241</v>
      </c>
      <c r="G188" s="5">
        <f t="shared" si="443"/>
        <v>493.91129003902813</v>
      </c>
      <c r="AM188" s="1">
        <v>0</v>
      </c>
      <c r="AN188" s="1">
        <v>0</v>
      </c>
      <c r="AO188" s="1">
        <v>20275</v>
      </c>
      <c r="AP188" s="1">
        <v>0</v>
      </c>
      <c r="AQ188" s="1">
        <v>0</v>
      </c>
      <c r="AS188" s="54">
        <f>IF(RTD("tos.rtd",,AS$83,"."&amp;$B$134&amp;$AS$82&amp;"C"&amp;$A188)="N/A",0,RTD("tos.rtd",,AS$83,"."&amp;$B$134&amp;$AS$82&amp;"C"&amp;$A188))</f>
        <v>0</v>
      </c>
      <c r="AT188" s="3">
        <f>-IF(RTD("tos.rtd",,AT$83,"."&amp;$B$134&amp;$AS$82&amp;"P"&amp;$A188)="N/A",0,RTD("tos.rtd",,AT$83,"."&amp;$B$134&amp;$AS$82&amp;"P"&amp;$A188))</f>
        <v>0</v>
      </c>
      <c r="AU188" s="54">
        <f>IF(RTD("tos.rtd",,AU$2,"."&amp;$C$134&amp;$AU$134&amp;"C"&amp;$A188)="N/A",0,RTD("tos.rtd",,AU$2,"."&amp;$C$134&amp;$AU$134&amp;"C"&amp;$A188))</f>
        <v>2</v>
      </c>
      <c r="AV188" s="3">
        <f>-IF(RTD("tos.rtd",,AV$2,"."&amp;$C$134&amp;$AU$134&amp;"P"&amp;$A188)="N/A",0,RTD("tos.rtd",,AV$2,"."&amp;$C$134&amp;$AU$134&amp;"P"&amp;$A188))</f>
        <v>-17</v>
      </c>
      <c r="AW188" s="54">
        <f>IF(RTD("tos.rtd",,AW$2,"."&amp;$D$134&amp;$AW$134&amp;"C"&amp;$A188)="N/A",0,RTD("tos.rtd",,AW$2,"."&amp;$D$134&amp;$AW$134&amp;"C"&amp;$A188))</f>
        <v>29</v>
      </c>
      <c r="AX188" s="3">
        <f>-IF(RTD("tos.rtd",,AX$2,"."&amp;$D$134&amp;$AW$134&amp;"P"&amp;$A188)="N/A",0,RTD("tos.rtd",,AX$2,"."&amp;$D$134&amp;$AW$134&amp;"P"&amp;$A188))</f>
        <v>-14</v>
      </c>
      <c r="AY188" s="76">
        <f t="shared" si="409"/>
        <v>0</v>
      </c>
      <c r="AZ188" s="8">
        <f t="shared" si="337"/>
        <v>20275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0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-5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-8</v>
      </c>
      <c r="BG188" s="3">
        <f ca="1">+Hoja2!Y189</f>
        <v>-4</v>
      </c>
      <c r="BH188" s="7">
        <f t="shared" ca="1" si="338"/>
        <v>-17</v>
      </c>
      <c r="BI188" s="32" t="str">
        <f t="shared" ca="1" si="397"/>
        <v/>
      </c>
      <c r="BJ188" s="3">
        <f ca="1">IF($BP$1=1,DX188,IF(RTD("tos.rtd",,BJ$43,"."&amp;$B$134&amp;$AS$82&amp;"C"&amp;$A188)="N/A",0,RTD("tos.rtd",,BJ$43,"."&amp;$B$134&amp;$AS$82&amp;"C"&amp;$A188)))</f>
        <v>5.8158573515212795E-65</v>
      </c>
      <c r="BK188" s="3">
        <f ca="1">IF($BP$1=1,DY188,-IF(RTD("tos.rtd",,BK$43,"."&amp;$B$134&amp;$AS$82&amp;"P"&amp;$A188)="N/A",0,RTD("tos.rtd",,BK$43,"."&amp;$B$134&amp;$AS$82&amp;"P"&amp;$A188)))</f>
        <v>-2.168041149300902E-4</v>
      </c>
      <c r="BL188" s="3">
        <f ca="1">IF($BP$1=1,DZ188,IF(RTD("tos.rtd",,BL$2,"."&amp;$C$134&amp;$AU$82&amp;"C"&amp;$A188)="N/A",0,RTD("tos.rtd",,BL$2,"."&amp;$C$134&amp;$AU$82&amp;"C"&amp;$A188)))</f>
        <v>1.0899151809533969E-4</v>
      </c>
      <c r="BM188" s="3">
        <f ca="1">IF($BP$1=1,EA188,-IF(RTD("tos.rtd",,BM$2,"."&amp;$C$134&amp;$AU$82&amp;"P"&amp;$A188)="N/A",0,RTD("tos.rtd",,BM$2,"."&amp;$C$134&amp;$AU$82&amp;"P"&amp;$A188)))</f>
        <v>-1.4996700692263923E-4</v>
      </c>
      <c r="BN188" s="3">
        <f ca="1">IF($BP$1=1,EB188,IF(RTD("tos.rtd",,BN$2,"."&amp;$D$134&amp;$AW$82&amp;"C"&amp;$A188)="N/A",0,RTD("tos.rtd",,BN$2,"."&amp;$D$134&amp;$AW$82&amp;"C"&amp;$A188)))</f>
        <v>7.1766742373149435E-5</v>
      </c>
      <c r="BO188" s="3">
        <f ca="1">IF($BP$1=1,EC188,-IF(RTD("tos.rtd",,BO$2,"."&amp;$D$134&amp;$AW$82&amp;"P"&amp;$A188)="N/A",0,RTD("tos.rtd",,BO$2,"."&amp;$D$134&amp;$AW$82&amp;"P"&amp;$A188)))</f>
        <v>-9.847083589625072E-5</v>
      </c>
      <c r="BQ188" s="3">
        <f t="shared" ca="1" si="410"/>
        <v>0</v>
      </c>
      <c r="BR188" s="3" t="str">
        <f t="shared" ca="1" si="339"/>
        <v/>
      </c>
      <c r="BS188" s="3">
        <f t="shared" ca="1" si="411"/>
        <v>-82130.652333807433</v>
      </c>
      <c r="BT188" s="3" t="str">
        <f t="shared" ca="1" si="340"/>
        <v/>
      </c>
      <c r="BU188" s="3">
        <f t="shared" ca="1" si="412"/>
        <v>24752.169370999778</v>
      </c>
      <c r="BV188" s="3" t="str">
        <f t="shared" ca="1" si="340"/>
        <v>Cruce +</v>
      </c>
      <c r="BX188" s="3">
        <f t="shared" ca="1" si="370"/>
        <v>0</v>
      </c>
      <c r="BY188" s="3" t="str">
        <f t="shared" ca="1" si="371"/>
        <v/>
      </c>
      <c r="BZ188" s="3">
        <f t="shared" ca="1" si="372"/>
        <v>-202.4669594905053</v>
      </c>
      <c r="CA188" s="3" t="str">
        <f t="shared" ca="1" si="371"/>
        <v/>
      </c>
      <c r="CB188" s="3">
        <f t="shared" ca="1" si="373"/>
        <v>-212.70908743480601</v>
      </c>
      <c r="CC188" s="3" t="str">
        <f t="shared" ca="1" si="371"/>
        <v/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0.04</v>
      </c>
      <c r="CF188" s="3">
        <f>IF(RTD("tos.rtd",,CF$2,"."&amp;$C$134&amp;$AU$82&amp;"C"&amp;$A188)="N/A",0,RTD("tos.rtd",,CF$2,"."&amp;$C$134&amp;$AU$82&amp;"C"&amp;$A188))</f>
        <v>1</v>
      </c>
      <c r="CG188" s="3">
        <f>-IF(RTD("tos.rtd",,CG$2,"."&amp;$C$134&amp;$AU$82&amp;"P"&amp;$A188)="N/A",0,RTD("tos.rtd",,CG$2,"."&amp;$C$134&amp;$AU$82&amp;"P"&amp;$A188))</f>
        <v>0.02</v>
      </c>
      <c r="CH188" s="3">
        <f>IF(RTD("tos.rtd",,CH$2,"."&amp;$D$134&amp;$AW$82&amp;"C"&amp;$A188)="N/A",0,RTD("tos.rtd",,CH$2,"."&amp;$D$134&amp;$AW$82&amp;"C"&amp;$A188))</f>
        <v>0.82</v>
      </c>
      <c r="CI188" s="3">
        <f>-IF(RTD("tos.rtd",,CI$2,"."&amp;$D$134&amp;$AW$82&amp;"P"&amp;$A188)="N/A",0,RTD("tos.rtd",,CI$2,"."&amp;$D$134&amp;$AW$82&amp;"P"&amp;$A188))</f>
        <v>0.2</v>
      </c>
      <c r="CK188" s="3">
        <f t="shared" si="374"/>
        <v>0</v>
      </c>
      <c r="CL188" s="3"/>
      <c r="CM188" s="3">
        <f t="shared" si="375"/>
        <v>3540904.5</v>
      </c>
      <c r="CN188" s="3"/>
      <c r="CO188" s="3">
        <f t="shared" si="376"/>
        <v>44751913.499999993</v>
      </c>
      <c r="CP188" s="3">
        <f t="shared" si="331"/>
        <v>48292817.999999993</v>
      </c>
      <c r="CQ188" s="3">
        <f t="shared" si="341"/>
        <v>0</v>
      </c>
      <c r="CR188" s="3"/>
      <c r="CS188" s="3">
        <f t="shared" si="342"/>
        <v>-5</v>
      </c>
      <c r="CT188" s="3"/>
      <c r="CU188" s="3">
        <f t="shared" si="343"/>
        <v>-8</v>
      </c>
      <c r="CV188" s="3"/>
      <c r="CW188" s="3">
        <f t="shared" ca="1" si="344"/>
        <v>-57378.482962807655</v>
      </c>
      <c r="CY188" s="3">
        <f t="shared" ca="1" si="345"/>
        <v>-415.17604692531131</v>
      </c>
      <c r="CZ188" s="70" t="str">
        <f t="shared" ca="1" si="377"/>
        <v/>
      </c>
      <c r="DA188" s="3">
        <f>IF(RTD("tos.rtd",,DA$43,"."&amp;$B$134&amp;$AS$82&amp;"C"&amp;$A188)="N/A",0,RTD("tos.rtd",,DA$43,"."&amp;$B$134&amp;$AS$82&amp;"C"&amp;$A188))</f>
        <v>0</v>
      </c>
      <c r="DB188" s="3">
        <f>IF(RTD("tos.rtd",,DB$43,"."&amp;$B$134&amp;$AS$82&amp;"P"&amp;$A188)="N/A",0,RTD("tos.rtd",,DB$43,"."&amp;$B$134&amp;$AS$82&amp;"P"&amp;$A188))</f>
        <v>0</v>
      </c>
      <c r="DC188" s="3">
        <f>IF(RTD("tos.rtd",,DC$43,"."&amp;$B$134&amp;$AS$82&amp;"C"&amp;$A188)="N/A",0,RTD("tos.rtd",,DC$43,"."&amp;$B$134&amp;$AS$82&amp;"C"&amp;$A188))</f>
        <v>1175.5999999999999</v>
      </c>
      <c r="DD188" s="3">
        <f>IF(RTD("tos.rtd",,DD$43,"."&amp;$B$134&amp;$AS$82&amp;"P"&amp;$A188)="N/A",0,RTD("tos.rtd",,DD$43,"."&amp;$B$134&amp;$AS$82&amp;"P"&amp;$A188))</f>
        <v>19.8</v>
      </c>
      <c r="DE188" s="3">
        <f>IF(RTD("tos.rtd",,DE$43,"."&amp;$B$134&amp;$AS$82&amp;"C"&amp;$A188)="N/A",0,RTD("tos.rtd",,DE$43,"."&amp;$B$134&amp;$AS$82&amp;"C"&amp;$A188))</f>
        <v>996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378"/>
        <v>-1055.75</v>
      </c>
      <c r="DH188" s="3">
        <f t="shared" si="379"/>
        <v>0</v>
      </c>
      <c r="DI188" s="3">
        <f t="shared" si="380"/>
        <v>0</v>
      </c>
      <c r="DJ188" s="3">
        <f t="shared" si="346"/>
        <v>0</v>
      </c>
      <c r="DK188" s="3">
        <f t="shared" si="347"/>
        <v>0</v>
      </c>
      <c r="DL188" s="3">
        <f t="shared" si="381"/>
        <v>0</v>
      </c>
      <c r="DM188" s="3">
        <f t="shared" si="382"/>
        <v>0</v>
      </c>
      <c r="DN188" s="64" t="str">
        <f t="shared" si="348"/>
        <v>UNKNOWN</v>
      </c>
      <c r="DO188" s="64" t="str">
        <f t="shared" si="349"/>
        <v>UNKNOWN</v>
      </c>
      <c r="DP188" s="3">
        <f t="shared" si="350"/>
        <v>0</v>
      </c>
      <c r="DQ188" s="3">
        <f t="shared" si="351"/>
        <v>0</v>
      </c>
      <c r="DR188" s="3">
        <f t="shared" ca="1" si="352"/>
        <v>0</v>
      </c>
      <c r="DS188" s="3">
        <f t="shared" si="353"/>
        <v>0</v>
      </c>
      <c r="DT188" s="3">
        <f t="shared" si="383"/>
        <v>0</v>
      </c>
      <c r="DU188" s="3">
        <f t="shared" si="384"/>
        <v>0</v>
      </c>
      <c r="DV188" s="3">
        <f t="shared" si="354"/>
        <v>0</v>
      </c>
      <c r="DW188" s="3">
        <f t="shared" si="355"/>
        <v>0</v>
      </c>
      <c r="DX188" s="3">
        <f t="shared" ca="1" si="436"/>
        <v>5.8158573515212795E-65</v>
      </c>
      <c r="DY188" s="3">
        <f t="shared" ca="1" si="437"/>
        <v>-2.168041149300902E-4</v>
      </c>
      <c r="DZ188" s="3">
        <f t="shared" ca="1" si="438"/>
        <v>1.0899151809533969E-4</v>
      </c>
      <c r="EA188" s="3">
        <f t="shared" ca="1" si="439"/>
        <v>-1.4996700692263923E-4</v>
      </c>
      <c r="EB188" s="3">
        <f t="shared" ca="1" si="440"/>
        <v>7.1766742373149435E-5</v>
      </c>
      <c r="EC188" s="3">
        <f t="shared" ca="1" si="441"/>
        <v>-9.847083589625072E-5</v>
      </c>
      <c r="ED188" s="63">
        <f t="shared" si="385"/>
        <v>0</v>
      </c>
      <c r="EE188" s="59">
        <f t="shared" si="362"/>
        <v>0.25</v>
      </c>
      <c r="EF188" s="59">
        <f t="shared" si="363"/>
        <v>3.9563000000000001</v>
      </c>
      <c r="EG188" s="59">
        <f t="shared" si="364"/>
        <v>0.25</v>
      </c>
      <c r="EH188" s="59">
        <f t="shared" si="365"/>
        <v>0.28949999999999998</v>
      </c>
      <c r="EI188" s="59">
        <f t="shared" si="366"/>
        <v>0.21929999999999999</v>
      </c>
      <c r="EJ188" s="59">
        <f t="shared" si="367"/>
        <v>0.24110000000000001</v>
      </c>
      <c r="EK188" s="63">
        <f t="shared" ca="1" si="386"/>
        <v>0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395.63%</v>
      </c>
      <c r="EN188" s="3" t="str">
        <f>RTD("tos.rtd",,EN$2,"."&amp;$C$134&amp;$AU$82&amp;"C"&amp;$A188)</f>
        <v>--</v>
      </c>
      <c r="EO188" s="3" t="str">
        <f>RTD("tos.rtd",,EO$2,"."&amp;$C$134&amp;$AU$82&amp;"P"&amp;$A188)</f>
        <v>28.95%</v>
      </c>
      <c r="EP188" s="3" t="str">
        <f>RTD("tos.rtd",,EP$2,"."&amp;$D$134&amp;$AW$82&amp;"C"&amp;$A188)</f>
        <v>21.93%</v>
      </c>
      <c r="EQ188" s="3" t="str">
        <f>RTD("tos.rtd",,EQ$2,"."&amp;$D$134&amp;$AW$82&amp;"P"&amp;$A188)</f>
        <v>24.11%</v>
      </c>
      <c r="ES188" s="63" t="str">
        <f t="shared" si="368"/>
        <v>20275,00.00</v>
      </c>
      <c r="ET188" s="63" t="str">
        <f t="shared" ca="1" si="369"/>
        <v>20275,-00.42</v>
      </c>
      <c r="EU188" s="68">
        <v>592.64</v>
      </c>
      <c r="EV188" s="68" t="s">
        <v>1520</v>
      </c>
      <c r="EW188" s="68">
        <v>519.11</v>
      </c>
      <c r="EX188" s="68" t="s">
        <v>1521</v>
      </c>
      <c r="EY188" s="68">
        <v>5936.25</v>
      </c>
      <c r="EZ188" s="68" t="s">
        <v>1522</v>
      </c>
      <c r="FA188" s="68">
        <v>21309.5</v>
      </c>
      <c r="FB188" s="68" t="s">
        <v>1523</v>
      </c>
      <c r="FC188" s="68" t="s">
        <v>1524</v>
      </c>
      <c r="FD188" s="68" t="s">
        <v>1525</v>
      </c>
      <c r="FE188" s="68" t="s">
        <v>1526</v>
      </c>
      <c r="FF188" s="68" t="s">
        <v>1527</v>
      </c>
    </row>
    <row r="189" spans="1:162" ht="11.1" customHeight="1" thickBot="1" x14ac:dyDescent="0.25">
      <c r="A189" s="2">
        <f t="shared" si="387"/>
        <v>20250</v>
      </c>
      <c r="B189" s="3">
        <f t="shared" si="413"/>
        <v>5</v>
      </c>
      <c r="C189" s="3">
        <f t="shared" si="414"/>
        <v>7</v>
      </c>
      <c r="D189" s="3">
        <f t="shared" si="415"/>
        <v>113</v>
      </c>
      <c r="E189" s="3">
        <f t="shared" si="442"/>
        <v>125</v>
      </c>
      <c r="F189" s="11">
        <f t="shared" si="408"/>
        <v>20335.440033754086</v>
      </c>
      <c r="G189" s="5">
        <f t="shared" si="443"/>
        <v>493.30227488484928</v>
      </c>
      <c r="AM189" s="1">
        <v>0</v>
      </c>
      <c r="AN189" s="1">
        <v>0</v>
      </c>
      <c r="AO189" s="1">
        <v>20250</v>
      </c>
      <c r="AP189" s="1">
        <v>0</v>
      </c>
      <c r="AQ189" s="1">
        <v>-2</v>
      </c>
      <c r="AS189" s="56">
        <f>IF(RTD("tos.rtd",,AS$83,"."&amp;$B$134&amp;$AS$82&amp;"C"&amp;$A189)="N/A",0,RTD("tos.rtd",,AS$83,"."&amp;$B$134&amp;$AS$82&amp;"C"&amp;$A189))</f>
        <v>1</v>
      </c>
      <c r="AT189" s="35">
        <f>-IF(RTD("tos.rtd",,AT$83,"."&amp;$B$134&amp;$AS$82&amp;"P"&amp;$A189)="N/A",0,RTD("tos.rtd",,AT$83,"."&amp;$B$134&amp;$AS$82&amp;"P"&amp;$A189))</f>
        <v>-4</v>
      </c>
      <c r="AU189" s="16">
        <f>IF(RTD("tos.rtd",,AU$2,"."&amp;$C$134&amp;$AU$134&amp;"C"&amp;$A189)="N/A",0,RTD("tos.rtd",,AU$2,"."&amp;$C$134&amp;$AU$134&amp;"C"&amp;$A189))</f>
        <v>3</v>
      </c>
      <c r="AV189" s="16">
        <f>-IF(RTD("tos.rtd",,AV$2,"."&amp;$C$134&amp;$AU$134&amp;"P"&amp;$A189)="N/A",0,RTD("tos.rtd",,AV$2,"."&amp;$C$134&amp;$AU$134&amp;"P"&amp;$A189))</f>
        <v>-4</v>
      </c>
      <c r="AW189" s="56">
        <f>IF(RTD("tos.rtd",,AW$2,"."&amp;$D$134&amp;$AW$134&amp;"C"&amp;$A189)="N/A",0,RTD("tos.rtd",,AW$2,"."&amp;$D$134&amp;$AW$134&amp;"C"&amp;$A189))</f>
        <v>17</v>
      </c>
      <c r="AX189" s="35">
        <f>-IF(RTD("tos.rtd",,AX$2,"."&amp;$D$134&amp;$AW$134&amp;"P"&amp;$A189)="N/A",0,RTD("tos.rtd",,AX$2,"."&amp;$D$134&amp;$AW$134&amp;"P"&amp;$A189))</f>
        <v>-96</v>
      </c>
      <c r="AY189" s="77">
        <f t="shared" si="409"/>
        <v>-83</v>
      </c>
      <c r="AZ189" s="8">
        <f t="shared" si="337"/>
        <v>20250</v>
      </c>
      <c r="BA189" s="56">
        <f>IF(RTD("tos.rtd",,BA$43,"."&amp;$B$134&amp;$AS$82&amp;"C"&amp;$A189)="N/A",0,RTD("tos.rtd",,BA$43,"."&amp;$B$134&amp;$AS$82&amp;"C"&amp;$A189))</f>
        <v>0</v>
      </c>
      <c r="BB189" s="35">
        <f>-IF(RTD("tos.rtd",,BB$43,"."&amp;$B$134&amp;$AS$82&amp;"P"&amp;$A189)="N/A",0,RTD("tos.rtd",,BB$43,"."&amp;$B$134&amp;$AS$82&amp;"P"&amp;$A189))</f>
        <v>-2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0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0</v>
      </c>
      <c r="BG189" s="35">
        <f ca="1">+Hoja2!Y190</f>
        <v>-8</v>
      </c>
      <c r="BH189" s="36">
        <f t="shared" ca="1" si="338"/>
        <v>-10</v>
      </c>
      <c r="BI189" s="32" t="str">
        <f t="shared" ca="1" si="397"/>
        <v/>
      </c>
      <c r="BJ189" s="3">
        <f ca="1">IF($BP$1=1,DX189,IF(RTD("tos.rtd",,BJ$43,"."&amp;$B$134&amp;$AS$82&amp;"C"&amp;$A189)="N/A",0,RTD("tos.rtd",,BJ$43,"."&amp;$B$134&amp;$AS$82&amp;"C"&amp;$A189)))</f>
        <v>5.16666643695886E-68</v>
      </c>
      <c r="BK189" s="3">
        <f ca="1">IF($BP$1=1,DY189,-IF(RTD("tos.rtd",,BK$43,"."&amp;$B$134&amp;$AS$82&amp;"P"&amp;$A189)="N/A",0,RTD("tos.rtd",,BK$43,"."&amp;$B$134&amp;$AS$82&amp;"P"&amp;$A189)))</f>
        <v>-2.1137320199764048E-4</v>
      </c>
      <c r="BL189" s="83">
        <f ca="1">IF($BP$1=1,DZ189,IF(RTD("tos.rtd",,BL$2,"."&amp;$C$134&amp;$AU$82&amp;"C"&amp;$A189)="N/A",0,RTD("tos.rtd",,BL$2,"."&amp;$C$134&amp;$AU$82&amp;"C"&amp;$A189)))</f>
        <v>9.9619744874102959E-5</v>
      </c>
      <c r="BM189" s="83">
        <f ca="1">IF($BP$1=1,EA189,-IF(RTD("tos.rtd",,BM$2,"."&amp;$C$134&amp;$AU$82&amp;"P"&amp;$A189)="N/A",0,RTD("tos.rtd",,BM$2,"."&amp;$C$134&amp;$AU$82&amp;"P"&amp;$A189)))</f>
        <v>-1.4156726965195503E-4</v>
      </c>
      <c r="BN189" s="3">
        <f ca="1">IF($BP$1=1,EB189,IF(RTD("tos.rtd",,BN$2,"."&amp;$D$134&amp;$AW$82&amp;"C"&amp;$A189)="N/A",0,RTD("tos.rtd",,BN$2,"."&amp;$D$134&amp;$AW$82&amp;"C"&amp;$A189)))</f>
        <v>7.5229316079696048E-5</v>
      </c>
      <c r="BO189" s="3">
        <f ca="1">IF($BP$1=1,EC189,-IF(RTD("tos.rtd",,BO$2,"."&amp;$D$134&amp;$AW$82&amp;"P"&amp;$A189)="N/A",0,RTD("tos.rtd",,BO$2,"."&amp;$D$134&amp;$AW$82&amp;"P"&amp;$A189)))</f>
        <v>-8.9749710147180641E-5</v>
      </c>
      <c r="BQ189" s="3">
        <f t="shared" ca="1" si="410"/>
        <v>-29784.337957292362</v>
      </c>
      <c r="BR189" s="3"/>
      <c r="BS189" s="83">
        <f t="shared" ca="1" si="411"/>
        <v>-9420.0980671856887</v>
      </c>
      <c r="BT189" s="83"/>
      <c r="BU189" s="3">
        <f t="shared" ca="1" si="412"/>
        <v>-258464.51162515738</v>
      </c>
      <c r="BV189" s="3" t="str">
        <f ca="1">IF(AND(BU189&lt;0,BU188&gt;0), "Cruce -", IF(AND(BU189&gt;0,BU188&lt;0),"Cruce +", ""))</f>
        <v>Cruce -</v>
      </c>
      <c r="BX189" s="3">
        <f t="shared" ca="1" si="370"/>
        <v>-114.1480126980493</v>
      </c>
      <c r="BY189" s="3" t="str">
        <f t="shared" ca="1" si="371"/>
        <v/>
      </c>
      <c r="BZ189" s="83">
        <f t="shared" ca="1" si="372"/>
        <v>0</v>
      </c>
      <c r="CA189" s="83" t="str">
        <f t="shared" ca="1" si="371"/>
        <v/>
      </c>
      <c r="CB189" s="3">
        <f t="shared" ca="1" si="373"/>
        <v>0</v>
      </c>
      <c r="CC189" s="3" t="str">
        <f t="shared" ca="1" si="371"/>
        <v/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0.04</v>
      </c>
      <c r="CF189" s="83">
        <f>IF(RTD("tos.rtd",,CF$2,"."&amp;$C$134&amp;$AU$82&amp;"C"&amp;$A189)="N/A",0,RTD("tos.rtd",,CF$2,"."&amp;$C$134&amp;$AU$82&amp;"C"&amp;$A189))</f>
        <v>1</v>
      </c>
      <c r="CG189" s="83">
        <f>-IF(RTD("tos.rtd",,CG$2,"."&amp;$C$134&amp;$AU$82&amp;"P"&amp;$A189)="N/A",0,RTD("tos.rtd",,CG$2,"."&amp;$C$134&amp;$AU$82&amp;"P"&amp;$A189))</f>
        <v>0.02</v>
      </c>
      <c r="CH189" s="3">
        <f>IF(RTD("tos.rtd",,CH$2,"."&amp;$D$134&amp;$AW$82&amp;"C"&amp;$A189)="N/A",0,RTD("tos.rtd",,CH$2,"."&amp;$D$134&amp;$AW$82&amp;"C"&amp;$A189))</f>
        <v>0.82</v>
      </c>
      <c r="CI189" s="3">
        <f>-IF(RTD("tos.rtd",,CI$2,"."&amp;$D$134&amp;$AW$82&amp;"P"&amp;$A189)="N/A",0,RTD("tos.rtd",,CI$2,"."&amp;$D$134&amp;$AW$82&amp;"P"&amp;$A189))</f>
        <v>0.2</v>
      </c>
      <c r="CK189" s="3">
        <f t="shared" si="374"/>
        <v>1791783</v>
      </c>
      <c r="CL189" s="3"/>
      <c r="CM189" s="3">
        <f t="shared" si="375"/>
        <v>6228579</v>
      </c>
      <c r="CN189" s="83"/>
      <c r="CO189" s="3">
        <f t="shared" si="376"/>
        <v>-11219974.500000007</v>
      </c>
      <c r="CP189" s="3">
        <f t="shared" si="331"/>
        <v>-3199612.5000000075</v>
      </c>
      <c r="CQ189" s="3">
        <f t="shared" si="341"/>
        <v>-2</v>
      </c>
      <c r="CR189" s="3"/>
      <c r="CS189" s="83">
        <f t="shared" si="342"/>
        <v>0</v>
      </c>
      <c r="CT189" s="83"/>
      <c r="CU189" s="3">
        <f t="shared" si="343"/>
        <v>0</v>
      </c>
      <c r="CV189" s="3"/>
      <c r="CW189" s="3">
        <f t="shared" ca="1" si="344"/>
        <v>-297668.94764963543</v>
      </c>
      <c r="CY189" s="3">
        <f t="shared" ca="1" si="345"/>
        <v>-114.1480126980493</v>
      </c>
      <c r="CZ189" s="70" t="str">
        <f t="shared" ca="1" si="377"/>
        <v/>
      </c>
      <c r="DA189" s="3">
        <f>IF(RTD("tos.rtd",,DA$43,"."&amp;$B$134&amp;$AS$82&amp;"C"&amp;$A189)="N/A",0,RTD("tos.rtd",,DA$43,"."&amp;$B$134&amp;$AS$82&amp;"C"&amp;$A189))</f>
        <v>1100.6500000000001</v>
      </c>
      <c r="DB189" s="3">
        <f>IF(RTD("tos.rtd",,DB$43,"."&amp;$B$134&amp;$AS$82&amp;"P"&amp;$A189)="N/A",0,RTD("tos.rtd",,DB$43,"."&amp;$B$134&amp;$AS$82&amp;"P"&amp;$A189))</f>
        <v>0.05</v>
      </c>
      <c r="DC189" s="3">
        <f>IF(RTD("tos.rtd",,DC$43,"."&amp;$B$134&amp;$AS$82&amp;"C"&amp;$A189)="N/A",0,RTD("tos.rtd",,DC$43,"."&amp;$B$134&amp;$AS$82&amp;"C"&amp;$A189))</f>
        <v>1201.5</v>
      </c>
      <c r="DD189" s="3">
        <f>IF(RTD("tos.rtd",,DD$43,"."&amp;$B$134&amp;$AS$82&amp;"P"&amp;$A189)="N/A",0,RTD("tos.rtd",,DD$43,"."&amp;$B$134&amp;$AS$82&amp;"P"&amp;$A189))</f>
        <v>19.8</v>
      </c>
      <c r="DE189" s="3">
        <f>IF(RTD("tos.rtd",,DE$43,"."&amp;$B$134&amp;$AS$82&amp;"C"&amp;$A189)="N/A",0,RTD("tos.rtd",,DE$43,"."&amp;$B$134&amp;$AS$82&amp;"C"&amp;$A189))</f>
        <v>1022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378"/>
        <v>-1080.75</v>
      </c>
      <c r="DH189" s="3">
        <f t="shared" si="379"/>
        <v>0</v>
      </c>
      <c r="DI189" s="3">
        <f t="shared" si="380"/>
        <v>0</v>
      </c>
      <c r="DJ189" s="3">
        <f>IF(DA189&gt;=(DE189+(DC189-DE189)*0.6),(BA189-AP189),IF(DA189&lt;=(DE189+(DC189-DE189)*0.4),-(BA189-AP189),0))</f>
        <v>0</v>
      </c>
      <c r="DK189" s="3">
        <f>IF(DB189&lt;=(DF189+(DD189-DF189)*0.4),-(BB189-AQ189),IF(DB189&gt;=(DF189+(DD189-DF189)*0.6),(BB189-AQ189),0))</f>
        <v>0</v>
      </c>
      <c r="DL189" s="3">
        <f t="shared" si="381"/>
        <v>0</v>
      </c>
      <c r="DM189" s="3">
        <f t="shared" si="382"/>
        <v>0</v>
      </c>
      <c r="DN189" s="64" t="str">
        <f t="shared" si="348"/>
        <v>UNKNOWN</v>
      </c>
      <c r="DO189" s="64" t="str">
        <f t="shared" si="349"/>
        <v>UNKNOWN</v>
      </c>
      <c r="DP189" s="3">
        <f t="shared" si="350"/>
        <v>0</v>
      </c>
      <c r="DQ189" s="3">
        <f t="shared" si="351"/>
        <v>0</v>
      </c>
      <c r="DR189" s="83">
        <f t="shared" ca="1" si="352"/>
        <v>0</v>
      </c>
      <c r="DS189" s="83">
        <f t="shared" si="353"/>
        <v>0</v>
      </c>
      <c r="DT189" s="3">
        <f t="shared" si="383"/>
        <v>0</v>
      </c>
      <c r="DU189" s="3">
        <f t="shared" si="384"/>
        <v>0</v>
      </c>
      <c r="DV189" s="3">
        <f t="shared" si="354"/>
        <v>0</v>
      </c>
      <c r="DW189" s="3">
        <f t="shared" si="355"/>
        <v>0</v>
      </c>
      <c r="DX189" s="3">
        <f t="shared" ca="1" si="436"/>
        <v>5.16666643695886E-68</v>
      </c>
      <c r="DY189" s="3">
        <f t="shared" ca="1" si="437"/>
        <v>-2.1137320199764048E-4</v>
      </c>
      <c r="DZ189" s="83">
        <f t="shared" ca="1" si="438"/>
        <v>9.9619744874102959E-5</v>
      </c>
      <c r="EA189" s="83">
        <f t="shared" ca="1" si="439"/>
        <v>-1.4156726965195503E-4</v>
      </c>
      <c r="EB189" s="3">
        <f t="shared" ca="1" si="440"/>
        <v>7.5229316079696048E-5</v>
      </c>
      <c r="EC189" s="3">
        <f t="shared" ca="1" si="441"/>
        <v>-8.9749710147180641E-5</v>
      </c>
      <c r="ED189" s="63">
        <f t="shared" si="385"/>
        <v>0</v>
      </c>
      <c r="EE189" s="59">
        <f t="shared" si="362"/>
        <v>0.25</v>
      </c>
      <c r="EF189" s="59">
        <f t="shared" si="363"/>
        <v>4.0323000000000002</v>
      </c>
      <c r="EG189" s="84">
        <f t="shared" si="364"/>
        <v>0.25</v>
      </c>
      <c r="EH189" s="84">
        <f t="shared" si="365"/>
        <v>0.29099999999999998</v>
      </c>
      <c r="EI189" s="59">
        <f t="shared" si="366"/>
        <v>0.22900000000000001</v>
      </c>
      <c r="EJ189" s="59">
        <f t="shared" si="367"/>
        <v>0.2414</v>
      </c>
      <c r="EK189" s="63">
        <f t="shared" ca="1" si="386"/>
        <v>0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403.23%</v>
      </c>
      <c r="EN189" s="83" t="str">
        <f>RTD("tos.rtd",,EN$2,"."&amp;$C$134&amp;$AU$82&amp;"C"&amp;$A189)</f>
        <v>--</v>
      </c>
      <c r="EO189" s="83" t="str">
        <f>RTD("tos.rtd",,EO$2,"."&amp;$C$134&amp;$AU$82&amp;"P"&amp;$A189)</f>
        <v>29.10%</v>
      </c>
      <c r="EP189" s="3" t="str">
        <f>RTD("tos.rtd",,EP$2,"."&amp;$D$134&amp;$AW$82&amp;"C"&amp;$A189)</f>
        <v>22.90%</v>
      </c>
      <c r="EQ189" s="3" t="str">
        <f>RTD("tos.rtd",,EQ$2,"."&amp;$D$134&amp;$AW$82&amp;"P"&amp;$A189)</f>
        <v>24.14%</v>
      </c>
      <c r="ES189" s="63" t="str">
        <f t="shared" si="368"/>
        <v>20250,00.00</v>
      </c>
      <c r="ET189" s="63" t="str">
        <f t="shared" ca="1" si="369"/>
        <v>20250,-00.11</v>
      </c>
      <c r="EU189" s="68">
        <v>592.64</v>
      </c>
      <c r="EV189" s="68" t="s">
        <v>1528</v>
      </c>
      <c r="EW189" s="68">
        <v>519.11</v>
      </c>
      <c r="EX189" s="68" t="s">
        <v>1529</v>
      </c>
      <c r="EY189" s="68">
        <v>5936.25</v>
      </c>
      <c r="EZ189" s="68" t="s">
        <v>1530</v>
      </c>
      <c r="FA189" s="68">
        <v>21309.5</v>
      </c>
      <c r="FB189" s="68" t="s">
        <v>1531</v>
      </c>
      <c r="FC189" s="68" t="s">
        <v>1532</v>
      </c>
      <c r="FD189" s="68" t="s">
        <v>1533</v>
      </c>
      <c r="FE189" s="68" t="s">
        <v>1534</v>
      </c>
      <c r="FF189" s="68" t="s">
        <v>1535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-1893</v>
      </c>
      <c r="BI190" s="1">
        <f ca="1">IFERROR(IF(MIN(BH137:BH189)&lt;&gt;0,INDEX(A137:A189,MATCH(MIN(BH137:BH189),BH137:BH189,0)),""),"")</f>
        <v>21050</v>
      </c>
      <c r="BP190" s="64">
        <f ca="1">INDEX(BQ190:BU190,MATCH(MAX(BQ136:BU136),BQ136:BU136,0))</f>
        <v>21325</v>
      </c>
      <c r="BQ190" s="1" t="str">
        <f ca="1">IF(AND(BQ136&gt;0,ABS(MAX(BQ137:BQ189))&gt;ABS(MIN(BQ137:BQ189))),IF(MAX(BQ137:BQ189)&lt;&gt;0,INDEX($A137:$A189,MATCH(MAX(BQ137:BQ189),BQ137:BQ189,0)),""),"")</f>
        <v/>
      </c>
      <c r="BS190" s="1">
        <f ca="1">IF(AND(BS136&gt;0,ABS(MAX(BS137:BS189))&gt;ABS(MIN(BS137:BS189))),IF(MAX(BS137:BS189)&lt;&gt;0,INDEX($A137:$A189,MATCH(MAX(BS137:BS189),BS137:BS189,0)),""),"")</f>
        <v>21400</v>
      </c>
      <c r="BU190" s="1">
        <f ca="1">IF(AND(BU136&gt;0,ABS(MAX(BU137:BU189))&gt;ABS(MIN(BU137:BU189))),IF(MAX(BU137:BU189)&lt;&gt;0,INDEX($A137:$A189,MATCH(MAX(BU137:BU189),BU137:BU189,0)),""),"")</f>
        <v>21325</v>
      </c>
      <c r="BW190" s="64" t="str">
        <f ca="1">INDEX(BX190:CB190,MATCH(MAX(BX136:CB136),BX136:CB136,0))</f>
        <v/>
      </c>
      <c r="BX190" s="1" t="str">
        <f ca="1">IF(AND(BX136&gt;0,ABS(MAX(BX137:BX189))&gt;ABS(MIN(BX137:BX189))),IF(MAX(BX137:BX189)&lt;&gt;0,INDEX($A137:$A189,MATCH(MAX(BX137:BX189),BX137:BX189,0)),""),"")</f>
        <v/>
      </c>
      <c r="BY190" s="1">
        <f ca="1">INDEX($A$137:$A$189,MATCH("Cruce -",BY137:BY189,)+1)</f>
        <v>21300</v>
      </c>
      <c r="BZ190" s="1" t="str">
        <f ca="1">IF(AND(BZ136&gt;0,ABS(MAX(BZ137:BZ189))&gt;ABS(MIN(BZ137:BZ189))),IF(MAX(BZ137:BZ189)&lt;&gt;0,INDEX($A137:$A189,MATCH(MAX(BZ137:BZ189),BZ137:BZ189,0)),""),"")</f>
        <v/>
      </c>
      <c r="CB190" s="1" t="str">
        <f ca="1">IF(AND(CB136&gt;0,ABS(MAX(CB137:CB189))&gt;ABS(MIN(CB137:CB189))),IF(MAX(CB137:CB189)&lt;&gt;0,INDEX($A137:$A189,MATCH(MAX(CB137:CB189),CB137:CB189,0)),""),"")</f>
        <v/>
      </c>
      <c r="CJ190" s="64">
        <f>INDEX(CK190:CO190,MATCH(MAX(CK136:CO136),CK136:CO136,0))</f>
        <v>21325</v>
      </c>
      <c r="CK190" s="1" t="str">
        <f>IF(AND(CK136&gt;0,ABS(MAX(CK137:CK189))&gt;ABS(MIN(CK137:CK189))),IF(MAX(CK137:CK189)&lt;&gt;0,INDEX($A137:$A189,MATCH(MAX(CK137:CK189),CK137:CK189,0)),""),"")</f>
        <v/>
      </c>
      <c r="CM190" s="1">
        <f>IF(AND(CM136&gt;0,ABS(MAX(CM137:CM189))&gt;ABS(MIN(CM137:CM189))),IF(MAX(CM137:CM189)&lt;&gt;0,INDEX($A137:$A189,MATCH(MAX(CM137:CM189),CM137:CM189,0)),""),"")</f>
        <v>21400</v>
      </c>
      <c r="CO190" s="1">
        <f>IF(AND(CO136&gt;0,ABS(MAX(CO137:CO189))&gt;ABS(MIN(CO137:CO189))),IF(MAX(CO137:CO189)&lt;&gt;0,INDEX($A137:$A189,MATCH(MAX(CO137:CO189),CO137:CO189,0)),""),"")</f>
        <v>21325</v>
      </c>
      <c r="CP190" s="1">
        <f>IF(ABS(MAX(CP137:CP189))&gt;ABS(MIN(CP137:CP189)),IF(MAX(CP137:CP189)&lt;&gt;0,INDEX($A137:$A189,MATCH(MAX(CP137:CP189),CP137:CP189,0)),""),"")</f>
        <v>21325</v>
      </c>
      <c r="CW190" s="1">
        <f ca="1">IF(AND(CW136&gt;0,ABS(MAX(CW137:CW189))&gt;ABS(MIN(CW137:CW189))),IF(MAX(CW137:CW189)&lt;&gt;0,INDEX($A137:$A189,MATCH(MAX(CW137:CW189),CW137:CW189,0)),""),"")</f>
        <v>21325</v>
      </c>
      <c r="CY190" s="1" t="str">
        <f ca="1">IF(AND(CY136&gt;0,ABS(MAX(CY137:CY189))&gt;ABS(MIN(CY137:CY189))),IF(MAX(CY137:CY189)&lt;&gt;0,INDEX($A137:$A189,MATCH(MAX(CY137:CY189),CY137:CY189,0)),""),"")</f>
        <v/>
      </c>
      <c r="DH190" s="1" t="str">
        <f t="shared" ref="DH190:DM190" si="444">IF(AND(DH136&gt;0,ABS(MAX(DH137:DH189))&gt;ABS(MIN(DH137:DH189))),IF(MAX(DH137:DH189)&lt;&gt;0,INDEX($A137:$A189,MATCH(MAX(DH137:DH189),DH137:DH189,0)),""),"")</f>
        <v/>
      </c>
      <c r="DI190" s="1" t="str">
        <f t="shared" si="444"/>
        <v/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444"/>
        <v/>
      </c>
      <c r="DM190" s="1" t="str">
        <f t="shared" si="444"/>
        <v/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 t="str">
        <f>IF(AND(DQ136&gt;0,ABS(MAX(DQ137:DQ189))&gt;ABS(MIN(DQ137:DQ189))),IF(MAX(DQ137:DQ189)&lt;&gt;0,INDEX($A137:$A189,MATCH(MAX(DQ137:DQ189),DQ137:DQ189,0)),""),"")</f>
        <v/>
      </c>
      <c r="DR190" s="1" t="str">
        <f ca="1">IF(AND(DR136&gt;0,ABS(MAX(DR137:DR189))&gt;ABS(MIN(DR137:DR189))),IF(MAX(DR137:DR189)&lt;&gt;0,INDEX($A137:$A189,MATCH(MAX(DR137:DR189),DR137:DR189,0)),""),"")</f>
        <v/>
      </c>
      <c r="ED190" s="103">
        <f>IFERROR(IF(MAX(ED137:ED189)&lt;&gt;0,INDEX($A137:$A189,MATCH(MAX(ED137:ED189),ED137:ED189,0)),""),"")</f>
        <v>21050</v>
      </c>
      <c r="EU190" s="68">
        <v>592.64</v>
      </c>
      <c r="EV190" s="68" t="s">
        <v>1536</v>
      </c>
      <c r="EW190" s="68">
        <v>519.11</v>
      </c>
      <c r="EX190" s="68" t="s">
        <v>1537</v>
      </c>
      <c r="EY190" s="68">
        <v>5936.25</v>
      </c>
      <c r="EZ190" s="68" t="s">
        <v>1538</v>
      </c>
      <c r="FA190" s="68">
        <v>21309.5</v>
      </c>
      <c r="FB190" s="68" t="s">
        <v>1539</v>
      </c>
      <c r="FC190" s="68" t="s">
        <v>1540</v>
      </c>
      <c r="FD190" s="68" t="s">
        <v>1541</v>
      </c>
      <c r="FE190" s="68" t="s">
        <v>1542</v>
      </c>
      <c r="FF190" s="68" t="s">
        <v>1543</v>
      </c>
    </row>
    <row r="191" spans="1:162" x14ac:dyDescent="0.2">
      <c r="BP191" s="64">
        <f ca="1">INDEX(BQ191:BU191,MATCH(MIN(BQ136:BU136),BQ136:BU136,0))</f>
        <v>21350</v>
      </c>
      <c r="BQ191" s="1">
        <f ca="1">IF(AND(BQ136&lt;0,ABS(MIN(BQ137:BQ189))&gt;ABS(MAX(BQ137:BQ189))),IF(MIN(BQ137:BQ189)&lt;&gt;0,INDEX($A137:$A189,MATCH(MIN(BQ137:BQ189),BQ137:BQ189,0)),""),"")</f>
        <v>21350</v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>
        <f ca="1">INDEX(BX191:CB191,MATCH(MIN(BX136:CB136),BX136:CB136,0))</f>
        <v>21300</v>
      </c>
      <c r="BX191" s="1">
        <f ca="1">IF(AND(BX136&lt;0,ABS(MIN(BX137:BX189))&gt;ABS(MAX(BX137:BX189))),IF(MIN(BX137:BX189)&lt;&gt;0,INDEX($A137:$A189,MATCH(MIN(BX137:BX189),BX137:BX189,0)),""),"")</f>
        <v>21300</v>
      </c>
      <c r="BY191" s="1">
        <f ca="1">INDEX($A$137:$A$189,MATCH("Cruce -",BY137:BY189,)-1)</f>
        <v>21350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 t="str">
        <f ca="1">IF(AND(CB136&lt;0,ABS(MIN(CB137:CB189))&gt;ABS(MAX(CB137:CB189))),IF(MIN(CB137:CB189)&lt;&gt;0,INDEX($A137:$A189,MATCH(MIN(CB137:CB189),CB137:CB189,0)),""),"")</f>
        <v/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str">
        <f ca="1">IF(AND(CW136&lt;0,ABS(MIN(CW137:CW189))&gt;ABS(MAX(CW137:CW189))),IF(MIN(CW137:CW189)&lt;&gt;0,INDEX($A137:$A189,MATCH(MIN(CW137:CW189),CW137:CW189,0)),""),"")</f>
        <v/>
      </c>
      <c r="CY191" s="1">
        <f ca="1">IF(AND(CY136&lt;0,ABS(MIN(CY137:CY189))&gt;ABS(MAX(CY137:CY189))),IF(MIN(CY137:CY189)&lt;&gt;0,INDEX($A137:$A189,MATCH(MIN(CY137:CY189),CY137:CY189,0)),""),"")</f>
        <v>21300</v>
      </c>
      <c r="DH191" s="1" t="str">
        <f t="shared" ref="DH191:DM191" si="445">IF(AND(DH136&lt;0,ABS(MIN(DH137:DH189))&gt;ABS(MAX(DH137:DH189))),IF(MIN(DH137:DH189)&lt;&gt;0,INDEX($A137:$A189,MATCH(MIN(DH137:DH189),DH137:DH189,0)),""),"")</f>
        <v/>
      </c>
      <c r="DI191" s="1" t="str">
        <f t="shared" si="445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445"/>
        <v/>
      </c>
      <c r="DM191" s="1" t="str">
        <f t="shared" si="445"/>
        <v/>
      </c>
      <c r="DN191" s="64" t="str">
        <f ca="1">BI134&amp;","&amp;BI190&amp;","&amp;ED190&amp;","&amp;ED191</f>
        <v>21400,21050,21050,21000</v>
      </c>
      <c r="DP191" s="1" t="str">
        <f>IF(AND(DP136&lt;0,ABS(MIN(DP137:DP189))&gt;ABS(MAX(DP137:DP189))),IF(MIN(DP137:DP189)&lt;&gt;0,INDEX($A137:$A189,MATCH(MIN(DP137:DP189),DP137:DP189,0)),""),"")</f>
        <v/>
      </c>
      <c r="DQ191" s="1" t="str">
        <f>IF(AND(DQ136&lt;0,ABS(MIN(DQ137:DQ189))&gt;ABS(MAX(DQ137:DQ189))),IF(MIN(DQ137:DQ189)&lt;&gt;0,INDEX($A137:$A189,MATCH(MIN(DQ137:DQ189),DQ137:DQ189,0)),""),"")</f>
        <v/>
      </c>
      <c r="DR191" s="1" t="str">
        <f ca="1">IF(AND(DR136&lt;0,ABS(MIN(DR137:DR189))&gt;ABS(MAX(DR137:DR189))),IF(MIN(DR137:DR189)&lt;&gt;0,INDEX($A137:$A189,MATCH(MIN(DR137:DR189),DR137:DR189,0)),""),"")</f>
        <v/>
      </c>
      <c r="ED191" s="103">
        <f>IFERROR(IF(MIN(ED137:ED189)&lt;&gt;0,INDEX($A137:$A189,MATCH(MIN(ED137:ED189),ED137:ED189,0)),""),"")</f>
        <v>21000</v>
      </c>
      <c r="EU191" s="68">
        <v>592.64</v>
      </c>
      <c r="EV191" s="68" t="s">
        <v>1544</v>
      </c>
      <c r="EW191" s="68">
        <v>519.11</v>
      </c>
      <c r="EX191" s="68" t="s">
        <v>1545</v>
      </c>
      <c r="EY191" s="68">
        <v>5936.25</v>
      </c>
      <c r="EZ191" s="68" t="s">
        <v>1546</v>
      </c>
      <c r="FA191" s="68">
        <v>21309.5</v>
      </c>
      <c r="FB191" s="68" t="s">
        <v>1547</v>
      </c>
      <c r="FC191" s="68" t="s">
        <v>1548</v>
      </c>
      <c r="FD191" s="68" t="s">
        <v>1549</v>
      </c>
      <c r="FE191" s="68" t="s">
        <v>1550</v>
      </c>
      <c r="FF191" s="68" t="s">
        <v>1551</v>
      </c>
    </row>
    <row r="192" spans="1:162" x14ac:dyDescent="0.2">
      <c r="ET192" s="64">
        <v>250410</v>
      </c>
      <c r="EU192" s="68">
        <v>592.64</v>
      </c>
      <c r="EV192" s="68" t="s">
        <v>1552</v>
      </c>
      <c r="EW192" s="68">
        <v>519.11</v>
      </c>
      <c r="EX192" s="68" t="s">
        <v>1553</v>
      </c>
      <c r="EY192" s="68">
        <v>5936.25</v>
      </c>
      <c r="EZ192" s="68" t="s">
        <v>1554</v>
      </c>
      <c r="FA192" s="68">
        <v>21309.5</v>
      </c>
      <c r="FB192" s="68" t="s">
        <v>1555</v>
      </c>
      <c r="FC192" s="68" t="s">
        <v>1556</v>
      </c>
      <c r="FD192" s="68" t="s">
        <v>1557</v>
      </c>
      <c r="FE192" s="68" t="s">
        <v>1558</v>
      </c>
      <c r="FF192" s="68" t="s">
        <v>1559</v>
      </c>
    </row>
    <row r="193" spans="151:162" x14ac:dyDescent="0.2">
      <c r="EU193" s="67">
        <v>592.64</v>
      </c>
      <c r="EV193" s="67" t="s">
        <v>1560</v>
      </c>
      <c r="EW193" s="67">
        <v>519.11</v>
      </c>
      <c r="EX193" s="67" t="s">
        <v>1561</v>
      </c>
      <c r="EY193" s="67">
        <v>5936.25</v>
      </c>
      <c r="EZ193" s="67" t="s">
        <v>1562</v>
      </c>
      <c r="FA193" s="67">
        <v>21309.5</v>
      </c>
      <c r="FB193" s="67" t="s">
        <v>1563</v>
      </c>
      <c r="FC193" s="67" t="s">
        <v>1564</v>
      </c>
      <c r="FD193" s="67" t="s">
        <v>1565</v>
      </c>
      <c r="FE193" s="68" t="s">
        <v>1566</v>
      </c>
      <c r="FF193" s="68" t="s">
        <v>1567</v>
      </c>
    </row>
    <row r="194" spans="151:162" x14ac:dyDescent="0.2">
      <c r="EU194" s="67">
        <v>592.64</v>
      </c>
      <c r="EV194" s="67" t="s">
        <v>1568</v>
      </c>
      <c r="EW194" s="67">
        <v>519.11</v>
      </c>
      <c r="EX194" s="67" t="s">
        <v>1569</v>
      </c>
      <c r="EY194" s="67">
        <v>5936.25</v>
      </c>
      <c r="EZ194" s="67" t="s">
        <v>1570</v>
      </c>
      <c r="FA194" s="67">
        <v>21309.5</v>
      </c>
      <c r="FB194" s="67" t="s">
        <v>1571</v>
      </c>
      <c r="FC194" s="67" t="s">
        <v>1572</v>
      </c>
      <c r="FD194" s="67" t="s">
        <v>1573</v>
      </c>
      <c r="FE194" s="68" t="s">
        <v>1574</v>
      </c>
      <c r="FF194" s="68" t="s">
        <v>1575</v>
      </c>
    </row>
    <row r="195" spans="151:162" x14ac:dyDescent="0.2">
      <c r="EU195" s="67">
        <v>592.64</v>
      </c>
      <c r="EV195" s="67" t="s">
        <v>1576</v>
      </c>
      <c r="EW195" s="67">
        <v>519.11</v>
      </c>
      <c r="EX195" s="67" t="s">
        <v>1577</v>
      </c>
      <c r="EY195" s="67">
        <v>5936.25</v>
      </c>
      <c r="EZ195" s="67" t="s">
        <v>1578</v>
      </c>
      <c r="FA195" s="67">
        <v>21309.5</v>
      </c>
      <c r="FB195" s="67" t="s">
        <v>1579</v>
      </c>
      <c r="FC195" s="67" t="s">
        <v>1580</v>
      </c>
      <c r="FD195" s="67" t="s">
        <v>1581</v>
      </c>
      <c r="FE195" s="68" t="s">
        <v>1582</v>
      </c>
      <c r="FF195" s="68" t="s">
        <v>1583</v>
      </c>
    </row>
    <row r="196" spans="151:162" x14ac:dyDescent="0.2">
      <c r="EU196" s="67">
        <v>592.64</v>
      </c>
      <c r="EV196" s="67" t="s">
        <v>1584</v>
      </c>
      <c r="EW196" s="67">
        <v>519.11</v>
      </c>
      <c r="EX196" s="67" t="s">
        <v>1585</v>
      </c>
      <c r="EY196" s="67">
        <v>5936.25</v>
      </c>
      <c r="EZ196" s="67" t="s">
        <v>1586</v>
      </c>
      <c r="FA196" s="67">
        <v>21309.5</v>
      </c>
      <c r="FB196" s="67" t="s">
        <v>1587</v>
      </c>
      <c r="FC196" s="67" t="s">
        <v>1588</v>
      </c>
      <c r="FD196" s="67" t="s">
        <v>1589</v>
      </c>
      <c r="FE196" s="68" t="s">
        <v>1590</v>
      </c>
      <c r="FF196" s="68" t="s">
        <v>1591</v>
      </c>
    </row>
    <row r="197" spans="151:162" x14ac:dyDescent="0.2">
      <c r="EU197" s="67">
        <v>592.64</v>
      </c>
      <c r="EV197" s="67" t="s">
        <v>1592</v>
      </c>
      <c r="EW197" s="67">
        <v>519.11</v>
      </c>
      <c r="EX197" s="67" t="s">
        <v>1593</v>
      </c>
      <c r="EY197" s="67">
        <v>5936.25</v>
      </c>
      <c r="EZ197" s="67" t="s">
        <v>1594</v>
      </c>
      <c r="FA197" s="67">
        <v>21309.5</v>
      </c>
      <c r="FB197" s="67" t="s">
        <v>1595</v>
      </c>
      <c r="FC197" s="67" t="s">
        <v>1596</v>
      </c>
      <c r="FD197" s="67" t="s">
        <v>1597</v>
      </c>
      <c r="FE197" s="68" t="s">
        <v>1598</v>
      </c>
      <c r="FF197" s="68" t="s">
        <v>1599</v>
      </c>
    </row>
    <row r="198" spans="151:162" x14ac:dyDescent="0.2">
      <c r="EU198" s="67">
        <v>592.64</v>
      </c>
      <c r="EV198" s="67" t="s">
        <v>1600</v>
      </c>
      <c r="EW198" s="67">
        <v>519.11</v>
      </c>
      <c r="EX198" s="67" t="s">
        <v>1601</v>
      </c>
      <c r="EY198" s="67">
        <v>5936.25</v>
      </c>
      <c r="EZ198" s="67" t="s">
        <v>1602</v>
      </c>
      <c r="FA198" s="67">
        <v>21309.5</v>
      </c>
      <c r="FB198" s="67" t="s">
        <v>1603</v>
      </c>
      <c r="FC198" s="67" t="s">
        <v>1604</v>
      </c>
      <c r="FD198" s="67" t="s">
        <v>1605</v>
      </c>
      <c r="FE198" s="68" t="s">
        <v>1606</v>
      </c>
      <c r="FF198" s="68" t="s">
        <v>1607</v>
      </c>
    </row>
    <row r="199" spans="151:162" x14ac:dyDescent="0.2">
      <c r="EU199" s="67">
        <v>592.64</v>
      </c>
      <c r="EV199" s="67" t="s">
        <v>1608</v>
      </c>
      <c r="EW199" s="67">
        <v>519.11</v>
      </c>
      <c r="EX199" s="67" t="s">
        <v>1609</v>
      </c>
      <c r="EY199" s="67">
        <v>5936.25</v>
      </c>
      <c r="EZ199" s="67" t="s">
        <v>1610</v>
      </c>
      <c r="FA199" s="67">
        <v>21309.5</v>
      </c>
      <c r="FB199" s="67" t="s">
        <v>1611</v>
      </c>
      <c r="FC199" s="67" t="s">
        <v>1612</v>
      </c>
      <c r="FD199" s="67" t="s">
        <v>1613</v>
      </c>
      <c r="FE199" s="68" t="s">
        <v>1614</v>
      </c>
      <c r="FF199" s="68" t="s">
        <v>1615</v>
      </c>
    </row>
    <row r="200" spans="151:162" x14ac:dyDescent="0.2">
      <c r="EU200" s="67">
        <v>592.64</v>
      </c>
      <c r="EV200" s="67" t="s">
        <v>1616</v>
      </c>
      <c r="EW200" s="67">
        <v>519.11</v>
      </c>
      <c r="EX200" s="67" t="s">
        <v>1617</v>
      </c>
      <c r="EY200" s="67">
        <v>5936.25</v>
      </c>
      <c r="EZ200" s="67" t="s">
        <v>1618</v>
      </c>
      <c r="FA200" s="67">
        <v>21309.5</v>
      </c>
      <c r="FB200" s="67" t="s">
        <v>1619</v>
      </c>
      <c r="FC200" s="67" t="s">
        <v>1620</v>
      </c>
      <c r="FD200" s="67" t="s">
        <v>1621</v>
      </c>
      <c r="FE200" s="68" t="s">
        <v>1622</v>
      </c>
      <c r="FF200" s="68" t="s">
        <v>1623</v>
      </c>
    </row>
    <row r="201" spans="151:162" x14ac:dyDescent="0.2">
      <c r="EU201" s="67">
        <v>592.64</v>
      </c>
      <c r="EV201" s="67" t="s">
        <v>1624</v>
      </c>
      <c r="EW201" s="67">
        <v>519.11</v>
      </c>
      <c r="EX201" s="67" t="s">
        <v>1625</v>
      </c>
      <c r="EY201" s="67">
        <v>5936.25</v>
      </c>
      <c r="EZ201" s="67" t="s">
        <v>1626</v>
      </c>
      <c r="FA201" s="67">
        <v>21309.5</v>
      </c>
      <c r="FB201" s="67" t="s">
        <v>1627</v>
      </c>
      <c r="FC201" s="67" t="s">
        <v>1628</v>
      </c>
      <c r="FD201" s="67" t="s">
        <v>1629</v>
      </c>
      <c r="FE201" s="68" t="s">
        <v>1630</v>
      </c>
      <c r="FF201" s="68" t="s">
        <v>1631</v>
      </c>
    </row>
    <row r="202" spans="151:162" x14ac:dyDescent="0.2">
      <c r="EU202" s="67">
        <v>592.64</v>
      </c>
      <c r="EV202" s="67" t="s">
        <v>1632</v>
      </c>
      <c r="EW202" s="67">
        <v>519.11</v>
      </c>
      <c r="EX202" s="67" t="s">
        <v>1633</v>
      </c>
      <c r="EY202" s="67">
        <v>5936.25</v>
      </c>
      <c r="EZ202" s="67" t="s">
        <v>1634</v>
      </c>
      <c r="FA202" s="67">
        <v>21309.5</v>
      </c>
      <c r="FB202" s="67" t="s">
        <v>1635</v>
      </c>
      <c r="FC202" s="67" t="s">
        <v>1636</v>
      </c>
      <c r="FD202" s="67" t="s">
        <v>1637</v>
      </c>
      <c r="FE202" s="68" t="s">
        <v>1638</v>
      </c>
      <c r="FF202" s="68" t="s">
        <v>1639</v>
      </c>
    </row>
    <row r="203" spans="151:162" x14ac:dyDescent="0.2">
      <c r="EU203" s="67">
        <v>592.64</v>
      </c>
      <c r="EV203" s="67" t="s">
        <v>1640</v>
      </c>
      <c r="EW203" s="67">
        <v>519.11</v>
      </c>
      <c r="EX203" s="67" t="s">
        <v>1641</v>
      </c>
      <c r="EY203" s="67">
        <v>5936.25</v>
      </c>
      <c r="EZ203" s="67" t="s">
        <v>1642</v>
      </c>
      <c r="FA203" s="67">
        <v>21309.5</v>
      </c>
      <c r="FB203" s="67" t="s">
        <v>1643</v>
      </c>
      <c r="FC203" s="67" t="s">
        <v>1644</v>
      </c>
      <c r="FD203" s="67" t="s">
        <v>1645</v>
      </c>
      <c r="FE203" s="68" t="s">
        <v>1646</v>
      </c>
      <c r="FF203" s="68" t="s">
        <v>1647</v>
      </c>
    </row>
    <row r="204" spans="151:162" x14ac:dyDescent="0.2">
      <c r="EU204" s="67">
        <v>592.64</v>
      </c>
      <c r="EV204" s="67" t="s">
        <v>1648</v>
      </c>
      <c r="EW204" s="67">
        <v>519.11</v>
      </c>
      <c r="EX204" s="67" t="s">
        <v>1649</v>
      </c>
      <c r="EY204" s="67">
        <v>5936.25</v>
      </c>
      <c r="EZ204" s="67" t="s">
        <v>1650</v>
      </c>
      <c r="FA204" s="67">
        <v>21309.5</v>
      </c>
      <c r="FB204" s="67" t="s">
        <v>1651</v>
      </c>
      <c r="FC204" s="67" t="s">
        <v>1652</v>
      </c>
      <c r="FD204" s="67" t="s">
        <v>1653</v>
      </c>
      <c r="FE204" s="68" t="s">
        <v>1654</v>
      </c>
      <c r="FF204" s="68" t="s">
        <v>1655</v>
      </c>
    </row>
    <row r="205" spans="151:162" x14ac:dyDescent="0.2">
      <c r="EU205" s="67">
        <v>592.64</v>
      </c>
      <c r="EV205" s="67" t="s">
        <v>1656</v>
      </c>
      <c r="EW205" s="67">
        <v>519.11</v>
      </c>
      <c r="EX205" s="67" t="s">
        <v>1657</v>
      </c>
      <c r="EY205" s="67">
        <v>5936.25</v>
      </c>
      <c r="EZ205" s="67" t="s">
        <v>1658</v>
      </c>
      <c r="FA205" s="67">
        <v>21309.5</v>
      </c>
      <c r="FB205" s="67" t="s">
        <v>1659</v>
      </c>
      <c r="FC205" s="67" t="s">
        <v>1660</v>
      </c>
      <c r="FD205" s="67" t="s">
        <v>1661</v>
      </c>
      <c r="FE205" s="68" t="s">
        <v>1662</v>
      </c>
      <c r="FF205" s="68" t="s">
        <v>1663</v>
      </c>
    </row>
    <row r="206" spans="151:162" x14ac:dyDescent="0.2">
      <c r="EU206" s="67">
        <v>592.64</v>
      </c>
      <c r="EV206" s="67" t="s">
        <v>1664</v>
      </c>
      <c r="EW206" s="67">
        <v>519.11</v>
      </c>
      <c r="EX206" s="67" t="s">
        <v>1665</v>
      </c>
      <c r="EY206" s="67">
        <v>5936.25</v>
      </c>
      <c r="EZ206" s="67" t="s">
        <v>1666</v>
      </c>
      <c r="FA206" s="67">
        <v>21309.5</v>
      </c>
      <c r="FB206" s="67" t="s">
        <v>1667</v>
      </c>
      <c r="FC206" s="67" t="s">
        <v>1668</v>
      </c>
      <c r="FD206" s="67" t="s">
        <v>1669</v>
      </c>
      <c r="FE206" s="68" t="s">
        <v>1670</v>
      </c>
      <c r="FF206" s="68" t="s">
        <v>1671</v>
      </c>
    </row>
    <row r="207" spans="151:162" x14ac:dyDescent="0.2">
      <c r="EU207" s="67">
        <v>592.64</v>
      </c>
      <c r="EV207" s="67" t="s">
        <v>1672</v>
      </c>
      <c r="EW207" s="67">
        <v>519.11</v>
      </c>
      <c r="EX207" s="67" t="s">
        <v>1673</v>
      </c>
      <c r="EY207" s="67">
        <v>5936.25</v>
      </c>
      <c r="EZ207" s="67" t="s">
        <v>1674</v>
      </c>
      <c r="FA207" s="67">
        <v>21309.5</v>
      </c>
      <c r="FB207" s="67" t="s">
        <v>1675</v>
      </c>
      <c r="FC207" s="67" t="s">
        <v>1676</v>
      </c>
      <c r="FD207" s="67" t="s">
        <v>1677</v>
      </c>
      <c r="FE207" s="68" t="s">
        <v>1678</v>
      </c>
      <c r="FF207" s="68" t="s">
        <v>1679</v>
      </c>
    </row>
    <row r="208" spans="151:162" x14ac:dyDescent="0.2">
      <c r="EU208" s="67">
        <v>592.64</v>
      </c>
      <c r="EV208" s="67" t="s">
        <v>1680</v>
      </c>
      <c r="EW208" s="67">
        <v>519.11</v>
      </c>
      <c r="EX208" s="67" t="s">
        <v>1681</v>
      </c>
      <c r="EY208" s="67">
        <v>5936.25</v>
      </c>
      <c r="EZ208" s="67" t="s">
        <v>1682</v>
      </c>
      <c r="FA208" s="67">
        <v>21309.5</v>
      </c>
      <c r="FB208" s="67" t="s">
        <v>1683</v>
      </c>
      <c r="FC208" s="67" t="s">
        <v>1684</v>
      </c>
      <c r="FD208" s="67" t="s">
        <v>1685</v>
      </c>
      <c r="FE208" s="68" t="s">
        <v>1686</v>
      </c>
      <c r="FF208" s="68" t="s">
        <v>1687</v>
      </c>
    </row>
    <row r="209" spans="151:162" x14ac:dyDescent="0.2">
      <c r="EU209" s="67">
        <v>592.64</v>
      </c>
      <c r="EV209" s="67" t="s">
        <v>1688</v>
      </c>
      <c r="EW209" s="67">
        <v>519.11</v>
      </c>
      <c r="EX209" s="67" t="s">
        <v>1689</v>
      </c>
      <c r="EY209" s="67">
        <v>5936.25</v>
      </c>
      <c r="EZ209" s="67" t="s">
        <v>1690</v>
      </c>
      <c r="FA209" s="67">
        <v>21309.5</v>
      </c>
      <c r="FB209" s="67" t="s">
        <v>1691</v>
      </c>
      <c r="FC209" s="67" t="s">
        <v>1692</v>
      </c>
      <c r="FD209" s="67" t="s">
        <v>1693</v>
      </c>
      <c r="FE209" s="68" t="s">
        <v>1694</v>
      </c>
      <c r="FF209" s="68" t="s">
        <v>1695</v>
      </c>
    </row>
    <row r="210" spans="151:162" x14ac:dyDescent="0.2">
      <c r="EU210" s="67">
        <v>592.64</v>
      </c>
      <c r="EV210" s="67" t="s">
        <v>1696</v>
      </c>
      <c r="EW210" s="67">
        <v>519.11</v>
      </c>
      <c r="EX210" s="67" t="s">
        <v>1697</v>
      </c>
      <c r="EY210" s="67">
        <v>5936.25</v>
      </c>
      <c r="EZ210" s="67" t="s">
        <v>1698</v>
      </c>
      <c r="FA210" s="67">
        <v>21309.5</v>
      </c>
      <c r="FB210" s="67" t="s">
        <v>1699</v>
      </c>
      <c r="FC210" s="67" t="s">
        <v>1700</v>
      </c>
      <c r="FD210" s="67" t="s">
        <v>1701</v>
      </c>
      <c r="FE210" s="68" t="s">
        <v>1702</v>
      </c>
      <c r="FF210" s="68" t="s">
        <v>1703</v>
      </c>
    </row>
    <row r="211" spans="151:162" x14ac:dyDescent="0.2">
      <c r="EU211" s="67">
        <v>592.64</v>
      </c>
      <c r="EV211" s="67" t="s">
        <v>1704</v>
      </c>
      <c r="EW211" s="67">
        <v>519.11</v>
      </c>
      <c r="EX211" s="67" t="s">
        <v>1705</v>
      </c>
      <c r="EY211" s="67">
        <v>5936.25</v>
      </c>
      <c r="EZ211" s="67" t="s">
        <v>1706</v>
      </c>
      <c r="FA211" s="67">
        <v>21309.5</v>
      </c>
      <c r="FB211" s="67" t="s">
        <v>1707</v>
      </c>
      <c r="FC211" s="67" t="s">
        <v>1708</v>
      </c>
      <c r="FD211" s="67" t="s">
        <v>1709</v>
      </c>
      <c r="FE211" s="68" t="s">
        <v>1710</v>
      </c>
      <c r="FF211" s="68" t="s">
        <v>1711</v>
      </c>
    </row>
    <row r="212" spans="151:162" x14ac:dyDescent="0.2">
      <c r="EU212" s="67">
        <v>592.64</v>
      </c>
      <c r="EV212" s="67" t="s">
        <v>1712</v>
      </c>
      <c r="EW212" s="67">
        <v>519.11</v>
      </c>
      <c r="EX212" s="67" t="s">
        <v>1713</v>
      </c>
      <c r="EY212" s="67">
        <v>5936.25</v>
      </c>
      <c r="EZ212" s="67" t="s">
        <v>1714</v>
      </c>
      <c r="FA212" s="67">
        <v>21309.5</v>
      </c>
      <c r="FB212" s="67" t="s">
        <v>1715</v>
      </c>
      <c r="FC212" s="67" t="s">
        <v>1716</v>
      </c>
      <c r="FD212" s="67" t="s">
        <v>1717</v>
      </c>
      <c r="FE212" s="68" t="s">
        <v>1718</v>
      </c>
      <c r="FF212" s="68" t="s">
        <v>1719</v>
      </c>
    </row>
    <row r="213" spans="151:162" x14ac:dyDescent="0.2">
      <c r="EU213" s="67">
        <v>592.64</v>
      </c>
      <c r="EV213" s="67" t="s">
        <v>1720</v>
      </c>
      <c r="EW213" s="67">
        <v>519.11</v>
      </c>
      <c r="EX213" s="67" t="s">
        <v>1721</v>
      </c>
      <c r="EY213" s="67">
        <v>5936.25</v>
      </c>
      <c r="EZ213" s="67" t="s">
        <v>1722</v>
      </c>
      <c r="FA213" s="67">
        <v>21309.5</v>
      </c>
      <c r="FB213" s="67" t="s">
        <v>1723</v>
      </c>
      <c r="FC213" s="67" t="s">
        <v>1724</v>
      </c>
      <c r="FD213" s="67" t="s">
        <v>1725</v>
      </c>
      <c r="FE213" s="68" t="s">
        <v>1726</v>
      </c>
      <c r="FF213" s="68" t="s">
        <v>1727</v>
      </c>
    </row>
    <row r="214" spans="151:162" x14ac:dyDescent="0.2">
      <c r="EU214" s="67">
        <v>592.64</v>
      </c>
      <c r="EV214" s="67" t="s">
        <v>1728</v>
      </c>
      <c r="EW214" s="67">
        <v>519.11</v>
      </c>
      <c r="EX214" s="67" t="s">
        <v>1729</v>
      </c>
      <c r="EY214" s="67">
        <v>5936.25</v>
      </c>
      <c r="EZ214" s="67" t="s">
        <v>1730</v>
      </c>
      <c r="FA214" s="67">
        <v>21309.5</v>
      </c>
      <c r="FB214" s="67" t="s">
        <v>1731</v>
      </c>
      <c r="FC214" s="67" t="s">
        <v>1732</v>
      </c>
      <c r="FD214" s="67" t="s">
        <v>1733</v>
      </c>
      <c r="FE214" s="68" t="s">
        <v>1734</v>
      </c>
      <c r="FF214" s="68" t="s">
        <v>1735</v>
      </c>
    </row>
    <row r="215" spans="151:162" x14ac:dyDescent="0.2">
      <c r="EU215" s="67">
        <v>592.64</v>
      </c>
      <c r="EV215" s="67" t="s">
        <v>1736</v>
      </c>
      <c r="EW215" s="67">
        <v>519.11</v>
      </c>
      <c r="EX215" s="67" t="s">
        <v>1737</v>
      </c>
      <c r="EY215" s="67">
        <v>5936.25</v>
      </c>
      <c r="EZ215" s="67" t="s">
        <v>1738</v>
      </c>
      <c r="FA215" s="67">
        <v>21309.5</v>
      </c>
      <c r="FB215" s="67" t="s">
        <v>1739</v>
      </c>
      <c r="FC215" s="67" t="s">
        <v>1740</v>
      </c>
      <c r="FD215" s="67" t="s">
        <v>1741</v>
      </c>
      <c r="FE215" s="68" t="s">
        <v>1742</v>
      </c>
      <c r="FF215" s="68" t="s">
        <v>1743</v>
      </c>
    </row>
    <row r="216" spans="151:162" x14ac:dyDescent="0.2">
      <c r="EU216" s="67">
        <v>592.64</v>
      </c>
      <c r="EV216" s="67" t="s">
        <v>1744</v>
      </c>
      <c r="EW216" s="67">
        <v>519.11</v>
      </c>
      <c r="EX216" s="67" t="s">
        <v>1745</v>
      </c>
      <c r="EY216" s="67">
        <v>5936.25</v>
      </c>
      <c r="EZ216" s="67" t="s">
        <v>1746</v>
      </c>
      <c r="FA216" s="67">
        <v>21309.5</v>
      </c>
      <c r="FB216" s="67" t="s">
        <v>1747</v>
      </c>
      <c r="FC216" s="67" t="s">
        <v>1748</v>
      </c>
      <c r="FD216" s="67" t="s">
        <v>1749</v>
      </c>
      <c r="FE216" s="68" t="s">
        <v>1750</v>
      </c>
      <c r="FF216" s="68" t="s">
        <v>1751</v>
      </c>
    </row>
    <row r="217" spans="151:162" x14ac:dyDescent="0.2">
      <c r="EU217" s="67">
        <v>592.64</v>
      </c>
      <c r="EV217" s="67" t="s">
        <v>1752</v>
      </c>
      <c r="EW217" s="67">
        <v>519.11</v>
      </c>
      <c r="EX217" s="67" t="s">
        <v>1753</v>
      </c>
      <c r="EY217" s="67">
        <v>5936.25</v>
      </c>
      <c r="EZ217" s="67" t="s">
        <v>1754</v>
      </c>
      <c r="FA217" s="67">
        <v>21309.5</v>
      </c>
      <c r="FB217" s="67" t="s">
        <v>1755</v>
      </c>
      <c r="FC217" s="67" t="s">
        <v>1756</v>
      </c>
      <c r="FD217" s="67" t="s">
        <v>1757</v>
      </c>
      <c r="FE217" s="68" t="s">
        <v>1758</v>
      </c>
      <c r="FF217" s="68" t="s">
        <v>1759</v>
      </c>
    </row>
    <row r="218" spans="151:162" x14ac:dyDescent="0.2">
      <c r="EU218" s="67">
        <v>592.64</v>
      </c>
      <c r="EV218" s="67" t="s">
        <v>1760</v>
      </c>
      <c r="EW218" s="67">
        <v>519.11</v>
      </c>
      <c r="EX218" s="67" t="s">
        <v>1761</v>
      </c>
      <c r="EY218" s="67">
        <v>5936.25</v>
      </c>
      <c r="EZ218" s="67" t="s">
        <v>1762</v>
      </c>
      <c r="FA218" s="67">
        <v>21309.5</v>
      </c>
      <c r="FB218" s="67" t="s">
        <v>1763</v>
      </c>
      <c r="FC218" s="67" t="s">
        <v>1764</v>
      </c>
      <c r="FD218" s="67" t="s">
        <v>1765</v>
      </c>
      <c r="FE218" s="68" t="s">
        <v>1766</v>
      </c>
      <c r="FF218" s="68" t="s">
        <v>1767</v>
      </c>
    </row>
    <row r="219" spans="151:162" x14ac:dyDescent="0.2">
      <c r="EU219" s="67">
        <v>592.64</v>
      </c>
      <c r="EV219" s="67" t="s">
        <v>1768</v>
      </c>
      <c r="EW219" s="67">
        <v>519.11</v>
      </c>
      <c r="EX219" s="67" t="s">
        <v>1769</v>
      </c>
      <c r="EY219" s="67">
        <v>5936.25</v>
      </c>
      <c r="EZ219" s="67" t="s">
        <v>1770</v>
      </c>
      <c r="FA219" s="67">
        <v>21309.5</v>
      </c>
      <c r="FB219" s="67" t="s">
        <v>1771</v>
      </c>
      <c r="FC219" s="67" t="s">
        <v>1772</v>
      </c>
      <c r="FD219" s="67" t="s">
        <v>1773</v>
      </c>
      <c r="FE219" s="68" t="s">
        <v>1774</v>
      </c>
      <c r="FF219" s="68" t="s">
        <v>1775</v>
      </c>
    </row>
    <row r="220" spans="151:162" x14ac:dyDescent="0.2">
      <c r="EU220" s="67">
        <v>592.64</v>
      </c>
      <c r="EV220" s="67" t="s">
        <v>1776</v>
      </c>
      <c r="EW220" s="67">
        <v>519.11</v>
      </c>
      <c r="EX220" s="67" t="s">
        <v>1777</v>
      </c>
      <c r="EY220" s="67">
        <v>5936.25</v>
      </c>
      <c r="EZ220" s="67" t="s">
        <v>1778</v>
      </c>
      <c r="FA220" s="67">
        <v>21309.5</v>
      </c>
      <c r="FB220" s="67" t="s">
        <v>1779</v>
      </c>
      <c r="FC220" s="67" t="s">
        <v>1780</v>
      </c>
      <c r="FD220" s="67" t="s">
        <v>1781</v>
      </c>
      <c r="FE220" s="68" t="s">
        <v>1782</v>
      </c>
      <c r="FF220" s="68" t="s">
        <v>1783</v>
      </c>
    </row>
    <row r="221" spans="151:162" x14ac:dyDescent="0.2">
      <c r="EU221" s="67">
        <v>592.64</v>
      </c>
      <c r="EV221" s="67" t="s">
        <v>1784</v>
      </c>
      <c r="EW221" s="67">
        <v>519.11</v>
      </c>
      <c r="EX221" s="67" t="s">
        <v>1785</v>
      </c>
      <c r="EY221" s="67">
        <v>5936.25</v>
      </c>
      <c r="EZ221" s="67" t="s">
        <v>1786</v>
      </c>
      <c r="FA221" s="67">
        <v>21309.5</v>
      </c>
      <c r="FB221" s="67" t="s">
        <v>1787</v>
      </c>
      <c r="FC221" s="67" t="s">
        <v>1788</v>
      </c>
      <c r="FD221" s="67" t="s">
        <v>1789</v>
      </c>
      <c r="FE221" s="68" t="s">
        <v>1790</v>
      </c>
      <c r="FF221" s="68" t="s">
        <v>1791</v>
      </c>
    </row>
    <row r="222" spans="151:162" x14ac:dyDescent="0.2">
      <c r="EU222" s="67">
        <v>592.64</v>
      </c>
      <c r="EV222" s="67" t="s">
        <v>1792</v>
      </c>
      <c r="EW222" s="67">
        <v>519.11</v>
      </c>
      <c r="EX222" s="67" t="s">
        <v>1793</v>
      </c>
      <c r="EY222" s="67">
        <v>5936.25</v>
      </c>
      <c r="EZ222" s="67" t="s">
        <v>1794</v>
      </c>
      <c r="FA222" s="67">
        <v>21309.5</v>
      </c>
      <c r="FB222" s="67" t="s">
        <v>1795</v>
      </c>
      <c r="FC222" s="67" t="s">
        <v>1796</v>
      </c>
      <c r="FD222" s="67" t="s">
        <v>1797</v>
      </c>
      <c r="FE222" s="68" t="s">
        <v>1798</v>
      </c>
      <c r="FF222" s="68" t="s">
        <v>1799</v>
      </c>
    </row>
    <row r="223" spans="151:162" x14ac:dyDescent="0.2">
      <c r="EU223" s="67">
        <v>592.64</v>
      </c>
      <c r="EV223" s="67" t="s">
        <v>1800</v>
      </c>
      <c r="EW223" s="67">
        <v>519.11</v>
      </c>
      <c r="EX223" s="67" t="s">
        <v>1801</v>
      </c>
      <c r="EY223" s="67">
        <v>5936.25</v>
      </c>
      <c r="EZ223" s="67" t="s">
        <v>1802</v>
      </c>
      <c r="FA223" s="67">
        <v>21309.5</v>
      </c>
      <c r="FB223" s="67" t="s">
        <v>1803</v>
      </c>
      <c r="FC223" s="67" t="s">
        <v>1804</v>
      </c>
      <c r="FD223" s="67" t="s">
        <v>1805</v>
      </c>
      <c r="FE223" s="68" t="s">
        <v>1806</v>
      </c>
      <c r="FF223" s="68" t="s">
        <v>1807</v>
      </c>
    </row>
    <row r="224" spans="151:162" x14ac:dyDescent="0.2">
      <c r="EU224" s="67">
        <v>592.64</v>
      </c>
      <c r="EV224" s="67" t="s">
        <v>1808</v>
      </c>
      <c r="EW224" s="67">
        <v>519.11</v>
      </c>
      <c r="EX224" s="67" t="s">
        <v>1809</v>
      </c>
      <c r="EY224" s="67">
        <v>5936.25</v>
      </c>
      <c r="EZ224" s="67" t="s">
        <v>1810</v>
      </c>
      <c r="FA224" s="67">
        <v>21309.5</v>
      </c>
      <c r="FB224" s="67" t="s">
        <v>1811</v>
      </c>
      <c r="FC224" s="67" t="s">
        <v>1812</v>
      </c>
      <c r="FD224" s="67" t="s">
        <v>1813</v>
      </c>
      <c r="FE224" s="68" t="s">
        <v>1814</v>
      </c>
      <c r="FF224" s="68" t="s">
        <v>1815</v>
      </c>
    </row>
    <row r="225" spans="151:162" x14ac:dyDescent="0.2">
      <c r="EU225" s="67">
        <v>592.64</v>
      </c>
      <c r="EV225" s="67" t="s">
        <v>1816</v>
      </c>
      <c r="EW225" s="67">
        <v>519.11</v>
      </c>
      <c r="EX225" s="67" t="s">
        <v>1817</v>
      </c>
      <c r="EY225" s="67">
        <v>5936.25</v>
      </c>
      <c r="EZ225" s="67" t="s">
        <v>1818</v>
      </c>
      <c r="FA225" s="67">
        <v>21309.5</v>
      </c>
      <c r="FB225" s="67" t="s">
        <v>1819</v>
      </c>
      <c r="FC225" s="67" t="s">
        <v>1820</v>
      </c>
      <c r="FD225" s="67" t="s">
        <v>1821</v>
      </c>
      <c r="FE225" s="68" t="s">
        <v>1822</v>
      </c>
      <c r="FF225" s="68" t="s">
        <v>1823</v>
      </c>
    </row>
    <row r="226" spans="151:162" x14ac:dyDescent="0.2">
      <c r="EU226" s="67">
        <v>592.64</v>
      </c>
      <c r="EV226" s="67" t="s">
        <v>1824</v>
      </c>
      <c r="EW226" s="67">
        <v>519.11</v>
      </c>
      <c r="EX226" s="67" t="s">
        <v>1825</v>
      </c>
      <c r="EY226" s="67">
        <v>5936.25</v>
      </c>
      <c r="EZ226" s="67" t="s">
        <v>1826</v>
      </c>
      <c r="FA226" s="67">
        <v>21309.5</v>
      </c>
      <c r="FB226" s="67" t="s">
        <v>1827</v>
      </c>
      <c r="FC226" s="67" t="s">
        <v>1828</v>
      </c>
      <c r="FD226" s="67" t="s">
        <v>1829</v>
      </c>
      <c r="FE226" s="68" t="s">
        <v>1830</v>
      </c>
      <c r="FF226" s="68" t="s">
        <v>1831</v>
      </c>
    </row>
    <row r="227" spans="151:162" x14ac:dyDescent="0.2">
      <c r="EU227" s="67">
        <v>592.64</v>
      </c>
      <c r="EV227" s="67" t="s">
        <v>1832</v>
      </c>
      <c r="EW227" s="67">
        <v>519.11</v>
      </c>
      <c r="EX227" s="67" t="s">
        <v>1833</v>
      </c>
      <c r="EY227" s="67">
        <v>5936.25</v>
      </c>
      <c r="EZ227" s="67" t="s">
        <v>1834</v>
      </c>
      <c r="FA227" s="67">
        <v>21309.5</v>
      </c>
      <c r="FB227" s="67" t="s">
        <v>1835</v>
      </c>
      <c r="FC227" s="67" t="s">
        <v>1836</v>
      </c>
      <c r="FD227" s="67" t="s">
        <v>1837</v>
      </c>
      <c r="FE227" s="68" t="s">
        <v>1838</v>
      </c>
      <c r="FF227" s="68" t="s">
        <v>1839</v>
      </c>
    </row>
    <row r="228" spans="151:162" x14ac:dyDescent="0.2">
      <c r="EU228" s="67">
        <v>592.64</v>
      </c>
      <c r="EV228" s="67" t="s">
        <v>1840</v>
      </c>
      <c r="EW228" s="67">
        <v>519.11</v>
      </c>
      <c r="EX228" s="67" t="s">
        <v>1841</v>
      </c>
      <c r="EY228" s="67">
        <v>5936.25</v>
      </c>
      <c r="EZ228" s="67" t="s">
        <v>1842</v>
      </c>
      <c r="FA228" s="67">
        <v>21309.5</v>
      </c>
      <c r="FB228" s="67" t="s">
        <v>1843</v>
      </c>
      <c r="FC228" s="67" t="s">
        <v>1844</v>
      </c>
      <c r="FD228" s="67" t="s">
        <v>1845</v>
      </c>
      <c r="FE228" s="68" t="s">
        <v>1846</v>
      </c>
      <c r="FF228" s="68" t="s">
        <v>1847</v>
      </c>
    </row>
    <row r="229" spans="151:162" x14ac:dyDescent="0.2">
      <c r="EU229" s="67">
        <v>592.64</v>
      </c>
      <c r="EV229" s="67" t="s">
        <v>1848</v>
      </c>
      <c r="EW229" s="67">
        <v>519.11</v>
      </c>
      <c r="EX229" s="67" t="s">
        <v>1849</v>
      </c>
      <c r="EY229" s="67">
        <v>5936.25</v>
      </c>
      <c r="EZ229" s="67" t="s">
        <v>1850</v>
      </c>
      <c r="FA229" s="67">
        <v>21309.5</v>
      </c>
      <c r="FB229" s="67" t="s">
        <v>1851</v>
      </c>
      <c r="FC229" s="67" t="s">
        <v>1852</v>
      </c>
      <c r="FD229" s="67" t="s">
        <v>1853</v>
      </c>
      <c r="FE229" s="68" t="s">
        <v>1854</v>
      </c>
      <c r="FF229" s="68" t="s">
        <v>1855</v>
      </c>
    </row>
    <row r="230" spans="151:162" x14ac:dyDescent="0.2">
      <c r="EU230" s="67">
        <v>592.64</v>
      </c>
      <c r="EV230" s="67" t="s">
        <v>1856</v>
      </c>
      <c r="EW230" s="67">
        <v>519.11</v>
      </c>
      <c r="EX230" s="67" t="s">
        <v>1857</v>
      </c>
      <c r="EY230" s="67">
        <v>5936.25</v>
      </c>
      <c r="EZ230" s="67" t="s">
        <v>1858</v>
      </c>
      <c r="FA230" s="67">
        <v>21309.5</v>
      </c>
      <c r="FB230" s="67" t="s">
        <v>1859</v>
      </c>
      <c r="FC230" s="67" t="s">
        <v>1860</v>
      </c>
      <c r="FD230" s="67" t="s">
        <v>1861</v>
      </c>
      <c r="FE230" s="68" t="s">
        <v>1862</v>
      </c>
      <c r="FF230" s="68" t="s">
        <v>1863</v>
      </c>
    </row>
    <row r="231" spans="151:162" x14ac:dyDescent="0.2">
      <c r="EU231" s="67">
        <v>592.64</v>
      </c>
      <c r="EV231" s="67" t="s">
        <v>1864</v>
      </c>
      <c r="EW231" s="67">
        <v>519.11</v>
      </c>
      <c r="EX231" s="67" t="s">
        <v>1865</v>
      </c>
      <c r="EY231" s="67">
        <v>5936.25</v>
      </c>
      <c r="EZ231" s="67" t="s">
        <v>1866</v>
      </c>
      <c r="FA231" s="67">
        <v>21309.5</v>
      </c>
      <c r="FB231" s="67" t="s">
        <v>1867</v>
      </c>
      <c r="FC231" s="67" t="s">
        <v>1868</v>
      </c>
      <c r="FD231" s="67" t="s">
        <v>1869</v>
      </c>
      <c r="FE231" s="68" t="s">
        <v>1870</v>
      </c>
      <c r="FF231" s="68" t="s">
        <v>1871</v>
      </c>
    </row>
    <row r="232" spans="151:162" x14ac:dyDescent="0.2">
      <c r="EU232" s="67">
        <v>592.64</v>
      </c>
      <c r="EV232" s="67" t="s">
        <v>1872</v>
      </c>
      <c r="EW232" s="67">
        <v>519.11</v>
      </c>
      <c r="EX232" s="67" t="s">
        <v>1873</v>
      </c>
      <c r="EY232" s="67">
        <v>5936.25</v>
      </c>
      <c r="EZ232" s="67" t="s">
        <v>1874</v>
      </c>
      <c r="FA232" s="67">
        <v>21309.5</v>
      </c>
      <c r="FB232" s="67" t="s">
        <v>1875</v>
      </c>
      <c r="FC232" s="67" t="s">
        <v>1876</v>
      </c>
      <c r="FD232" s="67" t="s">
        <v>1877</v>
      </c>
      <c r="FE232" s="68" t="s">
        <v>1878</v>
      </c>
      <c r="FF232" s="68" t="s">
        <v>1879</v>
      </c>
    </row>
    <row r="233" spans="151:162" x14ac:dyDescent="0.2">
      <c r="EU233" s="67">
        <v>592.64</v>
      </c>
      <c r="EV233" s="67" t="s">
        <v>1880</v>
      </c>
      <c r="EW233" s="67">
        <v>519.11</v>
      </c>
      <c r="EX233" s="67" t="s">
        <v>1881</v>
      </c>
      <c r="EY233" s="67">
        <v>5936.25</v>
      </c>
      <c r="EZ233" s="67" t="s">
        <v>1882</v>
      </c>
      <c r="FA233" s="67">
        <v>21309.5</v>
      </c>
      <c r="FB233" s="67" t="s">
        <v>1883</v>
      </c>
      <c r="FC233" s="67" t="s">
        <v>1884</v>
      </c>
      <c r="FD233" s="67" t="s">
        <v>1885</v>
      </c>
      <c r="FE233" s="68" t="s">
        <v>1886</v>
      </c>
      <c r="FF233" s="68" t="s">
        <v>1887</v>
      </c>
    </row>
    <row r="234" spans="151:162" x14ac:dyDescent="0.2">
      <c r="EU234" s="67">
        <v>592.64</v>
      </c>
      <c r="EV234" s="67" t="s">
        <v>1888</v>
      </c>
      <c r="EW234" s="67">
        <v>519.11</v>
      </c>
      <c r="EX234" s="67" t="s">
        <v>1889</v>
      </c>
      <c r="EY234" s="67">
        <v>5936.25</v>
      </c>
      <c r="EZ234" s="67" t="s">
        <v>1890</v>
      </c>
      <c r="FA234" s="67">
        <v>21309.5</v>
      </c>
      <c r="FB234" s="67" t="s">
        <v>1891</v>
      </c>
      <c r="FC234" s="67" t="s">
        <v>1892</v>
      </c>
      <c r="FD234" s="67" t="s">
        <v>1893</v>
      </c>
      <c r="FE234" s="68" t="s">
        <v>1894</v>
      </c>
      <c r="FF234" s="68" t="s">
        <v>1895</v>
      </c>
    </row>
    <row r="235" spans="151:162" x14ac:dyDescent="0.2">
      <c r="EU235" s="67">
        <v>592.64</v>
      </c>
      <c r="EV235" s="67" t="s">
        <v>1896</v>
      </c>
      <c r="EW235" s="67">
        <v>519.11</v>
      </c>
      <c r="EX235" s="67" t="s">
        <v>1897</v>
      </c>
      <c r="EY235" s="67">
        <v>5936.25</v>
      </c>
      <c r="EZ235" s="67" t="s">
        <v>1898</v>
      </c>
      <c r="FA235" s="67">
        <v>21309.5</v>
      </c>
      <c r="FB235" s="67" t="s">
        <v>1899</v>
      </c>
      <c r="FC235" s="67" t="s">
        <v>1900</v>
      </c>
      <c r="FD235" s="67" t="s">
        <v>1901</v>
      </c>
      <c r="FE235" s="68" t="s">
        <v>1902</v>
      </c>
      <c r="FF235" s="68" t="s">
        <v>1903</v>
      </c>
    </row>
    <row r="236" spans="151:162" x14ac:dyDescent="0.2">
      <c r="EU236" s="67">
        <v>592.64</v>
      </c>
      <c r="EV236" s="67" t="s">
        <v>1904</v>
      </c>
      <c r="EW236" s="67">
        <v>519.11</v>
      </c>
      <c r="EX236" s="67" t="s">
        <v>1905</v>
      </c>
      <c r="EY236" s="67">
        <v>5936.25</v>
      </c>
      <c r="EZ236" s="67" t="s">
        <v>1906</v>
      </c>
      <c r="FA236" s="67">
        <v>21309.5</v>
      </c>
      <c r="FB236" s="67" t="s">
        <v>1907</v>
      </c>
      <c r="FC236" s="67" t="s">
        <v>1908</v>
      </c>
      <c r="FD236" s="67" t="s">
        <v>1909</v>
      </c>
      <c r="FE236" s="68" t="s">
        <v>1910</v>
      </c>
      <c r="FF236" s="68" t="s">
        <v>1911</v>
      </c>
    </row>
    <row r="237" spans="151:162" x14ac:dyDescent="0.2">
      <c r="EU237" s="67">
        <v>592.64</v>
      </c>
      <c r="EV237" s="67" t="s">
        <v>1912</v>
      </c>
      <c r="EW237" s="67">
        <v>519.11</v>
      </c>
      <c r="EX237" s="67" t="s">
        <v>1913</v>
      </c>
      <c r="EY237" s="67">
        <v>5936.25</v>
      </c>
      <c r="EZ237" s="67" t="s">
        <v>1914</v>
      </c>
      <c r="FA237" s="67">
        <v>21309.5</v>
      </c>
      <c r="FB237" s="67" t="s">
        <v>1915</v>
      </c>
      <c r="FC237" s="67" t="s">
        <v>1916</v>
      </c>
      <c r="FD237" s="67" t="s">
        <v>1917</v>
      </c>
      <c r="FE237" s="68" t="s">
        <v>1918</v>
      </c>
      <c r="FF237" s="68" t="s">
        <v>1919</v>
      </c>
    </row>
    <row r="238" spans="151:162" x14ac:dyDescent="0.2">
      <c r="EU238" s="67">
        <v>592.64</v>
      </c>
      <c r="EV238" s="67" t="s">
        <v>1920</v>
      </c>
      <c r="EW238" s="67">
        <v>519.11</v>
      </c>
      <c r="EX238" s="67" t="s">
        <v>1921</v>
      </c>
      <c r="EY238" s="67">
        <v>5936.25</v>
      </c>
      <c r="EZ238" s="67" t="s">
        <v>1922</v>
      </c>
      <c r="FA238" s="67">
        <v>21309.5</v>
      </c>
      <c r="FB238" s="67" t="s">
        <v>1923</v>
      </c>
      <c r="FC238" s="67" t="s">
        <v>1924</v>
      </c>
      <c r="FD238" s="67" t="s">
        <v>1925</v>
      </c>
      <c r="FE238" s="68" t="s">
        <v>1926</v>
      </c>
      <c r="FF238" s="68" t="s">
        <v>1927</v>
      </c>
    </row>
    <row r="239" spans="151:162" x14ac:dyDescent="0.2">
      <c r="EU239" s="67">
        <v>592.64</v>
      </c>
      <c r="EV239" s="67" t="s">
        <v>1928</v>
      </c>
      <c r="EW239" s="67">
        <v>519.11</v>
      </c>
      <c r="EX239" s="67" t="s">
        <v>1929</v>
      </c>
      <c r="EY239" s="67">
        <v>5936.25</v>
      </c>
      <c r="EZ239" s="67" t="s">
        <v>1930</v>
      </c>
      <c r="FA239" s="67">
        <v>21309.5</v>
      </c>
      <c r="FB239" s="67" t="s">
        <v>1931</v>
      </c>
      <c r="FC239" s="67" t="s">
        <v>1932</v>
      </c>
      <c r="FD239" s="67" t="s">
        <v>1933</v>
      </c>
      <c r="FE239" s="68" t="s">
        <v>1934</v>
      </c>
      <c r="FF239" s="68" t="s">
        <v>1935</v>
      </c>
    </row>
    <row r="240" spans="151:162" x14ac:dyDescent="0.2">
      <c r="EU240" s="67">
        <v>592.64</v>
      </c>
      <c r="EV240" s="67" t="s">
        <v>1936</v>
      </c>
      <c r="EW240" s="67">
        <v>519.11</v>
      </c>
      <c r="EX240" s="67" t="s">
        <v>1937</v>
      </c>
      <c r="EY240" s="67">
        <v>5936.25</v>
      </c>
      <c r="EZ240" s="67" t="s">
        <v>1938</v>
      </c>
      <c r="FA240" s="67">
        <v>21309.5</v>
      </c>
      <c r="FB240" s="67" t="s">
        <v>1939</v>
      </c>
      <c r="FC240" s="67" t="s">
        <v>1940</v>
      </c>
      <c r="FD240" s="67" t="s">
        <v>1941</v>
      </c>
      <c r="FE240" s="68" t="s">
        <v>1942</v>
      </c>
      <c r="FF240" s="68" t="s">
        <v>1943</v>
      </c>
    </row>
    <row r="241" spans="151:162" x14ac:dyDescent="0.2">
      <c r="EU241" s="67">
        <v>592.64</v>
      </c>
      <c r="EV241" s="67" t="s">
        <v>1944</v>
      </c>
      <c r="EW241" s="67">
        <v>519.11</v>
      </c>
      <c r="EX241" s="67" t="s">
        <v>1945</v>
      </c>
      <c r="EY241" s="67">
        <v>5936.25</v>
      </c>
      <c r="EZ241" s="67" t="s">
        <v>1946</v>
      </c>
      <c r="FA241" s="67">
        <v>21309.5</v>
      </c>
      <c r="FB241" s="67" t="s">
        <v>1947</v>
      </c>
      <c r="FC241" s="67" t="s">
        <v>1948</v>
      </c>
      <c r="FD241" s="67" t="s">
        <v>1949</v>
      </c>
      <c r="FE241" s="68" t="s">
        <v>1950</v>
      </c>
      <c r="FF241" s="68" t="s">
        <v>1951</v>
      </c>
    </row>
    <row r="242" spans="151:162" x14ac:dyDescent="0.2">
      <c r="EU242" s="67">
        <v>592.64</v>
      </c>
      <c r="EV242" s="67" t="s">
        <v>1952</v>
      </c>
      <c r="EW242" s="67">
        <v>519.11</v>
      </c>
      <c r="EX242" s="67" t="s">
        <v>1953</v>
      </c>
      <c r="EY242" s="67">
        <v>5936.25</v>
      </c>
      <c r="EZ242" s="67" t="s">
        <v>1954</v>
      </c>
      <c r="FA242" s="67">
        <v>21309.5</v>
      </c>
      <c r="FB242" s="67" t="s">
        <v>1955</v>
      </c>
      <c r="FC242" s="67" t="s">
        <v>1956</v>
      </c>
      <c r="FD242" s="67" t="s">
        <v>1957</v>
      </c>
      <c r="FE242" s="68" t="s">
        <v>1958</v>
      </c>
      <c r="FF242" s="68" t="s">
        <v>1959</v>
      </c>
    </row>
    <row r="243" spans="151:162" x14ac:dyDescent="0.2">
      <c r="EU243" s="67">
        <v>592.64</v>
      </c>
      <c r="EV243" s="67" t="s">
        <v>1960</v>
      </c>
      <c r="EW243" s="67">
        <v>519.11</v>
      </c>
      <c r="EX243" s="67" t="s">
        <v>1961</v>
      </c>
      <c r="EY243" s="67">
        <v>5936.25</v>
      </c>
      <c r="EZ243" s="67" t="s">
        <v>1962</v>
      </c>
      <c r="FA243" s="67">
        <v>21309.5</v>
      </c>
      <c r="FB243" s="67" t="s">
        <v>1963</v>
      </c>
      <c r="FC243" s="67" t="s">
        <v>1964</v>
      </c>
      <c r="FD243" s="67" t="s">
        <v>1965</v>
      </c>
      <c r="FE243" s="68" t="s">
        <v>1966</v>
      </c>
      <c r="FF243" s="68" t="s">
        <v>1967</v>
      </c>
    </row>
    <row r="244" spans="151:162" x14ac:dyDescent="0.2">
      <c r="EU244" s="67">
        <v>592.64</v>
      </c>
      <c r="EV244" s="67" t="s">
        <v>1968</v>
      </c>
      <c r="EW244" s="67">
        <v>519.11</v>
      </c>
      <c r="EX244" s="67" t="s">
        <v>1969</v>
      </c>
      <c r="EY244" s="67">
        <v>5936.25</v>
      </c>
      <c r="EZ244" s="67" t="s">
        <v>1970</v>
      </c>
      <c r="FA244" s="67">
        <v>21309.5</v>
      </c>
      <c r="FB244" s="67" t="s">
        <v>1971</v>
      </c>
      <c r="FC244" s="67" t="s">
        <v>1972</v>
      </c>
      <c r="FD244" s="67" t="s">
        <v>1973</v>
      </c>
      <c r="FE244" s="68" t="s">
        <v>1974</v>
      </c>
      <c r="FF244" s="68" t="s">
        <v>1975</v>
      </c>
    </row>
    <row r="245" spans="151:162" x14ac:dyDescent="0.2">
      <c r="EU245" s="67">
        <v>592.64</v>
      </c>
      <c r="EV245" s="67" t="s">
        <v>1976</v>
      </c>
      <c r="EW245" s="67">
        <v>519.11</v>
      </c>
      <c r="EX245" s="67" t="s">
        <v>1977</v>
      </c>
      <c r="EY245" s="67">
        <v>5936.25</v>
      </c>
      <c r="EZ245" s="67" t="s">
        <v>1978</v>
      </c>
      <c r="FA245" s="67">
        <v>21309.5</v>
      </c>
      <c r="FB245" s="67" t="s">
        <v>1979</v>
      </c>
      <c r="FC245" s="67" t="s">
        <v>1980</v>
      </c>
      <c r="FD245" s="67" t="s">
        <v>1981</v>
      </c>
      <c r="FE245" s="68" t="s">
        <v>1982</v>
      </c>
      <c r="FF245" s="68" t="s">
        <v>1983</v>
      </c>
    </row>
    <row r="246" spans="151:162" x14ac:dyDescent="0.2">
      <c r="EU246" s="67">
        <v>592.64</v>
      </c>
      <c r="EV246" s="67" t="s">
        <v>1984</v>
      </c>
      <c r="EW246" s="67">
        <v>519.11</v>
      </c>
      <c r="EX246" s="67" t="s">
        <v>1985</v>
      </c>
      <c r="EY246" s="67">
        <v>5936.25</v>
      </c>
      <c r="EZ246" s="67" t="s">
        <v>1986</v>
      </c>
      <c r="FA246" s="67">
        <v>21309.5</v>
      </c>
      <c r="FB246" s="67" t="s">
        <v>1987</v>
      </c>
      <c r="FC246" s="67" t="s">
        <v>1988</v>
      </c>
      <c r="FD246" s="67" t="s">
        <v>1989</v>
      </c>
      <c r="FE246" s="68" t="s">
        <v>1990</v>
      </c>
      <c r="FF246" s="68" t="s">
        <v>1991</v>
      </c>
    </row>
    <row r="247" spans="151:162" x14ac:dyDescent="0.2">
      <c r="EU247" s="67">
        <v>592.64</v>
      </c>
      <c r="EV247" s="67" t="s">
        <v>1992</v>
      </c>
      <c r="EW247" s="67">
        <v>519.11</v>
      </c>
      <c r="EX247" s="67" t="s">
        <v>1993</v>
      </c>
      <c r="EY247" s="67">
        <v>5936.25</v>
      </c>
      <c r="EZ247" s="67" t="s">
        <v>1994</v>
      </c>
      <c r="FA247" s="67">
        <v>21309.5</v>
      </c>
      <c r="FB247" s="67" t="s">
        <v>1995</v>
      </c>
      <c r="FC247" s="67" t="s">
        <v>1996</v>
      </c>
      <c r="FD247" s="67" t="s">
        <v>1997</v>
      </c>
      <c r="FE247" s="68" t="s">
        <v>1998</v>
      </c>
      <c r="FF247" s="68" t="s">
        <v>1999</v>
      </c>
    </row>
    <row r="248" spans="151:162" x14ac:dyDescent="0.2">
      <c r="EU248" s="67">
        <v>592.64</v>
      </c>
      <c r="EV248" s="67" t="s">
        <v>2000</v>
      </c>
      <c r="EW248" s="67">
        <v>519.11</v>
      </c>
      <c r="EX248" s="67" t="s">
        <v>2001</v>
      </c>
      <c r="EY248" s="67">
        <v>5936.25</v>
      </c>
      <c r="EZ248" s="67" t="s">
        <v>2002</v>
      </c>
      <c r="FA248" s="67">
        <v>21309.5</v>
      </c>
      <c r="FB248" s="67" t="s">
        <v>2003</v>
      </c>
      <c r="FC248" s="67" t="s">
        <v>2004</v>
      </c>
      <c r="FD248" s="67" t="s">
        <v>2005</v>
      </c>
      <c r="FE248" s="68" t="s">
        <v>2006</v>
      </c>
      <c r="FF248" s="68" t="s">
        <v>2007</v>
      </c>
    </row>
    <row r="249" spans="151:162" x14ac:dyDescent="0.2">
      <c r="EU249" s="67">
        <v>592.64</v>
      </c>
      <c r="EV249" s="67" t="s">
        <v>2008</v>
      </c>
      <c r="EW249" s="67">
        <v>519.11</v>
      </c>
      <c r="EX249" s="67" t="s">
        <v>2009</v>
      </c>
      <c r="EY249" s="67">
        <v>5936.25</v>
      </c>
      <c r="EZ249" s="67" t="s">
        <v>2010</v>
      </c>
      <c r="FA249" s="67">
        <v>21309.5</v>
      </c>
      <c r="FB249" s="67" t="s">
        <v>2011</v>
      </c>
      <c r="FC249" s="67" t="s">
        <v>2012</v>
      </c>
      <c r="FD249" s="67" t="s">
        <v>2013</v>
      </c>
      <c r="FE249" s="68" t="s">
        <v>2014</v>
      </c>
      <c r="FF249" s="68" t="s">
        <v>2015</v>
      </c>
    </row>
    <row r="250" spans="151:162" x14ac:dyDescent="0.2">
      <c r="EU250" s="67">
        <v>592.64</v>
      </c>
      <c r="EV250" s="67" t="s">
        <v>2016</v>
      </c>
      <c r="EW250" s="67">
        <v>519.11</v>
      </c>
      <c r="EX250" s="67" t="s">
        <v>2017</v>
      </c>
      <c r="EY250" s="67">
        <v>5936.25</v>
      </c>
      <c r="EZ250" s="67" t="s">
        <v>2018</v>
      </c>
      <c r="FA250" s="67">
        <v>21309.5</v>
      </c>
      <c r="FB250" s="67" t="s">
        <v>2019</v>
      </c>
      <c r="FC250" s="67" t="s">
        <v>2020</v>
      </c>
      <c r="FD250" s="67" t="s">
        <v>2021</v>
      </c>
      <c r="FE250" s="68" t="s">
        <v>2022</v>
      </c>
      <c r="FF250" s="68" t="s">
        <v>2023</v>
      </c>
    </row>
    <row r="251" spans="151:162" x14ac:dyDescent="0.2">
      <c r="EU251" s="67">
        <v>592.64</v>
      </c>
      <c r="EV251" s="67" t="s">
        <v>2024</v>
      </c>
      <c r="EW251" s="67">
        <v>519.11</v>
      </c>
      <c r="EX251" s="67" t="s">
        <v>2025</v>
      </c>
      <c r="EY251" s="67">
        <v>5936.25</v>
      </c>
      <c r="EZ251" s="67" t="s">
        <v>2026</v>
      </c>
      <c r="FA251" s="67">
        <v>21309.5</v>
      </c>
      <c r="FB251" s="67" t="s">
        <v>2027</v>
      </c>
      <c r="FC251" s="67" t="s">
        <v>2028</v>
      </c>
      <c r="FD251" s="67" t="s">
        <v>2029</v>
      </c>
      <c r="FE251" s="68" t="s">
        <v>2030</v>
      </c>
      <c r="FF251" s="68" t="s">
        <v>2031</v>
      </c>
    </row>
    <row r="252" spans="151:162" x14ac:dyDescent="0.2">
      <c r="EU252" s="67">
        <v>592.64</v>
      </c>
      <c r="EV252" s="67" t="s">
        <v>2032</v>
      </c>
      <c r="EW252" s="67">
        <v>519.11</v>
      </c>
      <c r="EX252" s="67" t="s">
        <v>2033</v>
      </c>
      <c r="EY252" s="67">
        <v>5936.25</v>
      </c>
      <c r="EZ252" s="67" t="s">
        <v>2034</v>
      </c>
      <c r="FA252" s="67">
        <v>21309.5</v>
      </c>
      <c r="FB252" s="67" t="s">
        <v>2035</v>
      </c>
      <c r="FC252" s="67" t="s">
        <v>2036</v>
      </c>
      <c r="FD252" s="67" t="s">
        <v>2037</v>
      </c>
      <c r="FE252" s="68" t="s">
        <v>2038</v>
      </c>
      <c r="FF252" s="68" t="s">
        <v>2039</v>
      </c>
    </row>
    <row r="253" spans="151:162" x14ac:dyDescent="0.2">
      <c r="EU253" s="67">
        <v>592.64</v>
      </c>
      <c r="EV253" s="67" t="s">
        <v>2040</v>
      </c>
      <c r="EW253" s="67">
        <v>519.11</v>
      </c>
      <c r="EX253" s="67" t="s">
        <v>2041</v>
      </c>
      <c r="EY253" s="67">
        <v>5936.25</v>
      </c>
      <c r="EZ253" s="67" t="s">
        <v>2042</v>
      </c>
      <c r="FA253" s="67">
        <v>21309.5</v>
      </c>
      <c r="FB253" s="67" t="s">
        <v>2043</v>
      </c>
      <c r="FC253" s="67" t="s">
        <v>2044</v>
      </c>
      <c r="FD253" s="67" t="s">
        <v>2045</v>
      </c>
      <c r="FE253" s="68" t="s">
        <v>2046</v>
      </c>
      <c r="FF253" s="68" t="s">
        <v>2047</v>
      </c>
    </row>
    <row r="254" spans="151:162" x14ac:dyDescent="0.2">
      <c r="EU254" s="67">
        <v>592.64</v>
      </c>
      <c r="EV254" s="67" t="s">
        <v>2048</v>
      </c>
      <c r="EW254" s="67">
        <v>519.11</v>
      </c>
      <c r="EX254" s="67" t="s">
        <v>2049</v>
      </c>
      <c r="EY254" s="67">
        <v>5936.25</v>
      </c>
      <c r="EZ254" s="67" t="s">
        <v>2050</v>
      </c>
      <c r="FA254" s="67">
        <v>21309.5</v>
      </c>
      <c r="FB254" s="67" t="s">
        <v>2051</v>
      </c>
      <c r="FC254" s="67" t="s">
        <v>2052</v>
      </c>
      <c r="FD254" s="67" t="s">
        <v>2053</v>
      </c>
      <c r="FE254" s="68" t="s">
        <v>2054</v>
      </c>
      <c r="FF254" s="68" t="s">
        <v>2055</v>
      </c>
    </row>
    <row r="255" spans="151:162" x14ac:dyDescent="0.2">
      <c r="EU255" s="67">
        <v>592.64</v>
      </c>
      <c r="EV255" s="67" t="s">
        <v>2056</v>
      </c>
      <c r="EW255" s="67">
        <v>519.11</v>
      </c>
      <c r="EX255" s="67" t="s">
        <v>2057</v>
      </c>
      <c r="EY255" s="67">
        <v>5936.25</v>
      </c>
      <c r="EZ255" s="67" t="s">
        <v>2058</v>
      </c>
      <c r="FA255" s="67">
        <v>21309.5</v>
      </c>
      <c r="FB255" s="67" t="s">
        <v>2059</v>
      </c>
      <c r="FC255" s="67" t="s">
        <v>2060</v>
      </c>
      <c r="FD255" s="67" t="s">
        <v>2061</v>
      </c>
      <c r="FE255" s="68" t="s">
        <v>2062</v>
      </c>
      <c r="FF255" s="68" t="s">
        <v>2063</v>
      </c>
    </row>
    <row r="256" spans="151:162" x14ac:dyDescent="0.2">
      <c r="EU256" s="67">
        <v>592.64</v>
      </c>
      <c r="EV256" s="67" t="s">
        <v>2064</v>
      </c>
      <c r="EW256" s="67">
        <v>519.11</v>
      </c>
      <c r="EX256" s="67" t="s">
        <v>2065</v>
      </c>
      <c r="EY256" s="67">
        <v>5936.25</v>
      </c>
      <c r="EZ256" s="67" t="s">
        <v>2066</v>
      </c>
      <c r="FA256" s="67">
        <v>21309.5</v>
      </c>
      <c r="FB256" s="67" t="s">
        <v>2067</v>
      </c>
      <c r="FC256" s="67" t="s">
        <v>2068</v>
      </c>
      <c r="FD256" s="67" t="s">
        <v>2069</v>
      </c>
      <c r="FE256" s="68" t="s">
        <v>2070</v>
      </c>
      <c r="FF256" s="68" t="s">
        <v>2071</v>
      </c>
    </row>
    <row r="257" spans="151:162" x14ac:dyDescent="0.2">
      <c r="EU257" s="67">
        <v>592.64</v>
      </c>
      <c r="EV257" s="67" t="s">
        <v>2072</v>
      </c>
      <c r="EW257" s="67">
        <v>519.11</v>
      </c>
      <c r="EX257" s="67" t="s">
        <v>2073</v>
      </c>
      <c r="EY257" s="67">
        <v>5936.25</v>
      </c>
      <c r="EZ257" s="67" t="s">
        <v>2074</v>
      </c>
      <c r="FA257" s="67">
        <v>21309.5</v>
      </c>
      <c r="FB257" s="67" t="s">
        <v>2075</v>
      </c>
      <c r="FC257" s="67" t="s">
        <v>2076</v>
      </c>
      <c r="FD257" s="67" t="s">
        <v>2077</v>
      </c>
      <c r="FE257" s="68" t="s">
        <v>2078</v>
      </c>
      <c r="FF257" s="68" t="s">
        <v>2079</v>
      </c>
    </row>
    <row r="258" spans="151:162" x14ac:dyDescent="0.2">
      <c r="EU258" s="67">
        <v>592.64</v>
      </c>
      <c r="EV258" s="67" t="s">
        <v>2080</v>
      </c>
      <c r="EW258" s="67">
        <v>519.11</v>
      </c>
      <c r="EX258" s="67" t="s">
        <v>2081</v>
      </c>
      <c r="EY258" s="67">
        <v>5936.25</v>
      </c>
      <c r="EZ258" s="67" t="s">
        <v>2082</v>
      </c>
      <c r="FA258" s="67">
        <v>21309.5</v>
      </c>
      <c r="FB258" s="67" t="s">
        <v>2083</v>
      </c>
      <c r="FC258" s="67" t="s">
        <v>2084</v>
      </c>
      <c r="FD258" s="67" t="s">
        <v>2085</v>
      </c>
      <c r="FE258" s="68" t="s">
        <v>2086</v>
      </c>
      <c r="FF258" s="68" t="s">
        <v>2087</v>
      </c>
    </row>
    <row r="259" spans="151:162" x14ac:dyDescent="0.2">
      <c r="EU259" s="67">
        <v>592.64</v>
      </c>
      <c r="EV259" s="67" t="s">
        <v>2088</v>
      </c>
      <c r="EW259" s="67">
        <v>519.11</v>
      </c>
      <c r="EX259" s="67" t="s">
        <v>2089</v>
      </c>
      <c r="EY259" s="67">
        <v>5936.25</v>
      </c>
      <c r="EZ259" s="67" t="s">
        <v>2090</v>
      </c>
      <c r="FA259" s="67">
        <v>21309.5</v>
      </c>
      <c r="FB259" s="67" t="s">
        <v>2091</v>
      </c>
      <c r="FC259" s="67" t="s">
        <v>2092</v>
      </c>
      <c r="FD259" s="67" t="s">
        <v>2093</v>
      </c>
      <c r="FE259" s="68" t="s">
        <v>2094</v>
      </c>
      <c r="FF259" s="68" t="s">
        <v>2095</v>
      </c>
    </row>
    <row r="260" spans="151:162" x14ac:dyDescent="0.2">
      <c r="EU260" s="67">
        <v>592.64</v>
      </c>
      <c r="EV260" s="67" t="s">
        <v>2096</v>
      </c>
      <c r="EW260" s="67">
        <v>519.11</v>
      </c>
      <c r="EX260" s="67" t="s">
        <v>2097</v>
      </c>
      <c r="EY260" s="67">
        <v>5936.25</v>
      </c>
      <c r="EZ260" s="67" t="s">
        <v>2098</v>
      </c>
      <c r="FA260" s="67">
        <v>21309.5</v>
      </c>
      <c r="FB260" s="67" t="s">
        <v>2099</v>
      </c>
      <c r="FC260" s="67" t="s">
        <v>2100</v>
      </c>
      <c r="FD260" s="67" t="s">
        <v>2101</v>
      </c>
      <c r="FE260" s="68" t="s">
        <v>2102</v>
      </c>
      <c r="FF260" s="68" t="s">
        <v>2103</v>
      </c>
    </row>
    <row r="261" spans="151:162" x14ac:dyDescent="0.2">
      <c r="EU261" s="67">
        <v>592.64</v>
      </c>
      <c r="EV261" s="67" t="s">
        <v>2104</v>
      </c>
      <c r="EW261" s="67">
        <v>519.11</v>
      </c>
      <c r="EX261" s="67" t="s">
        <v>2105</v>
      </c>
      <c r="EY261" s="67">
        <v>5936.25</v>
      </c>
      <c r="EZ261" s="67" t="s">
        <v>2106</v>
      </c>
      <c r="FA261" s="67">
        <v>21309.5</v>
      </c>
      <c r="FB261" s="67" t="s">
        <v>2107</v>
      </c>
      <c r="FC261" s="67" t="s">
        <v>2108</v>
      </c>
      <c r="FD261" s="67" t="s">
        <v>2109</v>
      </c>
      <c r="FE261" s="68" t="s">
        <v>2110</v>
      </c>
      <c r="FF261" s="68" t="s">
        <v>2111</v>
      </c>
    </row>
    <row r="262" spans="151:162" x14ac:dyDescent="0.2">
      <c r="EU262" s="67">
        <v>594.27</v>
      </c>
      <c r="EV262" s="67" t="s">
        <v>2112</v>
      </c>
      <c r="EW262" s="67">
        <v>521.12</v>
      </c>
      <c r="EX262" s="67" t="s">
        <v>2113</v>
      </c>
      <c r="EY262" s="67">
        <v>5952.75</v>
      </c>
      <c r="EZ262" s="67" t="s">
        <v>2114</v>
      </c>
      <c r="FA262" s="67">
        <v>21389.25</v>
      </c>
      <c r="FB262" s="67" t="s">
        <v>2115</v>
      </c>
      <c r="FC262" s="67" t="s">
        <v>2116</v>
      </c>
      <c r="FD262" s="67" t="s">
        <v>2117</v>
      </c>
      <c r="FE262" s="68" t="s">
        <v>2118</v>
      </c>
      <c r="FF262" s="68" t="s">
        <v>2119</v>
      </c>
    </row>
    <row r="263" spans="151:162" x14ac:dyDescent="0.2">
      <c r="EU263" s="67">
        <v>594.27</v>
      </c>
      <c r="EV263" s="67" t="s">
        <v>2120</v>
      </c>
      <c r="EW263" s="67">
        <v>521.16</v>
      </c>
      <c r="EX263" s="67" t="s">
        <v>2121</v>
      </c>
      <c r="EY263" s="67">
        <v>5953</v>
      </c>
      <c r="EZ263" s="67" t="s">
        <v>2122</v>
      </c>
      <c r="FA263" s="67">
        <v>21390.75</v>
      </c>
      <c r="FB263" s="67" t="s">
        <v>2123</v>
      </c>
      <c r="FC263" s="67" t="s">
        <v>2124</v>
      </c>
      <c r="FD263" s="67" t="s">
        <v>2125</v>
      </c>
      <c r="FE263" s="68" t="s">
        <v>2126</v>
      </c>
      <c r="FF263" s="68" t="s">
        <v>2127</v>
      </c>
    </row>
    <row r="264" spans="151:162" x14ac:dyDescent="0.2">
      <c r="EU264" s="67">
        <v>594.32000000000005</v>
      </c>
      <c r="EV264" s="67" t="s">
        <v>2128</v>
      </c>
      <c r="EW264" s="67">
        <v>521.15</v>
      </c>
      <c r="EX264" s="67" t="s">
        <v>2129</v>
      </c>
      <c r="EY264" s="67">
        <v>5953.25</v>
      </c>
      <c r="EZ264" s="67" t="s">
        <v>2130</v>
      </c>
      <c r="FA264" s="67">
        <v>21390.5</v>
      </c>
      <c r="FB264" s="67" t="s">
        <v>2131</v>
      </c>
      <c r="FC264" s="67" t="s">
        <v>2132</v>
      </c>
      <c r="FD264" s="67" t="s">
        <v>2133</v>
      </c>
      <c r="FE264" s="68" t="s">
        <v>2134</v>
      </c>
      <c r="FF264" s="68" t="s">
        <v>2135</v>
      </c>
    </row>
    <row r="265" spans="151:162" x14ac:dyDescent="0.2">
      <c r="EU265" s="67">
        <v>594.27</v>
      </c>
      <c r="EV265" s="67" t="s">
        <v>2136</v>
      </c>
      <c r="EW265" s="67">
        <v>521.1</v>
      </c>
      <c r="EX265" s="67" t="s">
        <v>2137</v>
      </c>
      <c r="EY265" s="67">
        <v>5952.75</v>
      </c>
      <c r="EZ265" s="67" t="s">
        <v>2138</v>
      </c>
      <c r="FA265" s="67">
        <v>21388.5</v>
      </c>
      <c r="FB265" s="67" t="s">
        <v>2139</v>
      </c>
      <c r="FC265" s="67" t="s">
        <v>2140</v>
      </c>
      <c r="FD265" s="67" t="s">
        <v>2141</v>
      </c>
      <c r="FE265" s="68" t="s">
        <v>2142</v>
      </c>
      <c r="FF265" s="68" t="s">
        <v>2143</v>
      </c>
    </row>
    <row r="266" spans="151:162" x14ac:dyDescent="0.2">
      <c r="EU266" s="67">
        <v>594.27</v>
      </c>
      <c r="EV266" s="67" t="s">
        <v>2144</v>
      </c>
      <c r="EW266" s="67">
        <v>521.1</v>
      </c>
      <c r="EX266" s="67" t="s">
        <v>2145</v>
      </c>
      <c r="EY266" s="67">
        <v>5953</v>
      </c>
      <c r="EZ266" s="67" t="s">
        <v>2146</v>
      </c>
      <c r="FA266" s="67">
        <v>21388.5</v>
      </c>
      <c r="FB266" s="67" t="s">
        <v>2147</v>
      </c>
      <c r="FC266" s="67" t="s">
        <v>2148</v>
      </c>
      <c r="FD266" s="67" t="s">
        <v>2149</v>
      </c>
      <c r="FE266" s="68" t="s">
        <v>2150</v>
      </c>
      <c r="FF266" s="68" t="s">
        <v>2151</v>
      </c>
    </row>
    <row r="267" spans="151:162" x14ac:dyDescent="0.2">
      <c r="EU267" s="67">
        <v>594.37</v>
      </c>
      <c r="EV267" s="67" t="s">
        <v>2152</v>
      </c>
      <c r="EW267" s="67">
        <v>521.17999999999995</v>
      </c>
      <c r="EX267" s="67" t="s">
        <v>2153</v>
      </c>
      <c r="EY267" s="67">
        <v>5954</v>
      </c>
      <c r="EZ267" s="67" t="s">
        <v>2154</v>
      </c>
      <c r="FA267" s="67">
        <v>21390.5</v>
      </c>
      <c r="FB267" s="67" t="s">
        <v>2155</v>
      </c>
      <c r="FC267" s="67" t="s">
        <v>2156</v>
      </c>
      <c r="FD267" s="67" t="s">
        <v>2157</v>
      </c>
      <c r="FE267" s="68" t="s">
        <v>2158</v>
      </c>
      <c r="FF267" s="68" t="s">
        <v>2159</v>
      </c>
    </row>
    <row r="268" spans="151:162" x14ac:dyDescent="0.2">
      <c r="EU268" s="67">
        <v>594.33000000000004</v>
      </c>
      <c r="EV268" s="67" t="s">
        <v>2160</v>
      </c>
      <c r="EW268" s="67">
        <v>521.13</v>
      </c>
      <c r="EX268" s="67" t="s">
        <v>2161</v>
      </c>
      <c r="EY268" s="67">
        <v>5953.25</v>
      </c>
      <c r="EZ268" s="67" t="s">
        <v>2162</v>
      </c>
      <c r="FA268" s="67">
        <v>21389.25</v>
      </c>
      <c r="FB268" s="67" t="s">
        <v>2163</v>
      </c>
      <c r="FC268" s="67" t="s">
        <v>2164</v>
      </c>
      <c r="FD268" s="67" t="s">
        <v>2165</v>
      </c>
      <c r="FE268" s="68" t="s">
        <v>2166</v>
      </c>
      <c r="FF268" s="68" t="s">
        <v>2167</v>
      </c>
    </row>
    <row r="269" spans="151:162" x14ac:dyDescent="0.2">
      <c r="EU269" s="67">
        <v>594.29999999999995</v>
      </c>
      <c r="EV269" s="67" t="s">
        <v>2168</v>
      </c>
      <c r="EW269" s="67">
        <v>521.04999999999995</v>
      </c>
      <c r="EX269" s="67" t="s">
        <v>2169</v>
      </c>
      <c r="EY269" s="67">
        <v>5953.25</v>
      </c>
      <c r="EZ269" s="67" t="s">
        <v>2170</v>
      </c>
      <c r="FA269" s="67">
        <v>21385.75</v>
      </c>
      <c r="FB269" s="67" t="s">
        <v>2171</v>
      </c>
      <c r="FC269" s="67" t="s">
        <v>2172</v>
      </c>
      <c r="FD269" s="67" t="s">
        <v>2173</v>
      </c>
      <c r="FE269" s="68" t="s">
        <v>2174</v>
      </c>
      <c r="FF269" s="68" t="s">
        <v>2175</v>
      </c>
    </row>
    <row r="270" spans="151:162" x14ac:dyDescent="0.2">
      <c r="EU270" s="67">
        <v>594.37</v>
      </c>
      <c r="EV270" s="67" t="s">
        <v>2176</v>
      </c>
      <c r="EW270" s="67">
        <v>521.16</v>
      </c>
      <c r="EX270" s="67" t="s">
        <v>2177</v>
      </c>
      <c r="EY270" s="67">
        <v>5953.75</v>
      </c>
      <c r="EZ270" s="67" t="s">
        <v>2178</v>
      </c>
      <c r="FA270" s="67">
        <v>21391</v>
      </c>
      <c r="FB270" s="67" t="s">
        <v>2179</v>
      </c>
      <c r="FC270" s="67" t="s">
        <v>2180</v>
      </c>
      <c r="FD270" s="67" t="s">
        <v>2181</v>
      </c>
      <c r="FE270" s="68" t="s">
        <v>2182</v>
      </c>
      <c r="FF270" s="68" t="s">
        <v>2183</v>
      </c>
    </row>
    <row r="271" spans="151:162" x14ac:dyDescent="0.2">
      <c r="EU271" s="67">
        <v>594.21</v>
      </c>
      <c r="EV271" s="67" t="s">
        <v>2184</v>
      </c>
      <c r="EW271" s="67">
        <v>520.92999999999995</v>
      </c>
      <c r="EX271" s="67" t="s">
        <v>2185</v>
      </c>
      <c r="EY271" s="67">
        <v>5952.25</v>
      </c>
      <c r="EZ271" s="67" t="s">
        <v>2186</v>
      </c>
      <c r="FA271" s="67">
        <v>21381</v>
      </c>
      <c r="FB271" s="67" t="s">
        <v>2187</v>
      </c>
      <c r="FC271" s="67" t="s">
        <v>2188</v>
      </c>
      <c r="FD271" s="67" t="s">
        <v>2189</v>
      </c>
      <c r="FE271" s="68" t="s">
        <v>2190</v>
      </c>
      <c r="FF271" s="68" t="s">
        <v>2191</v>
      </c>
    </row>
    <row r="272" spans="151:162" x14ac:dyDescent="0.2">
      <c r="EU272" s="67">
        <v>594.17999999999995</v>
      </c>
      <c r="EV272" s="67" t="s">
        <v>2192</v>
      </c>
      <c r="EW272" s="67">
        <v>520.9</v>
      </c>
      <c r="EX272" s="67" t="s">
        <v>2193</v>
      </c>
      <c r="EY272" s="67">
        <v>5952</v>
      </c>
      <c r="EZ272" s="67" t="s">
        <v>2194</v>
      </c>
      <c r="FA272" s="67">
        <v>21379.75</v>
      </c>
      <c r="FB272" s="67" t="s">
        <v>2195</v>
      </c>
      <c r="FC272" s="67" t="s">
        <v>2196</v>
      </c>
      <c r="FD272" s="67" t="s">
        <v>2197</v>
      </c>
      <c r="FE272" s="68" t="s">
        <v>2198</v>
      </c>
      <c r="FF272" s="68" t="s">
        <v>2199</v>
      </c>
    </row>
    <row r="273" spans="151:162" x14ac:dyDescent="0.2">
      <c r="EU273" s="67">
        <v>594.19000000000005</v>
      </c>
      <c r="EV273" s="67" t="s">
        <v>2200</v>
      </c>
      <c r="EW273" s="67">
        <v>520.98</v>
      </c>
      <c r="EX273" s="67" t="s">
        <v>2201</v>
      </c>
      <c r="EY273" s="67">
        <v>5952</v>
      </c>
      <c r="EZ273" s="67" t="s">
        <v>2202</v>
      </c>
      <c r="FA273" s="67">
        <v>21383.25</v>
      </c>
      <c r="FB273" s="67" t="s">
        <v>2203</v>
      </c>
      <c r="FC273" s="67" t="s">
        <v>2204</v>
      </c>
      <c r="FD273" s="67" t="s">
        <v>2205</v>
      </c>
      <c r="FE273" s="68" t="s">
        <v>2206</v>
      </c>
      <c r="FF273" s="68" t="s">
        <v>2207</v>
      </c>
    </row>
    <row r="274" spans="151:162" x14ac:dyDescent="0.2">
      <c r="EU274" s="67">
        <v>594.21</v>
      </c>
      <c r="EV274" s="67" t="s">
        <v>2208</v>
      </c>
      <c r="EW274" s="67">
        <v>521</v>
      </c>
      <c r="EX274" s="67" t="s">
        <v>2209</v>
      </c>
      <c r="EY274" s="67">
        <v>5952.25</v>
      </c>
      <c r="EZ274" s="67" t="s">
        <v>2210</v>
      </c>
      <c r="FA274" s="67">
        <v>21383.75</v>
      </c>
      <c r="FB274" s="67" t="s">
        <v>2211</v>
      </c>
      <c r="FC274" s="67" t="s">
        <v>2212</v>
      </c>
      <c r="FD274" s="67" t="s">
        <v>2213</v>
      </c>
      <c r="FE274" s="68" t="s">
        <v>2214</v>
      </c>
      <c r="FF274" s="68" t="s">
        <v>2215</v>
      </c>
    </row>
    <row r="275" spans="151:162" x14ac:dyDescent="0.2">
      <c r="EU275" s="67">
        <v>594.27</v>
      </c>
      <c r="EV275" s="67" t="s">
        <v>2216</v>
      </c>
      <c r="EW275" s="67">
        <v>521.05999999999995</v>
      </c>
      <c r="EX275" s="67" t="s">
        <v>2217</v>
      </c>
      <c r="EY275" s="67">
        <v>5953</v>
      </c>
      <c r="EZ275" s="67" t="s">
        <v>2218</v>
      </c>
      <c r="FA275" s="67">
        <v>21386.5</v>
      </c>
      <c r="FB275" s="67" t="s">
        <v>2219</v>
      </c>
      <c r="FC275" s="67" t="s">
        <v>2220</v>
      </c>
      <c r="FD275" s="67" t="s">
        <v>2221</v>
      </c>
      <c r="FE275" s="68" t="s">
        <v>2222</v>
      </c>
      <c r="FF275" s="68" t="s">
        <v>2223</v>
      </c>
    </row>
    <row r="276" spans="151:162" x14ac:dyDescent="0.2">
      <c r="EU276" s="67">
        <v>594.29</v>
      </c>
      <c r="EV276" s="67" t="s">
        <v>2224</v>
      </c>
      <c r="EW276" s="67">
        <v>521.07000000000005</v>
      </c>
      <c r="EX276" s="67" t="s">
        <v>2225</v>
      </c>
      <c r="EY276" s="67">
        <v>5953.25</v>
      </c>
      <c r="EZ276" s="67" t="s">
        <v>2226</v>
      </c>
      <c r="FA276" s="67">
        <v>21387</v>
      </c>
      <c r="FB276" s="67" t="s">
        <v>2227</v>
      </c>
      <c r="FC276" s="67" t="s">
        <v>2228</v>
      </c>
      <c r="FD276" s="67" t="s">
        <v>2229</v>
      </c>
      <c r="FE276" s="68" t="s">
        <v>2230</v>
      </c>
      <c r="FF276" s="68" t="s">
        <v>2231</v>
      </c>
    </row>
    <row r="277" spans="151:162" x14ac:dyDescent="0.2">
      <c r="EU277" s="67">
        <v>594.24</v>
      </c>
      <c r="EV277" s="67" t="s">
        <v>2232</v>
      </c>
      <c r="EW277" s="67">
        <v>521.05999999999995</v>
      </c>
      <c r="EX277" s="67" t="s">
        <v>2233</v>
      </c>
      <c r="EY277" s="67">
        <v>5952.5</v>
      </c>
      <c r="EZ277" s="67" t="s">
        <v>2234</v>
      </c>
      <c r="FA277" s="67">
        <v>21386.5</v>
      </c>
      <c r="FB277" s="67" t="s">
        <v>2235</v>
      </c>
      <c r="FC277" s="67" t="s">
        <v>2236</v>
      </c>
      <c r="FD277" s="67" t="s">
        <v>2237</v>
      </c>
      <c r="FE277" s="68" t="s">
        <v>2238</v>
      </c>
      <c r="FF277" s="68" t="s">
        <v>2239</v>
      </c>
    </row>
    <row r="278" spans="151:162" x14ac:dyDescent="0.2">
      <c r="EU278" s="67">
        <v>594.17999999999995</v>
      </c>
      <c r="EV278" s="67" t="s">
        <v>2240</v>
      </c>
      <c r="EW278" s="67">
        <v>520.97</v>
      </c>
      <c r="EX278" s="67" t="s">
        <v>2241</v>
      </c>
      <c r="EY278" s="67">
        <v>5952.25</v>
      </c>
      <c r="EZ278" s="67" t="s">
        <v>2242</v>
      </c>
      <c r="FA278" s="67">
        <v>21383.25</v>
      </c>
      <c r="FB278" s="67" t="s">
        <v>2243</v>
      </c>
      <c r="FC278" s="67" t="s">
        <v>2244</v>
      </c>
      <c r="FD278" s="67" t="s">
        <v>2245</v>
      </c>
      <c r="FE278" s="68" t="s">
        <v>2246</v>
      </c>
      <c r="FF278" s="68" t="s">
        <v>2247</v>
      </c>
    </row>
    <row r="279" spans="151:162" x14ac:dyDescent="0.2">
      <c r="EU279" s="67">
        <v>594.20000000000005</v>
      </c>
      <c r="EV279" s="67" t="s">
        <v>2248</v>
      </c>
      <c r="EW279" s="67">
        <v>521.02</v>
      </c>
      <c r="EX279" s="67" t="s">
        <v>2249</v>
      </c>
      <c r="EY279" s="67">
        <v>5952.25</v>
      </c>
      <c r="EZ279" s="67" t="s">
        <v>2250</v>
      </c>
      <c r="FA279" s="67">
        <v>21385.25</v>
      </c>
      <c r="FB279" s="67" t="s">
        <v>2251</v>
      </c>
      <c r="FC279" s="67" t="s">
        <v>2252</v>
      </c>
      <c r="FD279" s="67" t="s">
        <v>2253</v>
      </c>
      <c r="FE279" s="68" t="s">
        <v>2254</v>
      </c>
      <c r="FF279" s="68" t="s">
        <v>2255</v>
      </c>
    </row>
    <row r="280" spans="151:162" x14ac:dyDescent="0.2">
      <c r="EU280" s="67">
        <v>594.20000000000005</v>
      </c>
      <c r="EV280" s="67" t="s">
        <v>2256</v>
      </c>
      <c r="EW280" s="67">
        <v>521</v>
      </c>
      <c r="EX280" s="67" t="s">
        <v>2257</v>
      </c>
      <c r="EY280" s="67">
        <v>5952.25</v>
      </c>
      <c r="EZ280" s="67" t="s">
        <v>2258</v>
      </c>
      <c r="FA280" s="67">
        <v>21384.5</v>
      </c>
      <c r="FB280" s="67" t="s">
        <v>2259</v>
      </c>
      <c r="FC280" s="67" t="s">
        <v>2260</v>
      </c>
      <c r="FD280" s="67" t="s">
        <v>2261</v>
      </c>
      <c r="FE280" s="68" t="s">
        <v>2262</v>
      </c>
      <c r="FF280" s="68" t="s">
        <v>2263</v>
      </c>
    </row>
    <row r="281" spans="151:162" x14ac:dyDescent="0.2">
      <c r="EU281" s="67">
        <v>594.16</v>
      </c>
      <c r="EV281" s="67" t="s">
        <v>2264</v>
      </c>
      <c r="EW281" s="67">
        <v>520.97</v>
      </c>
      <c r="EX281" s="67" t="s">
        <v>2265</v>
      </c>
      <c r="EY281" s="67">
        <v>5951.75</v>
      </c>
      <c r="EZ281" s="67" t="s">
        <v>2266</v>
      </c>
      <c r="FA281" s="67">
        <v>21382.75</v>
      </c>
      <c r="FB281" s="67" t="s">
        <v>2267</v>
      </c>
      <c r="FC281" s="67" t="s">
        <v>2268</v>
      </c>
      <c r="FD281" s="67" t="s">
        <v>2269</v>
      </c>
      <c r="FE281" s="68" t="s">
        <v>2270</v>
      </c>
      <c r="FF281" s="68" t="s">
        <v>2271</v>
      </c>
    </row>
    <row r="282" spans="151:162" x14ac:dyDescent="0.2">
      <c r="EU282" s="67">
        <v>594.03</v>
      </c>
      <c r="EV282" s="67" t="s">
        <v>2272</v>
      </c>
      <c r="EW282" s="67">
        <v>520.79999999999995</v>
      </c>
      <c r="EX282" s="67" t="s">
        <v>2273</v>
      </c>
      <c r="EY282" s="67">
        <v>5950.75</v>
      </c>
      <c r="EZ282" s="67" t="s">
        <v>2274</v>
      </c>
      <c r="FA282" s="67">
        <v>21376</v>
      </c>
      <c r="FB282" s="67" t="s">
        <v>2275</v>
      </c>
      <c r="FC282" s="67" t="s">
        <v>2276</v>
      </c>
      <c r="FD282" s="67" t="s">
        <v>2277</v>
      </c>
      <c r="FE282" s="68" t="s">
        <v>2278</v>
      </c>
      <c r="FF282" s="68" t="s">
        <v>2279</v>
      </c>
    </row>
    <row r="283" spans="151:162" x14ac:dyDescent="0.2">
      <c r="EU283" s="67">
        <v>594.05999999999995</v>
      </c>
      <c r="EV283" s="67" t="s">
        <v>2280</v>
      </c>
      <c r="EW283" s="67">
        <v>520.87</v>
      </c>
      <c r="EX283" s="67" t="s">
        <v>2281</v>
      </c>
      <c r="EY283" s="67">
        <v>5951</v>
      </c>
      <c r="EZ283" s="67" t="s">
        <v>2282</v>
      </c>
      <c r="FA283" s="67">
        <v>21378.75</v>
      </c>
      <c r="FB283" s="67" t="s">
        <v>2283</v>
      </c>
      <c r="FC283" s="67" t="s">
        <v>2284</v>
      </c>
      <c r="FD283" s="67" t="s">
        <v>2285</v>
      </c>
      <c r="FE283" s="68" t="s">
        <v>2286</v>
      </c>
      <c r="FF283" s="68" t="s">
        <v>2287</v>
      </c>
    </row>
    <row r="284" spans="151:162" x14ac:dyDescent="0.2">
      <c r="EU284" s="67">
        <v>594.1</v>
      </c>
      <c r="EV284" s="67" t="s">
        <v>2288</v>
      </c>
      <c r="EW284" s="67">
        <v>520.89</v>
      </c>
      <c r="EX284" s="67" t="s">
        <v>2289</v>
      </c>
      <c r="EY284" s="67">
        <v>5951.25</v>
      </c>
      <c r="EZ284" s="67" t="s">
        <v>2290</v>
      </c>
      <c r="FA284" s="67">
        <v>21380.25</v>
      </c>
      <c r="FB284" s="67" t="s">
        <v>2291</v>
      </c>
      <c r="FC284" s="67" t="s">
        <v>2292</v>
      </c>
      <c r="FD284" s="67" t="s">
        <v>2293</v>
      </c>
      <c r="FE284" s="68" t="s">
        <v>2294</v>
      </c>
      <c r="FF284" s="68" t="s">
        <v>2295</v>
      </c>
    </row>
    <row r="285" spans="151:162" x14ac:dyDescent="0.2">
      <c r="EU285" s="67">
        <v>594.17999999999995</v>
      </c>
      <c r="EV285" s="67" t="s">
        <v>2296</v>
      </c>
      <c r="EW285" s="67">
        <v>520.98</v>
      </c>
      <c r="EX285" s="67" t="s">
        <v>2297</v>
      </c>
      <c r="EY285" s="67">
        <v>5952.25</v>
      </c>
      <c r="EZ285" s="67" t="s">
        <v>2298</v>
      </c>
      <c r="FA285" s="67">
        <v>21384.25</v>
      </c>
      <c r="FB285" s="67" t="s">
        <v>2299</v>
      </c>
      <c r="FC285" s="67" t="s">
        <v>2300</v>
      </c>
      <c r="FD285" s="67" t="s">
        <v>2301</v>
      </c>
      <c r="FE285" s="68" t="s">
        <v>2302</v>
      </c>
      <c r="FF285" s="68" t="s">
        <v>2303</v>
      </c>
    </row>
    <row r="286" spans="151:162" x14ac:dyDescent="0.2">
      <c r="EU286" s="67">
        <v>594.24</v>
      </c>
      <c r="EV286" s="67" t="s">
        <v>2304</v>
      </c>
      <c r="EW286" s="67">
        <v>521.04999999999995</v>
      </c>
      <c r="EX286" s="67" t="s">
        <v>2305</v>
      </c>
      <c r="EY286" s="67">
        <v>5953</v>
      </c>
      <c r="EZ286" s="67" t="s">
        <v>2306</v>
      </c>
      <c r="FA286" s="67">
        <v>21387.25</v>
      </c>
      <c r="FB286" s="67" t="s">
        <v>2307</v>
      </c>
      <c r="FC286" s="67" t="s">
        <v>2308</v>
      </c>
      <c r="FD286" s="67" t="s">
        <v>2309</v>
      </c>
      <c r="FE286" s="68" t="s">
        <v>2310</v>
      </c>
      <c r="FF286" s="68" t="s">
        <v>2311</v>
      </c>
    </row>
    <row r="287" spans="151:162" x14ac:dyDescent="0.2">
      <c r="EU287" s="67">
        <v>594.19000000000005</v>
      </c>
      <c r="EV287" s="67" t="s">
        <v>2312</v>
      </c>
      <c r="EW287" s="67">
        <v>520.97</v>
      </c>
      <c r="EX287" s="67" t="s">
        <v>2313</v>
      </c>
      <c r="EY287" s="67">
        <v>5952.25</v>
      </c>
      <c r="EZ287" s="67" t="s">
        <v>2314</v>
      </c>
      <c r="FA287" s="67">
        <v>21383</v>
      </c>
      <c r="FB287" s="67" t="s">
        <v>2315</v>
      </c>
      <c r="FC287" s="67" t="s">
        <v>2316</v>
      </c>
      <c r="FD287" s="67" t="s">
        <v>2317</v>
      </c>
      <c r="FE287" s="68" t="s">
        <v>2318</v>
      </c>
      <c r="FF287" s="68" t="s">
        <v>2319</v>
      </c>
    </row>
    <row r="288" spans="151:162" x14ac:dyDescent="0.2">
      <c r="EU288" s="67">
        <v>594.12</v>
      </c>
      <c r="EV288" s="67" t="s">
        <v>2320</v>
      </c>
      <c r="EW288" s="67">
        <v>520.85</v>
      </c>
      <c r="EX288" s="67" t="s">
        <v>2321</v>
      </c>
      <c r="EY288" s="67">
        <v>5951.75</v>
      </c>
      <c r="EZ288" s="67" t="s">
        <v>2322</v>
      </c>
      <c r="FA288" s="67">
        <v>21378.5</v>
      </c>
      <c r="FB288" s="67" t="s">
        <v>2323</v>
      </c>
      <c r="FC288" s="67" t="s">
        <v>2324</v>
      </c>
      <c r="FD288" s="67" t="s">
        <v>2325</v>
      </c>
      <c r="FE288" s="68" t="s">
        <v>2326</v>
      </c>
      <c r="FF288" s="68" t="s">
        <v>2327</v>
      </c>
    </row>
    <row r="289" spans="151:162" x14ac:dyDescent="0.2">
      <c r="EU289" s="67">
        <v>594.19000000000005</v>
      </c>
      <c r="EV289" s="67" t="s">
        <v>2328</v>
      </c>
      <c r="EW289" s="67">
        <v>521.02</v>
      </c>
      <c r="EX289" s="67" t="s">
        <v>2329</v>
      </c>
      <c r="EY289" s="67">
        <v>5952.25</v>
      </c>
      <c r="EZ289" s="67" t="s">
        <v>2330</v>
      </c>
      <c r="FA289" s="67">
        <v>21385.75</v>
      </c>
      <c r="FB289" s="67" t="s">
        <v>2331</v>
      </c>
      <c r="FC289" s="67" t="s">
        <v>2332</v>
      </c>
      <c r="FD289" s="67" t="s">
        <v>2333</v>
      </c>
      <c r="FE289" s="68" t="s">
        <v>2334</v>
      </c>
      <c r="FF289" s="68" t="s">
        <v>2335</v>
      </c>
    </row>
    <row r="290" spans="151:162" x14ac:dyDescent="0.2">
      <c r="EU290" s="67">
        <v>594.19000000000005</v>
      </c>
      <c r="EV290" s="67" t="s">
        <v>2336</v>
      </c>
      <c r="EW290" s="67">
        <v>520.99</v>
      </c>
      <c r="EX290" s="67" t="s">
        <v>2337</v>
      </c>
      <c r="EY290" s="67">
        <v>5952.5</v>
      </c>
      <c r="EZ290" s="67" t="s">
        <v>2338</v>
      </c>
      <c r="FA290" s="67">
        <v>21384.5</v>
      </c>
      <c r="FB290" s="67" t="s">
        <v>2339</v>
      </c>
      <c r="FC290" s="67" t="s">
        <v>2340</v>
      </c>
      <c r="FD290" s="67" t="s">
        <v>2341</v>
      </c>
      <c r="FE290" s="68" t="s">
        <v>2342</v>
      </c>
      <c r="FF290" s="68" t="s">
        <v>2343</v>
      </c>
    </row>
    <row r="291" spans="151:162" x14ac:dyDescent="0.2">
      <c r="EU291" s="67">
        <v>594.04999999999995</v>
      </c>
      <c r="EV291" s="67" t="s">
        <v>2344</v>
      </c>
      <c r="EW291" s="67">
        <v>520.82000000000005</v>
      </c>
      <c r="EX291" s="67" t="s">
        <v>2345</v>
      </c>
      <c r="EY291" s="67">
        <v>5950.75</v>
      </c>
      <c r="EZ291" s="67" t="s">
        <v>2346</v>
      </c>
      <c r="FA291" s="67">
        <v>21376.75</v>
      </c>
      <c r="FB291" s="67" t="s">
        <v>2347</v>
      </c>
      <c r="FC291" s="67" t="s">
        <v>2348</v>
      </c>
      <c r="FD291" s="67" t="s">
        <v>2349</v>
      </c>
      <c r="FE291" s="68" t="s">
        <v>2350</v>
      </c>
      <c r="FF291" s="68" t="s">
        <v>2351</v>
      </c>
    </row>
    <row r="292" spans="151:162" x14ac:dyDescent="0.2">
      <c r="EU292" s="67">
        <v>594.09</v>
      </c>
      <c r="EV292" s="67" t="s">
        <v>2352</v>
      </c>
      <c r="EW292" s="67">
        <v>520.85</v>
      </c>
      <c r="EX292" s="67" t="s">
        <v>2353</v>
      </c>
      <c r="EY292" s="67">
        <v>5951</v>
      </c>
      <c r="EZ292" s="67" t="s">
        <v>2354</v>
      </c>
      <c r="FA292" s="67">
        <v>21378.25</v>
      </c>
      <c r="FB292" s="67" t="s">
        <v>2355</v>
      </c>
      <c r="FC292" s="67" t="s">
        <v>2356</v>
      </c>
      <c r="FD292" s="67" t="s">
        <v>2357</v>
      </c>
      <c r="FE292" s="68" t="s">
        <v>2358</v>
      </c>
      <c r="FF292" s="68" t="s">
        <v>2359</v>
      </c>
    </row>
    <row r="293" spans="151:162" x14ac:dyDescent="0.2">
      <c r="EU293" s="67">
        <v>594.04999999999995</v>
      </c>
      <c r="EV293" s="67" t="s">
        <v>2360</v>
      </c>
      <c r="EW293" s="67">
        <v>520.79</v>
      </c>
      <c r="EX293" s="67" t="s">
        <v>2361</v>
      </c>
      <c r="EY293" s="67">
        <v>5950.75</v>
      </c>
      <c r="EZ293" s="67" t="s">
        <v>2362</v>
      </c>
      <c r="FA293" s="67">
        <v>21376</v>
      </c>
      <c r="FB293" s="67" t="s">
        <v>2363</v>
      </c>
      <c r="FC293" s="67" t="s">
        <v>2364</v>
      </c>
      <c r="FD293" s="67" t="s">
        <v>2365</v>
      </c>
      <c r="FE293" s="68" t="s">
        <v>2366</v>
      </c>
      <c r="FF293" s="68" t="s">
        <v>2367</v>
      </c>
    </row>
    <row r="294" spans="151:162" x14ac:dyDescent="0.2">
      <c r="EU294" s="67">
        <v>594.02</v>
      </c>
      <c r="EV294" s="67" t="s">
        <v>2368</v>
      </c>
      <c r="EW294" s="67">
        <v>520.76</v>
      </c>
      <c r="EX294" s="67" t="s">
        <v>2369</v>
      </c>
      <c r="EY294" s="67">
        <v>5950.5</v>
      </c>
      <c r="EZ294" s="67" t="s">
        <v>2370</v>
      </c>
      <c r="FA294" s="67">
        <v>21375</v>
      </c>
      <c r="FB294" s="67" t="s">
        <v>2371</v>
      </c>
      <c r="FC294" s="67" t="s">
        <v>2372</v>
      </c>
      <c r="FD294" s="67" t="s">
        <v>2373</v>
      </c>
      <c r="FE294" s="68" t="s">
        <v>2374</v>
      </c>
      <c r="FF294" s="68" t="s">
        <v>2375</v>
      </c>
    </row>
    <row r="295" spans="151:162" x14ac:dyDescent="0.2">
      <c r="EU295" s="67">
        <v>594.08000000000004</v>
      </c>
      <c r="EV295" s="67" t="s">
        <v>2376</v>
      </c>
      <c r="EW295" s="67">
        <v>520.79999999999995</v>
      </c>
      <c r="EX295" s="67" t="s">
        <v>2377</v>
      </c>
      <c r="EY295" s="67">
        <v>5951.25</v>
      </c>
      <c r="EZ295" s="67" t="s">
        <v>2378</v>
      </c>
      <c r="FA295" s="67">
        <v>21376.5</v>
      </c>
      <c r="FB295" s="67" t="s">
        <v>2379</v>
      </c>
      <c r="FC295" s="67" t="s">
        <v>2380</v>
      </c>
      <c r="FD295" s="67" t="s">
        <v>2381</v>
      </c>
      <c r="FE295" s="68" t="s">
        <v>2382</v>
      </c>
      <c r="FF295" s="68" t="s">
        <v>2383</v>
      </c>
    </row>
    <row r="296" spans="151:162" x14ac:dyDescent="0.2">
      <c r="EU296" s="67">
        <v>594</v>
      </c>
      <c r="EV296" s="67" t="s">
        <v>2384</v>
      </c>
      <c r="EW296" s="67">
        <v>520.74</v>
      </c>
      <c r="EX296" s="67" t="s">
        <v>2385</v>
      </c>
      <c r="EY296" s="67">
        <v>5950.25</v>
      </c>
      <c r="EZ296" s="67" t="s">
        <v>2386</v>
      </c>
      <c r="FA296" s="67">
        <v>21374</v>
      </c>
      <c r="FB296" s="67" t="s">
        <v>2387</v>
      </c>
      <c r="FC296" s="67" t="s">
        <v>2388</v>
      </c>
      <c r="FD296" s="67" t="s">
        <v>2389</v>
      </c>
      <c r="FE296" s="68" t="s">
        <v>2390</v>
      </c>
      <c r="FF296" s="68" t="s">
        <v>2391</v>
      </c>
    </row>
    <row r="297" spans="151:162" x14ac:dyDescent="0.2">
      <c r="EU297" s="67">
        <v>594.04999999999995</v>
      </c>
      <c r="EV297" s="67" t="s">
        <v>2392</v>
      </c>
      <c r="EW297" s="67">
        <v>520.84</v>
      </c>
      <c r="EX297" s="67" t="s">
        <v>2393</v>
      </c>
      <c r="EY297" s="67">
        <v>5950.75</v>
      </c>
      <c r="EZ297" s="67" t="s">
        <v>2394</v>
      </c>
      <c r="FA297" s="67">
        <v>21378</v>
      </c>
      <c r="FB297" s="67" t="s">
        <v>2395</v>
      </c>
      <c r="FC297" s="67" t="s">
        <v>2396</v>
      </c>
      <c r="FD297" s="67" t="s">
        <v>2397</v>
      </c>
      <c r="FE297" s="68" t="s">
        <v>2398</v>
      </c>
      <c r="FF297" s="68" t="s">
        <v>2399</v>
      </c>
    </row>
    <row r="298" spans="151:162" x14ac:dyDescent="0.2">
      <c r="EU298" s="67">
        <v>594.04</v>
      </c>
      <c r="EV298" s="67" t="s">
        <v>2400</v>
      </c>
      <c r="EW298" s="67">
        <v>520.83000000000004</v>
      </c>
      <c r="EX298" s="67" t="s">
        <v>2401</v>
      </c>
      <c r="EY298" s="67">
        <v>5950.75</v>
      </c>
      <c r="EZ298" s="67" t="s">
        <v>2402</v>
      </c>
      <c r="FA298" s="67">
        <v>21377.75</v>
      </c>
      <c r="FB298" s="67" t="s">
        <v>2403</v>
      </c>
      <c r="FC298" s="67" t="s">
        <v>2404</v>
      </c>
      <c r="FD298" s="67" t="s">
        <v>2405</v>
      </c>
      <c r="FE298" s="68" t="s">
        <v>2406</v>
      </c>
      <c r="FF298" s="68" t="s">
        <v>2407</v>
      </c>
    </row>
    <row r="299" spans="151:162" x14ac:dyDescent="0.2">
      <c r="EU299" s="67">
        <v>593.91999999999996</v>
      </c>
      <c r="EV299" s="67" t="s">
        <v>2408</v>
      </c>
      <c r="EW299" s="67">
        <v>520.65</v>
      </c>
      <c r="EX299" s="67" t="s">
        <v>2409</v>
      </c>
      <c r="EY299" s="67">
        <v>5949.25</v>
      </c>
      <c r="EZ299" s="67" t="s">
        <v>2410</v>
      </c>
      <c r="FA299" s="67">
        <v>21370.25</v>
      </c>
      <c r="FB299" s="67" t="s">
        <v>2411</v>
      </c>
      <c r="FC299" s="67" t="s">
        <v>2412</v>
      </c>
      <c r="FD299" s="67" t="s">
        <v>2413</v>
      </c>
      <c r="FE299" s="68" t="s">
        <v>2414</v>
      </c>
      <c r="FF299" s="68" t="s">
        <v>2415</v>
      </c>
    </row>
    <row r="300" spans="151:162" x14ac:dyDescent="0.2">
      <c r="EU300" s="67">
        <v>593.88</v>
      </c>
      <c r="EV300" s="67" t="s">
        <v>2416</v>
      </c>
      <c r="EW300" s="67">
        <v>520.59</v>
      </c>
      <c r="EX300" s="67" t="s">
        <v>2417</v>
      </c>
      <c r="EY300" s="67">
        <v>5949.25</v>
      </c>
      <c r="EZ300" s="67" t="s">
        <v>2418</v>
      </c>
      <c r="FA300" s="67">
        <v>21368.25</v>
      </c>
      <c r="FB300" s="67" t="s">
        <v>2419</v>
      </c>
      <c r="FC300" s="67" t="s">
        <v>2420</v>
      </c>
      <c r="FD300" s="67" t="s">
        <v>2421</v>
      </c>
      <c r="FE300" s="68" t="s">
        <v>2422</v>
      </c>
      <c r="FF300" s="68" t="s">
        <v>2423</v>
      </c>
    </row>
    <row r="301" spans="151:162" x14ac:dyDescent="0.2">
      <c r="EU301" s="67">
        <v>593.97</v>
      </c>
      <c r="EV301" s="67" t="s">
        <v>2424</v>
      </c>
      <c r="EW301" s="67">
        <v>520.69000000000005</v>
      </c>
      <c r="EX301" s="67" t="s">
        <v>2425</v>
      </c>
      <c r="EY301" s="67">
        <v>5950</v>
      </c>
      <c r="EZ301" s="67" t="s">
        <v>2426</v>
      </c>
      <c r="FA301" s="67">
        <v>21371.5</v>
      </c>
      <c r="FB301" s="67" t="s">
        <v>2427</v>
      </c>
      <c r="FC301" s="67" t="s">
        <v>2428</v>
      </c>
      <c r="FD301" s="67" t="s">
        <v>2429</v>
      </c>
      <c r="FE301" s="68" t="s">
        <v>2430</v>
      </c>
      <c r="FF301" s="68" t="s">
        <v>2431</v>
      </c>
    </row>
    <row r="302" spans="151:162" x14ac:dyDescent="0.2">
      <c r="EU302" s="67">
        <v>594.03</v>
      </c>
      <c r="EV302" s="67" t="s">
        <v>2432</v>
      </c>
      <c r="EW302" s="67">
        <v>520.73</v>
      </c>
      <c r="EX302" s="67" t="s">
        <v>2433</v>
      </c>
      <c r="EY302" s="67">
        <v>5950.75</v>
      </c>
      <c r="EZ302" s="67" t="s">
        <v>2434</v>
      </c>
      <c r="FA302" s="67">
        <v>21373.25</v>
      </c>
      <c r="FB302" s="67" t="s">
        <v>2435</v>
      </c>
      <c r="FC302" s="67" t="s">
        <v>2436</v>
      </c>
      <c r="FD302" s="67" t="s">
        <v>2437</v>
      </c>
      <c r="FE302" s="68" t="s">
        <v>2438</v>
      </c>
      <c r="FF302" s="68" t="s">
        <v>2439</v>
      </c>
    </row>
    <row r="303" spans="151:162" x14ac:dyDescent="0.2">
      <c r="EU303" s="67">
        <v>594.1</v>
      </c>
      <c r="EV303" s="67" t="s">
        <v>2440</v>
      </c>
      <c r="EW303" s="67">
        <v>520.79999999999995</v>
      </c>
      <c r="EX303" s="67" t="s">
        <v>2441</v>
      </c>
      <c r="EY303" s="67">
        <v>5951.5</v>
      </c>
      <c r="EZ303" s="67" t="s">
        <v>2442</v>
      </c>
      <c r="FA303" s="67">
        <v>21376</v>
      </c>
      <c r="FB303" s="67" t="s">
        <v>2443</v>
      </c>
      <c r="FC303" s="67" t="s">
        <v>2444</v>
      </c>
      <c r="FD303" s="67" t="s">
        <v>2445</v>
      </c>
      <c r="FE303" s="68" t="s">
        <v>2446</v>
      </c>
      <c r="FF303" s="68" t="s">
        <v>2447</v>
      </c>
    </row>
    <row r="304" spans="151:162" x14ac:dyDescent="0.2">
      <c r="EU304" s="67">
        <v>594.20000000000005</v>
      </c>
      <c r="EV304" s="67" t="s">
        <v>2448</v>
      </c>
      <c r="EW304" s="67">
        <v>520.9</v>
      </c>
      <c r="EX304" s="67" t="s">
        <v>2449</v>
      </c>
      <c r="EY304" s="67">
        <v>5952.75</v>
      </c>
      <c r="EZ304" s="67" t="s">
        <v>2450</v>
      </c>
      <c r="FA304" s="67">
        <v>21380.25</v>
      </c>
      <c r="FB304" s="67" t="s">
        <v>2451</v>
      </c>
      <c r="FC304" s="67" t="s">
        <v>2452</v>
      </c>
      <c r="FD304" s="67" t="s">
        <v>2453</v>
      </c>
      <c r="FE304" s="68" t="s">
        <v>2454</v>
      </c>
      <c r="FF304" s="68" t="s">
        <v>2455</v>
      </c>
    </row>
    <row r="305" spans="151:162" x14ac:dyDescent="0.2">
      <c r="EU305" s="67">
        <v>594.1</v>
      </c>
      <c r="EV305" s="67" t="s">
        <v>2456</v>
      </c>
      <c r="EW305" s="67">
        <v>520.76</v>
      </c>
      <c r="EX305" s="67" t="s">
        <v>2457</v>
      </c>
      <c r="EY305" s="67">
        <v>5951.25</v>
      </c>
      <c r="EZ305" s="67" t="s">
        <v>2458</v>
      </c>
      <c r="FA305" s="67">
        <v>21374.25</v>
      </c>
      <c r="FB305" s="67" t="s">
        <v>2459</v>
      </c>
      <c r="FC305" s="67" t="s">
        <v>2460</v>
      </c>
      <c r="FD305" s="67" t="s">
        <v>2461</v>
      </c>
      <c r="FE305" s="68" t="s">
        <v>2462</v>
      </c>
      <c r="FF305" s="68" t="s">
        <v>2463</v>
      </c>
    </row>
    <row r="306" spans="151:162" x14ac:dyDescent="0.2">
      <c r="EU306" s="67">
        <v>594</v>
      </c>
      <c r="EV306" s="67" t="s">
        <v>2464</v>
      </c>
      <c r="EW306" s="67">
        <v>520.65</v>
      </c>
      <c r="EX306" s="67" t="s">
        <v>2465</v>
      </c>
      <c r="EY306" s="67">
        <v>5950.25</v>
      </c>
      <c r="EZ306" s="67" t="s">
        <v>2466</v>
      </c>
      <c r="FA306" s="67">
        <v>21369.75</v>
      </c>
      <c r="FB306" s="67" t="s">
        <v>2467</v>
      </c>
      <c r="FC306" s="67" t="s">
        <v>2468</v>
      </c>
      <c r="FD306" s="67" t="s">
        <v>2469</v>
      </c>
      <c r="FE306" s="68" t="s">
        <v>2470</v>
      </c>
      <c r="FF306" s="68" t="s">
        <v>2471</v>
      </c>
    </row>
    <row r="307" spans="151:162" x14ac:dyDescent="0.2">
      <c r="EU307" s="67">
        <v>593.99</v>
      </c>
      <c r="EV307" s="67" t="s">
        <v>2472</v>
      </c>
      <c r="EW307" s="67">
        <v>520.64</v>
      </c>
      <c r="EX307" s="67" t="s">
        <v>2473</v>
      </c>
      <c r="EY307" s="67">
        <v>5950.5</v>
      </c>
      <c r="EZ307" s="67" t="s">
        <v>2474</v>
      </c>
      <c r="FA307" s="67">
        <v>21369.5</v>
      </c>
      <c r="FB307" s="67" t="s">
        <v>2475</v>
      </c>
      <c r="FC307" s="67" t="s">
        <v>2476</v>
      </c>
      <c r="FD307" s="67" t="s">
        <v>2477</v>
      </c>
      <c r="FE307" s="68" t="s">
        <v>2478</v>
      </c>
      <c r="FF307" s="68" t="s">
        <v>2479</v>
      </c>
    </row>
    <row r="308" spans="151:162" x14ac:dyDescent="0.2">
      <c r="EU308" s="67">
        <v>594.08000000000004</v>
      </c>
      <c r="EV308" s="67" t="s">
        <v>2480</v>
      </c>
      <c r="EW308" s="67">
        <v>520.73</v>
      </c>
      <c r="EX308" s="67" t="s">
        <v>2481</v>
      </c>
      <c r="EY308" s="67">
        <v>5951.5</v>
      </c>
      <c r="EZ308" s="67" t="s">
        <v>2482</v>
      </c>
      <c r="FA308" s="67">
        <v>21373.25</v>
      </c>
      <c r="FB308" s="67" t="s">
        <v>2483</v>
      </c>
      <c r="FC308" s="67" t="s">
        <v>2484</v>
      </c>
      <c r="FD308" s="67" t="s">
        <v>2485</v>
      </c>
      <c r="FE308" s="68" t="s">
        <v>2486</v>
      </c>
      <c r="FF308" s="68" t="s">
        <v>2487</v>
      </c>
    </row>
    <row r="309" spans="151:162" x14ac:dyDescent="0.2">
      <c r="EU309" s="67">
        <v>594.12</v>
      </c>
      <c r="EV309" s="67" t="s">
        <v>2488</v>
      </c>
      <c r="EW309" s="67">
        <v>520.74</v>
      </c>
      <c r="EX309" s="67" t="s">
        <v>2489</v>
      </c>
      <c r="EY309" s="67">
        <v>5951.5</v>
      </c>
      <c r="EZ309" s="67" t="s">
        <v>2490</v>
      </c>
      <c r="FA309" s="67">
        <v>21373.25</v>
      </c>
      <c r="FB309" s="67" t="s">
        <v>2491</v>
      </c>
      <c r="FC309" s="67" t="s">
        <v>2492</v>
      </c>
      <c r="FD309" s="67" t="s">
        <v>2493</v>
      </c>
      <c r="FE309" s="68" t="s">
        <v>2494</v>
      </c>
      <c r="FF309" s="68" t="s">
        <v>2495</v>
      </c>
    </row>
    <row r="310" spans="151:162" x14ac:dyDescent="0.2">
      <c r="EU310" s="67">
        <v>594.11</v>
      </c>
      <c r="EV310" s="67" t="s">
        <v>2496</v>
      </c>
      <c r="EW310" s="67">
        <v>520.73</v>
      </c>
      <c r="EX310" s="67" t="s">
        <v>2497</v>
      </c>
      <c r="EY310" s="67">
        <v>5951.75</v>
      </c>
      <c r="EZ310" s="67" t="s">
        <v>2498</v>
      </c>
      <c r="FA310" s="67">
        <v>21374</v>
      </c>
      <c r="FB310" s="67" t="s">
        <v>2499</v>
      </c>
      <c r="FC310" s="67" t="s">
        <v>2500</v>
      </c>
      <c r="FD310" s="67" t="s">
        <v>2501</v>
      </c>
      <c r="FE310" s="68" t="s">
        <v>2502</v>
      </c>
      <c r="FF310" s="68" t="s">
        <v>2503</v>
      </c>
    </row>
    <row r="311" spans="151:162" x14ac:dyDescent="0.2">
      <c r="EU311" s="67">
        <v>594.1</v>
      </c>
      <c r="EV311" s="67" t="s">
        <v>2504</v>
      </c>
      <c r="EW311" s="67">
        <v>520.73</v>
      </c>
      <c r="EX311" s="67" t="s">
        <v>2505</v>
      </c>
      <c r="EY311" s="67">
        <v>5951.5</v>
      </c>
      <c r="EZ311" s="67" t="s">
        <v>2506</v>
      </c>
      <c r="FA311" s="67">
        <v>21375.5</v>
      </c>
      <c r="FB311" s="67" t="s">
        <v>2507</v>
      </c>
      <c r="FC311" s="67" t="s">
        <v>2508</v>
      </c>
      <c r="FD311" s="67" t="s">
        <v>2509</v>
      </c>
      <c r="FE311" s="68" t="s">
        <v>2510</v>
      </c>
      <c r="FF311" s="68" t="s">
        <v>2511</v>
      </c>
    </row>
    <row r="312" spans="151:162" x14ac:dyDescent="0.2">
      <c r="EU312" s="67">
        <v>594.12</v>
      </c>
      <c r="EV312" s="67" t="s">
        <v>2512</v>
      </c>
      <c r="EW312" s="67">
        <v>520.75</v>
      </c>
      <c r="EX312" s="67" t="s">
        <v>2513</v>
      </c>
      <c r="EY312" s="67">
        <v>5951.75</v>
      </c>
      <c r="EZ312" s="67" t="s">
        <v>2514</v>
      </c>
      <c r="FA312" s="67">
        <v>21375.75</v>
      </c>
      <c r="FB312" s="67" t="s">
        <v>2515</v>
      </c>
      <c r="FC312" s="67" t="s">
        <v>2516</v>
      </c>
      <c r="FD312" s="67" t="s">
        <v>2517</v>
      </c>
      <c r="FE312" s="68" t="s">
        <v>2518</v>
      </c>
      <c r="FF312" s="68" t="s">
        <v>2519</v>
      </c>
    </row>
    <row r="313" spans="151:162" x14ac:dyDescent="0.2">
      <c r="EU313" s="67">
        <v>594.09</v>
      </c>
      <c r="EV313" s="67" t="s">
        <v>2520</v>
      </c>
      <c r="EW313" s="67">
        <v>520.76</v>
      </c>
      <c r="EX313" s="67" t="s">
        <v>2521</v>
      </c>
      <c r="EY313" s="67">
        <v>5951.25</v>
      </c>
      <c r="EZ313" s="67" t="s">
        <v>2522</v>
      </c>
      <c r="FA313" s="67">
        <v>21375.75</v>
      </c>
      <c r="FB313" s="67" t="s">
        <v>2523</v>
      </c>
      <c r="FC313" s="67" t="s">
        <v>2524</v>
      </c>
      <c r="FD313" s="67" t="s">
        <v>2525</v>
      </c>
      <c r="FE313" s="68" t="s">
        <v>2526</v>
      </c>
      <c r="FF313" s="68" t="s">
        <v>2527</v>
      </c>
    </row>
    <row r="314" spans="151:162" x14ac:dyDescent="0.2">
      <c r="EU314" s="67">
        <v>594.13</v>
      </c>
      <c r="EV314" s="67" t="s">
        <v>2528</v>
      </c>
      <c r="EW314" s="67">
        <v>520.79999999999995</v>
      </c>
      <c r="EX314" s="67" t="s">
        <v>2529</v>
      </c>
      <c r="EY314" s="67">
        <v>5952</v>
      </c>
      <c r="EZ314" s="67" t="s">
        <v>2530</v>
      </c>
      <c r="FA314" s="67">
        <v>21377.75</v>
      </c>
      <c r="FB314" s="67" t="s">
        <v>2531</v>
      </c>
      <c r="FC314" s="67" t="s">
        <v>2532</v>
      </c>
      <c r="FD314" s="67" t="s">
        <v>2533</v>
      </c>
      <c r="FE314" s="68" t="s">
        <v>2534</v>
      </c>
      <c r="FF314" s="68" t="s">
        <v>2535</v>
      </c>
    </row>
    <row r="315" spans="151:162" x14ac:dyDescent="0.2">
      <c r="EU315" s="67">
        <v>594.20000000000005</v>
      </c>
      <c r="EV315" s="67" t="s">
        <v>2536</v>
      </c>
      <c r="EW315" s="67">
        <v>520.89</v>
      </c>
      <c r="EX315" s="67" t="s">
        <v>2537</v>
      </c>
      <c r="EY315" s="67">
        <v>5952.75</v>
      </c>
      <c r="EZ315" s="67" t="s">
        <v>2538</v>
      </c>
      <c r="FA315" s="67">
        <v>21381</v>
      </c>
      <c r="FB315" s="67" t="s">
        <v>2539</v>
      </c>
      <c r="FC315" s="67" t="s">
        <v>2540</v>
      </c>
      <c r="FD315" s="67" t="s">
        <v>2541</v>
      </c>
      <c r="FE315" s="68" t="s">
        <v>2542</v>
      </c>
      <c r="FF315" s="68" t="s">
        <v>2543</v>
      </c>
    </row>
    <row r="316" spans="151:162" x14ac:dyDescent="0.2">
      <c r="EU316" s="67">
        <v>594.16</v>
      </c>
      <c r="EV316" s="67" t="s">
        <v>2544</v>
      </c>
      <c r="EW316" s="67">
        <v>520.79</v>
      </c>
      <c r="EX316" s="67" t="s">
        <v>2545</v>
      </c>
      <c r="EY316" s="67">
        <v>5952.25</v>
      </c>
      <c r="EZ316" s="67" t="s">
        <v>2546</v>
      </c>
      <c r="FA316" s="67">
        <v>21377.25</v>
      </c>
      <c r="FB316" s="67" t="s">
        <v>2547</v>
      </c>
      <c r="FC316" s="67" t="s">
        <v>2548</v>
      </c>
      <c r="FD316" s="67" t="s">
        <v>2549</v>
      </c>
      <c r="FE316" s="68" t="s">
        <v>2550</v>
      </c>
      <c r="FF316" s="68" t="s">
        <v>2551</v>
      </c>
    </row>
    <row r="317" spans="151:162" x14ac:dyDescent="0.2">
      <c r="EU317" s="67">
        <v>594.08000000000004</v>
      </c>
      <c r="EV317" s="67" t="s">
        <v>2552</v>
      </c>
      <c r="EW317" s="67">
        <v>520.66999999999996</v>
      </c>
      <c r="EX317" s="67" t="s">
        <v>2553</v>
      </c>
      <c r="EY317" s="67">
        <v>5951.25</v>
      </c>
      <c r="EZ317" s="67" t="s">
        <v>2554</v>
      </c>
      <c r="FA317" s="67">
        <v>21372</v>
      </c>
      <c r="FB317" s="67" t="s">
        <v>2555</v>
      </c>
      <c r="FC317" s="67" t="s">
        <v>2556</v>
      </c>
      <c r="FD317" s="67" t="s">
        <v>2557</v>
      </c>
      <c r="FE317" s="68" t="s">
        <v>2558</v>
      </c>
      <c r="FF317" s="68" t="s">
        <v>2559</v>
      </c>
    </row>
    <row r="318" spans="151:162" x14ac:dyDescent="0.2">
      <c r="EU318" s="67">
        <v>594.11</v>
      </c>
      <c r="EV318" s="67" t="s">
        <v>2560</v>
      </c>
      <c r="EW318" s="67">
        <v>520.67999999999995</v>
      </c>
      <c r="EX318" s="67" t="s">
        <v>2561</v>
      </c>
      <c r="EY318" s="67">
        <v>5951.75</v>
      </c>
      <c r="EZ318" s="67" t="s">
        <v>2562</v>
      </c>
      <c r="FA318" s="67">
        <v>21372.5</v>
      </c>
      <c r="FB318" s="67" t="s">
        <v>2563</v>
      </c>
      <c r="FC318" s="67" t="s">
        <v>2564</v>
      </c>
      <c r="FD318" s="67" t="s">
        <v>2565</v>
      </c>
      <c r="FE318" s="68" t="s">
        <v>2566</v>
      </c>
      <c r="FF318" s="68" t="s">
        <v>2567</v>
      </c>
    </row>
    <row r="319" spans="151:162" x14ac:dyDescent="0.2">
      <c r="EU319" s="67">
        <v>593.96</v>
      </c>
      <c r="EV319" s="67" t="s">
        <v>2568</v>
      </c>
      <c r="EW319" s="67">
        <v>520.53</v>
      </c>
      <c r="EX319" s="67" t="s">
        <v>2569</v>
      </c>
      <c r="EY319" s="67">
        <v>5950</v>
      </c>
      <c r="EZ319" s="67" t="s">
        <v>2570</v>
      </c>
      <c r="FA319" s="67">
        <v>21366.25</v>
      </c>
      <c r="FB319" s="67" t="s">
        <v>2571</v>
      </c>
      <c r="FC319" s="67" t="s">
        <v>2572</v>
      </c>
      <c r="FD319" s="67" t="s">
        <v>2573</v>
      </c>
      <c r="FE319" s="68" t="s">
        <v>2574</v>
      </c>
      <c r="FF319" s="68" t="s">
        <v>2575</v>
      </c>
    </row>
    <row r="320" spans="151:162" x14ac:dyDescent="0.2">
      <c r="EU320" s="67">
        <v>593.96</v>
      </c>
      <c r="EV320" s="67" t="s">
        <v>2576</v>
      </c>
      <c r="EW320" s="67">
        <v>520.52</v>
      </c>
      <c r="EX320" s="67" t="s">
        <v>2577</v>
      </c>
      <c r="EY320" s="67">
        <v>5950</v>
      </c>
      <c r="EZ320" s="67" t="s">
        <v>2578</v>
      </c>
      <c r="FA320" s="67">
        <v>21365.75</v>
      </c>
      <c r="FB320" s="67" t="s">
        <v>2579</v>
      </c>
      <c r="FC320" s="67" t="s">
        <v>2580</v>
      </c>
      <c r="FD320" s="67" t="s">
        <v>2581</v>
      </c>
      <c r="FE320" s="68" t="s">
        <v>2582</v>
      </c>
      <c r="FF320" s="68" t="s">
        <v>2583</v>
      </c>
    </row>
    <row r="321" spans="151:162" x14ac:dyDescent="0.2">
      <c r="EU321" s="67">
        <v>593.92999999999995</v>
      </c>
      <c r="EV321" s="67" t="s">
        <v>2584</v>
      </c>
      <c r="EW321" s="67">
        <v>520.5</v>
      </c>
      <c r="EX321" s="67" t="s">
        <v>2585</v>
      </c>
      <c r="EY321" s="67">
        <v>5949.75</v>
      </c>
      <c r="EZ321" s="67" t="s">
        <v>2586</v>
      </c>
      <c r="FA321" s="67">
        <v>21365</v>
      </c>
      <c r="FB321" s="67" t="s">
        <v>2587</v>
      </c>
      <c r="FC321" s="67" t="s">
        <v>2588</v>
      </c>
      <c r="FD321" s="67" t="s">
        <v>2589</v>
      </c>
      <c r="FE321" s="68" t="s">
        <v>2590</v>
      </c>
      <c r="FF321" s="68" t="s">
        <v>2591</v>
      </c>
    </row>
    <row r="322" spans="151:162" x14ac:dyDescent="0.2">
      <c r="EU322" s="67">
        <v>593.87</v>
      </c>
      <c r="EV322" s="67" t="s">
        <v>2592</v>
      </c>
      <c r="EW322" s="67">
        <v>520.45000000000005</v>
      </c>
      <c r="EX322" s="67" t="s">
        <v>2593</v>
      </c>
      <c r="EY322" s="67">
        <v>5949.5</v>
      </c>
      <c r="EZ322" s="67" t="s">
        <v>2594</v>
      </c>
      <c r="FA322" s="67">
        <v>21362.5</v>
      </c>
      <c r="FB322" s="67" t="s">
        <v>2595</v>
      </c>
      <c r="FC322" s="67" t="s">
        <v>2596</v>
      </c>
      <c r="FD322" s="67" t="s">
        <v>2597</v>
      </c>
      <c r="FE322" s="68" t="s">
        <v>2598</v>
      </c>
      <c r="FF322" s="68" t="s">
        <v>2599</v>
      </c>
    </row>
    <row r="323" spans="151:162" x14ac:dyDescent="0.2">
      <c r="EU323" s="67">
        <v>593.95000000000005</v>
      </c>
      <c r="EV323" s="67" t="s">
        <v>2600</v>
      </c>
      <c r="EW323" s="67">
        <v>520.46</v>
      </c>
      <c r="EX323" s="67" t="s">
        <v>2601</v>
      </c>
      <c r="EY323" s="67">
        <v>5950</v>
      </c>
      <c r="EZ323" s="67" t="s">
        <v>2602</v>
      </c>
      <c r="FA323" s="67">
        <v>21363.5</v>
      </c>
      <c r="FB323" s="67" t="s">
        <v>2603</v>
      </c>
      <c r="FC323" s="67" t="s">
        <v>2604</v>
      </c>
      <c r="FD323" s="67" t="s">
        <v>2605</v>
      </c>
      <c r="FE323" s="68" t="s">
        <v>2606</v>
      </c>
      <c r="FF323" s="68" t="s">
        <v>2607</v>
      </c>
    </row>
    <row r="324" spans="151:162" x14ac:dyDescent="0.2">
      <c r="EU324" s="67">
        <v>593.88</v>
      </c>
      <c r="EV324" s="67" t="s">
        <v>2608</v>
      </c>
      <c r="EW324" s="67">
        <v>520.36</v>
      </c>
      <c r="EX324" s="67" t="s">
        <v>2609</v>
      </c>
      <c r="EY324" s="67">
        <v>5949.5</v>
      </c>
      <c r="EZ324" s="67" t="s">
        <v>2610</v>
      </c>
      <c r="FA324" s="67">
        <v>21359.5</v>
      </c>
      <c r="FB324" s="67" t="s">
        <v>2611</v>
      </c>
      <c r="FC324" s="67" t="s">
        <v>2612</v>
      </c>
      <c r="FD324" s="67" t="s">
        <v>2613</v>
      </c>
      <c r="FE324" s="68" t="s">
        <v>2614</v>
      </c>
      <c r="FF324" s="68" t="s">
        <v>2615</v>
      </c>
    </row>
    <row r="325" spans="151:162" x14ac:dyDescent="0.2">
      <c r="EU325" s="67">
        <v>593.85</v>
      </c>
      <c r="EV325" s="67" t="s">
        <v>2616</v>
      </c>
      <c r="EW325" s="67">
        <v>520.34</v>
      </c>
      <c r="EX325" s="67" t="s">
        <v>2617</v>
      </c>
      <c r="EY325" s="67">
        <v>5949.25</v>
      </c>
      <c r="EZ325" s="67" t="s">
        <v>2618</v>
      </c>
      <c r="FA325" s="67">
        <v>21358</v>
      </c>
      <c r="FB325" s="67" t="s">
        <v>2619</v>
      </c>
      <c r="FC325" s="67" t="s">
        <v>2620</v>
      </c>
      <c r="FD325" s="67" t="s">
        <v>2621</v>
      </c>
      <c r="FE325" s="68" t="s">
        <v>2622</v>
      </c>
      <c r="FF325" s="68" t="s">
        <v>2623</v>
      </c>
    </row>
    <row r="326" spans="151:162" x14ac:dyDescent="0.2">
      <c r="EU326" s="67">
        <v>593.85</v>
      </c>
      <c r="EV326" s="67" t="s">
        <v>2624</v>
      </c>
      <c r="EW326" s="67">
        <v>520.30999999999995</v>
      </c>
      <c r="EX326" s="67" t="s">
        <v>2625</v>
      </c>
      <c r="EY326" s="67">
        <v>5949.25</v>
      </c>
      <c r="EZ326" s="67" t="s">
        <v>2626</v>
      </c>
      <c r="FA326" s="67">
        <v>21357.25</v>
      </c>
      <c r="FB326" s="67" t="s">
        <v>2627</v>
      </c>
      <c r="FC326" s="67" t="s">
        <v>2628</v>
      </c>
      <c r="FD326" s="67" t="s">
        <v>2629</v>
      </c>
      <c r="FE326" s="68" t="s">
        <v>2630</v>
      </c>
      <c r="FF326" s="68" t="s">
        <v>2631</v>
      </c>
    </row>
    <row r="327" spans="151:162" x14ac:dyDescent="0.2">
      <c r="EU327" s="67">
        <v>593.89</v>
      </c>
      <c r="EV327" s="67" t="s">
        <v>2632</v>
      </c>
      <c r="EW327" s="67">
        <v>520.37</v>
      </c>
      <c r="EX327" s="67" t="s">
        <v>2633</v>
      </c>
      <c r="EY327" s="67">
        <v>5949.5</v>
      </c>
      <c r="EZ327" s="67" t="s">
        <v>2634</v>
      </c>
      <c r="FA327" s="67">
        <v>21359.5</v>
      </c>
      <c r="FB327" s="67" t="s">
        <v>2635</v>
      </c>
      <c r="FC327" s="67" t="s">
        <v>2636</v>
      </c>
      <c r="FD327" s="67" t="s">
        <v>2637</v>
      </c>
      <c r="FE327" s="68" t="s">
        <v>2638</v>
      </c>
      <c r="FF327" s="68" t="s">
        <v>2639</v>
      </c>
    </row>
    <row r="328" spans="151:162" x14ac:dyDescent="0.2">
      <c r="EU328" s="67">
        <v>593.82000000000005</v>
      </c>
      <c r="EV328" s="67" t="s">
        <v>2640</v>
      </c>
      <c r="EW328" s="67">
        <v>520.34</v>
      </c>
      <c r="EX328" s="67" t="s">
        <v>2641</v>
      </c>
      <c r="EY328" s="67">
        <v>5948.75</v>
      </c>
      <c r="EZ328" s="67" t="s">
        <v>2642</v>
      </c>
      <c r="FA328" s="67">
        <v>21359.25</v>
      </c>
      <c r="FB328" s="67" t="s">
        <v>2643</v>
      </c>
      <c r="FC328" s="67" t="s">
        <v>2644</v>
      </c>
      <c r="FD328" s="67" t="s">
        <v>2645</v>
      </c>
      <c r="FE328" s="68" t="s">
        <v>2646</v>
      </c>
      <c r="FF328" s="68" t="s">
        <v>2647</v>
      </c>
    </row>
    <row r="329" spans="151:162" x14ac:dyDescent="0.2">
      <c r="EU329" s="67">
        <v>593.72</v>
      </c>
      <c r="EV329" s="67" t="s">
        <v>2648</v>
      </c>
      <c r="EW329" s="67">
        <v>520.24</v>
      </c>
      <c r="EX329" s="67" t="s">
        <v>2649</v>
      </c>
      <c r="EY329" s="67">
        <v>5948</v>
      </c>
      <c r="EZ329" s="67" t="s">
        <v>2650</v>
      </c>
      <c r="FA329" s="67">
        <v>21354.5</v>
      </c>
      <c r="FB329" s="67" t="s">
        <v>2651</v>
      </c>
      <c r="FC329" s="67" t="s">
        <v>2652</v>
      </c>
      <c r="FD329" s="67" t="s">
        <v>2653</v>
      </c>
      <c r="FE329" s="68" t="s">
        <v>2654</v>
      </c>
      <c r="FF329" s="68" t="s">
        <v>2655</v>
      </c>
    </row>
    <row r="330" spans="151:162" x14ac:dyDescent="0.2">
      <c r="EU330" s="67">
        <v>593.75</v>
      </c>
      <c r="EV330" s="67" t="s">
        <v>2656</v>
      </c>
      <c r="EW330" s="67">
        <v>520.26</v>
      </c>
      <c r="EX330" s="67" t="s">
        <v>2657</v>
      </c>
      <c r="EY330" s="67">
        <v>5948</v>
      </c>
      <c r="EZ330" s="67" t="s">
        <v>2658</v>
      </c>
      <c r="FA330" s="67">
        <v>21355.25</v>
      </c>
      <c r="FB330" s="67" t="s">
        <v>2659</v>
      </c>
      <c r="FC330" s="67" t="s">
        <v>2660</v>
      </c>
      <c r="FD330" s="67" t="s">
        <v>2661</v>
      </c>
      <c r="FE330" s="68" t="s">
        <v>2662</v>
      </c>
      <c r="FF330" s="68" t="s">
        <v>2663</v>
      </c>
    </row>
    <row r="331" spans="151:162" x14ac:dyDescent="0.2">
      <c r="EU331" s="67">
        <v>593.67999999999995</v>
      </c>
      <c r="EV331" s="67" t="s">
        <v>2664</v>
      </c>
      <c r="EW331" s="67">
        <v>520.14</v>
      </c>
      <c r="EX331" s="67" t="s">
        <v>2665</v>
      </c>
      <c r="EY331" s="67">
        <v>5947.5</v>
      </c>
      <c r="EZ331" s="67" t="s">
        <v>2666</v>
      </c>
      <c r="FA331" s="67">
        <v>21350</v>
      </c>
      <c r="FB331" s="67" t="s">
        <v>2667</v>
      </c>
      <c r="FC331" s="67" t="s">
        <v>2668</v>
      </c>
      <c r="FD331" s="67" t="s">
        <v>2669</v>
      </c>
      <c r="FE331" s="68" t="s">
        <v>2670</v>
      </c>
      <c r="FF331" s="68" t="s">
        <v>2671</v>
      </c>
    </row>
    <row r="332" spans="151:162" x14ac:dyDescent="0.2">
      <c r="EU332" s="67">
        <v>593.5</v>
      </c>
      <c r="EV332" s="67" t="s">
        <v>2672</v>
      </c>
      <c r="EW332" s="67">
        <v>519.91999999999996</v>
      </c>
      <c r="EX332" s="67" t="s">
        <v>2673</v>
      </c>
      <c r="EY332" s="67">
        <v>5945.75</v>
      </c>
      <c r="EZ332" s="67" t="s">
        <v>2674</v>
      </c>
      <c r="FA332" s="67">
        <v>21341.5</v>
      </c>
      <c r="FB332" s="67" t="s">
        <v>2675</v>
      </c>
      <c r="FC332" s="67" t="s">
        <v>2676</v>
      </c>
      <c r="FD332" s="67" t="s">
        <v>2677</v>
      </c>
      <c r="FE332" s="68" t="s">
        <v>2678</v>
      </c>
      <c r="FF332" s="68" t="s">
        <v>2679</v>
      </c>
    </row>
    <row r="333" spans="151:162" x14ac:dyDescent="0.2">
      <c r="EU333" s="67">
        <v>593.4</v>
      </c>
      <c r="EV333" s="67" t="s">
        <v>2680</v>
      </c>
      <c r="EW333" s="67">
        <v>519.88</v>
      </c>
      <c r="EX333" s="67" t="s">
        <v>2681</v>
      </c>
      <c r="EY333" s="67">
        <v>5944.75</v>
      </c>
      <c r="EZ333" s="67" t="s">
        <v>2682</v>
      </c>
      <c r="FA333" s="67">
        <v>21338.75</v>
      </c>
      <c r="FB333" s="67" t="s">
        <v>2683</v>
      </c>
      <c r="FC333" s="67" t="s">
        <v>2684</v>
      </c>
      <c r="FD333" s="67" t="s">
        <v>2685</v>
      </c>
      <c r="FE333" s="68" t="s">
        <v>2686</v>
      </c>
      <c r="FF333" s="68" t="s">
        <v>2687</v>
      </c>
    </row>
    <row r="334" spans="151:162" x14ac:dyDescent="0.2">
      <c r="EU334" s="67">
        <v>593.29</v>
      </c>
      <c r="EV334" s="67" t="s">
        <v>2688</v>
      </c>
      <c r="EW334" s="67">
        <v>519.73</v>
      </c>
      <c r="EX334" s="67" t="s">
        <v>2689</v>
      </c>
      <c r="EY334" s="67">
        <v>5943.5</v>
      </c>
      <c r="EZ334" s="67" t="s">
        <v>2690</v>
      </c>
      <c r="FA334" s="67">
        <v>21333.25</v>
      </c>
      <c r="FB334" s="67" t="s">
        <v>2691</v>
      </c>
      <c r="FC334" s="67" t="s">
        <v>2692</v>
      </c>
      <c r="FD334" s="67" t="s">
        <v>2693</v>
      </c>
      <c r="FE334" s="68" t="s">
        <v>2694</v>
      </c>
      <c r="FF334" s="68" t="s">
        <v>2695</v>
      </c>
    </row>
    <row r="335" spans="151:162" x14ac:dyDescent="0.2">
      <c r="EU335" s="67">
        <v>593.32000000000005</v>
      </c>
      <c r="EV335" s="67" t="s">
        <v>2696</v>
      </c>
      <c r="EW335" s="67">
        <v>519.74</v>
      </c>
      <c r="EX335" s="67" t="s">
        <v>2697</v>
      </c>
      <c r="EY335" s="67">
        <v>5944</v>
      </c>
      <c r="EZ335" s="67" t="s">
        <v>2698</v>
      </c>
      <c r="FA335" s="67">
        <v>21333.5</v>
      </c>
      <c r="FB335" s="67" t="s">
        <v>2699</v>
      </c>
      <c r="FC335" s="67" t="s">
        <v>2700</v>
      </c>
      <c r="FD335" s="67" t="s">
        <v>2701</v>
      </c>
      <c r="FE335" s="68" t="s">
        <v>2702</v>
      </c>
      <c r="FF335" s="68" t="s">
        <v>2703</v>
      </c>
    </row>
    <row r="336" spans="151:162" x14ac:dyDescent="0.2">
      <c r="EU336" s="67">
        <v>593.39</v>
      </c>
      <c r="EV336" s="67" t="s">
        <v>2704</v>
      </c>
      <c r="EW336" s="67">
        <v>519.85</v>
      </c>
      <c r="EX336" s="67" t="s">
        <v>2705</v>
      </c>
      <c r="EY336" s="67">
        <v>5944.5</v>
      </c>
      <c r="EZ336" s="67" t="s">
        <v>2706</v>
      </c>
      <c r="FA336" s="67">
        <v>21338.5</v>
      </c>
      <c r="FB336" s="67" t="s">
        <v>2707</v>
      </c>
      <c r="FC336" s="67" t="s">
        <v>2708</v>
      </c>
      <c r="FD336" s="67" t="s">
        <v>2709</v>
      </c>
      <c r="FE336" s="68" t="s">
        <v>2710</v>
      </c>
      <c r="FF336" s="68" t="s">
        <v>2711</v>
      </c>
    </row>
    <row r="337" spans="151:162" x14ac:dyDescent="0.2">
      <c r="EU337" s="67">
        <v>593.45000000000005</v>
      </c>
      <c r="EV337" s="67" t="s">
        <v>2712</v>
      </c>
      <c r="EW337" s="67">
        <v>519.92999999999995</v>
      </c>
      <c r="EX337" s="67" t="s">
        <v>2713</v>
      </c>
      <c r="EY337" s="67">
        <v>5945</v>
      </c>
      <c r="EZ337" s="67" t="s">
        <v>2714</v>
      </c>
      <c r="FA337" s="67">
        <v>21341</v>
      </c>
      <c r="FB337" s="67" t="s">
        <v>2715</v>
      </c>
      <c r="FC337" s="67" t="s">
        <v>2716</v>
      </c>
      <c r="FD337" s="67" t="s">
        <v>2717</v>
      </c>
      <c r="FE337" s="68" t="s">
        <v>2718</v>
      </c>
      <c r="FF337" s="68" t="s">
        <v>2719</v>
      </c>
    </row>
    <row r="338" spans="151:162" x14ac:dyDescent="0.2">
      <c r="EU338" s="67">
        <v>593.4</v>
      </c>
      <c r="EV338" s="67" t="s">
        <v>2720</v>
      </c>
      <c r="EW338" s="67">
        <v>519.88</v>
      </c>
      <c r="EX338" s="67" t="s">
        <v>2721</v>
      </c>
      <c r="EY338" s="67">
        <v>5944.5</v>
      </c>
      <c r="EZ338" s="67" t="s">
        <v>2722</v>
      </c>
      <c r="FA338" s="67">
        <v>21338.5</v>
      </c>
      <c r="FB338" s="67" t="s">
        <v>2723</v>
      </c>
      <c r="FC338" s="67" t="s">
        <v>2724</v>
      </c>
      <c r="FD338" s="67" t="s">
        <v>2725</v>
      </c>
      <c r="FE338" s="68" t="s">
        <v>2726</v>
      </c>
      <c r="FF338" s="68" t="s">
        <v>2727</v>
      </c>
    </row>
    <row r="339" spans="151:162" x14ac:dyDescent="0.2">
      <c r="EU339" s="67">
        <v>593.49</v>
      </c>
      <c r="EV339" s="67" t="s">
        <v>2728</v>
      </c>
      <c r="EW339" s="67">
        <v>519.96</v>
      </c>
      <c r="EX339" s="67" t="s">
        <v>2729</v>
      </c>
      <c r="EY339" s="67">
        <v>5945.5</v>
      </c>
      <c r="EZ339" s="67" t="s">
        <v>2730</v>
      </c>
      <c r="FA339" s="67">
        <v>21342.25</v>
      </c>
      <c r="FB339" s="67" t="s">
        <v>2731</v>
      </c>
      <c r="FC339" s="67" t="s">
        <v>2732</v>
      </c>
      <c r="FD339" s="67" t="s">
        <v>2733</v>
      </c>
      <c r="FE339" s="68" t="s">
        <v>2734</v>
      </c>
      <c r="FF339" s="68" t="s">
        <v>2735</v>
      </c>
    </row>
    <row r="340" spans="151:162" x14ac:dyDescent="0.2">
      <c r="EU340" s="67">
        <v>593.45000000000005</v>
      </c>
      <c r="EV340" s="67" t="s">
        <v>2736</v>
      </c>
      <c r="EW340" s="67">
        <v>519.92999999999995</v>
      </c>
      <c r="EX340" s="67" t="s">
        <v>2737</v>
      </c>
      <c r="EY340" s="67">
        <v>5945</v>
      </c>
      <c r="EZ340" s="67" t="s">
        <v>2738</v>
      </c>
      <c r="FA340" s="67">
        <v>21341</v>
      </c>
      <c r="FB340" s="67" t="s">
        <v>2739</v>
      </c>
      <c r="FC340" s="67" t="s">
        <v>2740</v>
      </c>
      <c r="FD340" s="67" t="s">
        <v>2741</v>
      </c>
      <c r="FE340" s="68" t="s">
        <v>2742</v>
      </c>
      <c r="FF340" s="68" t="s">
        <v>2743</v>
      </c>
    </row>
    <row r="341" spans="151:162" x14ac:dyDescent="0.2">
      <c r="EU341" s="67">
        <v>593.57000000000005</v>
      </c>
      <c r="EV341" s="67" t="s">
        <v>2744</v>
      </c>
      <c r="EW341" s="67">
        <v>520.02</v>
      </c>
      <c r="EX341" s="67" t="s">
        <v>2745</v>
      </c>
      <c r="EY341" s="67">
        <v>5946.5</v>
      </c>
      <c r="EZ341" s="67" t="s">
        <v>2746</v>
      </c>
      <c r="FA341" s="67">
        <v>21345.25</v>
      </c>
      <c r="FB341" s="67" t="s">
        <v>2747</v>
      </c>
      <c r="FC341" s="67" t="s">
        <v>2748</v>
      </c>
      <c r="FD341" s="67" t="s">
        <v>2749</v>
      </c>
      <c r="FE341" s="68" t="s">
        <v>2750</v>
      </c>
      <c r="FF341" s="68" t="s">
        <v>2751</v>
      </c>
    </row>
    <row r="342" spans="151:162" x14ac:dyDescent="0.2">
      <c r="EU342" s="67">
        <v>593.45000000000005</v>
      </c>
      <c r="EV342" s="67" t="s">
        <v>2752</v>
      </c>
      <c r="EW342" s="67">
        <v>519.86</v>
      </c>
      <c r="EX342" s="67" t="s">
        <v>2753</v>
      </c>
      <c r="EY342" s="67">
        <v>5945.25</v>
      </c>
      <c r="EZ342" s="67" t="s">
        <v>2754</v>
      </c>
      <c r="FA342" s="67">
        <v>21338.75</v>
      </c>
      <c r="FB342" s="67" t="s">
        <v>2755</v>
      </c>
      <c r="FC342" s="67" t="s">
        <v>2756</v>
      </c>
      <c r="FD342" s="67" t="s">
        <v>2757</v>
      </c>
      <c r="FE342" s="68" t="s">
        <v>2758</v>
      </c>
      <c r="FF342" s="68" t="s">
        <v>2759</v>
      </c>
    </row>
    <row r="343" spans="151:162" x14ac:dyDescent="0.2">
      <c r="EU343" s="67">
        <v>593.65</v>
      </c>
      <c r="EV343" s="67" t="s">
        <v>2760</v>
      </c>
      <c r="EW343" s="67">
        <v>520.05999999999995</v>
      </c>
      <c r="EX343" s="67" t="s">
        <v>2761</v>
      </c>
      <c r="EY343" s="67">
        <v>5947.25</v>
      </c>
      <c r="EZ343" s="67" t="s">
        <v>2762</v>
      </c>
      <c r="FA343" s="67">
        <v>21347.25</v>
      </c>
      <c r="FB343" s="67" t="s">
        <v>2763</v>
      </c>
      <c r="FC343" s="67" t="s">
        <v>2764</v>
      </c>
      <c r="FD343" s="67" t="s">
        <v>2765</v>
      </c>
      <c r="FE343" s="68" t="s">
        <v>2766</v>
      </c>
      <c r="FF343" s="68" t="s">
        <v>2767</v>
      </c>
    </row>
    <row r="344" spans="151:162" x14ac:dyDescent="0.2">
      <c r="EU344" s="67">
        <v>593.70000000000005</v>
      </c>
      <c r="EV344" s="67" t="s">
        <v>2768</v>
      </c>
      <c r="EW344" s="67">
        <v>520.14</v>
      </c>
      <c r="EX344" s="67" t="s">
        <v>2769</v>
      </c>
      <c r="EY344" s="67">
        <v>5947.5</v>
      </c>
      <c r="EZ344" s="67" t="s">
        <v>2770</v>
      </c>
      <c r="FA344" s="67">
        <v>21350.25</v>
      </c>
      <c r="FB344" s="67" t="s">
        <v>2771</v>
      </c>
      <c r="FC344" s="67" t="s">
        <v>2772</v>
      </c>
      <c r="FD344" s="67" t="s">
        <v>2773</v>
      </c>
      <c r="FE344" s="68" t="s">
        <v>2774</v>
      </c>
      <c r="FF344" s="68" t="s">
        <v>2775</v>
      </c>
    </row>
    <row r="345" spans="151:162" x14ac:dyDescent="0.2">
      <c r="EU345" s="67">
        <v>593.67999999999995</v>
      </c>
      <c r="EV345" s="67" t="s">
        <v>2776</v>
      </c>
      <c r="EW345" s="67">
        <v>520.11</v>
      </c>
      <c r="EX345" s="67" t="s">
        <v>2777</v>
      </c>
      <c r="EY345" s="67">
        <v>5947.5</v>
      </c>
      <c r="EZ345" s="67" t="s">
        <v>2778</v>
      </c>
      <c r="FA345" s="67">
        <v>21349.25</v>
      </c>
      <c r="FB345" s="67" t="s">
        <v>2779</v>
      </c>
      <c r="FC345" s="67" t="s">
        <v>2780</v>
      </c>
      <c r="FD345" s="67" t="s">
        <v>2781</v>
      </c>
      <c r="FE345" s="68" t="s">
        <v>2782</v>
      </c>
      <c r="FF345" s="68" t="s">
        <v>2783</v>
      </c>
    </row>
    <row r="346" spans="151:162" x14ac:dyDescent="0.2">
      <c r="EU346" s="67">
        <v>593.58000000000004</v>
      </c>
      <c r="EV346" s="67" t="s">
        <v>2784</v>
      </c>
      <c r="EW346" s="67">
        <v>520.04999999999995</v>
      </c>
      <c r="EX346" s="67" t="s">
        <v>2785</v>
      </c>
      <c r="EY346" s="67">
        <v>5946.25</v>
      </c>
      <c r="EZ346" s="67" t="s">
        <v>2786</v>
      </c>
      <c r="FA346" s="67">
        <v>21346.25</v>
      </c>
      <c r="FB346" s="67" t="s">
        <v>2787</v>
      </c>
      <c r="FC346" s="67" t="s">
        <v>2788</v>
      </c>
      <c r="FD346" s="67" t="s">
        <v>2789</v>
      </c>
      <c r="FE346" s="68" t="s">
        <v>2790</v>
      </c>
      <c r="FF346" s="68" t="s">
        <v>2791</v>
      </c>
    </row>
    <row r="347" spans="151:162" x14ac:dyDescent="0.2">
      <c r="EU347" s="67">
        <v>593.54999999999995</v>
      </c>
      <c r="EV347" s="67" t="s">
        <v>2792</v>
      </c>
      <c r="EW347" s="67">
        <v>519.98</v>
      </c>
      <c r="EX347" s="67" t="s">
        <v>2793</v>
      </c>
      <c r="EY347" s="67">
        <v>5946.25</v>
      </c>
      <c r="EZ347" s="67" t="s">
        <v>2794</v>
      </c>
      <c r="FA347" s="67">
        <v>21344.25</v>
      </c>
      <c r="FB347" s="67" t="s">
        <v>2795</v>
      </c>
      <c r="FC347" s="67" t="s">
        <v>2796</v>
      </c>
      <c r="FD347" s="67" t="s">
        <v>2797</v>
      </c>
      <c r="FE347" s="68" t="s">
        <v>2798</v>
      </c>
      <c r="FF347" s="68" t="s">
        <v>2799</v>
      </c>
    </row>
    <row r="348" spans="151:162" x14ac:dyDescent="0.2">
      <c r="EU348" s="67">
        <v>593.4</v>
      </c>
      <c r="EV348" s="67" t="s">
        <v>2800</v>
      </c>
      <c r="EW348" s="67">
        <v>519.87</v>
      </c>
      <c r="EX348" s="67" t="s">
        <v>2801</v>
      </c>
      <c r="EY348" s="67">
        <v>5944.75</v>
      </c>
      <c r="EZ348" s="67" t="s">
        <v>2802</v>
      </c>
      <c r="FA348" s="67">
        <v>21339.5</v>
      </c>
      <c r="FB348" s="67" t="s">
        <v>2803</v>
      </c>
      <c r="FC348" s="67" t="s">
        <v>2804</v>
      </c>
      <c r="FD348" s="67" t="s">
        <v>2805</v>
      </c>
      <c r="FE348" s="68" t="s">
        <v>2806</v>
      </c>
      <c r="FF348" s="68" t="s">
        <v>2807</v>
      </c>
    </row>
    <row r="349" spans="151:162" x14ac:dyDescent="0.2">
      <c r="EU349" s="67">
        <v>593.47</v>
      </c>
      <c r="EV349" s="67" t="s">
        <v>2808</v>
      </c>
      <c r="EW349" s="67">
        <v>519.95000000000005</v>
      </c>
      <c r="EX349" s="67" t="s">
        <v>2809</v>
      </c>
      <c r="EY349" s="67">
        <v>5945.25</v>
      </c>
      <c r="EZ349" s="67" t="s">
        <v>2810</v>
      </c>
      <c r="FA349" s="67">
        <v>21342</v>
      </c>
      <c r="FB349" s="67" t="s">
        <v>2811</v>
      </c>
      <c r="FC349" s="67" t="s">
        <v>2812</v>
      </c>
      <c r="FD349" s="67" t="s">
        <v>2813</v>
      </c>
      <c r="FE349" s="68" t="s">
        <v>2814</v>
      </c>
      <c r="FF349" s="68" t="s">
        <v>2815</v>
      </c>
    </row>
    <row r="350" spans="151:162" x14ac:dyDescent="0.2">
      <c r="EU350" s="67">
        <v>593.51</v>
      </c>
      <c r="EV350" s="67" t="s">
        <v>2816</v>
      </c>
      <c r="EW350" s="67">
        <v>519.92999999999995</v>
      </c>
      <c r="EX350" s="67" t="s">
        <v>2817</v>
      </c>
      <c r="EY350" s="67">
        <v>5945.75</v>
      </c>
      <c r="EZ350" s="67" t="s">
        <v>2818</v>
      </c>
      <c r="FA350" s="67">
        <v>21341.5</v>
      </c>
      <c r="FB350" s="67" t="s">
        <v>2819</v>
      </c>
      <c r="FC350" s="67" t="s">
        <v>2820</v>
      </c>
      <c r="FD350" s="67" t="s">
        <v>2821</v>
      </c>
      <c r="FE350" s="68" t="s">
        <v>2822</v>
      </c>
      <c r="FF350" s="68" t="s">
        <v>2823</v>
      </c>
    </row>
    <row r="351" spans="151:162" x14ac:dyDescent="0.2">
      <c r="EU351" s="67">
        <v>593.48</v>
      </c>
      <c r="EV351" s="67" t="s">
        <v>2824</v>
      </c>
      <c r="EW351" s="67">
        <v>519.89</v>
      </c>
      <c r="EX351" s="67" t="s">
        <v>2825</v>
      </c>
      <c r="EY351" s="67">
        <v>5945.25</v>
      </c>
      <c r="EZ351" s="67" t="s">
        <v>2826</v>
      </c>
      <c r="FA351" s="67">
        <v>21340</v>
      </c>
      <c r="FB351" s="67" t="s">
        <v>2827</v>
      </c>
      <c r="FC351" s="67" t="s">
        <v>2828</v>
      </c>
      <c r="FD351" s="67" t="s">
        <v>2829</v>
      </c>
      <c r="FE351" s="68" t="s">
        <v>2830</v>
      </c>
      <c r="FF351" s="68" t="s">
        <v>2831</v>
      </c>
    </row>
    <row r="352" spans="151:162" x14ac:dyDescent="0.2">
      <c r="EU352" s="67">
        <v>593.54999999999995</v>
      </c>
      <c r="EV352" s="67" t="s">
        <v>2832</v>
      </c>
      <c r="EW352" s="67">
        <v>519.99</v>
      </c>
      <c r="EX352" s="67" t="s">
        <v>2833</v>
      </c>
      <c r="EY352" s="67">
        <v>5946.25</v>
      </c>
      <c r="EZ352" s="67" t="s">
        <v>2834</v>
      </c>
      <c r="FA352" s="67">
        <v>21344.75</v>
      </c>
      <c r="FB352" s="67" t="s">
        <v>2835</v>
      </c>
      <c r="FC352" s="67" t="s">
        <v>2836</v>
      </c>
      <c r="FD352" s="67" t="s">
        <v>2837</v>
      </c>
      <c r="FE352" s="68" t="s">
        <v>2838</v>
      </c>
      <c r="FF352" s="68" t="s">
        <v>2839</v>
      </c>
    </row>
    <row r="353" spans="151:162" x14ac:dyDescent="0.2">
      <c r="EU353" s="67">
        <v>593.54</v>
      </c>
      <c r="EV353" s="67" t="s">
        <v>2840</v>
      </c>
      <c r="EW353" s="67">
        <v>519.97</v>
      </c>
      <c r="EX353" s="67" t="s">
        <v>2841</v>
      </c>
      <c r="EY353" s="67">
        <v>5946.25</v>
      </c>
      <c r="EZ353" s="67" t="s">
        <v>2842</v>
      </c>
      <c r="FA353" s="67">
        <v>21343.75</v>
      </c>
      <c r="FB353" s="67" t="s">
        <v>2843</v>
      </c>
      <c r="FC353" s="67" t="s">
        <v>2844</v>
      </c>
      <c r="FD353" s="67" t="s">
        <v>2845</v>
      </c>
      <c r="FE353" s="68" t="s">
        <v>2846</v>
      </c>
      <c r="FF353" s="68" t="s">
        <v>2847</v>
      </c>
    </row>
    <row r="354" spans="151:162" x14ac:dyDescent="0.2">
      <c r="EU354" s="67">
        <v>593.49</v>
      </c>
      <c r="EV354" s="67" t="s">
        <v>2848</v>
      </c>
      <c r="EW354" s="67">
        <v>519.97</v>
      </c>
      <c r="EX354" s="67" t="s">
        <v>2849</v>
      </c>
      <c r="EY354" s="67">
        <v>5945.5</v>
      </c>
      <c r="EZ354" s="67" t="s">
        <v>2850</v>
      </c>
      <c r="FA354" s="67">
        <v>21343</v>
      </c>
      <c r="FB354" s="67" t="s">
        <v>2851</v>
      </c>
      <c r="FC354" s="67" t="s">
        <v>2852</v>
      </c>
      <c r="FD354" s="67" t="s">
        <v>2853</v>
      </c>
      <c r="FE354" s="68" t="s">
        <v>2854</v>
      </c>
      <c r="FF354" s="68" t="s">
        <v>2855</v>
      </c>
    </row>
    <row r="355" spans="151:162" x14ac:dyDescent="0.2">
      <c r="EU355" s="67">
        <v>593.49</v>
      </c>
      <c r="EV355" s="67" t="s">
        <v>2856</v>
      </c>
      <c r="EW355" s="67">
        <v>519.99</v>
      </c>
      <c r="EX355" s="67" t="s">
        <v>2857</v>
      </c>
      <c r="EY355" s="67">
        <v>5945.75</v>
      </c>
      <c r="EZ355" s="67" t="s">
        <v>2858</v>
      </c>
      <c r="FA355" s="67">
        <v>21344</v>
      </c>
      <c r="FB355" s="67" t="s">
        <v>2859</v>
      </c>
      <c r="FC355" s="67" t="s">
        <v>2860</v>
      </c>
      <c r="FD355" s="67" t="s">
        <v>2861</v>
      </c>
      <c r="FE355" s="68" t="s">
        <v>2862</v>
      </c>
      <c r="FF355" s="68" t="s">
        <v>2863</v>
      </c>
    </row>
    <row r="356" spans="151:162" x14ac:dyDescent="0.2">
      <c r="EU356" s="67">
        <v>593.74</v>
      </c>
      <c r="EV356" s="67" t="s">
        <v>2864</v>
      </c>
      <c r="EW356" s="67">
        <v>520.21</v>
      </c>
      <c r="EX356" s="67" t="s">
        <v>2865</v>
      </c>
      <c r="EY356" s="67">
        <v>5948.25</v>
      </c>
      <c r="EZ356" s="67" t="s">
        <v>2866</v>
      </c>
      <c r="FA356" s="67">
        <v>21353.5</v>
      </c>
      <c r="FB356" s="67" t="s">
        <v>2867</v>
      </c>
      <c r="FC356" s="67" t="s">
        <v>2868</v>
      </c>
      <c r="FD356" s="67" t="s">
        <v>2869</v>
      </c>
      <c r="FE356" s="68" t="s">
        <v>2870</v>
      </c>
      <c r="FF356" s="68" t="s">
        <v>2871</v>
      </c>
    </row>
    <row r="357" spans="151:162" x14ac:dyDescent="0.2">
      <c r="EU357" s="67">
        <v>593.78</v>
      </c>
      <c r="EV357" s="67" t="s">
        <v>2872</v>
      </c>
      <c r="EW357" s="67">
        <v>520.20000000000005</v>
      </c>
      <c r="EX357" s="67" t="s">
        <v>2873</v>
      </c>
      <c r="EY357" s="67">
        <v>5948.25</v>
      </c>
      <c r="EZ357" s="67" t="s">
        <v>2874</v>
      </c>
      <c r="FA357" s="67">
        <v>21353</v>
      </c>
      <c r="FB357" s="67" t="s">
        <v>2875</v>
      </c>
      <c r="FC357" s="67" t="s">
        <v>2876</v>
      </c>
      <c r="FD357" s="67" t="s">
        <v>2877</v>
      </c>
      <c r="FE357" s="68" t="s">
        <v>2878</v>
      </c>
      <c r="FF357" s="68" t="s">
        <v>2879</v>
      </c>
    </row>
    <row r="358" spans="151:162" x14ac:dyDescent="0.2">
      <c r="EU358" s="67">
        <v>593.84</v>
      </c>
      <c r="EV358" s="67" t="s">
        <v>2880</v>
      </c>
      <c r="EW358" s="67">
        <v>520.29999999999995</v>
      </c>
      <c r="EX358" s="67" t="s">
        <v>2881</v>
      </c>
      <c r="EY358" s="67">
        <v>5949</v>
      </c>
      <c r="EZ358" s="67" t="s">
        <v>2882</v>
      </c>
      <c r="FA358" s="67">
        <v>21357</v>
      </c>
      <c r="FB358" s="67" t="s">
        <v>2883</v>
      </c>
      <c r="FC358" s="67" t="s">
        <v>2884</v>
      </c>
      <c r="FD358" s="67" t="s">
        <v>2885</v>
      </c>
      <c r="FE358" s="68" t="s">
        <v>2886</v>
      </c>
      <c r="FF358" s="68" t="s">
        <v>2887</v>
      </c>
    </row>
    <row r="359" spans="151:162" x14ac:dyDescent="0.2">
      <c r="EU359" s="67">
        <v>593.86</v>
      </c>
      <c r="EV359" s="67" t="s">
        <v>2888</v>
      </c>
      <c r="EW359" s="67">
        <v>520.35</v>
      </c>
      <c r="EX359" s="67" t="s">
        <v>2889</v>
      </c>
      <c r="EY359" s="67">
        <v>5949.25</v>
      </c>
      <c r="EZ359" s="67" t="s">
        <v>2890</v>
      </c>
      <c r="FA359" s="67">
        <v>21358.75</v>
      </c>
      <c r="FB359" s="67" t="s">
        <v>2891</v>
      </c>
      <c r="FC359" s="67" t="s">
        <v>2892</v>
      </c>
      <c r="FD359" s="67" t="s">
        <v>2893</v>
      </c>
      <c r="FE359" s="68" t="s">
        <v>2894</v>
      </c>
      <c r="FF359" s="68" t="s">
        <v>2895</v>
      </c>
    </row>
    <row r="360" spans="151:162" x14ac:dyDescent="0.2">
      <c r="EU360" s="67">
        <v>593.9</v>
      </c>
      <c r="EV360" s="67" t="s">
        <v>2896</v>
      </c>
      <c r="EW360" s="67">
        <v>520.33000000000004</v>
      </c>
      <c r="EX360" s="67" t="s">
        <v>2897</v>
      </c>
      <c r="EY360" s="67">
        <v>5949.75</v>
      </c>
      <c r="EZ360" s="67" t="s">
        <v>2898</v>
      </c>
      <c r="FA360" s="67">
        <v>21358.5</v>
      </c>
      <c r="FB360" s="67" t="s">
        <v>2899</v>
      </c>
      <c r="FC360" s="67" t="s">
        <v>2900</v>
      </c>
      <c r="FD360" s="67" t="s">
        <v>2901</v>
      </c>
      <c r="FE360" s="68" t="s">
        <v>2902</v>
      </c>
      <c r="FF360" s="68" t="s">
        <v>2903</v>
      </c>
    </row>
    <row r="361" spans="151:162" x14ac:dyDescent="0.2">
      <c r="EU361" s="67">
        <v>593.91999999999996</v>
      </c>
      <c r="EV361" s="67" t="s">
        <v>2904</v>
      </c>
      <c r="EW361" s="67">
        <v>520.4</v>
      </c>
      <c r="EX361" s="67" t="s">
        <v>2905</v>
      </c>
      <c r="EY361" s="67">
        <v>5949.75</v>
      </c>
      <c r="EZ361" s="67" t="s">
        <v>2906</v>
      </c>
      <c r="FA361" s="67">
        <v>21361.25</v>
      </c>
      <c r="FB361" s="67" t="s">
        <v>2907</v>
      </c>
      <c r="FC361" s="67" t="s">
        <v>2908</v>
      </c>
      <c r="FD361" s="67" t="s">
        <v>2909</v>
      </c>
      <c r="FE361" s="68" t="s">
        <v>2910</v>
      </c>
      <c r="FF361" s="68" t="s">
        <v>2911</v>
      </c>
    </row>
    <row r="362" spans="151:162" x14ac:dyDescent="0.2">
      <c r="EU362" s="67">
        <v>593.87</v>
      </c>
      <c r="EV362" s="67" t="s">
        <v>2912</v>
      </c>
      <c r="EW362" s="67">
        <v>520.33000000000004</v>
      </c>
      <c r="EX362" s="67" t="s">
        <v>2913</v>
      </c>
      <c r="EY362" s="67">
        <v>5949.5</v>
      </c>
      <c r="EZ362" s="67" t="s">
        <v>2914</v>
      </c>
      <c r="FA362" s="67">
        <v>21358.5</v>
      </c>
      <c r="FB362" s="67" t="s">
        <v>2915</v>
      </c>
      <c r="FC362" s="67" t="s">
        <v>2916</v>
      </c>
      <c r="FD362" s="67" t="s">
        <v>2917</v>
      </c>
      <c r="FE362" s="68" t="s">
        <v>2918</v>
      </c>
      <c r="FF362" s="68" t="s">
        <v>2919</v>
      </c>
    </row>
    <row r="363" spans="151:162" x14ac:dyDescent="0.2">
      <c r="EU363" s="67">
        <v>593.79</v>
      </c>
      <c r="EV363" s="67" t="s">
        <v>2920</v>
      </c>
      <c r="EW363" s="67">
        <v>520.26</v>
      </c>
      <c r="EX363" s="67" t="s">
        <v>2921</v>
      </c>
      <c r="EY363" s="67">
        <v>5948.5</v>
      </c>
      <c r="EZ363" s="67" t="s">
        <v>2922</v>
      </c>
      <c r="FA363" s="67">
        <v>21355.25</v>
      </c>
      <c r="FB363" s="67" t="s">
        <v>2923</v>
      </c>
      <c r="FC363" s="67" t="s">
        <v>2924</v>
      </c>
      <c r="FD363" s="67" t="s">
        <v>2925</v>
      </c>
      <c r="FE363" s="68" t="s">
        <v>2926</v>
      </c>
      <c r="FF363" s="68" t="s">
        <v>2927</v>
      </c>
    </row>
    <row r="364" spans="151:162" x14ac:dyDescent="0.2">
      <c r="EU364" s="67">
        <v>593.83000000000004</v>
      </c>
      <c r="EV364" s="67" t="s">
        <v>2928</v>
      </c>
      <c r="EW364" s="67">
        <v>520.28</v>
      </c>
      <c r="EX364" s="67" t="s">
        <v>2929</v>
      </c>
      <c r="EY364" s="67">
        <v>5949</v>
      </c>
      <c r="EZ364" s="67" t="s">
        <v>2930</v>
      </c>
      <c r="FA364" s="67">
        <v>21356.5</v>
      </c>
      <c r="FB364" s="67" t="s">
        <v>2931</v>
      </c>
      <c r="FC364" s="67" t="s">
        <v>2932</v>
      </c>
      <c r="FD364" s="67" t="s">
        <v>2933</v>
      </c>
      <c r="FE364" s="68" t="s">
        <v>2934</v>
      </c>
      <c r="FF364" s="68" t="s">
        <v>2935</v>
      </c>
    </row>
    <row r="365" spans="151:162" x14ac:dyDescent="0.2">
      <c r="EU365" s="67">
        <v>593.91</v>
      </c>
      <c r="EV365" s="67" t="s">
        <v>2936</v>
      </c>
      <c r="EW365" s="67">
        <v>520.35</v>
      </c>
      <c r="EX365" s="67" t="s">
        <v>2937</v>
      </c>
      <c r="EY365" s="67">
        <v>5949.75</v>
      </c>
      <c r="EZ365" s="67" t="s">
        <v>2938</v>
      </c>
      <c r="FA365" s="67">
        <v>21358.5</v>
      </c>
      <c r="FB365" s="67" t="s">
        <v>2939</v>
      </c>
      <c r="FC365" s="67" t="s">
        <v>2940</v>
      </c>
      <c r="FD365" s="67" t="s">
        <v>2941</v>
      </c>
      <c r="FE365" s="68" t="s">
        <v>2942</v>
      </c>
      <c r="FF365" s="68" t="s">
        <v>2943</v>
      </c>
    </row>
    <row r="366" spans="151:162" x14ac:dyDescent="0.2">
      <c r="EU366" s="67">
        <v>593.83000000000004</v>
      </c>
      <c r="EV366" s="67" t="s">
        <v>2944</v>
      </c>
      <c r="EW366" s="67">
        <v>520.27</v>
      </c>
      <c r="EX366" s="67" t="s">
        <v>2945</v>
      </c>
      <c r="EY366" s="67">
        <v>5949</v>
      </c>
      <c r="EZ366" s="67" t="s">
        <v>2946</v>
      </c>
      <c r="FA366" s="67">
        <v>21355.75</v>
      </c>
      <c r="FB366" s="67" t="s">
        <v>2947</v>
      </c>
      <c r="FC366" s="67" t="s">
        <v>2948</v>
      </c>
      <c r="FD366" s="67" t="s">
        <v>2949</v>
      </c>
      <c r="FE366" s="68" t="s">
        <v>2950</v>
      </c>
      <c r="FF366" s="68" t="s">
        <v>2951</v>
      </c>
    </row>
    <row r="367" spans="151:162" x14ac:dyDescent="0.2">
      <c r="EU367" s="67">
        <v>593.77</v>
      </c>
      <c r="EV367" s="67" t="s">
        <v>2952</v>
      </c>
      <c r="EW367" s="67">
        <v>520.24</v>
      </c>
      <c r="EX367" s="67" t="s">
        <v>2953</v>
      </c>
      <c r="EY367" s="67">
        <v>5948.5</v>
      </c>
      <c r="EZ367" s="67" t="s">
        <v>2954</v>
      </c>
      <c r="FA367" s="67">
        <v>21354.25</v>
      </c>
      <c r="FB367" s="67" t="s">
        <v>2955</v>
      </c>
      <c r="FC367" s="67" t="s">
        <v>2956</v>
      </c>
      <c r="FD367" s="67" t="s">
        <v>2957</v>
      </c>
      <c r="FE367" s="68" t="s">
        <v>2958</v>
      </c>
      <c r="FF367" s="68" t="s">
        <v>2959</v>
      </c>
    </row>
    <row r="368" spans="151:162" x14ac:dyDescent="0.2">
      <c r="EU368" s="67">
        <v>593.78</v>
      </c>
      <c r="EV368" s="67" t="s">
        <v>2960</v>
      </c>
      <c r="EW368" s="67">
        <v>520.24</v>
      </c>
      <c r="EX368" s="67" t="s">
        <v>2961</v>
      </c>
      <c r="EY368" s="67">
        <v>5948.5</v>
      </c>
      <c r="EZ368" s="67" t="s">
        <v>2962</v>
      </c>
      <c r="FA368" s="67">
        <v>21353.75</v>
      </c>
      <c r="FB368" s="67" t="s">
        <v>2963</v>
      </c>
      <c r="FC368" s="67" t="s">
        <v>2964</v>
      </c>
      <c r="FD368" s="67" t="s">
        <v>2965</v>
      </c>
      <c r="FE368" s="68" t="s">
        <v>2966</v>
      </c>
      <c r="FF368" s="68" t="s">
        <v>2967</v>
      </c>
    </row>
    <row r="369" spans="151:162" x14ac:dyDescent="0.2">
      <c r="EU369" s="67">
        <v>593.73</v>
      </c>
      <c r="EV369" s="67" t="s">
        <v>2968</v>
      </c>
      <c r="EW369" s="67">
        <v>520.24</v>
      </c>
      <c r="EX369" s="67" t="s">
        <v>2969</v>
      </c>
      <c r="EY369" s="67">
        <v>5948.25</v>
      </c>
      <c r="EZ369" s="67" t="s">
        <v>2970</v>
      </c>
      <c r="FA369" s="67">
        <v>21354.25</v>
      </c>
      <c r="FB369" s="67" t="s">
        <v>2971</v>
      </c>
      <c r="FC369" s="67" t="s">
        <v>2972</v>
      </c>
      <c r="FD369" s="67" t="s">
        <v>2973</v>
      </c>
      <c r="FE369" s="68" t="s">
        <v>2974</v>
      </c>
      <c r="FF369" s="68" t="s">
        <v>2975</v>
      </c>
    </row>
    <row r="370" spans="151:162" x14ac:dyDescent="0.2">
      <c r="EU370" s="67">
        <v>593.73</v>
      </c>
      <c r="EV370" s="67" t="s">
        <v>2976</v>
      </c>
      <c r="EW370" s="67">
        <v>520.11</v>
      </c>
      <c r="EX370" s="67" t="s">
        <v>2977</v>
      </c>
      <c r="EY370" s="67">
        <v>5947.75</v>
      </c>
      <c r="EZ370" s="67" t="s">
        <v>2978</v>
      </c>
      <c r="FA370" s="67">
        <v>21349</v>
      </c>
      <c r="FB370" s="67" t="s">
        <v>2979</v>
      </c>
      <c r="FC370" s="67" t="s">
        <v>2980</v>
      </c>
      <c r="FD370" s="67" t="s">
        <v>2981</v>
      </c>
      <c r="FE370" s="68" t="s">
        <v>2982</v>
      </c>
      <c r="FF370" s="68" t="s">
        <v>2983</v>
      </c>
    </row>
    <row r="371" spans="151:162" x14ac:dyDescent="0.2">
      <c r="EU371" s="67">
        <v>593.89</v>
      </c>
      <c r="EV371" s="67" t="s">
        <v>2984</v>
      </c>
      <c r="EW371" s="67">
        <v>520.37</v>
      </c>
      <c r="EX371" s="67" t="s">
        <v>2985</v>
      </c>
      <c r="EY371" s="67">
        <v>5949.5</v>
      </c>
      <c r="EZ371" s="67" t="s">
        <v>2986</v>
      </c>
      <c r="FA371" s="67">
        <v>21359.5</v>
      </c>
      <c r="FB371" s="67" t="s">
        <v>2987</v>
      </c>
      <c r="FC371" s="67" t="s">
        <v>2988</v>
      </c>
      <c r="FD371" s="67" t="s">
        <v>2989</v>
      </c>
      <c r="FE371" s="68" t="s">
        <v>2990</v>
      </c>
      <c r="FF371" s="68" t="s">
        <v>2991</v>
      </c>
    </row>
    <row r="372" spans="151:162" x14ac:dyDescent="0.2">
      <c r="EU372" s="67">
        <v>593.97</v>
      </c>
      <c r="EV372" s="67" t="s">
        <v>2992</v>
      </c>
      <c r="EW372" s="67">
        <v>520.46</v>
      </c>
      <c r="EX372" s="67" t="s">
        <v>2993</v>
      </c>
      <c r="EY372" s="67">
        <v>5950.5</v>
      </c>
      <c r="EZ372" s="67" t="s">
        <v>2994</v>
      </c>
      <c r="FA372" s="67">
        <v>21363.25</v>
      </c>
      <c r="FB372" s="67" t="s">
        <v>2995</v>
      </c>
      <c r="FC372" s="67" t="s">
        <v>2996</v>
      </c>
      <c r="FD372" s="67" t="s">
        <v>2997</v>
      </c>
      <c r="FE372" s="68" t="s">
        <v>2998</v>
      </c>
      <c r="FF372" s="68" t="s">
        <v>2999</v>
      </c>
    </row>
    <row r="373" spans="151:162" x14ac:dyDescent="0.2">
      <c r="EU373" s="67">
        <v>593.91999999999996</v>
      </c>
      <c r="EV373" s="67" t="s">
        <v>3000</v>
      </c>
      <c r="EW373" s="67">
        <v>520.39</v>
      </c>
      <c r="EX373" s="67" t="s">
        <v>3001</v>
      </c>
      <c r="EY373" s="67">
        <v>5949.75</v>
      </c>
      <c r="EZ373" s="67" t="s">
        <v>3002</v>
      </c>
      <c r="FA373" s="67">
        <v>21360.5</v>
      </c>
      <c r="FB373" s="67" t="s">
        <v>3003</v>
      </c>
      <c r="FC373" s="67" t="s">
        <v>3004</v>
      </c>
      <c r="FD373" s="67" t="s">
        <v>3005</v>
      </c>
      <c r="FE373" s="68" t="s">
        <v>3006</v>
      </c>
      <c r="FF373" s="68" t="s">
        <v>3007</v>
      </c>
    </row>
    <row r="374" spans="151:162" x14ac:dyDescent="0.2">
      <c r="EU374" s="67">
        <v>593.9</v>
      </c>
      <c r="EV374" s="67" t="s">
        <v>3008</v>
      </c>
      <c r="EW374" s="67">
        <v>520.36</v>
      </c>
      <c r="EX374" s="67" t="s">
        <v>3009</v>
      </c>
      <c r="EY374" s="67">
        <v>5949.75</v>
      </c>
      <c r="EZ374" s="67" t="s">
        <v>3010</v>
      </c>
      <c r="FA374" s="67">
        <v>21359.5</v>
      </c>
      <c r="FB374" s="67" t="s">
        <v>3011</v>
      </c>
      <c r="FC374" s="67" t="s">
        <v>3012</v>
      </c>
      <c r="FD374" s="67" t="s">
        <v>3013</v>
      </c>
      <c r="FE374" s="68" t="s">
        <v>3014</v>
      </c>
      <c r="FF374" s="68" t="s">
        <v>3015</v>
      </c>
    </row>
    <row r="375" spans="151:162" x14ac:dyDescent="0.2">
      <c r="EU375" s="67">
        <v>593.92999999999995</v>
      </c>
      <c r="EV375" s="67" t="s">
        <v>3016</v>
      </c>
      <c r="EW375" s="67">
        <v>520.42999999999995</v>
      </c>
      <c r="EX375" s="67" t="s">
        <v>3017</v>
      </c>
      <c r="EY375" s="67">
        <v>5950</v>
      </c>
      <c r="EZ375" s="67" t="s">
        <v>3018</v>
      </c>
      <c r="FA375" s="67">
        <v>21362.75</v>
      </c>
      <c r="FB375" s="67" t="s">
        <v>3019</v>
      </c>
      <c r="FC375" s="67" t="s">
        <v>3020</v>
      </c>
      <c r="FD375" s="67" t="s">
        <v>3021</v>
      </c>
      <c r="FE375" s="68" t="s">
        <v>3022</v>
      </c>
      <c r="FF375" s="68" t="s">
        <v>3023</v>
      </c>
    </row>
    <row r="376" spans="151:162" x14ac:dyDescent="0.2">
      <c r="EU376" s="67">
        <v>593.98</v>
      </c>
      <c r="EV376" s="67" t="s">
        <v>3024</v>
      </c>
      <c r="EW376" s="67">
        <v>520.41</v>
      </c>
      <c r="EX376" s="67" t="s">
        <v>3025</v>
      </c>
      <c r="EY376" s="67">
        <v>5950.5</v>
      </c>
      <c r="EZ376" s="67" t="s">
        <v>3026</v>
      </c>
      <c r="FA376" s="67">
        <v>21361.75</v>
      </c>
      <c r="FB376" s="67" t="s">
        <v>3027</v>
      </c>
      <c r="FC376" s="67" t="s">
        <v>3028</v>
      </c>
      <c r="FD376" s="67" t="s">
        <v>3029</v>
      </c>
      <c r="FE376" s="68" t="s">
        <v>3030</v>
      </c>
      <c r="FF376" s="68" t="s">
        <v>3031</v>
      </c>
    </row>
    <row r="377" spans="151:162" x14ac:dyDescent="0.2">
      <c r="EU377" s="67">
        <v>593.98</v>
      </c>
      <c r="EV377" s="67" t="s">
        <v>3032</v>
      </c>
      <c r="EW377" s="67">
        <v>520.41999999999996</v>
      </c>
      <c r="EX377" s="67" t="s">
        <v>3033</v>
      </c>
      <c r="EY377" s="67">
        <v>5950.5</v>
      </c>
      <c r="EZ377" s="67" t="s">
        <v>3034</v>
      </c>
      <c r="FA377" s="67">
        <v>21362.25</v>
      </c>
      <c r="FB377" s="67" t="s">
        <v>3035</v>
      </c>
      <c r="FC377" s="67" t="s">
        <v>3036</v>
      </c>
      <c r="FD377" s="67" t="s">
        <v>3037</v>
      </c>
      <c r="FE377" s="68" t="s">
        <v>3038</v>
      </c>
      <c r="FF377" s="68" t="s">
        <v>3039</v>
      </c>
    </row>
    <row r="378" spans="151:162" x14ac:dyDescent="0.2">
      <c r="EU378" s="67">
        <v>593.9</v>
      </c>
      <c r="EV378" s="67" t="s">
        <v>3040</v>
      </c>
      <c r="EW378" s="67">
        <v>520.35</v>
      </c>
      <c r="EX378" s="67" t="s">
        <v>3041</v>
      </c>
      <c r="EY378" s="67">
        <v>5949.75</v>
      </c>
      <c r="EZ378" s="67" t="s">
        <v>3042</v>
      </c>
      <c r="FA378" s="67">
        <v>21359.25</v>
      </c>
      <c r="FB378" s="67" t="s">
        <v>3043</v>
      </c>
      <c r="FC378" s="67" t="s">
        <v>3044</v>
      </c>
      <c r="FD378" s="67" t="s">
        <v>3045</v>
      </c>
      <c r="FE378" s="68" t="s">
        <v>3046</v>
      </c>
      <c r="FF378" s="68" t="s">
        <v>3047</v>
      </c>
    </row>
    <row r="379" spans="151:162" x14ac:dyDescent="0.2">
      <c r="EU379" s="67">
        <v>593.58000000000004</v>
      </c>
      <c r="EV379" s="67" t="s">
        <v>3048</v>
      </c>
      <c r="EW379" s="67">
        <v>519.98</v>
      </c>
      <c r="EX379" s="67" t="s">
        <v>3049</v>
      </c>
      <c r="EY379" s="67">
        <v>5946.5</v>
      </c>
      <c r="EZ379" s="67" t="s">
        <v>3050</v>
      </c>
      <c r="FA379" s="67">
        <v>21343.5</v>
      </c>
      <c r="FB379" s="67" t="s">
        <v>3051</v>
      </c>
      <c r="FC379" s="67" t="s">
        <v>3052</v>
      </c>
      <c r="FD379" s="67" t="s">
        <v>3053</v>
      </c>
      <c r="FE379" s="68" t="s">
        <v>3054</v>
      </c>
      <c r="FF379" s="68" t="s">
        <v>3055</v>
      </c>
    </row>
    <row r="380" spans="151:162" x14ac:dyDescent="0.2">
      <c r="EU380" s="67">
        <v>593.78</v>
      </c>
      <c r="EV380" s="67" t="s">
        <v>3056</v>
      </c>
      <c r="EW380" s="67">
        <v>520.15</v>
      </c>
      <c r="EX380" s="67" t="s">
        <v>3057</v>
      </c>
      <c r="EY380" s="67">
        <v>5947.75</v>
      </c>
      <c r="EZ380" s="67" t="s">
        <v>3058</v>
      </c>
      <c r="FA380" s="67">
        <v>21351</v>
      </c>
      <c r="FB380" s="67" t="s">
        <v>3059</v>
      </c>
      <c r="FC380" s="67" t="s">
        <v>3060</v>
      </c>
      <c r="FD380" s="67" t="s">
        <v>3061</v>
      </c>
      <c r="FE380" s="68" t="s">
        <v>3062</v>
      </c>
      <c r="FF380" s="68" t="s">
        <v>3063</v>
      </c>
    </row>
    <row r="381" spans="151:162" x14ac:dyDescent="0.2">
      <c r="EU381" s="67">
        <v>593.55999999999995</v>
      </c>
      <c r="EV381" s="67" t="s">
        <v>3064</v>
      </c>
      <c r="EW381" s="67">
        <v>519.87</v>
      </c>
      <c r="EX381" s="67" t="s">
        <v>3065</v>
      </c>
      <c r="EY381" s="67">
        <v>5946</v>
      </c>
      <c r="EZ381" s="67" t="s">
        <v>3066</v>
      </c>
      <c r="FA381" s="67">
        <v>21339.25</v>
      </c>
      <c r="FB381" s="67" t="s">
        <v>3067</v>
      </c>
      <c r="FC381" s="67" t="s">
        <v>3068</v>
      </c>
      <c r="FD381" s="67" t="s">
        <v>3069</v>
      </c>
      <c r="FE381" s="68" t="s">
        <v>3070</v>
      </c>
      <c r="FF381" s="68" t="s">
        <v>3071</v>
      </c>
    </row>
    <row r="382" spans="151:162" x14ac:dyDescent="0.2">
      <c r="EU382" s="67">
        <v>593.48</v>
      </c>
      <c r="EV382" s="67" t="s">
        <v>3072</v>
      </c>
      <c r="EW382" s="67">
        <v>519.85</v>
      </c>
      <c r="EX382" s="67" t="s">
        <v>3073</v>
      </c>
      <c r="EY382" s="67">
        <v>5945.5</v>
      </c>
      <c r="EZ382" s="67" t="s">
        <v>3074</v>
      </c>
      <c r="FA382" s="67">
        <v>21338.75</v>
      </c>
      <c r="FB382" s="67" t="s">
        <v>3075</v>
      </c>
      <c r="FC382" s="67" t="s">
        <v>3076</v>
      </c>
      <c r="FD382" s="67" t="s">
        <v>3077</v>
      </c>
      <c r="FE382" s="68" t="s">
        <v>3078</v>
      </c>
      <c r="FF382" s="68" t="s">
        <v>3079</v>
      </c>
    </row>
    <row r="383" spans="151:162" x14ac:dyDescent="0.2">
      <c r="EU383" s="67">
        <v>593.17999999999995</v>
      </c>
      <c r="EV383" s="67" t="s">
        <v>3080</v>
      </c>
      <c r="EW383" s="67">
        <v>519.35</v>
      </c>
      <c r="EX383" s="67" t="s">
        <v>3081</v>
      </c>
      <c r="EY383" s="67">
        <v>5942</v>
      </c>
      <c r="EZ383" s="67" t="s">
        <v>3082</v>
      </c>
      <c r="FA383" s="67">
        <v>21318</v>
      </c>
      <c r="FB383" s="67" t="s">
        <v>3083</v>
      </c>
      <c r="FC383" s="67" t="s">
        <v>3084</v>
      </c>
      <c r="FD383" s="67" t="s">
        <v>3085</v>
      </c>
      <c r="FE383" s="68" t="s">
        <v>3086</v>
      </c>
      <c r="FF383" s="68" t="s">
        <v>3087</v>
      </c>
    </row>
    <row r="384" spans="151:162" x14ac:dyDescent="0.2">
      <c r="EU384" s="67">
        <v>593.27</v>
      </c>
      <c r="EV384" s="67" t="s">
        <v>3088</v>
      </c>
      <c r="EW384" s="67">
        <v>519.39</v>
      </c>
      <c r="EX384" s="67" t="s">
        <v>3089</v>
      </c>
      <c r="EY384" s="67">
        <v>5943.25</v>
      </c>
      <c r="EZ384" s="67" t="s">
        <v>3090</v>
      </c>
      <c r="FA384" s="67">
        <v>21319.75</v>
      </c>
      <c r="FB384" s="67" t="s">
        <v>3091</v>
      </c>
      <c r="FC384" s="67" t="s">
        <v>3092</v>
      </c>
      <c r="FD384" s="67" t="s">
        <v>3093</v>
      </c>
      <c r="FE384" s="68" t="s">
        <v>3094</v>
      </c>
      <c r="FF384" s="68" t="s">
        <v>3095</v>
      </c>
    </row>
    <row r="385" spans="151:162" x14ac:dyDescent="0.2">
      <c r="EU385" s="67">
        <v>593.4</v>
      </c>
      <c r="EV385" s="67" t="s">
        <v>3096</v>
      </c>
      <c r="EW385" s="67">
        <v>519.83000000000004</v>
      </c>
      <c r="EX385" s="67" t="s">
        <v>3097</v>
      </c>
      <c r="EY385" s="67">
        <v>5945</v>
      </c>
      <c r="EZ385" s="67" t="s">
        <v>3098</v>
      </c>
      <c r="FA385" s="67">
        <v>21338.25</v>
      </c>
      <c r="FB385" s="67" t="s">
        <v>3099</v>
      </c>
      <c r="FC385" s="67" t="s">
        <v>3100</v>
      </c>
      <c r="FD385" s="67" t="s">
        <v>3101</v>
      </c>
      <c r="FE385" s="68" t="s">
        <v>3102</v>
      </c>
      <c r="FF385" s="68" t="s">
        <v>3103</v>
      </c>
    </row>
    <row r="386" spans="151:162" x14ac:dyDescent="0.2">
      <c r="EU386" s="67">
        <v>593.45000000000005</v>
      </c>
      <c r="EV386" s="67" t="s">
        <v>3104</v>
      </c>
      <c r="EW386" s="67">
        <v>519.54</v>
      </c>
      <c r="EX386" s="67" t="s">
        <v>3105</v>
      </c>
      <c r="EY386" s="67">
        <v>5944.75</v>
      </c>
      <c r="EZ386" s="67" t="s">
        <v>3106</v>
      </c>
      <c r="FA386" s="67">
        <v>21328.5</v>
      </c>
      <c r="FB386" s="67" t="s">
        <v>3107</v>
      </c>
      <c r="FC386" s="67" t="s">
        <v>3108</v>
      </c>
      <c r="FD386" s="67" t="s">
        <v>3109</v>
      </c>
      <c r="FE386" s="68" t="s">
        <v>3110</v>
      </c>
      <c r="FF386" s="68" t="s">
        <v>3111</v>
      </c>
    </row>
    <row r="387" spans="151:162" x14ac:dyDescent="0.2">
      <c r="EU387" s="67">
        <v>593.52</v>
      </c>
      <c r="EV387" s="67" t="s">
        <v>3112</v>
      </c>
      <c r="EW387" s="67">
        <v>519.76</v>
      </c>
      <c r="EX387" s="67" t="s">
        <v>3113</v>
      </c>
      <c r="EY387" s="67">
        <v>5946</v>
      </c>
      <c r="EZ387" s="67" t="s">
        <v>3114</v>
      </c>
      <c r="FA387" s="67">
        <v>21336.75</v>
      </c>
      <c r="FB387" s="67" t="s">
        <v>3115</v>
      </c>
      <c r="FC387" s="67" t="s">
        <v>3116</v>
      </c>
      <c r="FD387" s="67" t="s">
        <v>3117</v>
      </c>
      <c r="FE387" s="68" t="s">
        <v>3118</v>
      </c>
      <c r="FF387" s="68" t="s">
        <v>3119</v>
      </c>
    </row>
    <row r="388" spans="151:162" x14ac:dyDescent="0.2">
      <c r="EU388" s="67">
        <v>593.54</v>
      </c>
      <c r="EV388" s="67" t="s">
        <v>3120</v>
      </c>
      <c r="EW388" s="67">
        <v>519.94000000000005</v>
      </c>
      <c r="EX388" s="67" t="s">
        <v>3121</v>
      </c>
      <c r="EY388" s="67">
        <v>5946.25</v>
      </c>
      <c r="EZ388" s="67" t="s">
        <v>3122</v>
      </c>
      <c r="FA388" s="67">
        <v>21342.25</v>
      </c>
      <c r="FB388" s="67" t="s">
        <v>3123</v>
      </c>
      <c r="FC388" s="67" t="s">
        <v>3124</v>
      </c>
      <c r="FD388" s="67" t="s">
        <v>3125</v>
      </c>
      <c r="FE388" s="68" t="s">
        <v>3126</v>
      </c>
      <c r="FF388" s="68" t="s">
        <v>3127</v>
      </c>
    </row>
    <row r="389" spans="151:162" x14ac:dyDescent="0.2">
      <c r="EU389" s="67">
        <v>593.29</v>
      </c>
      <c r="EV389" s="67" t="s">
        <v>3128</v>
      </c>
      <c r="EW389" s="67">
        <v>519.66</v>
      </c>
      <c r="EX389" s="67" t="s">
        <v>3129</v>
      </c>
      <c r="EY389" s="67">
        <v>5943.5</v>
      </c>
      <c r="EZ389" s="67" t="s">
        <v>3130</v>
      </c>
      <c r="FA389" s="67">
        <v>21330</v>
      </c>
      <c r="FB389" s="67" t="s">
        <v>3131</v>
      </c>
      <c r="FC389" s="67" t="s">
        <v>3132</v>
      </c>
      <c r="FD389" s="67" t="s">
        <v>3133</v>
      </c>
      <c r="FE389" s="68" t="s">
        <v>3134</v>
      </c>
      <c r="FF389" s="68" t="s">
        <v>3135</v>
      </c>
    </row>
    <row r="390" spans="151:162" x14ac:dyDescent="0.2">
      <c r="EU390" s="67">
        <v>593.25</v>
      </c>
      <c r="EV390" s="67" t="s">
        <v>3136</v>
      </c>
      <c r="EW390" s="67">
        <v>519.45000000000005</v>
      </c>
      <c r="EX390" s="67" t="s">
        <v>3137</v>
      </c>
      <c r="EY390" s="67">
        <v>5942.5</v>
      </c>
      <c r="EZ390" s="67" t="s">
        <v>3138</v>
      </c>
      <c r="FA390" s="67">
        <v>21326.5</v>
      </c>
      <c r="FB390" s="67" t="s">
        <v>3139</v>
      </c>
      <c r="FC390" s="67" t="s">
        <v>3140</v>
      </c>
      <c r="FD390" s="67" t="s">
        <v>3141</v>
      </c>
      <c r="FE390" s="68" t="s">
        <v>3142</v>
      </c>
      <c r="FF390" s="68" t="s">
        <v>3143</v>
      </c>
    </row>
    <row r="391" spans="151:162" x14ac:dyDescent="0.2">
      <c r="EU391" s="67">
        <v>593.16</v>
      </c>
      <c r="EV391" s="67" t="s">
        <v>3144</v>
      </c>
      <c r="EW391" s="67">
        <v>519.39</v>
      </c>
      <c r="EX391" s="67" t="s">
        <v>3145</v>
      </c>
      <c r="EY391" s="67">
        <v>5942</v>
      </c>
      <c r="EZ391" s="67" t="s">
        <v>3146</v>
      </c>
      <c r="FA391" s="67">
        <v>21319.75</v>
      </c>
      <c r="FB391" s="67" t="s">
        <v>3147</v>
      </c>
      <c r="FC391" s="67" t="s">
        <v>3148</v>
      </c>
      <c r="FD391" s="67" t="s">
        <v>3149</v>
      </c>
      <c r="FE391" s="68" t="s">
        <v>3150</v>
      </c>
      <c r="FF391" s="68" t="s">
        <v>3151</v>
      </c>
    </row>
    <row r="392" spans="151:162" x14ac:dyDescent="0.2">
      <c r="EU392" s="67">
        <v>593.16</v>
      </c>
      <c r="EV392" s="67" t="s">
        <v>3152</v>
      </c>
      <c r="EW392" s="67">
        <v>519.4</v>
      </c>
      <c r="EX392" s="67" t="s">
        <v>3153</v>
      </c>
      <c r="EY392" s="67">
        <v>5942.25</v>
      </c>
      <c r="EZ392" s="67" t="s">
        <v>3154</v>
      </c>
      <c r="FA392" s="67">
        <v>21319.25</v>
      </c>
      <c r="FB392" s="67" t="s">
        <v>3155</v>
      </c>
      <c r="FC392" s="67" t="s">
        <v>3156</v>
      </c>
      <c r="FD392" s="67" t="s">
        <v>3157</v>
      </c>
      <c r="FE392" s="68" t="s">
        <v>3158</v>
      </c>
      <c r="FF392" s="68" t="s">
        <v>3159</v>
      </c>
    </row>
    <row r="393" spans="151:162" x14ac:dyDescent="0.2">
      <c r="EU393" s="67">
        <v>593.26</v>
      </c>
      <c r="EV393" s="67" t="s">
        <v>3160</v>
      </c>
      <c r="EW393" s="67">
        <v>519.61</v>
      </c>
      <c r="EX393" s="67" t="s">
        <v>3161</v>
      </c>
      <c r="EY393" s="67">
        <v>5943</v>
      </c>
      <c r="EZ393" s="67" t="s">
        <v>3162</v>
      </c>
      <c r="FA393" s="67">
        <v>21329.5</v>
      </c>
      <c r="FB393" s="67" t="s">
        <v>3163</v>
      </c>
      <c r="FC393" s="67" t="s">
        <v>3164</v>
      </c>
      <c r="FD393" s="67" t="s">
        <v>3165</v>
      </c>
      <c r="FE393" s="68" t="s">
        <v>3166</v>
      </c>
      <c r="FF393" s="68" t="s">
        <v>3167</v>
      </c>
    </row>
    <row r="394" spans="151:162" x14ac:dyDescent="0.2">
      <c r="EU394" s="67">
        <v>593.28</v>
      </c>
      <c r="EV394" s="67" t="s">
        <v>3168</v>
      </c>
      <c r="EW394" s="67">
        <v>519.64</v>
      </c>
      <c r="EX394" s="67" t="s">
        <v>3169</v>
      </c>
      <c r="EY394" s="67">
        <v>5943.25</v>
      </c>
      <c r="EZ394" s="67" t="s">
        <v>3170</v>
      </c>
      <c r="FA394" s="67">
        <v>21330.5</v>
      </c>
      <c r="FB394" s="67" t="s">
        <v>3171</v>
      </c>
      <c r="FC394" s="67" t="s">
        <v>3172</v>
      </c>
      <c r="FD394" s="67" t="s">
        <v>3173</v>
      </c>
      <c r="FE394" s="68" t="s">
        <v>3174</v>
      </c>
      <c r="FF394" s="68" t="s">
        <v>3175</v>
      </c>
    </row>
    <row r="395" spans="151:162" x14ac:dyDescent="0.2">
      <c r="EU395" s="67">
        <v>593.22</v>
      </c>
      <c r="EV395" s="67" t="s">
        <v>3176</v>
      </c>
      <c r="EW395" s="67">
        <v>519.78</v>
      </c>
      <c r="EX395" s="67" t="s">
        <v>3177</v>
      </c>
      <c r="EY395" s="67">
        <v>5942.5</v>
      </c>
      <c r="EZ395" s="67" t="s">
        <v>3178</v>
      </c>
      <c r="FA395" s="67">
        <v>21330.5</v>
      </c>
      <c r="FB395" s="67" t="s">
        <v>3179</v>
      </c>
      <c r="FC395" s="67" t="s">
        <v>3180</v>
      </c>
      <c r="FD395" s="67" t="s">
        <v>3181</v>
      </c>
      <c r="FE395" s="68" t="s">
        <v>3182</v>
      </c>
      <c r="FF395" s="68" t="s">
        <v>3183</v>
      </c>
    </row>
    <row r="396" spans="151:162" x14ac:dyDescent="0.2">
      <c r="EU396" s="67">
        <v>593.07000000000005</v>
      </c>
      <c r="EV396" s="67" t="s">
        <v>3184</v>
      </c>
      <c r="EW396" s="67">
        <v>519.47</v>
      </c>
      <c r="EX396" s="67" t="s">
        <v>3185</v>
      </c>
      <c r="EY396" s="67">
        <v>5941</v>
      </c>
      <c r="EZ396" s="67" t="s">
        <v>3186</v>
      </c>
      <c r="FA396" s="67">
        <v>21322</v>
      </c>
      <c r="FB396" s="67" t="s">
        <v>3187</v>
      </c>
      <c r="FC396" s="67" t="s">
        <v>3188</v>
      </c>
      <c r="FD396" s="67" t="s">
        <v>3189</v>
      </c>
      <c r="FE396" s="68" t="s">
        <v>3190</v>
      </c>
      <c r="FF396" s="68" t="s">
        <v>3191</v>
      </c>
    </row>
    <row r="397" spans="151:162" x14ac:dyDescent="0.2">
      <c r="EU397" s="67">
        <v>593.28</v>
      </c>
      <c r="EV397" s="67" t="s">
        <v>3192</v>
      </c>
      <c r="EW397" s="67">
        <v>519.66999999999996</v>
      </c>
      <c r="EX397" s="67" t="s">
        <v>3193</v>
      </c>
      <c r="EY397" s="67">
        <v>5943.25</v>
      </c>
      <c r="EZ397" s="67" t="s">
        <v>3194</v>
      </c>
      <c r="FA397" s="67">
        <v>21331.5</v>
      </c>
      <c r="FB397" s="67" t="s">
        <v>3195</v>
      </c>
      <c r="FC397" s="67" t="s">
        <v>3196</v>
      </c>
      <c r="FD397" s="67" t="s">
        <v>3197</v>
      </c>
      <c r="FE397" s="68" t="s">
        <v>3198</v>
      </c>
      <c r="FF397" s="68" t="s">
        <v>3199</v>
      </c>
    </row>
    <row r="398" spans="151:162" x14ac:dyDescent="0.2">
      <c r="EU398" s="67">
        <v>593.08000000000004</v>
      </c>
      <c r="EV398" s="67" t="s">
        <v>3200</v>
      </c>
      <c r="EW398" s="67">
        <v>519.48</v>
      </c>
      <c r="EX398" s="67" t="s">
        <v>3201</v>
      </c>
      <c r="EY398" s="67">
        <v>5941.25</v>
      </c>
      <c r="EZ398" s="67" t="s">
        <v>3202</v>
      </c>
      <c r="FA398" s="67">
        <v>21327</v>
      </c>
      <c r="FB398" s="67" t="s">
        <v>3203</v>
      </c>
      <c r="FC398" s="67" t="s">
        <v>3204</v>
      </c>
      <c r="FD398" s="67" t="s">
        <v>3205</v>
      </c>
      <c r="FE398" s="68" t="s">
        <v>3206</v>
      </c>
      <c r="FF398" s="68" t="s">
        <v>3207</v>
      </c>
    </row>
    <row r="399" spans="151:162" x14ac:dyDescent="0.2">
      <c r="EU399" s="67">
        <v>592.97</v>
      </c>
      <c r="EV399" s="67" t="s">
        <v>3208</v>
      </c>
      <c r="EW399" s="67">
        <v>519.41</v>
      </c>
      <c r="EX399" s="67" t="s">
        <v>3209</v>
      </c>
      <c r="EY399" s="67">
        <v>5940</v>
      </c>
      <c r="EZ399" s="67" t="s">
        <v>3210</v>
      </c>
      <c r="FA399" s="67">
        <v>21320.25</v>
      </c>
      <c r="FB399" s="67" t="s">
        <v>3211</v>
      </c>
      <c r="FC399" s="67" t="s">
        <v>3212</v>
      </c>
      <c r="FD399" s="67" t="s">
        <v>3213</v>
      </c>
      <c r="FE399" s="68" t="s">
        <v>3214</v>
      </c>
      <c r="FF399" s="68" t="s">
        <v>3215</v>
      </c>
    </row>
    <row r="400" spans="151:162" x14ac:dyDescent="0.2">
      <c r="EU400" s="67">
        <v>593.20000000000005</v>
      </c>
      <c r="EV400" s="67" t="s">
        <v>3216</v>
      </c>
      <c r="EW400" s="67">
        <v>519.55999999999995</v>
      </c>
      <c r="EX400" s="67" t="s">
        <v>3217</v>
      </c>
      <c r="EY400" s="67">
        <v>5942.5</v>
      </c>
      <c r="EZ400" s="67" t="s">
        <v>3218</v>
      </c>
      <c r="FA400" s="67">
        <v>21327</v>
      </c>
      <c r="FB400" s="67" t="s">
        <v>3219</v>
      </c>
      <c r="FC400" s="67" t="s">
        <v>3220</v>
      </c>
      <c r="FD400" s="67" t="s">
        <v>3221</v>
      </c>
      <c r="FE400" s="68" t="s">
        <v>3222</v>
      </c>
      <c r="FF400" s="68" t="s">
        <v>3223</v>
      </c>
    </row>
    <row r="401" spans="151:162" x14ac:dyDescent="0.2">
      <c r="EU401" s="67">
        <v>592.85</v>
      </c>
      <c r="EV401" s="67" t="s">
        <v>3224</v>
      </c>
      <c r="EW401" s="67">
        <v>519.14</v>
      </c>
      <c r="EX401" s="67" t="s">
        <v>3225</v>
      </c>
      <c r="EY401" s="67">
        <v>5938.75</v>
      </c>
      <c r="EZ401" s="67" t="s">
        <v>3226</v>
      </c>
      <c r="FA401" s="67">
        <v>21309.5</v>
      </c>
      <c r="FB401" s="67" t="s">
        <v>3227</v>
      </c>
      <c r="FC401" s="67" t="s">
        <v>3228</v>
      </c>
      <c r="FD401" s="67" t="s">
        <v>3229</v>
      </c>
      <c r="FE401" s="68" t="s">
        <v>3230</v>
      </c>
      <c r="FF401" s="68" t="s">
        <v>3231</v>
      </c>
    </row>
    <row r="402" spans="151:162" x14ac:dyDescent="0.2">
      <c r="EU402" s="67">
        <v>592.20000000000005</v>
      </c>
      <c r="EV402" s="67" t="s">
        <v>3232</v>
      </c>
      <c r="EW402" s="67">
        <v>518.33000000000004</v>
      </c>
      <c r="EX402" s="67" t="s">
        <v>3233</v>
      </c>
      <c r="EY402" s="67">
        <v>5932.5</v>
      </c>
      <c r="EZ402" s="67" t="s">
        <v>3234</v>
      </c>
      <c r="FA402" s="67">
        <v>21275.75</v>
      </c>
      <c r="FB402" s="67" t="s">
        <v>3235</v>
      </c>
      <c r="FC402" s="67" t="s">
        <v>3236</v>
      </c>
      <c r="FD402" s="67" t="s">
        <v>3237</v>
      </c>
      <c r="FE402" s="68" t="s">
        <v>3238</v>
      </c>
      <c r="FF402" s="68" t="s">
        <v>3239</v>
      </c>
    </row>
    <row r="403" spans="151:162" x14ac:dyDescent="0.2">
      <c r="EU403" s="67">
        <v>592.47</v>
      </c>
      <c r="EV403" s="67" t="s">
        <v>3240</v>
      </c>
      <c r="EW403" s="67">
        <v>518.67999999999995</v>
      </c>
      <c r="EX403" s="67" t="s">
        <v>3241</v>
      </c>
      <c r="EY403" s="67">
        <v>5935</v>
      </c>
      <c r="EZ403" s="67" t="s">
        <v>3242</v>
      </c>
      <c r="FA403" s="67">
        <v>21291.5</v>
      </c>
      <c r="FB403" s="67" t="s">
        <v>3243</v>
      </c>
      <c r="FC403" s="67" t="s">
        <v>3244</v>
      </c>
      <c r="FD403" s="67" t="s">
        <v>3245</v>
      </c>
      <c r="FE403" s="68" t="s">
        <v>3246</v>
      </c>
      <c r="FF403" s="68" t="s">
        <v>3247</v>
      </c>
    </row>
    <row r="404" spans="151:162" x14ac:dyDescent="0.2">
      <c r="EU404" s="67">
        <v>592.35</v>
      </c>
      <c r="EV404" s="67" t="s">
        <v>3248</v>
      </c>
      <c r="EW404" s="67">
        <v>518.55999999999995</v>
      </c>
      <c r="EX404" s="67" t="s">
        <v>3249</v>
      </c>
      <c r="EY404" s="67">
        <v>5933.75</v>
      </c>
      <c r="EZ404" s="67" t="s">
        <v>3250</v>
      </c>
      <c r="FA404" s="67">
        <v>21280.5</v>
      </c>
      <c r="FB404" s="67" t="s">
        <v>3251</v>
      </c>
      <c r="FC404" s="67" t="s">
        <v>3252</v>
      </c>
      <c r="FD404" s="67" t="s">
        <v>3253</v>
      </c>
      <c r="FE404" s="68" t="s">
        <v>3254</v>
      </c>
      <c r="FF404" s="68" t="s">
        <v>3255</v>
      </c>
    </row>
    <row r="405" spans="151:162" x14ac:dyDescent="0.2">
      <c r="EU405" s="67">
        <v>592.21</v>
      </c>
      <c r="EV405" s="67" t="s">
        <v>3256</v>
      </c>
      <c r="EW405" s="67">
        <v>518.35699999999997</v>
      </c>
      <c r="EX405" s="67" t="s">
        <v>3257</v>
      </c>
      <c r="EY405" s="67">
        <v>5932.75</v>
      </c>
      <c r="EZ405" s="67" t="s">
        <v>3258</v>
      </c>
      <c r="FA405" s="67">
        <v>21276.75</v>
      </c>
      <c r="FB405" s="67" t="s">
        <v>3259</v>
      </c>
      <c r="FC405" s="67" t="s">
        <v>3260</v>
      </c>
      <c r="FD405" s="67" t="s">
        <v>3261</v>
      </c>
      <c r="FE405" s="68" t="s">
        <v>3262</v>
      </c>
      <c r="FF405" s="68" t="s">
        <v>3263</v>
      </c>
    </row>
    <row r="406" spans="151:162" x14ac:dyDescent="0.2">
      <c r="EU406" s="67">
        <v>592.57500000000005</v>
      </c>
      <c r="EV406" s="67" t="s">
        <v>3264</v>
      </c>
      <c r="EW406" s="67">
        <v>518.66</v>
      </c>
      <c r="EX406" s="67" t="s">
        <v>3265</v>
      </c>
      <c r="EY406" s="67">
        <v>5935.25</v>
      </c>
      <c r="EZ406" s="67" t="s">
        <v>3266</v>
      </c>
      <c r="FA406" s="67">
        <v>21294.75</v>
      </c>
      <c r="FB406" s="67" t="s">
        <v>3267</v>
      </c>
      <c r="FC406" s="67" t="s">
        <v>3268</v>
      </c>
      <c r="FD406" s="67" t="s">
        <v>3269</v>
      </c>
      <c r="FE406" s="68" t="s">
        <v>3270</v>
      </c>
      <c r="FF406" s="68" t="s">
        <v>3271</v>
      </c>
    </row>
    <row r="407" spans="151:162" x14ac:dyDescent="0.2">
      <c r="EU407" s="67">
        <v>593.08000000000004</v>
      </c>
      <c r="EV407" s="67" t="s">
        <v>3272</v>
      </c>
      <c r="EW407" s="67">
        <v>519.41</v>
      </c>
      <c r="EX407" s="67" t="s">
        <v>3273</v>
      </c>
      <c r="EY407" s="67">
        <v>5941.25</v>
      </c>
      <c r="EZ407" s="67" t="s">
        <v>3274</v>
      </c>
      <c r="FA407" s="67">
        <v>21319.5</v>
      </c>
      <c r="FB407" s="67" t="s">
        <v>3275</v>
      </c>
      <c r="FC407" s="67" t="s">
        <v>3276</v>
      </c>
      <c r="FD407" s="67" t="s">
        <v>3277</v>
      </c>
      <c r="FE407" s="68" t="s">
        <v>3278</v>
      </c>
      <c r="FF407" s="68" t="s">
        <v>3279</v>
      </c>
    </row>
    <row r="408" spans="151:162" x14ac:dyDescent="0.2">
      <c r="EU408" s="67">
        <v>593.46500000000003</v>
      </c>
      <c r="EV408" s="67" t="s">
        <v>3280</v>
      </c>
      <c r="EW408" s="67">
        <v>519.82000000000005</v>
      </c>
      <c r="EX408" s="67" t="s">
        <v>3281</v>
      </c>
      <c r="EY408" s="67">
        <v>5945</v>
      </c>
      <c r="EZ408" s="67" t="s">
        <v>3282</v>
      </c>
      <c r="FA408" s="67">
        <v>21337.75</v>
      </c>
      <c r="FB408" s="67" t="s">
        <v>3283</v>
      </c>
      <c r="FC408" s="67" t="s">
        <v>3284</v>
      </c>
      <c r="FD408" s="67" t="s">
        <v>3285</v>
      </c>
      <c r="FE408" s="68" t="s">
        <v>3286</v>
      </c>
      <c r="FF408" s="68" t="s">
        <v>3287</v>
      </c>
    </row>
    <row r="409" spans="151:162" x14ac:dyDescent="0.2">
      <c r="EU409" s="67">
        <v>593.24</v>
      </c>
      <c r="EV409" s="67" t="s">
        <v>3288</v>
      </c>
      <c r="EW409" s="67">
        <v>519.61</v>
      </c>
      <c r="EX409" s="67" t="s">
        <v>3289</v>
      </c>
      <c r="EY409" s="67">
        <v>5943</v>
      </c>
      <c r="EZ409" s="67" t="s">
        <v>3290</v>
      </c>
      <c r="FA409" s="67">
        <v>21329.75</v>
      </c>
      <c r="FB409" s="67" t="s">
        <v>3291</v>
      </c>
      <c r="FC409" s="67" t="s">
        <v>3292</v>
      </c>
      <c r="FD409" s="67" t="s">
        <v>3293</v>
      </c>
      <c r="FE409" s="68" t="s">
        <v>3294</v>
      </c>
      <c r="FF409" s="68" t="s">
        <v>3295</v>
      </c>
    </row>
    <row r="410" spans="151:162" x14ac:dyDescent="0.2">
      <c r="EU410" s="67">
        <v>593.17999999999995</v>
      </c>
      <c r="EV410" s="67" t="s">
        <v>3296</v>
      </c>
      <c r="EW410" s="67">
        <v>519.47</v>
      </c>
      <c r="EX410" s="67" t="s">
        <v>3297</v>
      </c>
      <c r="EY410" s="67">
        <v>5942.25</v>
      </c>
      <c r="EZ410" s="67" t="s">
        <v>3298</v>
      </c>
      <c r="FA410" s="67">
        <v>21323.25</v>
      </c>
      <c r="FB410" s="67" t="s">
        <v>3299</v>
      </c>
      <c r="FC410" s="67" t="s">
        <v>3300</v>
      </c>
      <c r="FD410" s="67" t="s">
        <v>3301</v>
      </c>
      <c r="FE410" s="68" t="s">
        <v>3302</v>
      </c>
      <c r="FF410" s="68" t="s">
        <v>3303</v>
      </c>
    </row>
    <row r="411" spans="151:162" x14ac:dyDescent="0.2">
      <c r="EU411" s="67">
        <v>592.95000000000005</v>
      </c>
      <c r="EV411" s="67" t="s">
        <v>3304</v>
      </c>
      <c r="EW411" s="67">
        <v>519.27</v>
      </c>
      <c r="EX411" s="67" t="s">
        <v>3305</v>
      </c>
      <c r="EY411" s="67">
        <v>5940</v>
      </c>
      <c r="EZ411" s="67" t="s">
        <v>3306</v>
      </c>
      <c r="FA411" s="67">
        <v>21311.5</v>
      </c>
      <c r="FB411" s="67" t="s">
        <v>3307</v>
      </c>
      <c r="FC411" s="67" t="s">
        <v>3308</v>
      </c>
      <c r="FD411" s="67" t="s">
        <v>3309</v>
      </c>
      <c r="FE411" s="68" t="s">
        <v>3310</v>
      </c>
      <c r="FF411" s="68" t="s">
        <v>3311</v>
      </c>
    </row>
    <row r="412" spans="151:162" x14ac:dyDescent="0.2">
      <c r="EU412" s="67">
        <v>592.94399999999996</v>
      </c>
      <c r="EV412" s="67" t="s">
        <v>3312</v>
      </c>
      <c r="EW412" s="67">
        <v>519.08000000000004</v>
      </c>
      <c r="EX412" s="67" t="s">
        <v>3313</v>
      </c>
      <c r="EY412" s="67">
        <v>5940</v>
      </c>
      <c r="EZ412" s="67" t="s">
        <v>3314</v>
      </c>
      <c r="FA412" s="67">
        <v>21307.75</v>
      </c>
      <c r="FB412" s="67" t="s">
        <v>3315</v>
      </c>
      <c r="FC412" s="67" t="s">
        <v>3316</v>
      </c>
      <c r="FD412" s="67" t="s">
        <v>3317</v>
      </c>
      <c r="FE412" s="68" t="s">
        <v>3318</v>
      </c>
      <c r="FF412" s="68" t="s">
        <v>3319</v>
      </c>
    </row>
    <row r="413" spans="151:162" x14ac:dyDescent="0.2">
      <c r="EU413" s="67">
        <v>592.82000000000005</v>
      </c>
      <c r="EV413" s="67" t="s">
        <v>3320</v>
      </c>
      <c r="EW413" s="67">
        <v>518.98</v>
      </c>
      <c r="EX413" s="67" t="s">
        <v>3321</v>
      </c>
      <c r="EY413" s="67">
        <v>5938.5</v>
      </c>
      <c r="EZ413" s="67" t="s">
        <v>3322</v>
      </c>
      <c r="FA413" s="67">
        <v>21302.25</v>
      </c>
      <c r="FB413" s="67" t="s">
        <v>3323</v>
      </c>
      <c r="FC413" s="67" t="s">
        <v>3324</v>
      </c>
      <c r="FD413" s="67" t="s">
        <v>3325</v>
      </c>
      <c r="FE413" s="68" t="s">
        <v>3326</v>
      </c>
      <c r="FF413" s="68" t="s">
        <v>3327</v>
      </c>
    </row>
    <row r="414" spans="151:162" x14ac:dyDescent="0.2">
      <c r="EU414" s="67">
        <v>592.79999999999995</v>
      </c>
      <c r="EV414" s="67" t="s">
        <v>3328</v>
      </c>
      <c r="EW414" s="67">
        <v>518.91999999999996</v>
      </c>
      <c r="EX414" s="67" t="s">
        <v>3329</v>
      </c>
      <c r="EY414" s="67">
        <v>5938.5</v>
      </c>
      <c r="EZ414" s="67" t="s">
        <v>3330</v>
      </c>
      <c r="FA414" s="67">
        <v>21300.75</v>
      </c>
      <c r="FB414" s="67" t="s">
        <v>3331</v>
      </c>
      <c r="FC414" s="67" t="s">
        <v>3332</v>
      </c>
      <c r="FD414" s="67" t="s">
        <v>3333</v>
      </c>
      <c r="FE414" s="68" t="s">
        <v>3334</v>
      </c>
      <c r="FF414" s="68" t="s">
        <v>3335</v>
      </c>
    </row>
    <row r="415" spans="151:162" x14ac:dyDescent="0.2">
      <c r="EU415" s="67">
        <v>592.84</v>
      </c>
      <c r="EV415" s="67" t="s">
        <v>3336</v>
      </c>
      <c r="EW415" s="67">
        <v>518.88</v>
      </c>
      <c r="EX415" s="67" t="s">
        <v>3337</v>
      </c>
      <c r="EY415" s="67">
        <v>5938.25</v>
      </c>
      <c r="EZ415" s="67" t="s">
        <v>3338</v>
      </c>
      <c r="FA415" s="67">
        <v>21301.25</v>
      </c>
      <c r="FB415" s="67" t="s">
        <v>3339</v>
      </c>
      <c r="FC415" s="67" t="s">
        <v>3340</v>
      </c>
      <c r="FD415" s="67" t="s">
        <v>3341</v>
      </c>
      <c r="FE415" s="68" t="s">
        <v>3342</v>
      </c>
      <c r="FF415" s="68" t="s">
        <v>3343</v>
      </c>
    </row>
    <row r="416" spans="151:162" x14ac:dyDescent="0.2">
      <c r="EU416" s="67">
        <v>593.08000000000004</v>
      </c>
      <c r="EV416" s="67" t="s">
        <v>3344</v>
      </c>
      <c r="EW416" s="67">
        <v>519.16999999999996</v>
      </c>
      <c r="EX416" s="67" t="s">
        <v>3345</v>
      </c>
      <c r="EY416" s="67">
        <v>5941.5</v>
      </c>
      <c r="EZ416" s="67" t="s">
        <v>3346</v>
      </c>
      <c r="FA416" s="67">
        <v>21310.5</v>
      </c>
      <c r="FB416" s="67" t="s">
        <v>3347</v>
      </c>
      <c r="FC416" s="67" t="s">
        <v>3348</v>
      </c>
      <c r="FD416" s="67" t="s">
        <v>3349</v>
      </c>
      <c r="FE416" s="68" t="s">
        <v>3350</v>
      </c>
      <c r="FF416" s="68" t="s">
        <v>3351</v>
      </c>
    </row>
    <row r="417" spans="151:162" x14ac:dyDescent="0.2">
      <c r="EU417" s="67">
        <v>593.02</v>
      </c>
      <c r="EV417" s="67" t="s">
        <v>3352</v>
      </c>
      <c r="EW417" s="67">
        <v>519.04</v>
      </c>
      <c r="EX417" s="67" t="s">
        <v>3353</v>
      </c>
      <c r="EY417" s="67">
        <v>5940.5</v>
      </c>
      <c r="EZ417" s="67" t="s">
        <v>3354</v>
      </c>
      <c r="FA417" s="67">
        <v>21305.75</v>
      </c>
      <c r="FB417" s="67" t="s">
        <v>3355</v>
      </c>
      <c r="FC417" s="67" t="s">
        <v>3356</v>
      </c>
      <c r="FD417" s="67" t="s">
        <v>3357</v>
      </c>
      <c r="FE417" s="68" t="s">
        <v>3358</v>
      </c>
      <c r="FF417" s="68" t="s">
        <v>3359</v>
      </c>
    </row>
    <row r="418" spans="151:162" x14ac:dyDescent="0.2">
      <c r="EU418" s="67">
        <v>593.12</v>
      </c>
      <c r="EV418" s="67" t="s">
        <v>3360</v>
      </c>
      <c r="EW418" s="67">
        <v>519.23</v>
      </c>
      <c r="EX418" s="67" t="s">
        <v>3361</v>
      </c>
      <c r="EY418" s="67">
        <v>5941.75</v>
      </c>
      <c r="EZ418" s="67" t="s">
        <v>3362</v>
      </c>
      <c r="FA418" s="67">
        <v>21312.25</v>
      </c>
      <c r="FB418" s="67" t="s">
        <v>3363</v>
      </c>
      <c r="FC418" s="67" t="s">
        <v>3364</v>
      </c>
      <c r="FD418" s="67" t="s">
        <v>3365</v>
      </c>
      <c r="FE418" s="68" t="s">
        <v>3366</v>
      </c>
      <c r="FF418" s="68" t="s">
        <v>3367</v>
      </c>
    </row>
    <row r="419" spans="151:162" x14ac:dyDescent="0.2">
      <c r="EU419" s="67">
        <v>593.26499999999999</v>
      </c>
      <c r="EV419" s="67" t="s">
        <v>3368</v>
      </c>
      <c r="EW419" s="67">
        <v>519.35</v>
      </c>
      <c r="EX419" s="67" t="s">
        <v>3369</v>
      </c>
      <c r="EY419" s="67">
        <v>5943.25</v>
      </c>
      <c r="EZ419" s="67" t="s">
        <v>3370</v>
      </c>
      <c r="FA419" s="67">
        <v>21317.5</v>
      </c>
      <c r="FB419" s="67" t="s">
        <v>3371</v>
      </c>
      <c r="FC419" s="67" t="s">
        <v>3372</v>
      </c>
      <c r="FD419" s="67" t="s">
        <v>3373</v>
      </c>
      <c r="FE419" s="68" t="s">
        <v>3374</v>
      </c>
      <c r="FF419" s="68" t="s">
        <v>3375</v>
      </c>
    </row>
    <row r="420" spans="151:162" x14ac:dyDescent="0.2">
      <c r="EU420" s="67">
        <v>593.22</v>
      </c>
      <c r="EV420" s="67" t="s">
        <v>3376</v>
      </c>
      <c r="EW420" s="67">
        <v>519.37</v>
      </c>
      <c r="EX420" s="67" t="s">
        <v>3377</v>
      </c>
      <c r="EY420" s="67">
        <v>5943</v>
      </c>
      <c r="EZ420" s="67" t="s">
        <v>3378</v>
      </c>
      <c r="FA420" s="67">
        <v>21317.5</v>
      </c>
      <c r="FB420" s="67" t="s">
        <v>3379</v>
      </c>
      <c r="FC420" s="67" t="s">
        <v>3380</v>
      </c>
      <c r="FD420" s="67" t="s">
        <v>3381</v>
      </c>
      <c r="FE420" s="68" t="s">
        <v>3382</v>
      </c>
      <c r="FF420" s="68" t="s">
        <v>3383</v>
      </c>
    </row>
    <row r="421" spans="151:162" x14ac:dyDescent="0.2">
      <c r="EU421" s="67">
        <v>592.84</v>
      </c>
      <c r="EV421" s="67" t="s">
        <v>3384</v>
      </c>
      <c r="EW421" s="67">
        <v>518.72</v>
      </c>
      <c r="EX421" s="67" t="s">
        <v>3385</v>
      </c>
      <c r="EY421" s="67">
        <v>5938.75</v>
      </c>
      <c r="EZ421" s="67" t="s">
        <v>3386</v>
      </c>
      <c r="FA421" s="67">
        <v>21291.75</v>
      </c>
      <c r="FB421" s="67" t="s">
        <v>3387</v>
      </c>
      <c r="FC421" s="67" t="s">
        <v>3388</v>
      </c>
      <c r="FD421" s="67" t="s">
        <v>3389</v>
      </c>
      <c r="FE421" s="68" t="s">
        <v>3390</v>
      </c>
      <c r="FF421" s="68" t="s">
        <v>3391</v>
      </c>
    </row>
    <row r="422" spans="151:162" x14ac:dyDescent="0.2">
      <c r="EU422" s="67">
        <v>592.82000000000005</v>
      </c>
      <c r="EV422" s="67" t="s">
        <v>3392</v>
      </c>
      <c r="EW422" s="67">
        <v>518.75</v>
      </c>
      <c r="EX422" s="67" t="s">
        <v>3393</v>
      </c>
      <c r="EY422" s="67">
        <v>5938.5</v>
      </c>
      <c r="EZ422" s="67" t="s">
        <v>3394</v>
      </c>
      <c r="FA422" s="67">
        <v>21293</v>
      </c>
      <c r="FB422" s="67" t="s">
        <v>3395</v>
      </c>
      <c r="FC422" s="67" t="s">
        <v>3396</v>
      </c>
      <c r="FD422" s="67" t="s">
        <v>3397</v>
      </c>
      <c r="FE422" s="68" t="s">
        <v>3398</v>
      </c>
      <c r="FF422" s="68" t="s">
        <v>3399</v>
      </c>
    </row>
    <row r="423" spans="151:162" x14ac:dyDescent="0.2">
      <c r="EU423" s="67">
        <v>592.63</v>
      </c>
      <c r="EV423" s="67" t="s">
        <v>3400</v>
      </c>
      <c r="EW423" s="67">
        <v>518.63</v>
      </c>
      <c r="EX423" s="67" t="s">
        <v>3401</v>
      </c>
      <c r="EY423" s="67">
        <v>5936.75</v>
      </c>
      <c r="EZ423" s="67" t="s">
        <v>3402</v>
      </c>
      <c r="FA423" s="67">
        <v>21287.75</v>
      </c>
      <c r="FB423" s="67" t="s">
        <v>3403</v>
      </c>
      <c r="FC423" s="67" t="s">
        <v>3404</v>
      </c>
      <c r="FD423" s="67" t="s">
        <v>3405</v>
      </c>
      <c r="FE423" s="68" t="s">
        <v>3406</v>
      </c>
      <c r="FF423" s="68" t="s">
        <v>3407</v>
      </c>
    </row>
    <row r="424" spans="151:162" x14ac:dyDescent="0.2">
      <c r="EU424" s="67">
        <v>592.66999999999996</v>
      </c>
      <c r="EV424" s="67" t="s">
        <v>3408</v>
      </c>
      <c r="EW424" s="67">
        <v>518.70000000000005</v>
      </c>
      <c r="EX424" s="67" t="s">
        <v>3409</v>
      </c>
      <c r="EY424" s="67">
        <v>5937</v>
      </c>
      <c r="EZ424" s="67" t="s">
        <v>3410</v>
      </c>
      <c r="FA424" s="67">
        <v>21291</v>
      </c>
      <c r="FB424" s="67" t="s">
        <v>3411</v>
      </c>
      <c r="FC424" s="67" t="s">
        <v>3412</v>
      </c>
      <c r="FD424" s="67" t="s">
        <v>3413</v>
      </c>
      <c r="FE424" s="68" t="s">
        <v>3414</v>
      </c>
      <c r="FF424" s="68" t="s">
        <v>3415</v>
      </c>
    </row>
    <row r="425" spans="151:162" x14ac:dyDescent="0.2">
      <c r="EU425" s="67">
        <v>592.54999999999995</v>
      </c>
      <c r="EV425" s="67" t="s">
        <v>3416</v>
      </c>
      <c r="EW425" s="67">
        <v>518.65</v>
      </c>
      <c r="EX425" s="67" t="s">
        <v>3417</v>
      </c>
      <c r="EY425" s="67">
        <v>5935.75</v>
      </c>
      <c r="EZ425" s="67" t="s">
        <v>3418</v>
      </c>
      <c r="FA425" s="67">
        <v>21286.5</v>
      </c>
      <c r="FB425" s="67" t="s">
        <v>3419</v>
      </c>
      <c r="FC425" s="67" t="s">
        <v>3420</v>
      </c>
      <c r="FD425" s="67" t="s">
        <v>3421</v>
      </c>
      <c r="FE425" s="68" t="s">
        <v>3422</v>
      </c>
      <c r="FF425" s="68" t="s">
        <v>3423</v>
      </c>
    </row>
    <row r="426" spans="151:162" x14ac:dyDescent="0.2">
      <c r="EU426" s="67">
        <v>592.52</v>
      </c>
      <c r="EV426" s="67" t="s">
        <v>3424</v>
      </c>
      <c r="EW426" s="67">
        <v>518.66999999999996</v>
      </c>
      <c r="EX426" s="67" t="s">
        <v>3425</v>
      </c>
      <c r="EY426" s="67">
        <v>5935.5</v>
      </c>
      <c r="EZ426" s="67" t="s">
        <v>3426</v>
      </c>
      <c r="FA426" s="67">
        <v>21289.75</v>
      </c>
      <c r="FB426" s="67" t="s">
        <v>3427</v>
      </c>
      <c r="FC426" s="67" t="s">
        <v>3428</v>
      </c>
      <c r="FD426" s="67" t="s">
        <v>3429</v>
      </c>
      <c r="FE426" s="68" t="s">
        <v>3430</v>
      </c>
      <c r="FF426" s="68" t="s">
        <v>3431</v>
      </c>
    </row>
    <row r="427" spans="151:162" x14ac:dyDescent="0.2">
      <c r="EU427" s="67">
        <v>592.86</v>
      </c>
      <c r="EV427" s="67" t="s">
        <v>3432</v>
      </c>
      <c r="EW427" s="67">
        <v>518.97</v>
      </c>
      <c r="EX427" s="67" t="s">
        <v>3433</v>
      </c>
      <c r="EY427" s="67">
        <v>5939</v>
      </c>
      <c r="EZ427" s="67" t="s">
        <v>3434</v>
      </c>
      <c r="FA427" s="67">
        <v>21302</v>
      </c>
      <c r="FB427" s="67" t="s">
        <v>3435</v>
      </c>
      <c r="FC427" s="67" t="s">
        <v>3436</v>
      </c>
      <c r="FD427" s="67" t="s">
        <v>3437</v>
      </c>
      <c r="FE427" s="68" t="s">
        <v>3438</v>
      </c>
      <c r="FF427" s="68" t="s">
        <v>3439</v>
      </c>
    </row>
    <row r="428" spans="151:162" x14ac:dyDescent="0.2">
      <c r="EU428" s="67">
        <v>592.79999999999995</v>
      </c>
      <c r="EV428" s="67" t="s">
        <v>3440</v>
      </c>
      <c r="EW428" s="67">
        <v>518.80999999999995</v>
      </c>
      <c r="EX428" s="67" t="s">
        <v>3441</v>
      </c>
      <c r="EY428" s="67">
        <v>5938.5</v>
      </c>
      <c r="EZ428" s="67" t="s">
        <v>3442</v>
      </c>
      <c r="FA428" s="67">
        <v>21295.25</v>
      </c>
      <c r="FB428" s="67" t="s">
        <v>3443</v>
      </c>
      <c r="FC428" s="67" t="s">
        <v>3444</v>
      </c>
      <c r="FD428" s="67" t="s">
        <v>3445</v>
      </c>
      <c r="FE428" s="68" t="s">
        <v>3446</v>
      </c>
      <c r="FF428" s="68" t="s">
        <v>3447</v>
      </c>
    </row>
    <row r="429" spans="151:162" x14ac:dyDescent="0.2">
      <c r="EU429" s="67">
        <v>592.92999999999995</v>
      </c>
      <c r="EV429" s="67" t="s">
        <v>3448</v>
      </c>
      <c r="EW429" s="67">
        <v>519.13</v>
      </c>
      <c r="EX429" s="67" t="s">
        <v>3449</v>
      </c>
      <c r="EY429" s="67">
        <v>5939.75</v>
      </c>
      <c r="EZ429" s="67" t="s">
        <v>3450</v>
      </c>
      <c r="FA429" s="67">
        <v>21308.75</v>
      </c>
      <c r="FB429" s="67" t="s">
        <v>3451</v>
      </c>
      <c r="FC429" s="67" t="s">
        <v>3452</v>
      </c>
      <c r="FD429" s="67" t="s">
        <v>3453</v>
      </c>
      <c r="FE429" s="68" t="s">
        <v>3454</v>
      </c>
      <c r="FF429" s="68" t="s">
        <v>3455</v>
      </c>
    </row>
    <row r="430" spans="151:162" x14ac:dyDescent="0.2">
      <c r="EU430" s="67">
        <v>592.72</v>
      </c>
      <c r="EV430" s="67" t="s">
        <v>3456</v>
      </c>
      <c r="EW430" s="67">
        <v>518.98</v>
      </c>
      <c r="EX430" s="67" t="s">
        <v>3457</v>
      </c>
      <c r="EY430" s="67">
        <v>5937.75</v>
      </c>
      <c r="EZ430" s="67" t="s">
        <v>3458</v>
      </c>
      <c r="FA430" s="67">
        <v>21302.25</v>
      </c>
      <c r="FB430" s="67" t="s">
        <v>3459</v>
      </c>
      <c r="FC430" s="67" t="s">
        <v>3460</v>
      </c>
      <c r="FD430" s="67" t="s">
        <v>3461</v>
      </c>
      <c r="FE430" s="68" t="s">
        <v>3462</v>
      </c>
      <c r="FF430" s="68" t="s">
        <v>3463</v>
      </c>
    </row>
    <row r="431" spans="151:162" x14ac:dyDescent="0.2">
      <c r="EU431" s="67">
        <v>592.84</v>
      </c>
      <c r="EV431" s="67" t="s">
        <v>3464</v>
      </c>
      <c r="EW431" s="67">
        <v>519.17999999999995</v>
      </c>
      <c r="EX431" s="67" t="s">
        <v>3465</v>
      </c>
      <c r="EY431" s="67">
        <v>5938.75</v>
      </c>
      <c r="EZ431" s="67" t="s">
        <v>3466</v>
      </c>
      <c r="FA431" s="67">
        <v>21311.25</v>
      </c>
      <c r="FB431" s="67" t="s">
        <v>3467</v>
      </c>
      <c r="FC431" s="67" t="s">
        <v>3468</v>
      </c>
      <c r="FD431" s="67" t="s">
        <v>3469</v>
      </c>
      <c r="FE431" s="68" t="s">
        <v>3470</v>
      </c>
      <c r="FF431" s="68" t="s">
        <v>3471</v>
      </c>
    </row>
    <row r="432" spans="151:162" x14ac:dyDescent="0.2">
      <c r="EU432" s="67">
        <v>593.01</v>
      </c>
      <c r="EV432" s="67" t="s">
        <v>3472</v>
      </c>
      <c r="EW432" s="67">
        <v>519.33000000000004</v>
      </c>
      <c r="EX432" s="67" t="s">
        <v>3473</v>
      </c>
      <c r="EY432" s="67">
        <v>5940.5</v>
      </c>
      <c r="EZ432" s="67" t="s">
        <v>3474</v>
      </c>
      <c r="FA432" s="67">
        <v>21315.75</v>
      </c>
      <c r="FB432" s="67" t="s">
        <v>3475</v>
      </c>
      <c r="FC432" s="67" t="s">
        <v>3476</v>
      </c>
      <c r="FD432" s="67" t="s">
        <v>3477</v>
      </c>
      <c r="FE432" s="68" t="s">
        <v>3478</v>
      </c>
      <c r="FF432" s="68" t="s">
        <v>3479</v>
      </c>
    </row>
    <row r="433" spans="151:162" x14ac:dyDescent="0.2">
      <c r="EU433" s="67">
        <v>592.96</v>
      </c>
      <c r="EV433" s="67" t="s">
        <v>3480</v>
      </c>
      <c r="EW433" s="67">
        <v>519.28</v>
      </c>
      <c r="EX433" s="67" t="s">
        <v>3481</v>
      </c>
      <c r="EY433" s="67">
        <v>5940</v>
      </c>
      <c r="EZ433" s="67" t="s">
        <v>3482</v>
      </c>
      <c r="FA433" s="67">
        <v>21315</v>
      </c>
      <c r="FB433" s="67" t="s">
        <v>3483</v>
      </c>
      <c r="FC433" s="67" t="s">
        <v>3484</v>
      </c>
      <c r="FD433" s="67" t="s">
        <v>3485</v>
      </c>
      <c r="FE433" s="68" t="s">
        <v>3486</v>
      </c>
      <c r="FF433" s="68" t="s">
        <v>3487</v>
      </c>
    </row>
    <row r="434" spans="151:162" x14ac:dyDescent="0.2">
      <c r="EU434" s="67">
        <v>593.29</v>
      </c>
      <c r="EV434" s="67" t="s">
        <v>3488</v>
      </c>
      <c r="EW434" s="67">
        <v>519.53</v>
      </c>
      <c r="EX434" s="67" t="s">
        <v>3489</v>
      </c>
      <c r="EY434" s="67">
        <v>5942.75</v>
      </c>
      <c r="EZ434" s="67" t="s">
        <v>3490</v>
      </c>
      <c r="FA434" s="67">
        <v>21327.5</v>
      </c>
      <c r="FB434" s="67" t="s">
        <v>3491</v>
      </c>
      <c r="FC434" s="67" t="s">
        <v>3492</v>
      </c>
      <c r="FD434" s="67" t="s">
        <v>3493</v>
      </c>
      <c r="FE434" s="68" t="s">
        <v>3494</v>
      </c>
      <c r="FF434" s="68" t="s">
        <v>3495</v>
      </c>
    </row>
    <row r="435" spans="151:162" x14ac:dyDescent="0.2">
      <c r="EU435" s="67">
        <v>593.18499999999995</v>
      </c>
      <c r="EV435" s="67" t="s">
        <v>3496</v>
      </c>
      <c r="EW435" s="67">
        <v>519.44000000000005</v>
      </c>
      <c r="EX435" s="67" t="s">
        <v>3497</v>
      </c>
      <c r="EY435" s="67">
        <v>5942.25</v>
      </c>
      <c r="EZ435" s="67" t="s">
        <v>3498</v>
      </c>
      <c r="FA435" s="67">
        <v>21321.25</v>
      </c>
      <c r="FB435" s="67" t="s">
        <v>3499</v>
      </c>
      <c r="FC435" s="67" t="s">
        <v>3500</v>
      </c>
      <c r="FD435" s="67" t="s">
        <v>3501</v>
      </c>
      <c r="FE435" s="68" t="s">
        <v>3502</v>
      </c>
      <c r="FF435" s="68" t="s">
        <v>3503</v>
      </c>
    </row>
    <row r="436" spans="151:162" x14ac:dyDescent="0.2">
      <c r="EU436" s="67">
        <v>593.32799999999997</v>
      </c>
      <c r="EV436" s="67" t="s">
        <v>3504</v>
      </c>
      <c r="EW436" s="67">
        <v>519.55999999999995</v>
      </c>
      <c r="EX436" s="67" t="s">
        <v>3505</v>
      </c>
      <c r="EY436" s="67">
        <v>5943.75</v>
      </c>
      <c r="EZ436" s="67" t="s">
        <v>3506</v>
      </c>
      <c r="FA436" s="67">
        <v>21326</v>
      </c>
      <c r="FB436" s="67" t="s">
        <v>3507</v>
      </c>
      <c r="FC436" s="67" t="s">
        <v>3508</v>
      </c>
      <c r="FD436" s="67" t="s">
        <v>3509</v>
      </c>
      <c r="FE436" s="68" t="s">
        <v>3510</v>
      </c>
      <c r="FF436" s="68" t="s">
        <v>3511</v>
      </c>
    </row>
    <row r="437" spans="151:162" x14ac:dyDescent="0.2">
      <c r="EU437" s="67">
        <v>593.22</v>
      </c>
      <c r="EV437" s="67" t="s">
        <v>3512</v>
      </c>
      <c r="EW437" s="67">
        <v>519.43100000000004</v>
      </c>
      <c r="EX437" s="67" t="s">
        <v>3513</v>
      </c>
      <c r="EY437" s="67">
        <v>5942.25</v>
      </c>
      <c r="EZ437" s="67" t="s">
        <v>3514</v>
      </c>
      <c r="FA437" s="67">
        <v>21320.75</v>
      </c>
      <c r="FB437" s="67" t="s">
        <v>3515</v>
      </c>
      <c r="FC437" s="67" t="s">
        <v>3516</v>
      </c>
      <c r="FD437" s="67" t="s">
        <v>3517</v>
      </c>
      <c r="FE437" s="68" t="s">
        <v>3518</v>
      </c>
      <c r="FF437" s="68" t="s">
        <v>3519</v>
      </c>
    </row>
    <row r="438" spans="151:162" x14ac:dyDescent="0.2">
      <c r="EU438" s="67">
        <v>592.96</v>
      </c>
      <c r="EV438" s="67" t="s">
        <v>3520</v>
      </c>
      <c r="EW438" s="67">
        <v>519.17999999999995</v>
      </c>
      <c r="EX438" s="67" t="s">
        <v>3521</v>
      </c>
      <c r="EY438" s="67">
        <v>5940.25</v>
      </c>
      <c r="EZ438" s="67" t="s">
        <v>3522</v>
      </c>
      <c r="FA438" s="67">
        <v>21312</v>
      </c>
      <c r="FB438" s="67" t="s">
        <v>3523</v>
      </c>
      <c r="FC438" s="67" t="s">
        <v>3524</v>
      </c>
      <c r="FD438" s="67" t="s">
        <v>3525</v>
      </c>
      <c r="FE438" s="68" t="s">
        <v>3526</v>
      </c>
      <c r="FF438" s="68" t="s">
        <v>3527</v>
      </c>
    </row>
    <row r="439" spans="151:162" x14ac:dyDescent="0.2">
      <c r="EU439" s="67">
        <v>593.1</v>
      </c>
      <c r="EV439" s="67" t="s">
        <v>3528</v>
      </c>
      <c r="EW439" s="67">
        <v>519.23</v>
      </c>
      <c r="EX439" s="67" t="s">
        <v>3529</v>
      </c>
      <c r="EY439" s="67">
        <v>5941.5</v>
      </c>
      <c r="EZ439" s="67" t="s">
        <v>3530</v>
      </c>
      <c r="FA439" s="67">
        <v>21313.25</v>
      </c>
      <c r="FB439" s="67" t="s">
        <v>3531</v>
      </c>
      <c r="FC439" s="67" t="s">
        <v>3532</v>
      </c>
      <c r="FD439" s="67" t="s">
        <v>3533</v>
      </c>
      <c r="FE439" s="68" t="s">
        <v>3534</v>
      </c>
      <c r="FF439" s="68" t="s">
        <v>3535</v>
      </c>
    </row>
    <row r="440" spans="151:162" x14ac:dyDescent="0.2">
      <c r="EU440" s="67">
        <v>593.30999999999995</v>
      </c>
      <c r="EV440" s="67" t="s">
        <v>3536</v>
      </c>
      <c r="EW440" s="67">
        <v>519.52</v>
      </c>
      <c r="EX440" s="67" t="s">
        <v>3537</v>
      </c>
      <c r="EY440" s="67">
        <v>5943.5</v>
      </c>
      <c r="EZ440" s="67" t="s">
        <v>3538</v>
      </c>
      <c r="FA440" s="67">
        <v>21326</v>
      </c>
      <c r="FB440" s="67" t="s">
        <v>3539</v>
      </c>
      <c r="FC440" s="67" t="s">
        <v>3540</v>
      </c>
      <c r="FD440" s="67" t="s">
        <v>3541</v>
      </c>
      <c r="FE440" s="68" t="s">
        <v>3542</v>
      </c>
      <c r="FF440" s="68" t="s">
        <v>3543</v>
      </c>
    </row>
    <row r="441" spans="151:162" x14ac:dyDescent="0.2">
      <c r="EU441" s="67">
        <v>593.15</v>
      </c>
      <c r="EV441" s="67" t="s">
        <v>3544</v>
      </c>
      <c r="EW441" s="67">
        <v>519.35</v>
      </c>
      <c r="EX441" s="67" t="s">
        <v>3545</v>
      </c>
      <c r="EY441" s="67">
        <v>5941.75</v>
      </c>
      <c r="EZ441" s="67" t="s">
        <v>3546</v>
      </c>
      <c r="FA441" s="67">
        <v>21318.5</v>
      </c>
      <c r="FB441" s="67" t="s">
        <v>3547</v>
      </c>
      <c r="FC441" s="67" t="s">
        <v>3548</v>
      </c>
      <c r="FD441" s="67" t="s">
        <v>3549</v>
      </c>
      <c r="FE441" s="68" t="s">
        <v>3550</v>
      </c>
      <c r="FF441" s="68" t="s">
        <v>3551</v>
      </c>
    </row>
    <row r="442" spans="151:162" x14ac:dyDescent="0.2">
      <c r="EU442" s="67">
        <v>592.97</v>
      </c>
      <c r="EV442" s="67" t="s">
        <v>3552</v>
      </c>
      <c r="EW442" s="67">
        <v>519.11</v>
      </c>
      <c r="EX442" s="67" t="s">
        <v>3553</v>
      </c>
      <c r="EY442" s="67">
        <v>5940.25</v>
      </c>
      <c r="EZ442" s="67" t="s">
        <v>3554</v>
      </c>
      <c r="FA442" s="67">
        <v>21308</v>
      </c>
      <c r="FB442" s="67" t="s">
        <v>3555</v>
      </c>
      <c r="FC442" s="67" t="s">
        <v>3556</v>
      </c>
      <c r="FD442" s="67" t="s">
        <v>3557</v>
      </c>
      <c r="FE442" s="68" t="s">
        <v>3558</v>
      </c>
      <c r="FF442" s="68" t="s">
        <v>3559</v>
      </c>
    </row>
    <row r="443" spans="151:162" x14ac:dyDescent="0.2">
      <c r="EU443" s="67">
        <v>592.82000000000005</v>
      </c>
      <c r="EV443" s="67" t="s">
        <v>3560</v>
      </c>
      <c r="EW443" s="67">
        <v>518.95000000000005</v>
      </c>
      <c r="EX443" s="67" t="s">
        <v>3561</v>
      </c>
      <c r="EY443" s="67">
        <v>5938.5</v>
      </c>
      <c r="EZ443" s="67" t="s">
        <v>3562</v>
      </c>
      <c r="FA443" s="67">
        <v>21301.75</v>
      </c>
      <c r="FB443" s="67" t="s">
        <v>3563</v>
      </c>
      <c r="FC443" s="67" t="s">
        <v>3564</v>
      </c>
      <c r="FD443" s="67" t="s">
        <v>3565</v>
      </c>
      <c r="FE443" s="68" t="s">
        <v>3566</v>
      </c>
      <c r="FF443" s="68" t="s">
        <v>3567</v>
      </c>
    </row>
    <row r="444" spans="151:162" x14ac:dyDescent="0.2">
      <c r="EU444" s="67">
        <v>592.88</v>
      </c>
      <c r="EV444" s="67" t="s">
        <v>3568</v>
      </c>
      <c r="EW444" s="67">
        <v>519.02</v>
      </c>
      <c r="EX444" s="67" t="s">
        <v>3569</v>
      </c>
      <c r="EY444" s="67">
        <v>5939.25</v>
      </c>
      <c r="EZ444" s="67" t="s">
        <v>3570</v>
      </c>
      <c r="FA444" s="67">
        <v>21303.75</v>
      </c>
      <c r="FB444" s="67" t="s">
        <v>3571</v>
      </c>
      <c r="FC444" s="67" t="s">
        <v>3572</v>
      </c>
      <c r="FD444" s="67" t="s">
        <v>3573</v>
      </c>
      <c r="FE444" s="68" t="s">
        <v>3574</v>
      </c>
      <c r="FF444" s="68" t="s">
        <v>3575</v>
      </c>
    </row>
    <row r="445" spans="151:162" x14ac:dyDescent="0.2">
      <c r="EU445" s="67">
        <v>593.09</v>
      </c>
      <c r="EV445" s="67" t="s">
        <v>3576</v>
      </c>
      <c r="EW445" s="67">
        <v>519.23</v>
      </c>
      <c r="EX445" s="67" t="s">
        <v>3577</v>
      </c>
      <c r="EY445" s="67">
        <v>5941.25</v>
      </c>
      <c r="EZ445" s="67" t="s">
        <v>3578</v>
      </c>
      <c r="FA445" s="67">
        <v>21313.5</v>
      </c>
      <c r="FB445" s="67" t="s">
        <v>3579</v>
      </c>
      <c r="FC445" s="67" t="s">
        <v>3580</v>
      </c>
      <c r="FD445" s="67" t="s">
        <v>3581</v>
      </c>
      <c r="FE445" s="68" t="s">
        <v>3582</v>
      </c>
      <c r="FF445" s="68" t="s">
        <v>3583</v>
      </c>
    </row>
    <row r="446" spans="151:162" x14ac:dyDescent="0.2">
      <c r="EU446" s="67">
        <v>592.73</v>
      </c>
      <c r="EV446" s="67" t="s">
        <v>3584</v>
      </c>
      <c r="EW446" s="67">
        <v>518.79499999999996</v>
      </c>
      <c r="EX446" s="67" t="s">
        <v>3585</v>
      </c>
      <c r="EY446" s="67">
        <v>5937.5</v>
      </c>
      <c r="EZ446" s="67" t="s">
        <v>3586</v>
      </c>
      <c r="FA446" s="67">
        <v>21295.25</v>
      </c>
      <c r="FB446" s="67" t="s">
        <v>3587</v>
      </c>
      <c r="FC446" s="67" t="s">
        <v>3588</v>
      </c>
      <c r="FD446" s="67" t="s">
        <v>3589</v>
      </c>
      <c r="FE446" s="68" t="s">
        <v>3590</v>
      </c>
      <c r="FF446" s="68" t="s">
        <v>3591</v>
      </c>
    </row>
    <row r="447" spans="151:162" x14ac:dyDescent="0.2">
      <c r="EU447" s="67">
        <v>592.89</v>
      </c>
      <c r="EV447" s="67" t="s">
        <v>3592</v>
      </c>
      <c r="EW447" s="67">
        <v>519.04999999999995</v>
      </c>
      <c r="EX447" s="67" t="s">
        <v>3593</v>
      </c>
      <c r="EY447" s="67">
        <v>5939.25</v>
      </c>
      <c r="EZ447" s="67" t="s">
        <v>3594</v>
      </c>
      <c r="FA447" s="67">
        <v>21305.5</v>
      </c>
      <c r="FB447" s="67" t="s">
        <v>3595</v>
      </c>
      <c r="FC447" s="67" t="s">
        <v>3596</v>
      </c>
      <c r="FD447" s="67" t="s">
        <v>3597</v>
      </c>
      <c r="FE447" s="68" t="s">
        <v>3598</v>
      </c>
      <c r="FF447" s="68" t="s">
        <v>3599</v>
      </c>
    </row>
    <row r="448" spans="151:162" x14ac:dyDescent="0.2">
      <c r="EU448" s="67">
        <v>592.92999999999995</v>
      </c>
      <c r="EV448" s="67" t="s">
        <v>3600</v>
      </c>
      <c r="EW448" s="67">
        <v>519.15</v>
      </c>
      <c r="EX448" s="67" t="s">
        <v>3601</v>
      </c>
      <c r="EY448" s="67">
        <v>5939.75</v>
      </c>
      <c r="EZ448" s="67" t="s">
        <v>3602</v>
      </c>
      <c r="FA448" s="67">
        <v>21310</v>
      </c>
      <c r="FB448" s="67" t="s">
        <v>3603</v>
      </c>
      <c r="FC448" s="67" t="s">
        <v>3604</v>
      </c>
      <c r="FD448" s="67" t="s">
        <v>3605</v>
      </c>
      <c r="FE448" s="68" t="s">
        <v>3606</v>
      </c>
      <c r="FF448" s="68" t="s">
        <v>3607</v>
      </c>
    </row>
    <row r="449" spans="151:162" x14ac:dyDescent="0.2">
      <c r="EU449" s="67">
        <v>593.19000000000005</v>
      </c>
      <c r="EV449" s="67" t="s">
        <v>3608</v>
      </c>
      <c r="EW449" s="67">
        <v>519.375</v>
      </c>
      <c r="EX449" s="67" t="s">
        <v>3609</v>
      </c>
      <c r="EY449" s="67">
        <v>5942.5</v>
      </c>
      <c r="EZ449" s="67" t="s">
        <v>3610</v>
      </c>
      <c r="FA449" s="67">
        <v>21319.25</v>
      </c>
      <c r="FB449" s="67" t="s">
        <v>3611</v>
      </c>
      <c r="FC449" s="67" t="s">
        <v>3612</v>
      </c>
      <c r="FD449" s="67" t="s">
        <v>3613</v>
      </c>
      <c r="FE449" s="68" t="s">
        <v>3614</v>
      </c>
      <c r="FF449" s="68" t="s">
        <v>3615</v>
      </c>
    </row>
    <row r="450" spans="151:162" x14ac:dyDescent="0.2">
      <c r="EU450" s="67">
        <v>593.11</v>
      </c>
      <c r="EV450" s="67" t="s">
        <v>3616</v>
      </c>
      <c r="EW450" s="67">
        <v>519.34</v>
      </c>
      <c r="EX450" s="67" t="s">
        <v>3617</v>
      </c>
      <c r="EY450" s="67">
        <v>5941.5</v>
      </c>
      <c r="EZ450" s="67" t="s">
        <v>3618</v>
      </c>
      <c r="FA450" s="67">
        <v>21318</v>
      </c>
      <c r="FB450" s="67" t="s">
        <v>3619</v>
      </c>
      <c r="FC450" s="67" t="s">
        <v>3620</v>
      </c>
      <c r="FD450" s="67" t="s">
        <v>3621</v>
      </c>
      <c r="FE450" s="68" t="s">
        <v>3622</v>
      </c>
      <c r="FF450" s="68" t="s">
        <v>3623</v>
      </c>
    </row>
    <row r="451" spans="151:162" x14ac:dyDescent="0.2">
      <c r="EU451" s="67">
        <v>593.29999999999995</v>
      </c>
      <c r="EV451" s="67" t="s">
        <v>3624</v>
      </c>
      <c r="EW451" s="67">
        <v>519.61</v>
      </c>
      <c r="EX451" s="67" t="s">
        <v>3625</v>
      </c>
      <c r="EY451" s="67">
        <v>5943.5</v>
      </c>
      <c r="EZ451" s="67" t="s">
        <v>3626</v>
      </c>
      <c r="FA451" s="67">
        <v>21328.5</v>
      </c>
      <c r="FB451" s="67" t="s">
        <v>3627</v>
      </c>
      <c r="FC451" s="67" t="s">
        <v>3628</v>
      </c>
      <c r="FD451" s="67" t="s">
        <v>3629</v>
      </c>
      <c r="FE451" s="68" t="s">
        <v>3630</v>
      </c>
      <c r="FF451" s="68" t="s">
        <v>3631</v>
      </c>
    </row>
    <row r="452" spans="151:162" x14ac:dyDescent="0.2">
      <c r="EU452" s="67">
        <v>593.47</v>
      </c>
      <c r="EV452" s="67" t="s">
        <v>3632</v>
      </c>
      <c r="EW452" s="67">
        <v>519.83000000000004</v>
      </c>
      <c r="EX452" s="67" t="s">
        <v>3633</v>
      </c>
      <c r="EY452" s="67">
        <v>5945.25</v>
      </c>
      <c r="EZ452" s="67" t="s">
        <v>3634</v>
      </c>
      <c r="FA452" s="67">
        <v>21338</v>
      </c>
      <c r="FB452" s="67" t="s">
        <v>3635</v>
      </c>
      <c r="FC452" s="67" t="s">
        <v>3636</v>
      </c>
      <c r="FD452" s="67" t="s">
        <v>3637</v>
      </c>
      <c r="FE452" s="68" t="s">
        <v>3638</v>
      </c>
      <c r="FF452" s="68" t="s">
        <v>3639</v>
      </c>
    </row>
    <row r="453" spans="151:162" x14ac:dyDescent="0.2">
      <c r="EU453" s="67">
        <v>593.91</v>
      </c>
      <c r="EV453" s="67" t="s">
        <v>3640</v>
      </c>
      <c r="EW453" s="67">
        <v>520.22</v>
      </c>
      <c r="EX453" s="67" t="s">
        <v>3641</v>
      </c>
      <c r="EY453" s="67">
        <v>5949.5</v>
      </c>
      <c r="EZ453" s="67" t="s">
        <v>3642</v>
      </c>
      <c r="FA453" s="67">
        <v>21355</v>
      </c>
      <c r="FB453" s="67" t="s">
        <v>3643</v>
      </c>
      <c r="FC453" s="67" t="s">
        <v>3644</v>
      </c>
      <c r="FD453" s="67" t="s">
        <v>3645</v>
      </c>
      <c r="FE453" s="68" t="s">
        <v>3646</v>
      </c>
      <c r="FF453" s="68" t="s">
        <v>3647</v>
      </c>
    </row>
    <row r="454" spans="151:162" x14ac:dyDescent="0.2">
      <c r="EU454" s="67">
        <v>593.70000000000005</v>
      </c>
      <c r="EV454" s="67" t="s">
        <v>3648</v>
      </c>
      <c r="EW454" s="67">
        <v>520.04</v>
      </c>
      <c r="EX454" s="67" t="s">
        <v>3649</v>
      </c>
      <c r="EY454" s="67">
        <v>5947.5</v>
      </c>
      <c r="EZ454" s="67" t="s">
        <v>3650</v>
      </c>
      <c r="FA454" s="67">
        <v>21345.75</v>
      </c>
      <c r="FB454" s="67" t="s">
        <v>3651</v>
      </c>
      <c r="FC454" s="67" t="s">
        <v>3652</v>
      </c>
      <c r="FD454" s="67" t="s">
        <v>3653</v>
      </c>
      <c r="FE454" s="68" t="s">
        <v>3654</v>
      </c>
      <c r="FF454" s="68" t="s">
        <v>3655</v>
      </c>
    </row>
    <row r="455" spans="151:162" x14ac:dyDescent="0.2">
      <c r="EU455" s="67">
        <v>593.75</v>
      </c>
      <c r="EV455" s="67" t="s">
        <v>3656</v>
      </c>
      <c r="EW455" s="67">
        <v>520.08000000000004</v>
      </c>
      <c r="EX455" s="67" t="s">
        <v>3657</v>
      </c>
      <c r="EY455" s="67">
        <v>5948</v>
      </c>
      <c r="EZ455" s="67" t="s">
        <v>3658</v>
      </c>
      <c r="FA455" s="67">
        <v>21348</v>
      </c>
      <c r="FB455" s="67" t="s">
        <v>3659</v>
      </c>
      <c r="FC455" s="67" t="s">
        <v>3660</v>
      </c>
      <c r="FD455" s="67" t="s">
        <v>3661</v>
      </c>
      <c r="FE455" s="68" t="s">
        <v>3662</v>
      </c>
      <c r="FF455" s="68" t="s">
        <v>3663</v>
      </c>
    </row>
    <row r="456" spans="151:162" x14ac:dyDescent="0.2">
      <c r="EU456" s="67">
        <v>593.74</v>
      </c>
      <c r="EV456" s="67" t="s">
        <v>3664</v>
      </c>
      <c r="EW456" s="67">
        <v>520.04999999999995</v>
      </c>
      <c r="EX456" s="67" t="s">
        <v>3665</v>
      </c>
      <c r="EY456" s="67">
        <v>5948</v>
      </c>
      <c r="EZ456" s="67" t="s">
        <v>3666</v>
      </c>
      <c r="FA456" s="67">
        <v>21347.5</v>
      </c>
      <c r="FB456" s="67" t="s">
        <v>3667</v>
      </c>
      <c r="FC456" s="67" t="s">
        <v>3668</v>
      </c>
      <c r="FD456" s="67" t="s">
        <v>3669</v>
      </c>
      <c r="FE456" s="68" t="s">
        <v>3670</v>
      </c>
      <c r="FF456" s="68" t="s">
        <v>3671</v>
      </c>
    </row>
    <row r="457" spans="151:162" x14ac:dyDescent="0.2">
      <c r="EU457" s="67">
        <v>593.82000000000005</v>
      </c>
      <c r="EV457" s="67" t="s">
        <v>3672</v>
      </c>
      <c r="EW457" s="67">
        <v>520.13</v>
      </c>
      <c r="EX457" s="67" t="s">
        <v>3673</v>
      </c>
      <c r="EY457" s="67">
        <v>5948.5</v>
      </c>
      <c r="EZ457" s="67" t="s">
        <v>3674</v>
      </c>
      <c r="FA457" s="67">
        <v>21350</v>
      </c>
      <c r="FB457" s="67" t="s">
        <v>3675</v>
      </c>
      <c r="FC457" s="67" t="s">
        <v>3676</v>
      </c>
      <c r="FD457" s="67" t="s">
        <v>3677</v>
      </c>
      <c r="FE457" s="68" t="s">
        <v>3678</v>
      </c>
      <c r="FF457" s="68" t="s">
        <v>3679</v>
      </c>
    </row>
    <row r="458" spans="151:162" x14ac:dyDescent="0.2">
      <c r="EU458" s="67">
        <v>593.91999999999996</v>
      </c>
      <c r="EV458" s="67" t="s">
        <v>3680</v>
      </c>
      <c r="EW458" s="67">
        <v>520.23</v>
      </c>
      <c r="EX458" s="67" t="s">
        <v>3681</v>
      </c>
      <c r="EY458" s="67">
        <v>5949.5</v>
      </c>
      <c r="EZ458" s="67" t="s">
        <v>3682</v>
      </c>
      <c r="FA458" s="67">
        <v>21354.25</v>
      </c>
      <c r="FB458" s="67" t="s">
        <v>3683</v>
      </c>
      <c r="FC458" s="67" t="s">
        <v>3684</v>
      </c>
      <c r="FD458" s="67" t="s">
        <v>3685</v>
      </c>
      <c r="FE458" s="68" t="s">
        <v>3686</v>
      </c>
      <c r="FF458" s="68" t="s">
        <v>3687</v>
      </c>
    </row>
    <row r="459" spans="151:162" x14ac:dyDescent="0.2">
      <c r="EU459" s="67">
        <v>593.92999999999995</v>
      </c>
      <c r="EV459" s="67" t="s">
        <v>3688</v>
      </c>
      <c r="EW459" s="67">
        <v>520.25</v>
      </c>
      <c r="EX459" s="67" t="s">
        <v>3689</v>
      </c>
      <c r="EY459" s="67">
        <v>5950.25</v>
      </c>
      <c r="EZ459" s="67" t="s">
        <v>3690</v>
      </c>
      <c r="FA459" s="67">
        <v>21354.75</v>
      </c>
      <c r="FB459" s="67" t="s">
        <v>3691</v>
      </c>
      <c r="FC459" s="67" t="s">
        <v>3692</v>
      </c>
      <c r="FD459" s="67" t="s">
        <v>3693</v>
      </c>
      <c r="FE459" s="68" t="s">
        <v>3694</v>
      </c>
      <c r="FF459" s="68" t="s">
        <v>3695</v>
      </c>
    </row>
    <row r="460" spans="151:162" x14ac:dyDescent="0.2">
      <c r="EU460" s="67">
        <v>593.79999999999995</v>
      </c>
      <c r="EV460" s="67" t="s">
        <v>3696</v>
      </c>
      <c r="EW460" s="67">
        <v>520.12</v>
      </c>
      <c r="EX460" s="67" t="s">
        <v>3697</v>
      </c>
      <c r="EY460" s="67">
        <v>5948.5</v>
      </c>
      <c r="EZ460" s="67" t="s">
        <v>3698</v>
      </c>
      <c r="FA460" s="67">
        <v>21349.25</v>
      </c>
      <c r="FB460" s="67" t="s">
        <v>3699</v>
      </c>
      <c r="FC460" s="67" t="s">
        <v>3700</v>
      </c>
      <c r="FD460" s="67" t="s">
        <v>3701</v>
      </c>
      <c r="FE460" s="68" t="s">
        <v>3702</v>
      </c>
      <c r="FF460" s="68" t="s">
        <v>3703</v>
      </c>
    </row>
    <row r="461" spans="151:162" x14ac:dyDescent="0.2">
      <c r="EU461" s="67">
        <v>593.98</v>
      </c>
      <c r="EV461" s="67" t="s">
        <v>3704</v>
      </c>
      <c r="EW461" s="67">
        <v>520.28</v>
      </c>
      <c r="EX461" s="67" t="s">
        <v>3705</v>
      </c>
      <c r="EY461" s="67">
        <v>5950</v>
      </c>
      <c r="EZ461" s="67" t="s">
        <v>3706</v>
      </c>
      <c r="FA461" s="67">
        <v>21356.75</v>
      </c>
      <c r="FB461" s="67" t="s">
        <v>3707</v>
      </c>
      <c r="FC461" s="67" t="s">
        <v>3708</v>
      </c>
      <c r="FD461" s="67" t="s">
        <v>3709</v>
      </c>
      <c r="FE461" s="68" t="s">
        <v>3710</v>
      </c>
      <c r="FF461" s="68" t="s">
        <v>3711</v>
      </c>
    </row>
    <row r="462" spans="151:162" x14ac:dyDescent="0.2">
      <c r="EU462" s="67">
        <v>593.97500000000002</v>
      </c>
      <c r="EV462" s="67" t="s">
        <v>3712</v>
      </c>
      <c r="EW462" s="67">
        <v>520.32100000000003</v>
      </c>
      <c r="EX462" s="67" t="s">
        <v>3713</v>
      </c>
      <c r="EY462" s="67">
        <v>5950</v>
      </c>
      <c r="EZ462" s="67" t="s">
        <v>3714</v>
      </c>
      <c r="FA462" s="67">
        <v>21360.25</v>
      </c>
      <c r="FB462" s="67" t="s">
        <v>3715</v>
      </c>
      <c r="FC462" s="67" t="s">
        <v>3716</v>
      </c>
      <c r="FD462" s="67" t="s">
        <v>3717</v>
      </c>
      <c r="FE462" s="68" t="s">
        <v>3718</v>
      </c>
      <c r="FF462" s="68" t="s">
        <v>3719</v>
      </c>
    </row>
    <row r="463" spans="151:162" x14ac:dyDescent="0.2">
      <c r="EU463" s="67">
        <v>593.84</v>
      </c>
      <c r="EV463" s="67" t="s">
        <v>3720</v>
      </c>
      <c r="EW463" s="67">
        <v>520.24</v>
      </c>
      <c r="EX463" s="67" t="s">
        <v>3721</v>
      </c>
      <c r="EY463" s="67">
        <v>5948.75</v>
      </c>
      <c r="EZ463" s="67" t="s">
        <v>3722</v>
      </c>
      <c r="FA463" s="67">
        <v>21354.5</v>
      </c>
      <c r="FB463" s="67" t="s">
        <v>3723</v>
      </c>
      <c r="FC463" s="67" t="s">
        <v>3724</v>
      </c>
      <c r="FD463" s="67" t="s">
        <v>3725</v>
      </c>
      <c r="FE463" s="68" t="s">
        <v>3726</v>
      </c>
      <c r="FF463" s="68" t="s">
        <v>3727</v>
      </c>
    </row>
    <row r="464" spans="151:162" x14ac:dyDescent="0.2">
      <c r="EU464" s="67">
        <v>593.62</v>
      </c>
      <c r="EV464" s="67" t="s">
        <v>3728</v>
      </c>
      <c r="EW464" s="67">
        <v>519.91</v>
      </c>
      <c r="EX464" s="67" t="s">
        <v>3729</v>
      </c>
      <c r="EY464" s="67">
        <v>5946.75</v>
      </c>
      <c r="EZ464" s="67" t="s">
        <v>3730</v>
      </c>
      <c r="FA464" s="67">
        <v>21341</v>
      </c>
      <c r="FB464" s="67" t="s">
        <v>3731</v>
      </c>
      <c r="FC464" s="67" t="s">
        <v>3732</v>
      </c>
      <c r="FD464" s="67" t="s">
        <v>3733</v>
      </c>
      <c r="FE464" s="68" t="s">
        <v>3734</v>
      </c>
      <c r="FF464" s="68" t="s">
        <v>3735</v>
      </c>
    </row>
    <row r="465" spans="151:162" x14ac:dyDescent="0.2">
      <c r="EU465" s="67">
        <v>593.71</v>
      </c>
      <c r="EV465" s="67" t="s">
        <v>3736</v>
      </c>
      <c r="EW465" s="67">
        <v>520.04999999999995</v>
      </c>
      <c r="EX465" s="67" t="s">
        <v>3737</v>
      </c>
      <c r="EY465" s="67">
        <v>5947.5</v>
      </c>
      <c r="EZ465" s="67" t="s">
        <v>3738</v>
      </c>
      <c r="FA465" s="67">
        <v>21346.25</v>
      </c>
      <c r="FB465" s="67" t="s">
        <v>3739</v>
      </c>
      <c r="FC465" s="67" t="s">
        <v>3740</v>
      </c>
      <c r="FD465" s="67" t="s">
        <v>3741</v>
      </c>
      <c r="FE465" s="68" t="s">
        <v>3742</v>
      </c>
      <c r="FF465" s="68" t="s">
        <v>3743</v>
      </c>
    </row>
    <row r="466" spans="151:162" x14ac:dyDescent="0.2">
      <c r="EU466" s="67">
        <v>593.70000000000005</v>
      </c>
      <c r="EV466" s="67" t="s">
        <v>3744</v>
      </c>
      <c r="EW466" s="67">
        <v>520.08000000000004</v>
      </c>
      <c r="EX466" s="67" t="s">
        <v>3745</v>
      </c>
      <c r="EY466" s="67">
        <v>5947.25</v>
      </c>
      <c r="EZ466" s="67" t="s">
        <v>3746</v>
      </c>
      <c r="FA466" s="67">
        <v>21347.75</v>
      </c>
      <c r="FB466" s="67" t="s">
        <v>3747</v>
      </c>
      <c r="FC466" s="67" t="s">
        <v>3748</v>
      </c>
      <c r="FD466" s="67" t="s">
        <v>3749</v>
      </c>
      <c r="FE466" s="68" t="s">
        <v>3750</v>
      </c>
      <c r="FF466" s="68" t="s">
        <v>3751</v>
      </c>
    </row>
    <row r="467" spans="151:162" x14ac:dyDescent="0.2">
      <c r="EU467" s="67">
        <v>593.78</v>
      </c>
      <c r="EV467" s="67" t="s">
        <v>3752</v>
      </c>
      <c r="EW467" s="67">
        <v>520.22</v>
      </c>
      <c r="EX467" s="67" t="s">
        <v>3753</v>
      </c>
      <c r="EY467" s="67">
        <v>5948.25</v>
      </c>
      <c r="EZ467" s="67" t="s">
        <v>3754</v>
      </c>
      <c r="FA467" s="67">
        <v>21353.5</v>
      </c>
      <c r="FB467" s="67" t="s">
        <v>3755</v>
      </c>
      <c r="FC467" s="67" t="s">
        <v>3756</v>
      </c>
      <c r="FD467" s="67" t="s">
        <v>3757</v>
      </c>
      <c r="FE467" s="68" t="s">
        <v>3758</v>
      </c>
      <c r="FF467" s="68" t="s">
        <v>3759</v>
      </c>
    </row>
    <row r="468" spans="151:162" x14ac:dyDescent="0.2">
      <c r="EU468" s="67">
        <v>593.76499999999999</v>
      </c>
      <c r="EV468" s="67" t="s">
        <v>3760</v>
      </c>
      <c r="EW468" s="67">
        <v>520.16</v>
      </c>
      <c r="EX468" s="67" t="s">
        <v>3761</v>
      </c>
      <c r="EY468" s="67">
        <v>5948.25</v>
      </c>
      <c r="EZ468" s="67" t="s">
        <v>3762</v>
      </c>
      <c r="FA468" s="67">
        <v>21351.5</v>
      </c>
      <c r="FB468" s="67" t="s">
        <v>3763</v>
      </c>
      <c r="FC468" s="67" t="s">
        <v>3764</v>
      </c>
      <c r="FD468" s="67" t="s">
        <v>3765</v>
      </c>
      <c r="FE468" s="68" t="s">
        <v>3766</v>
      </c>
      <c r="FF468" s="68" t="s">
        <v>3767</v>
      </c>
    </row>
    <row r="469" spans="151:162" x14ac:dyDescent="0.2">
      <c r="EU469" s="67">
        <v>593.64</v>
      </c>
      <c r="EV469" s="67" t="s">
        <v>3768</v>
      </c>
      <c r="EW469" s="67">
        <v>520.07000000000005</v>
      </c>
      <c r="EX469" s="67" t="s">
        <v>3769</v>
      </c>
      <c r="EY469" s="67">
        <v>5946.75</v>
      </c>
      <c r="EZ469" s="67" t="s">
        <v>3770</v>
      </c>
      <c r="FA469" s="67">
        <v>21347.75</v>
      </c>
      <c r="FB469" s="67" t="s">
        <v>3771</v>
      </c>
      <c r="FC469" s="67" t="s">
        <v>3772</v>
      </c>
      <c r="FD469" s="67" t="s">
        <v>3773</v>
      </c>
      <c r="FE469" s="68" t="s">
        <v>3774</v>
      </c>
      <c r="FF469" s="68" t="s">
        <v>3775</v>
      </c>
    </row>
    <row r="470" spans="151:162" x14ac:dyDescent="0.2">
      <c r="EU470" s="67">
        <v>593.16</v>
      </c>
      <c r="EV470" s="67" t="s">
        <v>3776</v>
      </c>
      <c r="EW470" s="67">
        <v>519.52</v>
      </c>
      <c r="EX470" s="67" t="s">
        <v>3777</v>
      </c>
      <c r="EY470" s="67">
        <v>5942</v>
      </c>
      <c r="EZ470" s="67" t="s">
        <v>3778</v>
      </c>
      <c r="FA470" s="67">
        <v>21324.75</v>
      </c>
      <c r="FB470" s="67" t="s">
        <v>3779</v>
      </c>
      <c r="FC470" s="67" t="s">
        <v>3780</v>
      </c>
      <c r="FD470" s="67" t="s">
        <v>3781</v>
      </c>
      <c r="FE470" s="68" t="s">
        <v>3782</v>
      </c>
      <c r="FF470" s="68" t="s">
        <v>3783</v>
      </c>
    </row>
    <row r="471" spans="151:162" x14ac:dyDescent="0.2">
      <c r="EU471" s="67">
        <v>593</v>
      </c>
      <c r="EV471" s="67" t="s">
        <v>3784</v>
      </c>
      <c r="EW471" s="67">
        <v>519.37</v>
      </c>
      <c r="EX471" s="67" t="s">
        <v>3785</v>
      </c>
      <c r="EY471" s="67">
        <v>5940.5</v>
      </c>
      <c r="EZ471" s="67" t="s">
        <v>3786</v>
      </c>
      <c r="FA471" s="67">
        <v>21319.25</v>
      </c>
      <c r="FB471" s="67" t="s">
        <v>3787</v>
      </c>
      <c r="FC471" s="67" t="s">
        <v>3788</v>
      </c>
      <c r="FD471" s="67" t="s">
        <v>3789</v>
      </c>
      <c r="FE471" s="68" t="s">
        <v>3790</v>
      </c>
      <c r="FF471" s="68" t="s">
        <v>3791</v>
      </c>
    </row>
    <row r="472" spans="151:162" x14ac:dyDescent="0.2">
      <c r="EU472" s="67">
        <v>592.91</v>
      </c>
      <c r="EV472" s="67" t="s">
        <v>3792</v>
      </c>
      <c r="EW472" s="67">
        <v>519.29</v>
      </c>
      <c r="EX472" s="67" t="s">
        <v>3793</v>
      </c>
      <c r="EY472" s="67">
        <v>5939.25</v>
      </c>
      <c r="EZ472" s="67" t="s">
        <v>3794</v>
      </c>
      <c r="FA472" s="67">
        <v>21314.5</v>
      </c>
      <c r="FB472" s="67" t="s">
        <v>3795</v>
      </c>
      <c r="FC472" s="67" t="s">
        <v>3796</v>
      </c>
      <c r="FD472" s="67" t="s">
        <v>3797</v>
      </c>
      <c r="FE472" s="68" t="s">
        <v>3798</v>
      </c>
      <c r="FF472" s="68" t="s">
        <v>3799</v>
      </c>
    </row>
    <row r="473" spans="151:162" x14ac:dyDescent="0.2">
      <c r="EU473" s="67">
        <v>592.78</v>
      </c>
      <c r="EV473" s="67" t="s">
        <v>3800</v>
      </c>
      <c r="EW473" s="67">
        <v>519.17999999999995</v>
      </c>
      <c r="EX473" s="67" t="s">
        <v>3801</v>
      </c>
      <c r="EY473" s="67">
        <v>5938</v>
      </c>
      <c r="EZ473" s="67" t="s">
        <v>3802</v>
      </c>
      <c r="FA473" s="67">
        <v>21310.5</v>
      </c>
      <c r="FB473" s="67" t="s">
        <v>3803</v>
      </c>
      <c r="FC473" s="67" t="s">
        <v>3804</v>
      </c>
      <c r="FD473" s="67" t="s">
        <v>3805</v>
      </c>
      <c r="FE473" s="68" t="s">
        <v>3806</v>
      </c>
      <c r="FF473" s="68" t="s">
        <v>3807</v>
      </c>
    </row>
    <row r="474" spans="151:162" x14ac:dyDescent="0.2">
      <c r="EU474" s="67">
        <v>592.77</v>
      </c>
      <c r="EV474" s="67" t="s">
        <v>3808</v>
      </c>
      <c r="EW474" s="67">
        <v>519.27</v>
      </c>
      <c r="EX474" s="67" t="s">
        <v>3809</v>
      </c>
      <c r="EY474" s="67">
        <v>5938</v>
      </c>
      <c r="EZ474" s="67" t="s">
        <v>3810</v>
      </c>
      <c r="FA474" s="67">
        <v>21315</v>
      </c>
      <c r="FB474" s="67" t="s">
        <v>3811</v>
      </c>
      <c r="FC474" s="67" t="s">
        <v>3812</v>
      </c>
      <c r="FD474" s="67" t="s">
        <v>3813</v>
      </c>
      <c r="FE474" s="68" t="s">
        <v>3814</v>
      </c>
      <c r="FF474" s="68" t="s">
        <v>3815</v>
      </c>
    </row>
    <row r="475" spans="151:162" x14ac:dyDescent="0.2">
      <c r="EU475" s="67">
        <v>593.02</v>
      </c>
      <c r="EV475" s="67" t="s">
        <v>3816</v>
      </c>
      <c r="EW475" s="67">
        <v>519.48</v>
      </c>
      <c r="EX475" s="67" t="s">
        <v>3817</v>
      </c>
      <c r="EY475" s="67">
        <v>5940.5</v>
      </c>
      <c r="EZ475" s="67" t="s">
        <v>3818</v>
      </c>
      <c r="FA475" s="67">
        <v>21324.5</v>
      </c>
      <c r="FB475" s="67" t="s">
        <v>3819</v>
      </c>
      <c r="FC475" s="67" t="s">
        <v>3820</v>
      </c>
      <c r="FD475" s="67" t="s">
        <v>3821</v>
      </c>
      <c r="FE475" s="68" t="s">
        <v>3822</v>
      </c>
      <c r="FF475" s="68" t="s">
        <v>3823</v>
      </c>
    </row>
    <row r="476" spans="151:162" x14ac:dyDescent="0.2">
      <c r="EU476" s="67">
        <v>593.14</v>
      </c>
      <c r="EV476" s="67" t="s">
        <v>3824</v>
      </c>
      <c r="EW476" s="67">
        <v>519.57000000000005</v>
      </c>
      <c r="EX476" s="67" t="s">
        <v>3825</v>
      </c>
      <c r="EY476" s="67">
        <v>5941.75</v>
      </c>
      <c r="EZ476" s="67" t="s">
        <v>3826</v>
      </c>
      <c r="FA476" s="67">
        <v>21327.25</v>
      </c>
      <c r="FB476" s="67" t="s">
        <v>3827</v>
      </c>
      <c r="FC476" s="67" t="s">
        <v>3828</v>
      </c>
      <c r="FD476" s="67" t="s">
        <v>3829</v>
      </c>
      <c r="FE476" s="68" t="s">
        <v>3830</v>
      </c>
      <c r="FF476" s="68" t="s">
        <v>3831</v>
      </c>
    </row>
    <row r="477" spans="151:162" x14ac:dyDescent="0.2">
      <c r="EU477" s="67">
        <v>592.99</v>
      </c>
      <c r="EV477" s="67" t="s">
        <v>3832</v>
      </c>
      <c r="EW477" s="67">
        <v>519.44000000000005</v>
      </c>
      <c r="EX477" s="67" t="s">
        <v>3833</v>
      </c>
      <c r="EY477" s="67">
        <v>5940.5</v>
      </c>
      <c r="EZ477" s="67" t="s">
        <v>3834</v>
      </c>
      <c r="FA477" s="67">
        <v>21319.75</v>
      </c>
      <c r="FB477" s="67" t="s">
        <v>3835</v>
      </c>
      <c r="FC477" s="67" t="s">
        <v>3836</v>
      </c>
      <c r="FD477" s="67" t="s">
        <v>3837</v>
      </c>
      <c r="FE477" s="68" t="s">
        <v>3838</v>
      </c>
      <c r="FF477" s="68" t="s">
        <v>3839</v>
      </c>
    </row>
    <row r="478" spans="151:162" x14ac:dyDescent="0.2">
      <c r="EU478" s="67">
        <v>592.95000000000005</v>
      </c>
      <c r="EV478" s="67" t="s">
        <v>3840</v>
      </c>
      <c r="EW478" s="67">
        <v>519.33000000000004</v>
      </c>
      <c r="EX478" s="67" t="s">
        <v>3841</v>
      </c>
      <c r="EY478" s="67">
        <v>5940</v>
      </c>
      <c r="EZ478" s="67" t="s">
        <v>3842</v>
      </c>
      <c r="FA478" s="67">
        <v>21316.75</v>
      </c>
      <c r="FB478" s="67" t="s">
        <v>3843</v>
      </c>
      <c r="FC478" s="67" t="s">
        <v>3844</v>
      </c>
      <c r="FD478" s="67" t="s">
        <v>3845</v>
      </c>
      <c r="FE478" s="68" t="s">
        <v>3846</v>
      </c>
      <c r="FF478" s="68" t="s">
        <v>3847</v>
      </c>
    </row>
    <row r="479" spans="151:162" x14ac:dyDescent="0.2">
      <c r="EU479" s="67">
        <v>592.76</v>
      </c>
      <c r="EV479" s="67" t="s">
        <v>3848</v>
      </c>
      <c r="EW479" s="67">
        <v>519.14</v>
      </c>
      <c r="EX479" s="67" t="s">
        <v>3849</v>
      </c>
      <c r="EY479" s="67">
        <v>5938</v>
      </c>
      <c r="EZ479" s="67" t="s">
        <v>3850</v>
      </c>
      <c r="FA479" s="67">
        <v>21309</v>
      </c>
      <c r="FB479" s="67" t="s">
        <v>3851</v>
      </c>
      <c r="FC479" s="67" t="s">
        <v>3852</v>
      </c>
      <c r="FD479" s="67" t="s">
        <v>3853</v>
      </c>
      <c r="FE479" s="68" t="s">
        <v>3854</v>
      </c>
      <c r="FF479" s="68" t="s">
        <v>3855</v>
      </c>
    </row>
    <row r="480" spans="151:162" x14ac:dyDescent="0.2">
      <c r="EU480" s="67">
        <v>593.11</v>
      </c>
      <c r="EV480" s="67" t="s">
        <v>3856</v>
      </c>
      <c r="EW480" s="67">
        <v>519.54999999999995</v>
      </c>
      <c r="EX480" s="67" t="s">
        <v>3857</v>
      </c>
      <c r="EY480" s="67">
        <v>5941.5</v>
      </c>
      <c r="EZ480" s="67" t="s">
        <v>3858</v>
      </c>
      <c r="FA480" s="67">
        <v>21326</v>
      </c>
      <c r="FB480" s="67" t="s">
        <v>3859</v>
      </c>
      <c r="FC480" s="67" t="s">
        <v>3860</v>
      </c>
      <c r="FD480" s="67" t="s">
        <v>3861</v>
      </c>
      <c r="FE480" s="68" t="s">
        <v>3862</v>
      </c>
      <c r="FF480" s="68" t="s">
        <v>3863</v>
      </c>
    </row>
    <row r="481" spans="151:162" x14ac:dyDescent="0.2">
      <c r="EU481" s="67">
        <v>593.04999999999995</v>
      </c>
      <c r="EV481" s="67" t="s">
        <v>3864</v>
      </c>
      <c r="EW481" s="67">
        <v>519.48</v>
      </c>
      <c r="EX481" s="67" t="s">
        <v>3865</v>
      </c>
      <c r="EY481" s="67">
        <v>5941</v>
      </c>
      <c r="EZ481" s="67" t="s">
        <v>3866</v>
      </c>
      <c r="FA481" s="67">
        <v>21323.25</v>
      </c>
      <c r="FB481" s="67" t="s">
        <v>3867</v>
      </c>
      <c r="FC481" s="67" t="s">
        <v>3868</v>
      </c>
      <c r="FD481" s="67" t="s">
        <v>3869</v>
      </c>
      <c r="FE481" s="68" t="s">
        <v>3870</v>
      </c>
      <c r="FF481" s="68" t="s">
        <v>3871</v>
      </c>
    </row>
    <row r="482" spans="151:162" x14ac:dyDescent="0.2">
      <c r="EU482" s="67">
        <v>593.03</v>
      </c>
      <c r="EV482" s="67" t="s">
        <v>3872</v>
      </c>
      <c r="EW482" s="67">
        <v>519.45000000000005</v>
      </c>
      <c r="EX482" s="67" t="s">
        <v>3873</v>
      </c>
      <c r="EY482" s="67">
        <v>5940.75</v>
      </c>
      <c r="EZ482" s="67" t="s">
        <v>3874</v>
      </c>
      <c r="FA482" s="67">
        <v>21322</v>
      </c>
      <c r="FB482" s="67" t="s">
        <v>3875</v>
      </c>
      <c r="FC482" s="67" t="s">
        <v>3876</v>
      </c>
      <c r="FD482" s="67" t="s">
        <v>3877</v>
      </c>
      <c r="FE482" s="68" t="s">
        <v>3878</v>
      </c>
      <c r="FF482" s="68" t="s">
        <v>3879</v>
      </c>
    </row>
    <row r="483" spans="151:162" x14ac:dyDescent="0.2">
      <c r="EU483" s="67">
        <v>593.08000000000004</v>
      </c>
      <c r="EV483" s="67" t="s">
        <v>3880</v>
      </c>
      <c r="EW483" s="67">
        <v>519.42999999999995</v>
      </c>
      <c r="EX483" s="67" t="s">
        <v>3881</v>
      </c>
      <c r="EY483" s="67">
        <v>5941.25</v>
      </c>
      <c r="EZ483" s="67" t="s">
        <v>3882</v>
      </c>
      <c r="FA483" s="67">
        <v>21321</v>
      </c>
      <c r="FB483" s="67" t="s">
        <v>3883</v>
      </c>
      <c r="FC483" s="67" t="s">
        <v>3884</v>
      </c>
      <c r="FD483" s="67" t="s">
        <v>3885</v>
      </c>
      <c r="FE483" s="68" t="s">
        <v>3886</v>
      </c>
      <c r="FF483" s="68" t="s">
        <v>3887</v>
      </c>
    </row>
    <row r="484" spans="151:162" x14ac:dyDescent="0.2">
      <c r="EU484" s="67">
        <v>593.36</v>
      </c>
      <c r="EV484" s="67" t="s">
        <v>3888</v>
      </c>
      <c r="EW484" s="67">
        <v>519.71</v>
      </c>
      <c r="EX484" s="67" t="s">
        <v>3889</v>
      </c>
      <c r="EY484" s="67">
        <v>5944</v>
      </c>
      <c r="EZ484" s="67" t="s">
        <v>3890</v>
      </c>
      <c r="FA484" s="67">
        <v>21333.5</v>
      </c>
      <c r="FB484" s="67" t="s">
        <v>3891</v>
      </c>
      <c r="FC484" s="67" t="s">
        <v>3892</v>
      </c>
      <c r="FD484" s="67" t="s">
        <v>3893</v>
      </c>
      <c r="FE484" s="68" t="s">
        <v>3894</v>
      </c>
      <c r="FF484" s="68" t="s">
        <v>3895</v>
      </c>
    </row>
    <row r="485" spans="151:162" x14ac:dyDescent="0.2">
      <c r="EU485" s="67">
        <v>593.25</v>
      </c>
      <c r="EV485" s="67" t="s">
        <v>3896</v>
      </c>
      <c r="EW485" s="67">
        <v>519.58000000000004</v>
      </c>
      <c r="EX485" s="67" t="s">
        <v>3897</v>
      </c>
      <c r="EY485" s="67">
        <v>5943</v>
      </c>
      <c r="EZ485" s="67" t="s">
        <v>3898</v>
      </c>
      <c r="FA485" s="67">
        <v>21327.25</v>
      </c>
      <c r="FB485" s="67" t="s">
        <v>3899</v>
      </c>
      <c r="FC485" s="67" t="s">
        <v>3900</v>
      </c>
      <c r="FD485" s="67" t="s">
        <v>3901</v>
      </c>
      <c r="FE485" s="68" t="s">
        <v>3902</v>
      </c>
      <c r="FF485" s="68" t="s">
        <v>3903</v>
      </c>
    </row>
    <row r="486" spans="151:162" x14ac:dyDescent="0.2">
      <c r="EU486" s="67">
        <v>593.33500000000004</v>
      </c>
      <c r="EV486" s="67" t="s">
        <v>3904</v>
      </c>
      <c r="EW486" s="67">
        <v>519.60500000000002</v>
      </c>
      <c r="EX486" s="67" t="s">
        <v>3905</v>
      </c>
      <c r="EY486" s="67">
        <v>5943.75</v>
      </c>
      <c r="EZ486" s="67" t="s">
        <v>3906</v>
      </c>
      <c r="FA486" s="67">
        <v>21328.5</v>
      </c>
      <c r="FB486" s="67" t="s">
        <v>3907</v>
      </c>
      <c r="FC486" s="67" t="s">
        <v>3908</v>
      </c>
      <c r="FD486" s="67" t="s">
        <v>3909</v>
      </c>
      <c r="FE486" s="68" t="s">
        <v>3910</v>
      </c>
      <c r="FF486" s="68" t="s">
        <v>3911</v>
      </c>
    </row>
    <row r="487" spans="151:162" x14ac:dyDescent="0.2">
      <c r="EU487" s="67">
        <v>593.29</v>
      </c>
      <c r="EV487" s="67" t="s">
        <v>3912</v>
      </c>
      <c r="EW487" s="67">
        <v>519.54</v>
      </c>
      <c r="EX487" s="67" t="s">
        <v>3913</v>
      </c>
      <c r="EY487" s="67">
        <v>5943.25</v>
      </c>
      <c r="EZ487" s="67" t="s">
        <v>3914</v>
      </c>
      <c r="FA487" s="67">
        <v>21325.5</v>
      </c>
      <c r="FB487" s="67" t="s">
        <v>3915</v>
      </c>
      <c r="FC487" s="67" t="s">
        <v>3916</v>
      </c>
      <c r="FD487" s="67" t="s">
        <v>3917</v>
      </c>
      <c r="FE487" s="68" t="s">
        <v>3918</v>
      </c>
      <c r="FF487" s="68" t="s">
        <v>3919</v>
      </c>
    </row>
    <row r="488" spans="151:162" x14ac:dyDescent="0.2">
      <c r="EU488" s="67">
        <v>593.30999999999995</v>
      </c>
      <c r="EV488" s="67" t="s">
        <v>3920</v>
      </c>
      <c r="EW488" s="67">
        <v>519.495</v>
      </c>
      <c r="EX488" s="67" t="s">
        <v>3921</v>
      </c>
      <c r="EY488" s="67">
        <v>5943.5</v>
      </c>
      <c r="EZ488" s="67" t="s">
        <v>3922</v>
      </c>
      <c r="FA488" s="67">
        <v>21323.75</v>
      </c>
      <c r="FB488" s="67" t="s">
        <v>3923</v>
      </c>
      <c r="FC488" s="67" t="s">
        <v>3924</v>
      </c>
      <c r="FD488" s="67" t="s">
        <v>3925</v>
      </c>
      <c r="FE488" s="68" t="s">
        <v>3926</v>
      </c>
      <c r="FF488" s="68" t="s">
        <v>3927</v>
      </c>
    </row>
    <row r="489" spans="151:162" x14ac:dyDescent="0.2">
      <c r="EU489" s="67">
        <v>593.47</v>
      </c>
      <c r="EV489" s="67" t="s">
        <v>3928</v>
      </c>
      <c r="EW489" s="67">
        <v>519.71</v>
      </c>
      <c r="EX489" s="67" t="s">
        <v>3929</v>
      </c>
      <c r="EY489" s="67">
        <v>5945.25</v>
      </c>
      <c r="EZ489" s="67" t="s">
        <v>3930</v>
      </c>
      <c r="FA489" s="67">
        <v>21332.5</v>
      </c>
      <c r="FB489" s="67" t="s">
        <v>3931</v>
      </c>
      <c r="FC489" s="67" t="s">
        <v>3932</v>
      </c>
      <c r="FD489" s="67" t="s">
        <v>3933</v>
      </c>
      <c r="FE489" s="68" t="s">
        <v>3934</v>
      </c>
      <c r="FF489" s="68" t="s">
        <v>3935</v>
      </c>
    </row>
    <row r="490" spans="151:162" x14ac:dyDescent="0.2">
      <c r="EU490" s="67">
        <v>593.44000000000005</v>
      </c>
      <c r="EV490" s="67" t="s">
        <v>3936</v>
      </c>
      <c r="EW490" s="67">
        <v>519.67999999999995</v>
      </c>
      <c r="EX490" s="67" t="s">
        <v>3937</v>
      </c>
      <c r="EY490" s="67">
        <v>5944.75</v>
      </c>
      <c r="EZ490" s="67" t="s">
        <v>3938</v>
      </c>
      <c r="FA490" s="67">
        <v>21332</v>
      </c>
      <c r="FB490" s="67" t="s">
        <v>3939</v>
      </c>
      <c r="FC490" s="67" t="s">
        <v>3940</v>
      </c>
      <c r="FD490" s="67" t="s">
        <v>3941</v>
      </c>
      <c r="FE490" s="68" t="s">
        <v>3942</v>
      </c>
      <c r="FF490" s="68" t="s">
        <v>3943</v>
      </c>
    </row>
    <row r="491" spans="151:162" x14ac:dyDescent="0.2">
      <c r="EU491" s="67">
        <v>593.56500000000005</v>
      </c>
      <c r="EV491" s="67" t="s">
        <v>3944</v>
      </c>
      <c r="EW491" s="67">
        <v>519.82899999999995</v>
      </c>
      <c r="EX491" s="67" t="s">
        <v>3945</v>
      </c>
      <c r="EY491" s="67">
        <v>5946</v>
      </c>
      <c r="EZ491" s="67" t="s">
        <v>3946</v>
      </c>
      <c r="FA491" s="67">
        <v>21337.5</v>
      </c>
      <c r="FB491" s="67" t="s">
        <v>3947</v>
      </c>
      <c r="FC491" s="67" t="s">
        <v>3948</v>
      </c>
      <c r="FD491" s="67" t="s">
        <v>3949</v>
      </c>
      <c r="FE491" s="68" t="s">
        <v>3950</v>
      </c>
      <c r="FF491" s="68" t="s">
        <v>3951</v>
      </c>
    </row>
    <row r="492" spans="151:162" x14ac:dyDescent="0.2">
      <c r="EU492" s="67">
        <v>593.57000000000005</v>
      </c>
      <c r="EV492" s="67" t="s">
        <v>3952</v>
      </c>
      <c r="EW492" s="67">
        <v>519.84</v>
      </c>
      <c r="EX492" s="67" t="s">
        <v>3953</v>
      </c>
      <c r="EY492" s="67">
        <v>5946.25</v>
      </c>
      <c r="EZ492" s="67" t="s">
        <v>3954</v>
      </c>
      <c r="FA492" s="67">
        <v>21337.75</v>
      </c>
      <c r="FB492" s="67" t="s">
        <v>3955</v>
      </c>
      <c r="FC492" s="67" t="s">
        <v>3956</v>
      </c>
      <c r="FD492" s="67" t="s">
        <v>3957</v>
      </c>
      <c r="FE492" s="68" t="s">
        <v>3958</v>
      </c>
      <c r="FF492" s="68" t="s">
        <v>3959</v>
      </c>
    </row>
    <row r="493" spans="151:162" x14ac:dyDescent="0.2">
      <c r="EU493" s="67">
        <v>593.47500000000002</v>
      </c>
      <c r="EV493" s="67" t="s">
        <v>3960</v>
      </c>
      <c r="EW493" s="67">
        <v>519.70000000000005</v>
      </c>
      <c r="EX493" s="67" t="s">
        <v>3961</v>
      </c>
      <c r="EY493" s="67">
        <v>5945.25</v>
      </c>
      <c r="EZ493" s="67" t="s">
        <v>3962</v>
      </c>
      <c r="FA493" s="67">
        <v>21332</v>
      </c>
      <c r="FB493" s="67" t="s">
        <v>3963</v>
      </c>
      <c r="FC493" s="67" t="s">
        <v>3964</v>
      </c>
      <c r="FD493" s="67" t="s">
        <v>3965</v>
      </c>
      <c r="FE493" s="68" t="s">
        <v>3966</v>
      </c>
      <c r="FF493" s="68" t="s">
        <v>3967</v>
      </c>
    </row>
    <row r="494" spans="151:162" x14ac:dyDescent="0.2">
      <c r="EU494" s="67">
        <v>593.52</v>
      </c>
      <c r="EV494" s="67" t="s">
        <v>3968</v>
      </c>
      <c r="EW494" s="67">
        <v>519.76</v>
      </c>
      <c r="EX494" s="67" t="s">
        <v>3969</v>
      </c>
      <c r="EY494" s="67">
        <v>5945.75</v>
      </c>
      <c r="EZ494" s="67" t="s">
        <v>3970</v>
      </c>
      <c r="FA494" s="67">
        <v>21335</v>
      </c>
      <c r="FB494" s="67" t="s">
        <v>3971</v>
      </c>
      <c r="FC494" s="67" t="s">
        <v>3972</v>
      </c>
      <c r="FD494" s="67" t="s">
        <v>3973</v>
      </c>
      <c r="FE494" s="68" t="s">
        <v>3974</v>
      </c>
      <c r="FF494" s="68" t="s">
        <v>3975</v>
      </c>
    </row>
    <row r="495" spans="151:162" x14ac:dyDescent="0.2">
      <c r="EU495" s="67">
        <v>593.41999999999996</v>
      </c>
      <c r="EV495" s="67" t="s">
        <v>3976</v>
      </c>
      <c r="EW495" s="67">
        <v>519.66</v>
      </c>
      <c r="EX495" s="67" t="s">
        <v>3977</v>
      </c>
      <c r="EY495" s="67">
        <v>5944.75</v>
      </c>
      <c r="EZ495" s="67" t="s">
        <v>3978</v>
      </c>
      <c r="FA495" s="67">
        <v>21331.25</v>
      </c>
      <c r="FB495" s="67" t="s">
        <v>3979</v>
      </c>
      <c r="FC495" s="67" t="s">
        <v>3980</v>
      </c>
      <c r="FD495" s="67" t="s">
        <v>3981</v>
      </c>
      <c r="FE495" s="68" t="s">
        <v>3982</v>
      </c>
      <c r="FF495" s="68" t="s">
        <v>3983</v>
      </c>
    </row>
    <row r="496" spans="151:162" x14ac:dyDescent="0.2">
      <c r="EU496" s="67">
        <v>593.36</v>
      </c>
      <c r="EV496" s="67" t="s">
        <v>3984</v>
      </c>
      <c r="EW496" s="67">
        <v>519.57000000000005</v>
      </c>
      <c r="EX496" s="67" t="s">
        <v>3985</v>
      </c>
      <c r="EY496" s="67">
        <v>5944</v>
      </c>
      <c r="EZ496" s="67" t="s">
        <v>3986</v>
      </c>
      <c r="FA496" s="67">
        <v>21327.5</v>
      </c>
      <c r="FB496" s="67" t="s">
        <v>3987</v>
      </c>
      <c r="FC496" s="67" t="s">
        <v>3988</v>
      </c>
      <c r="FD496" s="67" t="s">
        <v>3989</v>
      </c>
      <c r="FE496" s="68" t="s">
        <v>3990</v>
      </c>
      <c r="FF496" s="68" t="s">
        <v>3991</v>
      </c>
    </row>
    <row r="497" spans="151:162" x14ac:dyDescent="0.2">
      <c r="EU497" s="67">
        <v>593.04499999999996</v>
      </c>
      <c r="EV497" s="67" t="s">
        <v>3992</v>
      </c>
      <c r="EW497" s="67">
        <v>519.29</v>
      </c>
      <c r="EX497" s="67" t="s">
        <v>3993</v>
      </c>
      <c r="EY497" s="67">
        <v>5940.75</v>
      </c>
      <c r="EZ497" s="67" t="s">
        <v>3994</v>
      </c>
      <c r="FA497" s="67">
        <v>21315.25</v>
      </c>
      <c r="FB497" s="67" t="s">
        <v>3995</v>
      </c>
      <c r="FC497" s="67" t="s">
        <v>3996</v>
      </c>
      <c r="FD497" s="67" t="s">
        <v>3997</v>
      </c>
      <c r="FE497" s="68" t="s">
        <v>3998</v>
      </c>
      <c r="FF497" s="68" t="s">
        <v>3999</v>
      </c>
    </row>
    <row r="498" spans="151:162" x14ac:dyDescent="0.2">
      <c r="EU498" s="67">
        <v>593.27</v>
      </c>
      <c r="EV498" s="67" t="s">
        <v>4000</v>
      </c>
      <c r="EW498" s="67">
        <v>519.49</v>
      </c>
      <c r="EX498" s="67" t="s">
        <v>4001</v>
      </c>
      <c r="EY498" s="67">
        <v>5943.25</v>
      </c>
      <c r="EZ498" s="67" t="s">
        <v>4002</v>
      </c>
      <c r="FA498" s="67">
        <v>21323.75</v>
      </c>
      <c r="FB498" s="67" t="s">
        <v>4003</v>
      </c>
      <c r="FC498" s="67" t="s">
        <v>4004</v>
      </c>
      <c r="FD498" s="67" t="s">
        <v>4005</v>
      </c>
      <c r="FE498" s="68" t="s">
        <v>4006</v>
      </c>
      <c r="FF498" s="68" t="s">
        <v>4007</v>
      </c>
    </row>
    <row r="499" spans="151:162" x14ac:dyDescent="0.2">
      <c r="EU499" s="67">
        <v>593.29</v>
      </c>
      <c r="EV499" s="67" t="s">
        <v>4008</v>
      </c>
      <c r="EW499" s="67">
        <v>519.51</v>
      </c>
      <c r="EX499" s="67" t="s">
        <v>4009</v>
      </c>
      <c r="EY499" s="67">
        <v>5943.25</v>
      </c>
      <c r="EZ499" s="67" t="s">
        <v>4010</v>
      </c>
      <c r="FA499" s="67">
        <v>21325</v>
      </c>
      <c r="FB499" s="67" t="s">
        <v>4011</v>
      </c>
      <c r="FC499" s="67" t="s">
        <v>4012</v>
      </c>
      <c r="FD499" s="67" t="s">
        <v>4013</v>
      </c>
      <c r="FE499" s="68" t="s">
        <v>4014</v>
      </c>
      <c r="FF499" s="68" t="s">
        <v>4015</v>
      </c>
    </row>
    <row r="500" spans="151:162" x14ac:dyDescent="0.2">
      <c r="EU500" s="67">
        <v>593.43499999999995</v>
      </c>
      <c r="EV500" s="67" t="s">
        <v>4016</v>
      </c>
      <c r="EW500" s="67">
        <v>519.69000000000005</v>
      </c>
      <c r="EX500" s="67" t="s">
        <v>4017</v>
      </c>
      <c r="EY500" s="67">
        <v>5945</v>
      </c>
      <c r="EZ500" s="67" t="s">
        <v>4018</v>
      </c>
      <c r="FA500" s="67">
        <v>21331.75</v>
      </c>
      <c r="FB500" s="67" t="s">
        <v>4019</v>
      </c>
      <c r="FC500" s="67" t="s">
        <v>4020</v>
      </c>
      <c r="FD500" s="67" t="s">
        <v>4021</v>
      </c>
      <c r="FE500" s="68" t="s">
        <v>4022</v>
      </c>
      <c r="FF500" s="68" t="s">
        <v>4023</v>
      </c>
    </row>
    <row r="501" spans="151:162" x14ac:dyDescent="0.2">
      <c r="EU501" s="67">
        <v>593.41999999999996</v>
      </c>
      <c r="EV501" s="67" t="s">
        <v>4024</v>
      </c>
      <c r="EW501" s="67">
        <v>519.69500000000005</v>
      </c>
      <c r="EX501" s="67" t="s">
        <v>4025</v>
      </c>
      <c r="EY501" s="67">
        <v>5944.75</v>
      </c>
      <c r="EZ501" s="67" t="s">
        <v>4026</v>
      </c>
      <c r="FA501" s="67">
        <v>21331.75</v>
      </c>
      <c r="FB501" s="67" t="s">
        <v>4027</v>
      </c>
      <c r="FC501" s="67" t="s">
        <v>4028</v>
      </c>
      <c r="FD501" s="67" t="s">
        <v>4029</v>
      </c>
      <c r="FE501" s="68" t="s">
        <v>4030</v>
      </c>
      <c r="FF501" s="68" t="s">
        <v>4031</v>
      </c>
    </row>
    <row r="502" spans="151:162" x14ac:dyDescent="0.2">
      <c r="EU502" s="67">
        <v>593.41999999999996</v>
      </c>
      <c r="EV502" s="67" t="s">
        <v>4032</v>
      </c>
      <c r="EW502" s="67">
        <v>519.68499999999995</v>
      </c>
      <c r="EX502" s="67" t="s">
        <v>4033</v>
      </c>
      <c r="EY502" s="67">
        <v>5944.75</v>
      </c>
      <c r="EZ502" s="67" t="s">
        <v>4034</v>
      </c>
      <c r="FA502" s="67">
        <v>21331.75</v>
      </c>
      <c r="FB502" s="67" t="s">
        <v>4035</v>
      </c>
      <c r="FC502" s="67" t="s">
        <v>4036</v>
      </c>
      <c r="FD502" s="67" t="s">
        <v>4037</v>
      </c>
      <c r="FE502" s="68" t="s">
        <v>4038</v>
      </c>
      <c r="FF502" s="68" t="s">
        <v>4039</v>
      </c>
    </row>
    <row r="503" spans="151:162" x14ac:dyDescent="0.2">
      <c r="EU503" s="67">
        <v>593.48500000000001</v>
      </c>
      <c r="EV503" s="67" t="s">
        <v>4040</v>
      </c>
      <c r="EW503" s="67">
        <v>519.77</v>
      </c>
      <c r="EX503" s="67" t="s">
        <v>4041</v>
      </c>
      <c r="EY503" s="67">
        <v>5945.25</v>
      </c>
      <c r="EZ503" s="67" t="s">
        <v>4042</v>
      </c>
      <c r="FA503" s="67">
        <v>21335.5</v>
      </c>
      <c r="FB503" s="67" t="s">
        <v>4043</v>
      </c>
      <c r="FC503" s="67" t="s">
        <v>4044</v>
      </c>
      <c r="FD503" s="67" t="s">
        <v>4045</v>
      </c>
      <c r="FE503" s="68" t="s">
        <v>4046</v>
      </c>
      <c r="FF503" s="68" t="s">
        <v>4047</v>
      </c>
    </row>
    <row r="504" spans="151:162" x14ac:dyDescent="0.2">
      <c r="EU504" s="67">
        <v>593.25</v>
      </c>
      <c r="EV504" s="67" t="s">
        <v>4048</v>
      </c>
      <c r="EW504" s="67">
        <v>519.6</v>
      </c>
      <c r="EX504" s="67" t="s">
        <v>4049</v>
      </c>
      <c r="EY504" s="67">
        <v>5943</v>
      </c>
      <c r="EZ504" s="67" t="s">
        <v>4050</v>
      </c>
      <c r="FA504" s="67">
        <v>21327.25</v>
      </c>
      <c r="FB504" s="67" t="s">
        <v>4051</v>
      </c>
      <c r="FC504" s="67" t="s">
        <v>4052</v>
      </c>
      <c r="FD504" s="67" t="s">
        <v>4053</v>
      </c>
      <c r="FE504" s="68" t="s">
        <v>4054</v>
      </c>
      <c r="FF504" s="68" t="s">
        <v>4055</v>
      </c>
    </row>
    <row r="505" spans="151:162" x14ac:dyDescent="0.2">
      <c r="EU505" s="67">
        <v>593.08500000000004</v>
      </c>
      <c r="EV505" s="67" t="s">
        <v>4056</v>
      </c>
      <c r="EW505" s="67">
        <v>519.40499999999997</v>
      </c>
      <c r="EX505" s="67" t="s">
        <v>4057</v>
      </c>
      <c r="EY505" s="67">
        <v>5941.25</v>
      </c>
      <c r="EZ505" s="67" t="s">
        <v>4058</v>
      </c>
      <c r="FA505" s="67">
        <v>21320.5</v>
      </c>
      <c r="FB505" s="67" t="s">
        <v>4059</v>
      </c>
      <c r="FC505" s="67" t="s">
        <v>4060</v>
      </c>
      <c r="FD505" s="67" t="s">
        <v>4061</v>
      </c>
      <c r="FE505" s="68" t="s">
        <v>4062</v>
      </c>
      <c r="FF505" s="68" t="s">
        <v>4063</v>
      </c>
    </row>
    <row r="506" spans="151:162" x14ac:dyDescent="0.2">
      <c r="EU506" s="67">
        <v>593.25</v>
      </c>
      <c r="EV506" s="67" t="s">
        <v>4064</v>
      </c>
      <c r="EW506" s="67">
        <v>519.58000000000004</v>
      </c>
      <c r="EX506" s="67" t="s">
        <v>4065</v>
      </c>
      <c r="EY506" s="67">
        <v>5943</v>
      </c>
      <c r="EZ506" s="67" t="s">
        <v>4066</v>
      </c>
      <c r="FA506" s="67">
        <v>21327.75</v>
      </c>
      <c r="FB506" s="67" t="s">
        <v>4067</v>
      </c>
      <c r="FC506" s="67" t="s">
        <v>4068</v>
      </c>
      <c r="FD506" s="67" t="s">
        <v>4069</v>
      </c>
      <c r="FE506" s="68" t="s">
        <v>4070</v>
      </c>
      <c r="FF506" s="68" t="s">
        <v>4071</v>
      </c>
    </row>
    <row r="507" spans="151:162" x14ac:dyDescent="0.2">
      <c r="EU507" s="67">
        <v>593.17999999999995</v>
      </c>
      <c r="EV507" s="67" t="s">
        <v>4072</v>
      </c>
      <c r="EW507" s="67">
        <v>519.53</v>
      </c>
      <c r="EX507" s="67" t="s">
        <v>4073</v>
      </c>
      <c r="EY507" s="67">
        <v>5942.25</v>
      </c>
      <c r="EZ507" s="67" t="s">
        <v>4074</v>
      </c>
      <c r="FA507" s="67">
        <v>21324.5</v>
      </c>
      <c r="FB507" s="67" t="s">
        <v>4075</v>
      </c>
      <c r="FC507" s="67" t="s">
        <v>4076</v>
      </c>
      <c r="FD507" s="67" t="s">
        <v>4077</v>
      </c>
      <c r="FE507" s="68" t="s">
        <v>4078</v>
      </c>
      <c r="FF507" s="68" t="s">
        <v>4079</v>
      </c>
    </row>
    <row r="508" spans="151:162" x14ac:dyDescent="0.2">
      <c r="EU508" s="67">
        <v>593.22500000000002</v>
      </c>
      <c r="EV508" s="67" t="s">
        <v>4080</v>
      </c>
      <c r="EW508" s="67">
        <v>519.57000000000005</v>
      </c>
      <c r="EX508" s="67" t="s">
        <v>4081</v>
      </c>
      <c r="EY508" s="67">
        <v>5942.5</v>
      </c>
      <c r="EZ508" s="67" t="s">
        <v>4082</v>
      </c>
      <c r="FA508" s="67">
        <v>21327</v>
      </c>
      <c r="FB508" s="67" t="s">
        <v>4083</v>
      </c>
      <c r="FC508" s="67" t="s">
        <v>4084</v>
      </c>
      <c r="FD508" s="67" t="s">
        <v>4085</v>
      </c>
      <c r="FE508" s="68" t="s">
        <v>4086</v>
      </c>
      <c r="FF508" s="68" t="s">
        <v>4087</v>
      </c>
    </row>
    <row r="509" spans="151:162" x14ac:dyDescent="0.2">
      <c r="EU509" s="67">
        <v>593.19000000000005</v>
      </c>
      <c r="EV509" s="67" t="s">
        <v>4088</v>
      </c>
      <c r="EW509" s="67">
        <v>519.5</v>
      </c>
      <c r="EX509" s="67" t="s">
        <v>4089</v>
      </c>
      <c r="EY509" s="67">
        <v>5942.25</v>
      </c>
      <c r="EZ509" s="67" t="s">
        <v>4090</v>
      </c>
      <c r="FA509" s="67">
        <v>21324.5</v>
      </c>
      <c r="FB509" s="67" t="s">
        <v>4091</v>
      </c>
      <c r="FC509" s="67" t="s">
        <v>4092</v>
      </c>
      <c r="FD509" s="67" t="s">
        <v>4093</v>
      </c>
      <c r="FE509" s="68" t="s">
        <v>4094</v>
      </c>
      <c r="FF509" s="68" t="s">
        <v>4095</v>
      </c>
    </row>
    <row r="510" spans="151:162" x14ac:dyDescent="0.2">
      <c r="EU510" s="67">
        <v>593.14</v>
      </c>
      <c r="EV510" s="67" t="s">
        <v>4096</v>
      </c>
      <c r="EW510" s="67">
        <v>519.48</v>
      </c>
      <c r="EX510" s="67" t="s">
        <v>4097</v>
      </c>
      <c r="EY510" s="67">
        <v>5942</v>
      </c>
      <c r="EZ510" s="67" t="s">
        <v>4098</v>
      </c>
      <c r="FA510" s="67">
        <v>21323.5</v>
      </c>
      <c r="FB510" s="67" t="s">
        <v>4099</v>
      </c>
      <c r="FC510" s="67" t="s">
        <v>4100</v>
      </c>
      <c r="FD510" s="67" t="s">
        <v>4101</v>
      </c>
      <c r="FE510" s="68" t="s">
        <v>4102</v>
      </c>
      <c r="FF510" s="68" t="s">
        <v>4103</v>
      </c>
    </row>
    <row r="511" spans="151:162" x14ac:dyDescent="0.2">
      <c r="EU511" s="67">
        <v>593.22</v>
      </c>
      <c r="EV511" s="67" t="s">
        <v>4104</v>
      </c>
      <c r="EW511" s="67">
        <v>519.54499999999996</v>
      </c>
      <c r="EX511" s="67" t="s">
        <v>4105</v>
      </c>
      <c r="EY511" s="67">
        <v>5942.75</v>
      </c>
      <c r="EZ511" s="67" t="s">
        <v>4106</v>
      </c>
      <c r="FA511" s="67">
        <v>21326.25</v>
      </c>
      <c r="FB511" s="67" t="s">
        <v>4107</v>
      </c>
      <c r="FC511" s="67" t="s">
        <v>4108</v>
      </c>
      <c r="FD511" s="67" t="s">
        <v>4109</v>
      </c>
      <c r="FE511" s="68" t="s">
        <v>4110</v>
      </c>
      <c r="FF511" s="68" t="s">
        <v>4111</v>
      </c>
    </row>
    <row r="512" spans="151:162" x14ac:dyDescent="0.2">
      <c r="EU512" s="67">
        <v>593.06500000000005</v>
      </c>
      <c r="EV512" s="67" t="s">
        <v>4112</v>
      </c>
      <c r="EW512" s="67">
        <v>519.41999999999996</v>
      </c>
      <c r="EX512" s="67" t="s">
        <v>4113</v>
      </c>
      <c r="EY512" s="67">
        <v>5941</v>
      </c>
      <c r="EZ512" s="67" t="s">
        <v>4114</v>
      </c>
      <c r="FA512" s="67">
        <v>21320.75</v>
      </c>
      <c r="FB512" s="67" t="s">
        <v>4115</v>
      </c>
      <c r="FC512" s="67" t="s">
        <v>4116</v>
      </c>
      <c r="FD512" s="67" t="s">
        <v>4117</v>
      </c>
      <c r="FE512" s="68" t="s">
        <v>4118</v>
      </c>
      <c r="FF512" s="68" t="s">
        <v>4119</v>
      </c>
    </row>
    <row r="513" spans="151:162" x14ac:dyDescent="0.2">
      <c r="EU513" s="67">
        <v>592.95000000000005</v>
      </c>
      <c r="EV513" s="67" t="s">
        <v>4120</v>
      </c>
      <c r="EW513" s="67">
        <v>519.29</v>
      </c>
      <c r="EX513" s="67" t="s">
        <v>4121</v>
      </c>
      <c r="EY513" s="67">
        <v>5940</v>
      </c>
      <c r="EZ513" s="67" t="s">
        <v>4122</v>
      </c>
      <c r="FA513" s="67">
        <v>21315.25</v>
      </c>
      <c r="FB513" s="67" t="s">
        <v>4123</v>
      </c>
      <c r="FC513" s="67" t="s">
        <v>4124</v>
      </c>
      <c r="FD513" s="67" t="s">
        <v>4125</v>
      </c>
      <c r="FE513" s="68" t="s">
        <v>4126</v>
      </c>
      <c r="FF513" s="68" t="s">
        <v>4127</v>
      </c>
    </row>
    <row r="514" spans="151:162" x14ac:dyDescent="0.2">
      <c r="EU514" s="67">
        <v>592.97</v>
      </c>
      <c r="EV514" s="67" t="s">
        <v>4128</v>
      </c>
      <c r="EW514" s="67">
        <v>519.35</v>
      </c>
      <c r="EX514" s="67" t="s">
        <v>4129</v>
      </c>
      <c r="EY514" s="67">
        <v>5940</v>
      </c>
      <c r="EZ514" s="67" t="s">
        <v>4130</v>
      </c>
      <c r="FA514" s="67">
        <v>21317.75</v>
      </c>
      <c r="FB514" s="67" t="s">
        <v>4131</v>
      </c>
      <c r="FC514" s="67" t="s">
        <v>4132</v>
      </c>
      <c r="FD514" s="67" t="s">
        <v>4133</v>
      </c>
      <c r="FE514" s="68" t="s">
        <v>4134</v>
      </c>
      <c r="FF514" s="68" t="s">
        <v>4135</v>
      </c>
    </row>
    <row r="515" spans="151:162" x14ac:dyDescent="0.2">
      <c r="EU515" s="67">
        <v>592.9</v>
      </c>
      <c r="EV515" s="67" t="s">
        <v>4136</v>
      </c>
      <c r="EW515" s="67">
        <v>519.30100000000004</v>
      </c>
      <c r="EX515" s="67" t="s">
        <v>4137</v>
      </c>
      <c r="EY515" s="67">
        <v>5939.5</v>
      </c>
      <c r="EZ515" s="67" t="s">
        <v>4138</v>
      </c>
      <c r="FA515" s="67">
        <v>21316.25</v>
      </c>
      <c r="FB515" s="67" t="s">
        <v>4139</v>
      </c>
      <c r="FC515" s="67" t="s">
        <v>4140</v>
      </c>
      <c r="FD515" s="67" t="s">
        <v>4141</v>
      </c>
      <c r="FE515" s="68" t="s">
        <v>4142</v>
      </c>
      <c r="FF515" s="68" t="s">
        <v>4143</v>
      </c>
    </row>
    <row r="516" spans="151:162" x14ac:dyDescent="0.2">
      <c r="EU516" s="67">
        <v>592.74</v>
      </c>
      <c r="EV516" s="67" t="s">
        <v>4144</v>
      </c>
      <c r="EW516" s="67">
        <v>519.16999999999996</v>
      </c>
      <c r="EX516" s="67" t="s">
        <v>4145</v>
      </c>
      <c r="EY516" s="67">
        <v>5937.5</v>
      </c>
      <c r="EZ516" s="67" t="s">
        <v>4146</v>
      </c>
      <c r="FA516" s="67">
        <v>21309.75</v>
      </c>
      <c r="FB516" s="67" t="s">
        <v>4147</v>
      </c>
      <c r="FC516" s="67" t="s">
        <v>4148</v>
      </c>
      <c r="FD516" s="67" t="s">
        <v>4149</v>
      </c>
      <c r="FE516" s="68" t="s">
        <v>4150</v>
      </c>
      <c r="FF516" s="68" t="s">
        <v>4151</v>
      </c>
    </row>
    <row r="517" spans="151:162" x14ac:dyDescent="0.2">
      <c r="EU517" s="67">
        <v>592.52</v>
      </c>
      <c r="EV517" s="67" t="s">
        <v>4152</v>
      </c>
      <c r="EW517" s="67">
        <v>518.95000000000005</v>
      </c>
      <c r="EX517" s="67" t="s">
        <v>4153</v>
      </c>
      <c r="EY517" s="67">
        <v>5935.25</v>
      </c>
      <c r="EZ517" s="67" t="s">
        <v>4154</v>
      </c>
      <c r="FA517" s="67">
        <v>21301.5</v>
      </c>
      <c r="FB517" s="67" t="s">
        <v>4155</v>
      </c>
      <c r="FC517" s="67" t="s">
        <v>4156</v>
      </c>
      <c r="FD517" s="67" t="s">
        <v>4157</v>
      </c>
      <c r="FE517" s="68" t="s">
        <v>4158</v>
      </c>
      <c r="FF517" s="68" t="s">
        <v>4159</v>
      </c>
    </row>
    <row r="518" spans="151:162" x14ac:dyDescent="0.2">
      <c r="EU518" s="67">
        <v>592.81399999999996</v>
      </c>
      <c r="EV518" s="67" t="s">
        <v>4160</v>
      </c>
      <c r="EW518" s="67">
        <v>519.26</v>
      </c>
      <c r="EX518" s="67" t="s">
        <v>4161</v>
      </c>
      <c r="EY518" s="67">
        <v>5938.5</v>
      </c>
      <c r="EZ518" s="67" t="s">
        <v>4162</v>
      </c>
      <c r="FA518" s="67">
        <v>21314.5</v>
      </c>
      <c r="FB518" s="67" t="s">
        <v>4163</v>
      </c>
      <c r="FC518" s="67" t="s">
        <v>4164</v>
      </c>
      <c r="FD518" s="67" t="s">
        <v>4165</v>
      </c>
      <c r="FE518" s="68" t="s">
        <v>4166</v>
      </c>
      <c r="FF518" s="68" t="s">
        <v>4167</v>
      </c>
    </row>
    <row r="519" spans="151:162" x14ac:dyDescent="0.2">
      <c r="EU519" s="67">
        <v>592.82000000000005</v>
      </c>
      <c r="EV519" s="67" t="s">
        <v>4168</v>
      </c>
      <c r="EW519" s="67">
        <v>519.36</v>
      </c>
      <c r="EX519" s="67" t="s">
        <v>4169</v>
      </c>
      <c r="EY519" s="67">
        <v>5938.75</v>
      </c>
      <c r="EZ519" s="67" t="s">
        <v>4170</v>
      </c>
      <c r="FA519" s="67">
        <v>21319</v>
      </c>
      <c r="FB519" s="67" t="s">
        <v>4171</v>
      </c>
      <c r="FC519" s="67" t="s">
        <v>4172</v>
      </c>
      <c r="FD519" s="67" t="s">
        <v>4173</v>
      </c>
      <c r="FE519" s="68" t="s">
        <v>4174</v>
      </c>
      <c r="FF519" s="68" t="s">
        <v>4175</v>
      </c>
    </row>
    <row r="520" spans="151:162" x14ac:dyDescent="0.2">
      <c r="EU520" s="67">
        <v>592.95000000000005</v>
      </c>
      <c r="EV520" s="67" t="s">
        <v>4176</v>
      </c>
      <c r="EW520" s="67">
        <v>519.58000000000004</v>
      </c>
      <c r="EX520" s="67" t="s">
        <v>4177</v>
      </c>
      <c r="EY520" s="67">
        <v>5940.25</v>
      </c>
      <c r="EZ520" s="67" t="s">
        <v>4178</v>
      </c>
      <c r="FA520" s="67">
        <v>21328</v>
      </c>
      <c r="FB520" s="67" t="s">
        <v>4179</v>
      </c>
      <c r="FC520" s="67" t="s">
        <v>4180</v>
      </c>
      <c r="FD520" s="67" t="s">
        <v>4181</v>
      </c>
      <c r="FE520" s="68" t="s">
        <v>4182</v>
      </c>
      <c r="FF520" s="68" t="s">
        <v>4183</v>
      </c>
    </row>
    <row r="521" spans="151:162" x14ac:dyDescent="0.2">
      <c r="EU521" s="67">
        <v>592.96</v>
      </c>
      <c r="EV521" s="67" t="s">
        <v>4184</v>
      </c>
      <c r="EW521" s="67">
        <v>519.63</v>
      </c>
      <c r="EX521" s="67" t="s">
        <v>4185</v>
      </c>
      <c r="EY521" s="67">
        <v>5940.25</v>
      </c>
      <c r="EZ521" s="67" t="s">
        <v>4186</v>
      </c>
      <c r="FA521" s="67">
        <v>21330</v>
      </c>
      <c r="FB521" s="67" t="s">
        <v>4187</v>
      </c>
      <c r="FC521" s="67" t="s">
        <v>4188</v>
      </c>
      <c r="FD521" s="67" t="s">
        <v>4189</v>
      </c>
      <c r="FE521" s="68" t="s">
        <v>4190</v>
      </c>
      <c r="FF521" s="68" t="s">
        <v>4191</v>
      </c>
    </row>
    <row r="522" spans="151:162" x14ac:dyDescent="0.2">
      <c r="EU522" s="67">
        <v>593</v>
      </c>
      <c r="EV522" s="67" t="s">
        <v>4192</v>
      </c>
      <c r="EW522" s="67">
        <v>519.71</v>
      </c>
      <c r="EX522" s="67" t="s">
        <v>4193</v>
      </c>
      <c r="EY522" s="67">
        <v>5940.75</v>
      </c>
      <c r="EZ522" s="67" t="s">
        <v>4194</v>
      </c>
      <c r="FA522" s="67">
        <v>21331.5</v>
      </c>
      <c r="FB522" s="67" t="s">
        <v>4195</v>
      </c>
      <c r="FC522" s="67" t="s">
        <v>4196</v>
      </c>
      <c r="FD522" s="67" t="s">
        <v>4197</v>
      </c>
      <c r="FE522" s="68" t="s">
        <v>4198</v>
      </c>
      <c r="FF522" s="68" t="s">
        <v>4199</v>
      </c>
    </row>
    <row r="523" spans="151:162" x14ac:dyDescent="0.2">
      <c r="EU523" s="67">
        <v>592.98</v>
      </c>
      <c r="EV523" s="67" t="s">
        <v>4200</v>
      </c>
      <c r="EW523" s="67">
        <v>519.66999999999996</v>
      </c>
      <c r="EX523" s="67" t="s">
        <v>4201</v>
      </c>
      <c r="EY523" s="67">
        <v>5940.5</v>
      </c>
      <c r="EZ523" s="67" t="s">
        <v>4202</v>
      </c>
      <c r="FA523" s="67">
        <v>21331.25</v>
      </c>
      <c r="FB523" s="67" t="s">
        <v>4203</v>
      </c>
      <c r="FC523" s="67" t="s">
        <v>4204</v>
      </c>
      <c r="FD523" s="67" t="s">
        <v>4205</v>
      </c>
      <c r="FE523" s="68" t="s">
        <v>4206</v>
      </c>
      <c r="FF523" s="68" t="s">
        <v>4207</v>
      </c>
    </row>
    <row r="524" spans="151:162" x14ac:dyDescent="0.2">
      <c r="EU524" s="67">
        <v>592.91</v>
      </c>
      <c r="EV524" s="67" t="s">
        <v>4208</v>
      </c>
      <c r="EW524" s="67">
        <v>519.625</v>
      </c>
      <c r="EX524" s="67" t="s">
        <v>4209</v>
      </c>
      <c r="EY524" s="67">
        <v>5939.5</v>
      </c>
      <c r="EZ524" s="67" t="s">
        <v>4210</v>
      </c>
      <c r="FA524" s="67">
        <v>21329.75</v>
      </c>
      <c r="FB524" s="67" t="s">
        <v>4211</v>
      </c>
      <c r="FC524" s="67" t="s">
        <v>4212</v>
      </c>
      <c r="FD524" s="67" t="s">
        <v>4213</v>
      </c>
      <c r="FE524" s="68" t="s">
        <v>4214</v>
      </c>
      <c r="FF524" s="68" t="s">
        <v>4215</v>
      </c>
    </row>
    <row r="525" spans="151:162" x14ac:dyDescent="0.2">
      <c r="EU525" s="67">
        <v>592.86</v>
      </c>
      <c r="EV525" s="67" t="s">
        <v>4216</v>
      </c>
      <c r="EW525" s="67">
        <v>519.54999999999995</v>
      </c>
      <c r="EX525" s="67" t="s">
        <v>4217</v>
      </c>
      <c r="EY525" s="67">
        <v>5939</v>
      </c>
      <c r="EZ525" s="67" t="s">
        <v>4218</v>
      </c>
      <c r="FA525" s="67">
        <v>21326.25</v>
      </c>
      <c r="FB525" s="67" t="s">
        <v>4219</v>
      </c>
      <c r="FC525" s="67" t="s">
        <v>4220</v>
      </c>
      <c r="FD525" s="67" t="s">
        <v>4221</v>
      </c>
      <c r="FE525" s="68" t="s">
        <v>4222</v>
      </c>
      <c r="FF525" s="68" t="s">
        <v>4223</v>
      </c>
    </row>
    <row r="526" spans="151:162" x14ac:dyDescent="0.2">
      <c r="EU526" s="67">
        <v>592.85</v>
      </c>
      <c r="EV526" s="67" t="s">
        <v>4224</v>
      </c>
      <c r="EW526" s="67">
        <v>519.57000000000005</v>
      </c>
      <c r="EX526" s="67" t="s">
        <v>4225</v>
      </c>
      <c r="EY526" s="67">
        <v>5939</v>
      </c>
      <c r="EZ526" s="67" t="s">
        <v>4226</v>
      </c>
      <c r="FA526" s="67">
        <v>21328.5</v>
      </c>
      <c r="FB526" s="67" t="s">
        <v>4227</v>
      </c>
      <c r="FC526" s="67" t="s">
        <v>4228</v>
      </c>
      <c r="FD526" s="67" t="s">
        <v>4229</v>
      </c>
      <c r="FE526" s="68" t="s">
        <v>4230</v>
      </c>
      <c r="FF526" s="68" t="s">
        <v>4231</v>
      </c>
    </row>
    <row r="527" spans="151:162" x14ac:dyDescent="0.2">
      <c r="EU527" s="67">
        <v>593.14</v>
      </c>
      <c r="EV527" s="67" t="s">
        <v>4232</v>
      </c>
      <c r="EW527" s="67">
        <v>519.86500000000001</v>
      </c>
      <c r="EX527" s="67" t="s">
        <v>4233</v>
      </c>
      <c r="EY527" s="67">
        <v>5941.75</v>
      </c>
      <c r="EZ527" s="67" t="s">
        <v>4234</v>
      </c>
      <c r="FA527" s="67">
        <v>21340</v>
      </c>
      <c r="FB527" s="67" t="s">
        <v>4235</v>
      </c>
      <c r="FC527" s="67" t="s">
        <v>4236</v>
      </c>
      <c r="FD527" s="67" t="s">
        <v>4237</v>
      </c>
      <c r="FE527" s="68" t="s">
        <v>4238</v>
      </c>
      <c r="FF527" s="68" t="s">
        <v>4239</v>
      </c>
    </row>
    <row r="528" spans="151:162" x14ac:dyDescent="0.2">
      <c r="EU528" s="67">
        <v>593.41</v>
      </c>
      <c r="EV528" s="67" t="s">
        <v>4240</v>
      </c>
      <c r="EW528" s="67">
        <v>520.21</v>
      </c>
      <c r="EX528" s="67" t="s">
        <v>4241</v>
      </c>
      <c r="EY528" s="67">
        <v>5944.75</v>
      </c>
      <c r="EZ528" s="67" t="s">
        <v>4242</v>
      </c>
      <c r="FA528" s="67">
        <v>21354</v>
      </c>
      <c r="FB528" s="67" t="s">
        <v>4243</v>
      </c>
      <c r="FC528" s="67" t="s">
        <v>4244</v>
      </c>
      <c r="FD528" s="67" t="s">
        <v>4245</v>
      </c>
      <c r="FE528" s="68" t="s">
        <v>4246</v>
      </c>
      <c r="FF528" s="68" t="s">
        <v>4247</v>
      </c>
    </row>
    <row r="529" spans="151:162" x14ac:dyDescent="0.2">
      <c r="EU529" s="67">
        <v>593.38</v>
      </c>
      <c r="EV529" s="67" t="s">
        <v>4248</v>
      </c>
      <c r="EW529" s="67">
        <v>520.20000000000005</v>
      </c>
      <c r="EX529" s="67" t="s">
        <v>4249</v>
      </c>
      <c r="EY529" s="67">
        <v>5944.5</v>
      </c>
      <c r="EZ529" s="67" t="s">
        <v>4250</v>
      </c>
      <c r="FA529" s="67">
        <v>21352.25</v>
      </c>
      <c r="FB529" s="67" t="s">
        <v>4251</v>
      </c>
      <c r="FC529" s="67" t="s">
        <v>4252</v>
      </c>
      <c r="FD529" s="67" t="s">
        <v>4253</v>
      </c>
      <c r="FE529" s="68" t="s">
        <v>4254</v>
      </c>
      <c r="FF529" s="68" t="s">
        <v>4255</v>
      </c>
    </row>
    <row r="530" spans="151:162" x14ac:dyDescent="0.2">
      <c r="EU530" s="67">
        <v>593.25</v>
      </c>
      <c r="EV530" s="67" t="s">
        <v>4256</v>
      </c>
      <c r="EW530" s="67">
        <v>520.04</v>
      </c>
      <c r="EX530" s="67" t="s">
        <v>4257</v>
      </c>
      <c r="EY530" s="67">
        <v>5942.75</v>
      </c>
      <c r="EZ530" s="67" t="s">
        <v>4258</v>
      </c>
      <c r="FA530" s="67">
        <v>21347.25</v>
      </c>
      <c r="FB530" s="67" t="s">
        <v>4259</v>
      </c>
      <c r="FC530" s="67" t="s">
        <v>4260</v>
      </c>
      <c r="FD530" s="67" t="s">
        <v>4261</v>
      </c>
      <c r="FE530" s="68" t="s">
        <v>4262</v>
      </c>
      <c r="FF530" s="68" t="s">
        <v>4263</v>
      </c>
    </row>
    <row r="531" spans="151:162" x14ac:dyDescent="0.2">
      <c r="EU531" s="67">
        <v>593.20000000000005</v>
      </c>
      <c r="EV531" s="67" t="s">
        <v>4264</v>
      </c>
      <c r="EW531" s="67">
        <v>520.01</v>
      </c>
      <c r="EX531" s="67" t="s">
        <v>4265</v>
      </c>
      <c r="EY531" s="67">
        <v>5942.5</v>
      </c>
      <c r="EZ531" s="67" t="s">
        <v>4266</v>
      </c>
      <c r="FA531" s="67">
        <v>21346</v>
      </c>
      <c r="FB531" s="67" t="s">
        <v>4267</v>
      </c>
      <c r="FC531" s="67" t="s">
        <v>4268</v>
      </c>
      <c r="FD531" s="67" t="s">
        <v>4269</v>
      </c>
      <c r="FE531" s="68" t="s">
        <v>4270</v>
      </c>
      <c r="FF531" s="68" t="s">
        <v>4271</v>
      </c>
    </row>
    <row r="532" spans="151:162" x14ac:dyDescent="0.2">
      <c r="EU532" s="67">
        <v>593.05999999999995</v>
      </c>
      <c r="EV532" s="67" t="s">
        <v>4272</v>
      </c>
      <c r="EW532" s="67">
        <v>519.84</v>
      </c>
      <c r="EX532" s="67" t="s">
        <v>4273</v>
      </c>
      <c r="EY532" s="67">
        <v>5941</v>
      </c>
      <c r="EZ532" s="67" t="s">
        <v>4274</v>
      </c>
      <c r="FA532" s="67">
        <v>21338.5</v>
      </c>
      <c r="FB532" s="67" t="s">
        <v>4275</v>
      </c>
      <c r="FC532" s="67" t="s">
        <v>4276</v>
      </c>
      <c r="FD532" s="67" t="s">
        <v>4277</v>
      </c>
      <c r="FE532" s="68" t="s">
        <v>4278</v>
      </c>
      <c r="FF532" s="68" t="s">
        <v>4279</v>
      </c>
    </row>
    <row r="533" spans="151:162" x14ac:dyDescent="0.2">
      <c r="EU533" s="67">
        <v>593.34</v>
      </c>
      <c r="EV533" s="67" t="s">
        <v>4280</v>
      </c>
      <c r="EW533" s="67">
        <v>520.13800000000003</v>
      </c>
      <c r="EX533" s="67" t="s">
        <v>4281</v>
      </c>
      <c r="EY533" s="67">
        <v>5944</v>
      </c>
      <c r="EZ533" s="67" t="s">
        <v>4282</v>
      </c>
      <c r="FA533" s="67">
        <v>21350.5</v>
      </c>
      <c r="FB533" s="67" t="s">
        <v>4283</v>
      </c>
      <c r="FC533" s="67" t="s">
        <v>4284</v>
      </c>
      <c r="FD533" s="67" t="s">
        <v>4285</v>
      </c>
      <c r="FE533" s="68" t="s">
        <v>4286</v>
      </c>
      <c r="FF533" s="68" t="s">
        <v>4287</v>
      </c>
    </row>
    <row r="534" spans="151:162" x14ac:dyDescent="0.2">
      <c r="EU534" s="67">
        <v>593.18499999999995</v>
      </c>
      <c r="EV534" s="67" t="s">
        <v>4288</v>
      </c>
      <c r="EW534" s="67">
        <v>520.04999999999995</v>
      </c>
      <c r="EX534" s="67" t="s">
        <v>4289</v>
      </c>
      <c r="EY534" s="67">
        <v>5942.25</v>
      </c>
      <c r="EZ534" s="67" t="s">
        <v>4290</v>
      </c>
      <c r="FA534" s="67">
        <v>21346.75</v>
      </c>
      <c r="FB534" s="67" t="s">
        <v>4291</v>
      </c>
      <c r="FC534" s="67" t="s">
        <v>4292</v>
      </c>
      <c r="FD534" s="67" t="s">
        <v>4293</v>
      </c>
      <c r="FE534" s="68" t="s">
        <v>4294</v>
      </c>
      <c r="FF534" s="68" t="s">
        <v>4295</v>
      </c>
    </row>
    <row r="535" spans="151:162" x14ac:dyDescent="0.2">
      <c r="EU535" s="67">
        <v>593.05999999999995</v>
      </c>
      <c r="EV535" s="67" t="s">
        <v>4296</v>
      </c>
      <c r="EW535" s="67">
        <v>519.95000000000005</v>
      </c>
      <c r="EX535" s="67" t="s">
        <v>4297</v>
      </c>
      <c r="EY535" s="67">
        <v>5941</v>
      </c>
      <c r="EZ535" s="67" t="s">
        <v>4298</v>
      </c>
      <c r="FA535" s="67">
        <v>21343.5</v>
      </c>
      <c r="FB535" s="67" t="s">
        <v>4299</v>
      </c>
      <c r="FC535" s="67" t="s">
        <v>4300</v>
      </c>
      <c r="FD535" s="67" t="s">
        <v>4301</v>
      </c>
      <c r="FE535" s="68" t="s">
        <v>4302</v>
      </c>
      <c r="FF535" s="68" t="s">
        <v>4303</v>
      </c>
    </row>
    <row r="536" spans="151:162" x14ac:dyDescent="0.2">
      <c r="EU536" s="67">
        <v>592.99</v>
      </c>
      <c r="EV536" s="67" t="s">
        <v>4304</v>
      </c>
      <c r="EW536" s="67">
        <v>519.94500000000005</v>
      </c>
      <c r="EX536" s="67" t="s">
        <v>4305</v>
      </c>
      <c r="EY536" s="67">
        <v>5940.25</v>
      </c>
      <c r="EZ536" s="67" t="s">
        <v>4306</v>
      </c>
      <c r="FA536" s="67">
        <v>21342.75</v>
      </c>
      <c r="FB536" s="67" t="s">
        <v>4307</v>
      </c>
      <c r="FC536" s="67" t="s">
        <v>4308</v>
      </c>
      <c r="FD536" s="67" t="s">
        <v>4309</v>
      </c>
      <c r="FE536" s="68" t="s">
        <v>4310</v>
      </c>
      <c r="FF536" s="68" t="s">
        <v>4311</v>
      </c>
    </row>
    <row r="537" spans="151:162" x14ac:dyDescent="0.2">
      <c r="EU537" s="67">
        <v>592.85</v>
      </c>
      <c r="EV537" s="67" t="s">
        <v>4312</v>
      </c>
      <c r="EW537" s="67">
        <v>519.76</v>
      </c>
      <c r="EX537" s="67" t="s">
        <v>4313</v>
      </c>
      <c r="EY537" s="67">
        <v>5938.75</v>
      </c>
      <c r="EZ537" s="67" t="s">
        <v>4314</v>
      </c>
      <c r="FA537" s="67">
        <v>21335.25</v>
      </c>
      <c r="FB537" s="67" t="s">
        <v>4315</v>
      </c>
      <c r="FC537" s="67" t="s">
        <v>4316</v>
      </c>
      <c r="FD537" s="67" t="s">
        <v>4317</v>
      </c>
      <c r="FE537" s="68" t="s">
        <v>4318</v>
      </c>
      <c r="FF537" s="68" t="s">
        <v>4319</v>
      </c>
    </row>
    <row r="538" spans="151:162" x14ac:dyDescent="0.2">
      <c r="EU538" s="67">
        <v>592.65</v>
      </c>
      <c r="EV538" s="67" t="s">
        <v>4320</v>
      </c>
      <c r="EW538" s="67">
        <v>519.52499999999998</v>
      </c>
      <c r="EX538" s="67" t="s">
        <v>4321</v>
      </c>
      <c r="EY538" s="67">
        <v>5936.5</v>
      </c>
      <c r="EZ538" s="67" t="s">
        <v>4322</v>
      </c>
      <c r="FA538" s="67">
        <v>21326.75</v>
      </c>
      <c r="FB538" s="67" t="s">
        <v>4323</v>
      </c>
      <c r="FC538" s="67" t="s">
        <v>4324</v>
      </c>
      <c r="FD538" s="67" t="s">
        <v>4325</v>
      </c>
      <c r="FE538" s="68" t="s">
        <v>4326</v>
      </c>
      <c r="FF538" s="68" t="s">
        <v>4327</v>
      </c>
    </row>
    <row r="539" spans="151:162" x14ac:dyDescent="0.2">
      <c r="EU539" s="67">
        <v>592.82500000000005</v>
      </c>
      <c r="EV539" s="67" t="s">
        <v>4328</v>
      </c>
      <c r="EW539" s="67">
        <v>519.74</v>
      </c>
      <c r="EX539" s="67" t="s">
        <v>4329</v>
      </c>
      <c r="EY539" s="67">
        <v>5938.5</v>
      </c>
      <c r="EZ539" s="67" t="s">
        <v>4330</v>
      </c>
      <c r="FA539" s="67">
        <v>21334.5</v>
      </c>
      <c r="FB539" s="67" t="s">
        <v>4331</v>
      </c>
      <c r="FC539" s="67" t="s">
        <v>4332</v>
      </c>
      <c r="FD539" s="67" t="s">
        <v>4333</v>
      </c>
      <c r="FE539" s="68" t="s">
        <v>4334</v>
      </c>
      <c r="FF539" s="68" t="s">
        <v>4335</v>
      </c>
    </row>
    <row r="540" spans="151:162" x14ac:dyDescent="0.2">
      <c r="EU540" s="67">
        <v>592.62</v>
      </c>
      <c r="EV540" s="67" t="s">
        <v>4336</v>
      </c>
      <c r="EW540" s="67">
        <v>519.54999999999995</v>
      </c>
      <c r="EX540" s="67" t="s">
        <v>4337</v>
      </c>
      <c r="EY540" s="67">
        <v>5936.5</v>
      </c>
      <c r="EZ540" s="67" t="s">
        <v>4338</v>
      </c>
      <c r="FA540" s="67">
        <v>21326.5</v>
      </c>
      <c r="FB540" s="67" t="s">
        <v>4339</v>
      </c>
      <c r="FC540" s="67" t="s">
        <v>4340</v>
      </c>
      <c r="FD540" s="67" t="s">
        <v>4341</v>
      </c>
      <c r="FE540" s="68" t="s">
        <v>4342</v>
      </c>
      <c r="FF540" s="68" t="s">
        <v>4343</v>
      </c>
    </row>
    <row r="541" spans="151:162" x14ac:dyDescent="0.2">
      <c r="EU541" s="67">
        <v>592.66999999999996</v>
      </c>
      <c r="EV541" s="67" t="s">
        <v>4344</v>
      </c>
      <c r="EW541" s="67">
        <v>519.66</v>
      </c>
      <c r="EX541" s="67" t="s">
        <v>4345</v>
      </c>
      <c r="EY541" s="67">
        <v>5937.25</v>
      </c>
      <c r="EZ541" s="67" t="s">
        <v>4346</v>
      </c>
      <c r="FA541" s="67">
        <v>21331.25</v>
      </c>
      <c r="FB541" s="67" t="s">
        <v>4347</v>
      </c>
      <c r="FC541" s="67" t="s">
        <v>4348</v>
      </c>
      <c r="FD541" s="67" t="s">
        <v>4349</v>
      </c>
      <c r="FE541" s="68" t="s">
        <v>4350</v>
      </c>
      <c r="FF541" s="68" t="s">
        <v>4351</v>
      </c>
    </row>
    <row r="542" spans="151:162" x14ac:dyDescent="0.2">
      <c r="EU542" s="67">
        <v>592.34</v>
      </c>
      <c r="EV542" s="67" t="s">
        <v>4352</v>
      </c>
      <c r="EW542" s="67">
        <v>519.33000000000004</v>
      </c>
      <c r="EX542" s="67" t="s">
        <v>4353</v>
      </c>
      <c r="EY542" s="67">
        <v>5934</v>
      </c>
      <c r="EZ542" s="67" t="s">
        <v>4354</v>
      </c>
      <c r="FA542" s="67">
        <v>21318.25</v>
      </c>
      <c r="FB542" s="67" t="s">
        <v>4355</v>
      </c>
      <c r="FC542" s="67" t="s">
        <v>4356</v>
      </c>
      <c r="FD542" s="67" t="s">
        <v>4357</v>
      </c>
      <c r="FE542" s="68" t="s">
        <v>4358</v>
      </c>
      <c r="FF542" s="68" t="s">
        <v>4359</v>
      </c>
    </row>
    <row r="543" spans="151:162" x14ac:dyDescent="0.2">
      <c r="EU543" s="67">
        <v>592.64</v>
      </c>
      <c r="EV543" s="67" t="s">
        <v>4360</v>
      </c>
      <c r="EW543" s="67">
        <v>519.6</v>
      </c>
      <c r="EX543" s="67" t="s">
        <v>4361</v>
      </c>
      <c r="EY543" s="67">
        <v>5936.75</v>
      </c>
      <c r="EZ543" s="67" t="s">
        <v>4362</v>
      </c>
      <c r="FA543" s="67">
        <v>21329</v>
      </c>
      <c r="FB543" s="67" t="s">
        <v>4363</v>
      </c>
      <c r="FC543" s="67" t="s">
        <v>4364</v>
      </c>
      <c r="FD543" s="67" t="s">
        <v>4365</v>
      </c>
      <c r="FE543" s="68" t="s">
        <v>4366</v>
      </c>
      <c r="FF543" s="68" t="s">
        <v>4367</v>
      </c>
    </row>
    <row r="544" spans="151:162" x14ac:dyDescent="0.2">
      <c r="EU544" s="67">
        <v>592.66</v>
      </c>
      <c r="EV544" s="67" t="s">
        <v>4368</v>
      </c>
      <c r="EW544" s="67">
        <v>519.62</v>
      </c>
      <c r="EX544" s="67" t="s">
        <v>4369</v>
      </c>
      <c r="EY544" s="67">
        <v>5937.25</v>
      </c>
      <c r="EZ544" s="67" t="s">
        <v>4370</v>
      </c>
      <c r="FA544" s="67">
        <v>21330</v>
      </c>
      <c r="FB544" s="67" t="s">
        <v>4371</v>
      </c>
      <c r="FC544" s="67" t="s">
        <v>4372</v>
      </c>
      <c r="FD544" s="67" t="s">
        <v>4373</v>
      </c>
      <c r="FE544" s="68" t="s">
        <v>4374</v>
      </c>
      <c r="FF544" s="68" t="s">
        <v>4375</v>
      </c>
    </row>
    <row r="545" spans="151:162" x14ac:dyDescent="0.2">
      <c r="EU545" s="67">
        <v>592.69000000000005</v>
      </c>
      <c r="EV545" s="67" t="s">
        <v>4376</v>
      </c>
      <c r="EW545" s="67">
        <v>519.67200000000003</v>
      </c>
      <c r="EX545" s="67" t="s">
        <v>4377</v>
      </c>
      <c r="EY545" s="67">
        <v>5937.25</v>
      </c>
      <c r="EZ545" s="67" t="s">
        <v>4378</v>
      </c>
      <c r="FA545" s="67">
        <v>21332.25</v>
      </c>
      <c r="FB545" s="67" t="s">
        <v>4379</v>
      </c>
      <c r="FC545" s="67" t="s">
        <v>4380</v>
      </c>
      <c r="FD545" s="67" t="s">
        <v>4381</v>
      </c>
      <c r="FE545" s="68" t="s">
        <v>4382</v>
      </c>
      <c r="FF545" s="68" t="s">
        <v>4383</v>
      </c>
    </row>
    <row r="546" spans="151:162" x14ac:dyDescent="0.2">
      <c r="EU546" s="67">
        <v>592.57000000000005</v>
      </c>
      <c r="EV546" s="67" t="s">
        <v>4384</v>
      </c>
      <c r="EW546" s="67">
        <v>519.69000000000005</v>
      </c>
      <c r="EX546" s="67" t="s">
        <v>4385</v>
      </c>
      <c r="EY546" s="67">
        <v>5936.25</v>
      </c>
      <c r="EZ546" s="67" t="s">
        <v>4386</v>
      </c>
      <c r="FA546" s="67">
        <v>21331.5</v>
      </c>
      <c r="FB546" s="67" t="s">
        <v>4387</v>
      </c>
      <c r="FC546" s="67" t="s">
        <v>4388</v>
      </c>
      <c r="FD546" s="67" t="s">
        <v>4389</v>
      </c>
      <c r="FE546" s="68" t="s">
        <v>4390</v>
      </c>
      <c r="FF546" s="68" t="s">
        <v>4391</v>
      </c>
    </row>
    <row r="547" spans="151:162" x14ac:dyDescent="0.2">
      <c r="EU547" s="67">
        <v>592.52</v>
      </c>
      <c r="EV547" s="67" t="s">
        <v>4392</v>
      </c>
      <c r="EW547" s="67">
        <v>519.63</v>
      </c>
      <c r="EX547" s="67" t="s">
        <v>4393</v>
      </c>
      <c r="EY547" s="67">
        <v>5935.5</v>
      </c>
      <c r="EZ547" s="67" t="s">
        <v>4394</v>
      </c>
      <c r="FA547" s="67">
        <v>21329.25</v>
      </c>
      <c r="FB547" s="67" t="s">
        <v>4395</v>
      </c>
      <c r="FC547" s="67" t="s">
        <v>4396</v>
      </c>
      <c r="FD547" s="67" t="s">
        <v>4397</v>
      </c>
      <c r="FE547" s="68" t="s">
        <v>4398</v>
      </c>
      <c r="FF547" s="68" t="s">
        <v>4399</v>
      </c>
    </row>
    <row r="548" spans="151:162" x14ac:dyDescent="0.2">
      <c r="EU548" s="67">
        <v>592.57000000000005</v>
      </c>
      <c r="EV548" s="67" t="s">
        <v>4400</v>
      </c>
      <c r="EW548" s="67">
        <v>519.65</v>
      </c>
      <c r="EX548" s="67" t="s">
        <v>4401</v>
      </c>
      <c r="EY548" s="67">
        <v>5936</v>
      </c>
      <c r="EZ548" s="67" t="s">
        <v>4402</v>
      </c>
      <c r="FA548" s="67">
        <v>21331.5</v>
      </c>
      <c r="FB548" s="67" t="s">
        <v>4403</v>
      </c>
      <c r="FC548" s="67" t="s">
        <v>4404</v>
      </c>
      <c r="FD548" s="67" t="s">
        <v>4405</v>
      </c>
      <c r="FE548" s="68" t="s">
        <v>4406</v>
      </c>
      <c r="FF548" s="68" t="s">
        <v>4407</v>
      </c>
    </row>
    <row r="549" spans="151:162" x14ac:dyDescent="0.2">
      <c r="EU549" s="67">
        <v>592.63</v>
      </c>
      <c r="EV549" s="67" t="s">
        <v>4408</v>
      </c>
      <c r="EW549" s="67">
        <v>519.71</v>
      </c>
      <c r="EX549" s="67" t="s">
        <v>4409</v>
      </c>
      <c r="EY549" s="67">
        <v>5936.75</v>
      </c>
      <c r="EZ549" s="67" t="s">
        <v>4410</v>
      </c>
      <c r="FA549" s="67">
        <v>21333</v>
      </c>
      <c r="FB549" s="67" t="s">
        <v>4411</v>
      </c>
      <c r="FC549" s="67" t="s">
        <v>4412</v>
      </c>
      <c r="FD549" s="67" t="s">
        <v>4413</v>
      </c>
      <c r="FE549" s="68" t="s">
        <v>4414</v>
      </c>
      <c r="FF549" s="68" t="s">
        <v>4415</v>
      </c>
    </row>
    <row r="550" spans="151:162" x14ac:dyDescent="0.2">
      <c r="EU550" s="67">
        <v>592.56500000000005</v>
      </c>
      <c r="EV550" s="67" t="s">
        <v>4416</v>
      </c>
      <c r="EW550" s="67">
        <v>519.64</v>
      </c>
      <c r="EX550" s="67" t="s">
        <v>4417</v>
      </c>
      <c r="EY550" s="67">
        <v>5936</v>
      </c>
      <c r="EZ550" s="67" t="s">
        <v>4418</v>
      </c>
      <c r="FA550" s="67">
        <v>21330.75</v>
      </c>
      <c r="FB550" s="67" t="s">
        <v>4419</v>
      </c>
      <c r="FC550" s="67" t="s">
        <v>4420</v>
      </c>
      <c r="FD550" s="67" t="s">
        <v>4421</v>
      </c>
      <c r="FE550" s="68" t="s">
        <v>4422</v>
      </c>
      <c r="FF550" s="68" t="s">
        <v>4423</v>
      </c>
    </row>
    <row r="551" spans="151:162" x14ac:dyDescent="0.2">
      <c r="EU551" s="67">
        <v>592.79999999999995</v>
      </c>
      <c r="EV551" s="67" t="s">
        <v>4424</v>
      </c>
      <c r="EW551" s="67">
        <v>519.88</v>
      </c>
      <c r="EX551" s="67" t="s">
        <v>4425</v>
      </c>
      <c r="EY551" s="67">
        <v>5938.5</v>
      </c>
      <c r="EZ551" s="67" t="s">
        <v>4426</v>
      </c>
      <c r="FA551" s="67">
        <v>21341</v>
      </c>
      <c r="FB551" s="67" t="s">
        <v>4427</v>
      </c>
      <c r="FC551" s="67" t="s">
        <v>4428</v>
      </c>
      <c r="FD551" s="67" t="s">
        <v>4429</v>
      </c>
      <c r="FE551" s="68" t="s">
        <v>4430</v>
      </c>
      <c r="FF551" s="68" t="s">
        <v>4431</v>
      </c>
    </row>
    <row r="552" spans="151:162" x14ac:dyDescent="0.2">
      <c r="EU552" s="67">
        <v>592.63</v>
      </c>
      <c r="EV552" s="67" t="s">
        <v>4432</v>
      </c>
      <c r="EW552" s="67">
        <v>519.73</v>
      </c>
      <c r="EX552" s="67" t="s">
        <v>4433</v>
      </c>
      <c r="EY552" s="67">
        <v>5936.75</v>
      </c>
      <c r="EZ552" s="67" t="s">
        <v>4434</v>
      </c>
      <c r="FA552" s="67">
        <v>21334.25</v>
      </c>
      <c r="FB552" s="67" t="s">
        <v>4435</v>
      </c>
      <c r="FC552" s="67" t="s">
        <v>4436</v>
      </c>
      <c r="FD552" s="67" t="s">
        <v>4437</v>
      </c>
      <c r="FE552" s="68" t="s">
        <v>4438</v>
      </c>
      <c r="FF552" s="68" t="s">
        <v>4439</v>
      </c>
    </row>
    <row r="553" spans="151:162" x14ac:dyDescent="0.2">
      <c r="EU553" s="67">
        <v>592.66499999999996</v>
      </c>
      <c r="EV553" s="67" t="s">
        <v>4440</v>
      </c>
      <c r="EW553" s="67">
        <v>519.73</v>
      </c>
      <c r="EX553" s="67" t="s">
        <v>4441</v>
      </c>
      <c r="EY553" s="67">
        <v>5937</v>
      </c>
      <c r="EZ553" s="67" t="s">
        <v>4442</v>
      </c>
      <c r="FA553" s="67">
        <v>21334</v>
      </c>
      <c r="FB553" s="67" t="s">
        <v>4443</v>
      </c>
      <c r="FC553" s="67" t="s">
        <v>4444</v>
      </c>
      <c r="FD553" s="67" t="s">
        <v>4445</v>
      </c>
      <c r="FE553" s="68" t="s">
        <v>4446</v>
      </c>
      <c r="FF553" s="68" t="s">
        <v>4447</v>
      </c>
    </row>
    <row r="554" spans="151:162" x14ac:dyDescent="0.2">
      <c r="EU554" s="67">
        <v>592.66999999999996</v>
      </c>
      <c r="EV554" s="67" t="s">
        <v>4448</v>
      </c>
      <c r="EW554" s="67">
        <v>519.66</v>
      </c>
      <c r="EX554" s="67" t="s">
        <v>4449</v>
      </c>
      <c r="EY554" s="67">
        <v>5937.25</v>
      </c>
      <c r="EZ554" s="67" t="s">
        <v>4450</v>
      </c>
      <c r="FA554" s="67">
        <v>21331.5</v>
      </c>
      <c r="FB554" s="67" t="s">
        <v>4451</v>
      </c>
      <c r="FC554" s="67" t="s">
        <v>4452</v>
      </c>
      <c r="FD554" s="67" t="s">
        <v>4453</v>
      </c>
      <c r="FE554" s="68" t="s">
        <v>4454</v>
      </c>
      <c r="FF554" s="68" t="s">
        <v>4455</v>
      </c>
    </row>
    <row r="555" spans="151:162" x14ac:dyDescent="0.2">
      <c r="EU555" s="67">
        <v>592.42999999999995</v>
      </c>
      <c r="EV555" s="67" t="s">
        <v>4456</v>
      </c>
      <c r="EW555" s="67">
        <v>519.49</v>
      </c>
      <c r="EX555" s="67" t="s">
        <v>4457</v>
      </c>
      <c r="EY555" s="67">
        <v>5934.75</v>
      </c>
      <c r="EZ555" s="67" t="s">
        <v>4458</v>
      </c>
      <c r="FA555" s="67">
        <v>21323</v>
      </c>
      <c r="FB555" s="67" t="s">
        <v>4459</v>
      </c>
      <c r="FC555" s="67" t="s">
        <v>4460</v>
      </c>
      <c r="FD555" s="67" t="s">
        <v>4461</v>
      </c>
      <c r="FE555" s="68" t="s">
        <v>4462</v>
      </c>
      <c r="FF555" s="68" t="s">
        <v>4463</v>
      </c>
    </row>
    <row r="556" spans="151:162" x14ac:dyDescent="0.2">
      <c r="EU556" s="67">
        <v>592.46</v>
      </c>
      <c r="EV556" s="67" t="s">
        <v>4464</v>
      </c>
      <c r="EW556" s="67">
        <v>519.55999999999995</v>
      </c>
      <c r="EX556" s="67" t="s">
        <v>4465</v>
      </c>
      <c r="EY556" s="67">
        <v>5935</v>
      </c>
      <c r="EZ556" s="67" t="s">
        <v>4466</v>
      </c>
      <c r="FA556" s="67">
        <v>21327</v>
      </c>
      <c r="FB556" s="67" t="s">
        <v>4467</v>
      </c>
      <c r="FC556" s="67" t="s">
        <v>4468</v>
      </c>
      <c r="FD556" s="67" t="s">
        <v>4469</v>
      </c>
      <c r="FE556" s="68" t="s">
        <v>4470</v>
      </c>
      <c r="FF556" s="68" t="s">
        <v>4471</v>
      </c>
    </row>
    <row r="557" spans="151:162" x14ac:dyDescent="0.2">
      <c r="EU557" s="67">
        <v>592.58500000000004</v>
      </c>
      <c r="EV557" s="67" t="s">
        <v>4472</v>
      </c>
      <c r="EW557" s="67">
        <v>519.67999999999995</v>
      </c>
      <c r="EX557" s="67" t="s">
        <v>4473</v>
      </c>
      <c r="EY557" s="67">
        <v>5936.5</v>
      </c>
      <c r="EZ557" s="67" t="s">
        <v>4474</v>
      </c>
      <c r="FA557" s="67">
        <v>21334</v>
      </c>
      <c r="FB557" s="67" t="s">
        <v>4475</v>
      </c>
      <c r="FC557" s="67" t="s">
        <v>4476</v>
      </c>
      <c r="FD557" s="67" t="s">
        <v>4477</v>
      </c>
      <c r="FE557" s="68" t="s">
        <v>4478</v>
      </c>
      <c r="FF557" s="68" t="s">
        <v>4479</v>
      </c>
    </row>
    <row r="558" spans="151:162" x14ac:dyDescent="0.2">
      <c r="EU558" s="67">
        <v>592.75</v>
      </c>
      <c r="EV558" s="67" t="s">
        <v>4480</v>
      </c>
      <c r="EW558" s="67">
        <v>519.92999999999995</v>
      </c>
      <c r="EX558" s="67" t="s">
        <v>4481</v>
      </c>
      <c r="EY558" s="67">
        <v>5937.75</v>
      </c>
      <c r="EZ558" s="67" t="s">
        <v>4482</v>
      </c>
      <c r="FA558" s="67">
        <v>21343</v>
      </c>
      <c r="FB558" s="67" t="s">
        <v>4483</v>
      </c>
      <c r="FC558" s="67" t="s">
        <v>4484</v>
      </c>
      <c r="FD558" s="67" t="s">
        <v>4485</v>
      </c>
      <c r="FE558" s="68" t="s">
        <v>4486</v>
      </c>
      <c r="FF558" s="68" t="s">
        <v>4487</v>
      </c>
    </row>
    <row r="559" spans="151:162" x14ac:dyDescent="0.2">
      <c r="EU559" s="67">
        <v>592.79999999999995</v>
      </c>
      <c r="EV559" s="67" t="s">
        <v>4488</v>
      </c>
      <c r="EW559" s="67">
        <v>520.01</v>
      </c>
      <c r="EX559" s="67" t="s">
        <v>4489</v>
      </c>
      <c r="EY559" s="67">
        <v>5938.75</v>
      </c>
      <c r="EZ559" s="67" t="s">
        <v>4490</v>
      </c>
      <c r="FA559" s="67">
        <v>21345.5</v>
      </c>
      <c r="FB559" s="67" t="s">
        <v>4491</v>
      </c>
      <c r="FC559" s="67" t="s">
        <v>4492</v>
      </c>
      <c r="FD559" s="67" t="s">
        <v>4493</v>
      </c>
      <c r="FE559" s="68" t="s">
        <v>4494</v>
      </c>
      <c r="FF559" s="68" t="s">
        <v>4495</v>
      </c>
    </row>
    <row r="560" spans="151:162" x14ac:dyDescent="0.2">
      <c r="EU560" s="67">
        <v>592.66999999999996</v>
      </c>
      <c r="EV560" s="67" t="s">
        <v>4496</v>
      </c>
      <c r="EW560" s="67">
        <v>519.85</v>
      </c>
      <c r="EX560" s="67" t="s">
        <v>4497</v>
      </c>
      <c r="EY560" s="67">
        <v>5937</v>
      </c>
      <c r="EZ560" s="67" t="s">
        <v>4498</v>
      </c>
      <c r="FA560" s="67">
        <v>21339.75</v>
      </c>
      <c r="FB560" s="67" t="s">
        <v>4499</v>
      </c>
      <c r="FC560" s="67" t="s">
        <v>4500</v>
      </c>
      <c r="FD560" s="67" t="s">
        <v>4501</v>
      </c>
      <c r="FE560" s="68" t="s">
        <v>4502</v>
      </c>
      <c r="FF560" s="68" t="s">
        <v>4503</v>
      </c>
    </row>
    <row r="561" spans="151:162" x14ac:dyDescent="0.2">
      <c r="EU561" s="67">
        <v>592.73</v>
      </c>
      <c r="EV561" s="67" t="s">
        <v>4504</v>
      </c>
      <c r="EW561" s="67">
        <v>519.995</v>
      </c>
      <c r="EX561" s="67" t="s">
        <v>4505</v>
      </c>
      <c r="EY561" s="67">
        <v>5937.75</v>
      </c>
      <c r="EZ561" s="67" t="s">
        <v>4506</v>
      </c>
      <c r="FA561" s="67">
        <v>21345.75</v>
      </c>
      <c r="FB561" s="67" t="s">
        <v>4507</v>
      </c>
      <c r="FC561" s="67" t="s">
        <v>4508</v>
      </c>
      <c r="FD561" s="67" t="s">
        <v>4509</v>
      </c>
      <c r="FE561" s="68" t="s">
        <v>4510</v>
      </c>
      <c r="FF561" s="68" t="s">
        <v>4511</v>
      </c>
    </row>
    <row r="562" spans="151:162" x14ac:dyDescent="0.2">
      <c r="EU562" s="67">
        <v>592.88</v>
      </c>
      <c r="EV562" s="67" t="s">
        <v>4512</v>
      </c>
      <c r="EW562" s="67">
        <v>520.17999999999995</v>
      </c>
      <c r="EX562" s="67" t="s">
        <v>4513</v>
      </c>
      <c r="EY562" s="67">
        <v>5939.25</v>
      </c>
      <c r="EZ562" s="67" t="s">
        <v>4514</v>
      </c>
      <c r="FA562" s="67">
        <v>21353.25</v>
      </c>
      <c r="FB562" s="67" t="s">
        <v>4515</v>
      </c>
      <c r="FC562" s="67" t="s">
        <v>4516</v>
      </c>
      <c r="FD562" s="67" t="s">
        <v>4517</v>
      </c>
      <c r="FE562" s="68" t="s">
        <v>4518</v>
      </c>
      <c r="FF562" s="68" t="s">
        <v>4519</v>
      </c>
    </row>
    <row r="563" spans="151:162" x14ac:dyDescent="0.2">
      <c r="EU563" s="67">
        <v>592.76</v>
      </c>
      <c r="EV563" s="67" t="s">
        <v>4520</v>
      </c>
      <c r="EW563" s="67">
        <v>520.04</v>
      </c>
      <c r="EX563" s="67" t="s">
        <v>4521</v>
      </c>
      <c r="EY563" s="67">
        <v>5938</v>
      </c>
      <c r="EZ563" s="67" t="s">
        <v>4522</v>
      </c>
      <c r="FA563" s="67">
        <v>21347.25</v>
      </c>
      <c r="FB563" s="67" t="s">
        <v>4523</v>
      </c>
      <c r="FC563" s="67" t="s">
        <v>4524</v>
      </c>
      <c r="FD563" s="67" t="s">
        <v>4525</v>
      </c>
      <c r="FE563" s="68" t="s">
        <v>4526</v>
      </c>
      <c r="FF563" s="68" t="s">
        <v>4527</v>
      </c>
    </row>
    <row r="564" spans="151:162" x14ac:dyDescent="0.2">
      <c r="EU564" s="67">
        <v>592.86</v>
      </c>
      <c r="EV564" s="67" t="s">
        <v>4528</v>
      </c>
      <c r="EW564" s="67">
        <v>520.19000000000005</v>
      </c>
      <c r="EX564" s="67" t="s">
        <v>4529</v>
      </c>
      <c r="EY564" s="67">
        <v>5939.25</v>
      </c>
      <c r="EZ564" s="67" t="s">
        <v>4530</v>
      </c>
      <c r="FA564" s="67">
        <v>21353.5</v>
      </c>
      <c r="FB564" s="67" t="s">
        <v>4531</v>
      </c>
      <c r="FC564" s="67" t="s">
        <v>4532</v>
      </c>
      <c r="FD564" s="67" t="s">
        <v>4533</v>
      </c>
      <c r="FE564" s="68" t="s">
        <v>4534</v>
      </c>
      <c r="FF564" s="68" t="s">
        <v>4535</v>
      </c>
    </row>
    <row r="565" spans="151:162" x14ac:dyDescent="0.2">
      <c r="EU565" s="67">
        <v>592.82000000000005</v>
      </c>
      <c r="EV565" s="67" t="s">
        <v>4536</v>
      </c>
      <c r="EW565" s="67">
        <v>520.15</v>
      </c>
      <c r="EX565" s="67" t="s">
        <v>4537</v>
      </c>
      <c r="EY565" s="67">
        <v>5938.75</v>
      </c>
      <c r="EZ565" s="67" t="s">
        <v>4538</v>
      </c>
      <c r="FA565" s="67">
        <v>21352.5</v>
      </c>
      <c r="FB565" s="67" t="s">
        <v>4539</v>
      </c>
      <c r="FC565" s="67" t="s">
        <v>4540</v>
      </c>
      <c r="FD565" s="67" t="s">
        <v>4541</v>
      </c>
      <c r="FE565" s="68" t="s">
        <v>4542</v>
      </c>
      <c r="FF565" s="68" t="s">
        <v>4543</v>
      </c>
    </row>
    <row r="566" spans="151:162" x14ac:dyDescent="0.2">
      <c r="EU566" s="67">
        <v>592.92999999999995</v>
      </c>
      <c r="EV566" s="67" t="s">
        <v>4544</v>
      </c>
      <c r="EW566" s="67">
        <v>520.23500000000001</v>
      </c>
      <c r="EX566" s="67" t="s">
        <v>4545</v>
      </c>
      <c r="EY566" s="67">
        <v>5939.75</v>
      </c>
      <c r="EZ566" s="67" t="s">
        <v>4546</v>
      </c>
      <c r="FA566" s="67">
        <v>21355.25</v>
      </c>
      <c r="FB566" s="67" t="s">
        <v>4547</v>
      </c>
      <c r="FC566" s="67" t="s">
        <v>4548</v>
      </c>
      <c r="FD566" s="67" t="s">
        <v>4549</v>
      </c>
      <c r="FE566" s="68" t="s">
        <v>4550</v>
      </c>
      <c r="FF566" s="68" t="s">
        <v>4551</v>
      </c>
    </row>
    <row r="567" spans="151:162" x14ac:dyDescent="0.2">
      <c r="EU567" s="67">
        <v>592.86</v>
      </c>
      <c r="EV567" s="67" t="s">
        <v>4552</v>
      </c>
      <c r="EW567" s="67">
        <v>520.22</v>
      </c>
      <c r="EX567" s="67" t="s">
        <v>4553</v>
      </c>
      <c r="EY567" s="67">
        <v>5939.5</v>
      </c>
      <c r="EZ567" s="67" t="s">
        <v>4554</v>
      </c>
      <c r="FA567" s="67">
        <v>21353.25</v>
      </c>
      <c r="FB567" s="67" t="s">
        <v>4555</v>
      </c>
      <c r="FC567" s="67" t="s">
        <v>4556</v>
      </c>
      <c r="FD567" s="67" t="s">
        <v>4557</v>
      </c>
      <c r="FE567" s="68" t="s">
        <v>4558</v>
      </c>
      <c r="FF567" s="68" t="s">
        <v>4559</v>
      </c>
    </row>
    <row r="568" spans="151:162" x14ac:dyDescent="0.2">
      <c r="EU568" s="67">
        <v>593.19000000000005</v>
      </c>
      <c r="EV568" s="67" t="s">
        <v>4560</v>
      </c>
      <c r="EW568" s="67">
        <v>520.61</v>
      </c>
      <c r="EX568" s="67" t="s">
        <v>4561</v>
      </c>
      <c r="EY568" s="67">
        <v>5942.5</v>
      </c>
      <c r="EZ568" s="67" t="s">
        <v>4562</v>
      </c>
      <c r="FA568" s="67">
        <v>21370.5</v>
      </c>
      <c r="FB568" s="67" t="s">
        <v>4563</v>
      </c>
      <c r="FC568" s="67" t="s">
        <v>4564</v>
      </c>
      <c r="FD568" s="67" t="s">
        <v>4565</v>
      </c>
      <c r="FE568" s="68" t="s">
        <v>4566</v>
      </c>
      <c r="FF568" s="68" t="s">
        <v>4567</v>
      </c>
    </row>
    <row r="569" spans="151:162" x14ac:dyDescent="0.2">
      <c r="EU569" s="67">
        <v>593.16999999999996</v>
      </c>
      <c r="EV569" s="67" t="s">
        <v>4568</v>
      </c>
      <c r="EW569" s="67">
        <v>520.54999999999995</v>
      </c>
      <c r="EX569" s="67" t="s">
        <v>4569</v>
      </c>
      <c r="EY569" s="67">
        <v>5942.25</v>
      </c>
      <c r="EZ569" s="67" t="s">
        <v>4570</v>
      </c>
      <c r="FA569" s="67">
        <v>21367.75</v>
      </c>
      <c r="FB569" s="67" t="s">
        <v>4571</v>
      </c>
      <c r="FC569" s="67" t="s">
        <v>4572</v>
      </c>
      <c r="FD569" s="67" t="s">
        <v>4573</v>
      </c>
      <c r="FE569" s="68" t="s">
        <v>4574</v>
      </c>
      <c r="FF569" s="68" t="s">
        <v>4575</v>
      </c>
    </row>
    <row r="570" spans="151:162" x14ac:dyDescent="0.2">
      <c r="EU570" s="67">
        <v>593.30999999999995</v>
      </c>
      <c r="EV570" s="67" t="s">
        <v>4576</v>
      </c>
      <c r="EW570" s="67">
        <v>520.67999999999995</v>
      </c>
      <c r="EX570" s="67" t="s">
        <v>4577</v>
      </c>
      <c r="EY570" s="67">
        <v>5943.75</v>
      </c>
      <c r="EZ570" s="67" t="s">
        <v>4578</v>
      </c>
      <c r="FA570" s="67">
        <v>21373.25</v>
      </c>
      <c r="FB570" s="67" t="s">
        <v>4579</v>
      </c>
      <c r="FC570" s="67" t="s">
        <v>4580</v>
      </c>
      <c r="FD570" s="67" t="s">
        <v>4581</v>
      </c>
      <c r="FE570" s="68" t="s">
        <v>4582</v>
      </c>
      <c r="FF570" s="68" t="s">
        <v>4583</v>
      </c>
    </row>
    <row r="571" spans="151:162" x14ac:dyDescent="0.2">
      <c r="EU571" s="67">
        <v>593.16999999999996</v>
      </c>
      <c r="EV571" s="67" t="s">
        <v>4584</v>
      </c>
      <c r="EW571" s="67">
        <v>520.55999999999995</v>
      </c>
      <c r="EX571" s="67" t="s">
        <v>4585</v>
      </c>
      <c r="EY571" s="67">
        <v>5942.25</v>
      </c>
      <c r="EZ571" s="67" t="s">
        <v>4586</v>
      </c>
      <c r="FA571" s="67">
        <v>21369</v>
      </c>
      <c r="FB571" s="67" t="s">
        <v>4587</v>
      </c>
      <c r="FC571" s="67" t="s">
        <v>4588</v>
      </c>
      <c r="FD571" s="67" t="s">
        <v>4589</v>
      </c>
      <c r="FE571" s="68" t="s">
        <v>4590</v>
      </c>
      <c r="FF571" s="68" t="s">
        <v>4591</v>
      </c>
    </row>
    <row r="572" spans="151:162" x14ac:dyDescent="0.2">
      <c r="EU572" s="67">
        <v>593.23</v>
      </c>
      <c r="EV572" s="67" t="s">
        <v>4592</v>
      </c>
      <c r="EW572" s="67">
        <v>520.57000000000005</v>
      </c>
      <c r="EX572" s="67" t="s">
        <v>4593</v>
      </c>
      <c r="EY572" s="67">
        <v>5943</v>
      </c>
      <c r="EZ572" s="67" t="s">
        <v>4594</v>
      </c>
      <c r="FA572" s="67">
        <v>21368.5</v>
      </c>
      <c r="FB572" s="67" t="s">
        <v>4595</v>
      </c>
      <c r="FC572" s="67" t="s">
        <v>4596</v>
      </c>
      <c r="FD572" s="67" t="s">
        <v>4597</v>
      </c>
      <c r="FE572" s="68" t="s">
        <v>4598</v>
      </c>
      <c r="FF572" s="68" t="s">
        <v>4599</v>
      </c>
    </row>
    <row r="573" spans="151:162" x14ac:dyDescent="0.2">
      <c r="EU573" s="67">
        <v>593.27</v>
      </c>
      <c r="EV573" s="67" t="s">
        <v>4600</v>
      </c>
      <c r="EW573" s="67">
        <v>520.55999999999995</v>
      </c>
      <c r="EX573" s="67" t="s">
        <v>4601</v>
      </c>
      <c r="EY573" s="67">
        <v>5943.25</v>
      </c>
      <c r="EZ573" s="67" t="s">
        <v>4602</v>
      </c>
      <c r="FA573" s="67">
        <v>21368.25</v>
      </c>
      <c r="FB573" s="67" t="s">
        <v>4603</v>
      </c>
      <c r="FC573" s="67" t="s">
        <v>4604</v>
      </c>
      <c r="FD573" s="67" t="s">
        <v>4605</v>
      </c>
      <c r="FE573" s="68" t="s">
        <v>4606</v>
      </c>
      <c r="FF573" s="68" t="s">
        <v>4607</v>
      </c>
    </row>
    <row r="574" spans="151:162" x14ac:dyDescent="0.2">
      <c r="EU574" s="67">
        <v>593.36</v>
      </c>
      <c r="EV574" s="67" t="s">
        <v>4608</v>
      </c>
      <c r="EW574" s="67">
        <v>520.67999999999995</v>
      </c>
      <c r="EX574" s="67" t="s">
        <v>4609</v>
      </c>
      <c r="EY574" s="67">
        <v>5944.5</v>
      </c>
      <c r="EZ574" s="67" t="s">
        <v>4610</v>
      </c>
      <c r="FA574" s="67">
        <v>21373.5</v>
      </c>
      <c r="FB574" s="67" t="s">
        <v>4611</v>
      </c>
      <c r="FC574" s="67" t="s">
        <v>4612</v>
      </c>
      <c r="FD574" s="67" t="s">
        <v>4613</v>
      </c>
      <c r="FE574" s="68" t="s">
        <v>4614</v>
      </c>
      <c r="FF574" s="68" t="s">
        <v>4615</v>
      </c>
    </row>
    <row r="575" spans="151:162" x14ac:dyDescent="0.2">
      <c r="EU575" s="67">
        <v>593.39</v>
      </c>
      <c r="EV575" s="67" t="s">
        <v>4616</v>
      </c>
      <c r="EW575" s="67">
        <v>520.75</v>
      </c>
      <c r="EX575" s="67" t="s">
        <v>4617</v>
      </c>
      <c r="EY575" s="67">
        <v>5944.75</v>
      </c>
      <c r="EZ575" s="67" t="s">
        <v>4618</v>
      </c>
      <c r="FA575" s="67">
        <v>21376.5</v>
      </c>
      <c r="FB575" s="67" t="s">
        <v>4619</v>
      </c>
      <c r="FC575" s="67" t="s">
        <v>4620</v>
      </c>
      <c r="FD575" s="67" t="s">
        <v>4621</v>
      </c>
      <c r="FE575" s="68" t="s">
        <v>4622</v>
      </c>
      <c r="FF575" s="68" t="s">
        <v>4623</v>
      </c>
    </row>
    <row r="576" spans="151:162" x14ac:dyDescent="0.2">
      <c r="EU576" s="67">
        <v>593.29999999999995</v>
      </c>
      <c r="EV576" s="67" t="s">
        <v>4624</v>
      </c>
      <c r="EW576" s="67">
        <v>520.66</v>
      </c>
      <c r="EX576" s="67" t="s">
        <v>4625</v>
      </c>
      <c r="EY576" s="67">
        <v>5943.75</v>
      </c>
      <c r="EZ576" s="67" t="s">
        <v>4626</v>
      </c>
      <c r="FA576" s="67">
        <v>21372.5</v>
      </c>
      <c r="FB576" s="67" t="s">
        <v>4627</v>
      </c>
      <c r="FC576" s="67" t="s">
        <v>4628</v>
      </c>
      <c r="FD576" s="67" t="s">
        <v>4629</v>
      </c>
      <c r="FE576" s="68" t="s">
        <v>4630</v>
      </c>
      <c r="FF576" s="68" t="s">
        <v>4631</v>
      </c>
    </row>
    <row r="577" spans="151:162" x14ac:dyDescent="0.2">
      <c r="EU577" s="67">
        <v>593.4</v>
      </c>
      <c r="EV577" s="67" t="s">
        <v>4632</v>
      </c>
      <c r="EW577" s="67">
        <v>520.74</v>
      </c>
      <c r="EX577" s="67" t="s">
        <v>4633</v>
      </c>
      <c r="EY577" s="67">
        <v>5944.5</v>
      </c>
      <c r="EZ577" s="67" t="s">
        <v>4634</v>
      </c>
      <c r="FA577" s="67">
        <v>21376</v>
      </c>
      <c r="FB577" s="67" t="s">
        <v>4635</v>
      </c>
      <c r="FC577" s="67" t="s">
        <v>4636</v>
      </c>
      <c r="FD577" s="67" t="s">
        <v>4637</v>
      </c>
      <c r="FE577" s="68" t="s">
        <v>4638</v>
      </c>
      <c r="FF577" s="68" t="s">
        <v>4639</v>
      </c>
    </row>
    <row r="578" spans="151:162" x14ac:dyDescent="0.2">
      <c r="EU578" s="67">
        <v>593.38</v>
      </c>
      <c r="EV578" s="67" t="s">
        <v>4640</v>
      </c>
      <c r="EW578" s="67">
        <v>520.74</v>
      </c>
      <c r="EX578" s="67" t="s">
        <v>4641</v>
      </c>
      <c r="EY578" s="67">
        <v>5944.5</v>
      </c>
      <c r="EZ578" s="67" t="s">
        <v>4642</v>
      </c>
      <c r="FA578" s="67">
        <v>21376.25</v>
      </c>
      <c r="FB578" s="67" t="s">
        <v>4643</v>
      </c>
      <c r="FC578" s="67" t="s">
        <v>4644</v>
      </c>
      <c r="FD578" s="67" t="s">
        <v>4645</v>
      </c>
      <c r="FE578" s="68" t="s">
        <v>4646</v>
      </c>
      <c r="FF578" s="68" t="s">
        <v>4647</v>
      </c>
    </row>
    <row r="579" spans="151:162" x14ac:dyDescent="0.2">
      <c r="EU579" s="67">
        <v>593.24</v>
      </c>
      <c r="EV579" s="67" t="s">
        <v>4648</v>
      </c>
      <c r="EW579" s="67">
        <v>520.65</v>
      </c>
      <c r="EX579" s="67" t="s">
        <v>4649</v>
      </c>
      <c r="EY579" s="67">
        <v>5943</v>
      </c>
      <c r="EZ579" s="67" t="s">
        <v>4650</v>
      </c>
      <c r="FA579" s="67">
        <v>21371.5</v>
      </c>
      <c r="FB579" s="67" t="s">
        <v>4651</v>
      </c>
      <c r="FC579" s="67" t="s">
        <v>4652</v>
      </c>
      <c r="FD579" s="67" t="s">
        <v>4653</v>
      </c>
      <c r="FE579" s="68" t="s">
        <v>4654</v>
      </c>
      <c r="FF579" s="68" t="s">
        <v>4655</v>
      </c>
    </row>
    <row r="580" spans="151:162" x14ac:dyDescent="0.2">
      <c r="EU580" s="67">
        <v>593.34</v>
      </c>
      <c r="EV580" s="67" t="s">
        <v>4656</v>
      </c>
      <c r="EW580" s="67">
        <v>520.745</v>
      </c>
      <c r="EX580" s="67" t="s">
        <v>4657</v>
      </c>
      <c r="EY580" s="67">
        <v>5944.25</v>
      </c>
      <c r="EZ580" s="67" t="s">
        <v>4658</v>
      </c>
      <c r="FA580" s="67">
        <v>21375.75</v>
      </c>
      <c r="FB580" s="67" t="s">
        <v>4659</v>
      </c>
      <c r="FC580" s="67" t="s">
        <v>4660</v>
      </c>
      <c r="FD580" s="67" t="s">
        <v>4661</v>
      </c>
      <c r="FE580" s="68" t="s">
        <v>4662</v>
      </c>
      <c r="FF580" s="68" t="s">
        <v>4663</v>
      </c>
    </row>
    <row r="581" spans="151:162" x14ac:dyDescent="0.2">
      <c r="EU581" s="67">
        <v>593.32000000000005</v>
      </c>
      <c r="EV581" s="67" t="s">
        <v>4664</v>
      </c>
      <c r="EW581" s="67">
        <v>520.67999999999995</v>
      </c>
      <c r="EX581" s="67" t="s">
        <v>4665</v>
      </c>
      <c r="EY581" s="67">
        <v>5944</v>
      </c>
      <c r="EZ581" s="67" t="s">
        <v>4666</v>
      </c>
      <c r="FA581" s="67">
        <v>21372.25</v>
      </c>
      <c r="FB581" s="67" t="s">
        <v>4667</v>
      </c>
      <c r="FC581" s="67" t="s">
        <v>4668</v>
      </c>
      <c r="FD581" s="67" t="s">
        <v>4669</v>
      </c>
      <c r="FE581" s="68" t="s">
        <v>4670</v>
      </c>
      <c r="FF581" s="68" t="s">
        <v>4671</v>
      </c>
    </row>
    <row r="582" spans="151:162" x14ac:dyDescent="0.2">
      <c r="EU582" s="67">
        <v>593.28</v>
      </c>
      <c r="EV582" s="67" t="s">
        <v>4672</v>
      </c>
      <c r="EW582" s="67">
        <v>520.63</v>
      </c>
      <c r="EX582" s="67" t="s">
        <v>4673</v>
      </c>
      <c r="EY582" s="67">
        <v>5943.5</v>
      </c>
      <c r="EZ582" s="67" t="s">
        <v>4674</v>
      </c>
      <c r="FA582" s="67">
        <v>21370.75</v>
      </c>
      <c r="FB582" s="67" t="s">
        <v>4675</v>
      </c>
      <c r="FC582" s="67" t="s">
        <v>4676</v>
      </c>
      <c r="FD582" s="67" t="s">
        <v>4677</v>
      </c>
      <c r="FE582" s="68" t="s">
        <v>4678</v>
      </c>
      <c r="FF582" s="68" t="s">
        <v>4679</v>
      </c>
    </row>
    <row r="583" spans="151:162" x14ac:dyDescent="0.2">
      <c r="EU583" s="67">
        <v>593.28</v>
      </c>
      <c r="EV583" s="67" t="s">
        <v>4680</v>
      </c>
      <c r="EW583" s="67">
        <v>520.6</v>
      </c>
      <c r="EX583" s="67" t="s">
        <v>4681</v>
      </c>
      <c r="EY583" s="67">
        <v>5943.5</v>
      </c>
      <c r="EZ583" s="67" t="s">
        <v>4682</v>
      </c>
      <c r="FA583" s="67">
        <v>21369.75</v>
      </c>
      <c r="FB583" s="67" t="s">
        <v>4683</v>
      </c>
      <c r="FC583" s="67" t="s">
        <v>4684</v>
      </c>
      <c r="FD583" s="67" t="s">
        <v>4685</v>
      </c>
      <c r="FE583" s="68" t="s">
        <v>4686</v>
      </c>
      <c r="FF583" s="68" t="s">
        <v>4687</v>
      </c>
    </row>
    <row r="584" spans="151:162" x14ac:dyDescent="0.2">
      <c r="EU584" s="67">
        <v>593.29999999999995</v>
      </c>
      <c r="EV584" s="67" t="s">
        <v>4688</v>
      </c>
      <c r="EW584" s="67">
        <v>520.63</v>
      </c>
      <c r="EX584" s="67" t="s">
        <v>4689</v>
      </c>
      <c r="EY584" s="67">
        <v>5943.75</v>
      </c>
      <c r="EZ584" s="67" t="s">
        <v>4690</v>
      </c>
      <c r="FA584" s="67">
        <v>21371.75</v>
      </c>
      <c r="FB584" s="67" t="s">
        <v>4691</v>
      </c>
      <c r="FC584" s="67" t="s">
        <v>4692</v>
      </c>
      <c r="FD584" s="67" t="s">
        <v>4693</v>
      </c>
      <c r="FE584" s="68" t="s">
        <v>4694</v>
      </c>
      <c r="FF584" s="68" t="s">
        <v>4695</v>
      </c>
    </row>
    <row r="585" spans="151:162" x14ac:dyDescent="0.2">
      <c r="EU585" s="67">
        <v>593.53</v>
      </c>
      <c r="EV585" s="67" t="s">
        <v>4696</v>
      </c>
      <c r="EW585" s="67">
        <v>520.85</v>
      </c>
      <c r="EX585" s="67" t="s">
        <v>4697</v>
      </c>
      <c r="EY585" s="67">
        <v>5946</v>
      </c>
      <c r="EZ585" s="67" t="s">
        <v>4698</v>
      </c>
      <c r="FA585" s="67">
        <v>21380.75</v>
      </c>
      <c r="FB585" s="67" t="s">
        <v>4699</v>
      </c>
      <c r="FC585" s="67" t="s">
        <v>4700</v>
      </c>
      <c r="FD585" s="67" t="s">
        <v>4701</v>
      </c>
      <c r="FE585" s="68" t="s">
        <v>4702</v>
      </c>
      <c r="FF585" s="68" t="s">
        <v>4703</v>
      </c>
    </row>
    <row r="586" spans="151:162" x14ac:dyDescent="0.2">
      <c r="EU586" s="67">
        <v>593.48</v>
      </c>
      <c r="EV586" s="67" t="s">
        <v>4704</v>
      </c>
      <c r="EW586" s="67">
        <v>520.79</v>
      </c>
      <c r="EX586" s="67" t="s">
        <v>4705</v>
      </c>
      <c r="EY586" s="67">
        <v>5945.75</v>
      </c>
      <c r="EZ586" s="67" t="s">
        <v>4706</v>
      </c>
      <c r="FA586" s="67">
        <v>21378.25</v>
      </c>
      <c r="FB586" s="67" t="s">
        <v>4707</v>
      </c>
      <c r="FC586" s="67" t="s">
        <v>4708</v>
      </c>
      <c r="FD586" s="67" t="s">
        <v>4709</v>
      </c>
      <c r="FE586" s="68" t="s">
        <v>4710</v>
      </c>
      <c r="FF586" s="68" t="s">
        <v>4711</v>
      </c>
    </row>
    <row r="587" spans="151:162" x14ac:dyDescent="0.2">
      <c r="EU587" s="67">
        <v>593.40499999999997</v>
      </c>
      <c r="EV587" s="67" t="s">
        <v>4712</v>
      </c>
      <c r="EW587" s="67">
        <v>520.62</v>
      </c>
      <c r="EX587" s="67" t="s">
        <v>4713</v>
      </c>
      <c r="EY587" s="67">
        <v>5944.75</v>
      </c>
      <c r="EZ587" s="67" t="s">
        <v>4714</v>
      </c>
      <c r="FA587" s="67">
        <v>21371.25</v>
      </c>
      <c r="FB587" s="67" t="s">
        <v>4715</v>
      </c>
      <c r="FC587" s="67" t="s">
        <v>4716</v>
      </c>
      <c r="FD587" s="67" t="s">
        <v>4717</v>
      </c>
      <c r="FE587" s="68" t="s">
        <v>4718</v>
      </c>
      <c r="FF587" s="68" t="s">
        <v>4719</v>
      </c>
    </row>
    <row r="588" spans="151:162" x14ac:dyDescent="0.2">
      <c r="EU588" s="67">
        <v>593.46</v>
      </c>
      <c r="EV588" s="67" t="s">
        <v>4720</v>
      </c>
      <c r="EW588" s="67">
        <v>520.67999999999995</v>
      </c>
      <c r="EX588" s="67" t="s">
        <v>4721</v>
      </c>
      <c r="EY588" s="67">
        <v>5945.5</v>
      </c>
      <c r="EZ588" s="67" t="s">
        <v>4722</v>
      </c>
      <c r="FA588" s="67">
        <v>21373.5</v>
      </c>
      <c r="FB588" s="67" t="s">
        <v>4723</v>
      </c>
      <c r="FC588" s="67" t="s">
        <v>4724</v>
      </c>
      <c r="FD588" s="67" t="s">
        <v>4725</v>
      </c>
      <c r="FE588" s="68" t="s">
        <v>4726</v>
      </c>
      <c r="FF588" s="68" t="s">
        <v>4727</v>
      </c>
    </row>
    <row r="589" spans="151:162" x14ac:dyDescent="0.2">
      <c r="EU589" s="67">
        <v>593.35</v>
      </c>
      <c r="EV589" s="67" t="s">
        <v>4728</v>
      </c>
      <c r="EW589" s="67">
        <v>520.54999999999995</v>
      </c>
      <c r="EX589" s="67" t="s">
        <v>4729</v>
      </c>
      <c r="EY589" s="67">
        <v>5944.25</v>
      </c>
      <c r="EZ589" s="67" t="s">
        <v>4730</v>
      </c>
      <c r="FA589" s="67">
        <v>21367.75</v>
      </c>
      <c r="FB589" s="67" t="s">
        <v>4731</v>
      </c>
      <c r="FC589" s="67" t="s">
        <v>4732</v>
      </c>
      <c r="FD589" s="67" t="s">
        <v>4733</v>
      </c>
      <c r="FE589" s="68" t="s">
        <v>4734</v>
      </c>
      <c r="FF589" s="68" t="s">
        <v>4735</v>
      </c>
    </row>
    <row r="590" spans="151:162" x14ac:dyDescent="0.2">
      <c r="EU590" s="67">
        <v>593.52</v>
      </c>
      <c r="EV590" s="67" t="s">
        <v>4736</v>
      </c>
      <c r="EW590" s="67">
        <v>520.70399999999995</v>
      </c>
      <c r="EX590" s="67" t="s">
        <v>4737</v>
      </c>
      <c r="EY590" s="67">
        <v>5946.25</v>
      </c>
      <c r="EZ590" s="67" t="s">
        <v>4738</v>
      </c>
      <c r="FA590" s="67">
        <v>21374</v>
      </c>
      <c r="FB590" s="67" t="s">
        <v>4739</v>
      </c>
      <c r="FC590" s="67" t="s">
        <v>4740</v>
      </c>
      <c r="FD590" s="67" t="s">
        <v>4741</v>
      </c>
      <c r="FE590" s="68" t="s">
        <v>4742</v>
      </c>
      <c r="FF590" s="68" t="s">
        <v>4743</v>
      </c>
    </row>
    <row r="591" spans="151:162" x14ac:dyDescent="0.2">
      <c r="EU591" s="67">
        <v>593.61</v>
      </c>
      <c r="EV591" s="67" t="s">
        <v>4744</v>
      </c>
      <c r="EW591" s="67">
        <v>520.74</v>
      </c>
      <c r="EX591" s="67" t="s">
        <v>4745</v>
      </c>
      <c r="EY591" s="67">
        <v>5947</v>
      </c>
      <c r="EZ591" s="67" t="s">
        <v>4746</v>
      </c>
      <c r="FA591" s="67">
        <v>21376</v>
      </c>
      <c r="FB591" s="67" t="s">
        <v>4747</v>
      </c>
      <c r="FC591" s="67" t="s">
        <v>4748</v>
      </c>
      <c r="FD591" s="67" t="s">
        <v>4749</v>
      </c>
      <c r="FE591" s="68" t="s">
        <v>4750</v>
      </c>
      <c r="FF591" s="68" t="s">
        <v>4751</v>
      </c>
    </row>
    <row r="592" spans="151:162" x14ac:dyDescent="0.2">
      <c r="EU592" s="67">
        <v>593.66499999999996</v>
      </c>
      <c r="EV592" s="67" t="s">
        <v>4752</v>
      </c>
      <c r="EW592" s="67">
        <v>520.755</v>
      </c>
      <c r="EX592" s="67" t="s">
        <v>4753</v>
      </c>
      <c r="EY592" s="67">
        <v>5947.25</v>
      </c>
      <c r="EZ592" s="67" t="s">
        <v>4754</v>
      </c>
      <c r="FA592" s="67">
        <v>21376.75</v>
      </c>
      <c r="FB592" s="67" t="s">
        <v>4755</v>
      </c>
      <c r="FC592" s="67" t="s">
        <v>4756</v>
      </c>
      <c r="FD592" s="67" t="s">
        <v>4757</v>
      </c>
      <c r="FE592" s="68" t="s">
        <v>4758</v>
      </c>
      <c r="FF592" s="68" t="s">
        <v>4759</v>
      </c>
    </row>
    <row r="593" spans="151:162" x14ac:dyDescent="0.2">
      <c r="EU593" s="67">
        <v>593.61</v>
      </c>
      <c r="EV593" s="67" t="s">
        <v>4760</v>
      </c>
      <c r="EW593" s="67">
        <v>520.67999999999995</v>
      </c>
      <c r="EX593" s="67" t="s">
        <v>4761</v>
      </c>
      <c r="EY593" s="67">
        <v>5947</v>
      </c>
      <c r="EZ593" s="67" t="s">
        <v>4762</v>
      </c>
      <c r="FA593" s="67">
        <v>21373</v>
      </c>
      <c r="FB593" s="67" t="s">
        <v>4763</v>
      </c>
      <c r="FC593" s="67" t="s">
        <v>4764</v>
      </c>
      <c r="FD593" s="67" t="s">
        <v>4765</v>
      </c>
      <c r="FE593" s="68" t="s">
        <v>4766</v>
      </c>
      <c r="FF593" s="68" t="s">
        <v>4767</v>
      </c>
    </row>
    <row r="594" spans="151:162" x14ac:dyDescent="0.2">
      <c r="EU594" s="67">
        <v>593.72</v>
      </c>
      <c r="EV594" s="67" t="s">
        <v>4768</v>
      </c>
      <c r="EW594" s="67">
        <v>520.82000000000005</v>
      </c>
      <c r="EX594" s="67" t="s">
        <v>4769</v>
      </c>
      <c r="EY594" s="67">
        <v>5948</v>
      </c>
      <c r="EZ594" s="67" t="s">
        <v>4770</v>
      </c>
      <c r="FA594" s="67">
        <v>21378.75</v>
      </c>
      <c r="FB594" s="67" t="s">
        <v>4771</v>
      </c>
      <c r="FC594" s="67" t="s">
        <v>4772</v>
      </c>
      <c r="FD594" s="67" t="s">
        <v>4773</v>
      </c>
      <c r="FE594" s="68" t="s">
        <v>4774</v>
      </c>
      <c r="FF594" s="68" t="s">
        <v>4775</v>
      </c>
    </row>
    <row r="595" spans="151:162" x14ac:dyDescent="0.2">
      <c r="EU595" s="67">
        <v>593.76</v>
      </c>
      <c r="EV595" s="67" t="s">
        <v>4776</v>
      </c>
      <c r="EW595" s="67">
        <v>520.88</v>
      </c>
      <c r="EX595" s="67" t="s">
        <v>4777</v>
      </c>
      <c r="EY595" s="67">
        <v>5948.25</v>
      </c>
      <c r="EZ595" s="67" t="s">
        <v>4778</v>
      </c>
      <c r="FA595" s="67">
        <v>21382.25</v>
      </c>
      <c r="FB595" s="67" t="s">
        <v>4779</v>
      </c>
      <c r="FC595" s="67" t="s">
        <v>4780</v>
      </c>
      <c r="FD595" s="67" t="s">
        <v>4781</v>
      </c>
      <c r="FE595" s="68" t="s">
        <v>4782</v>
      </c>
      <c r="FF595" s="68" t="s">
        <v>4783</v>
      </c>
    </row>
    <row r="596" spans="151:162" x14ac:dyDescent="0.2">
      <c r="EU596" s="67">
        <v>593.70000000000005</v>
      </c>
      <c r="EV596" s="67" t="s">
        <v>4784</v>
      </c>
      <c r="EW596" s="67">
        <v>520.83000000000004</v>
      </c>
      <c r="EX596" s="67" t="s">
        <v>4785</v>
      </c>
      <c r="EY596" s="67">
        <v>5948</v>
      </c>
      <c r="EZ596" s="67" t="s">
        <v>4786</v>
      </c>
      <c r="FA596" s="67">
        <v>21379.5</v>
      </c>
      <c r="FB596" s="67" t="s">
        <v>4787</v>
      </c>
      <c r="FC596" s="67" t="s">
        <v>4788</v>
      </c>
      <c r="FD596" s="67" t="s">
        <v>4789</v>
      </c>
      <c r="FE596" s="68" t="s">
        <v>4790</v>
      </c>
      <c r="FF596" s="68" t="s">
        <v>4791</v>
      </c>
    </row>
    <row r="597" spans="151:162" x14ac:dyDescent="0.2">
      <c r="EU597" s="67">
        <v>593.70500000000004</v>
      </c>
      <c r="EV597" s="67" t="s">
        <v>4792</v>
      </c>
      <c r="EW597" s="67">
        <v>520.86</v>
      </c>
      <c r="EX597" s="67" t="s">
        <v>4793</v>
      </c>
      <c r="EY597" s="67">
        <v>5948</v>
      </c>
      <c r="EZ597" s="67" t="s">
        <v>4794</v>
      </c>
      <c r="FA597" s="67">
        <v>21380.75</v>
      </c>
      <c r="FB597" s="67" t="s">
        <v>4795</v>
      </c>
      <c r="FC597" s="67" t="s">
        <v>4796</v>
      </c>
      <c r="FD597" s="67" t="s">
        <v>4797</v>
      </c>
      <c r="FE597" s="68" t="s">
        <v>4798</v>
      </c>
      <c r="FF597" s="68" t="s">
        <v>4799</v>
      </c>
    </row>
    <row r="598" spans="151:162" x14ac:dyDescent="0.2">
      <c r="EU598" s="67">
        <v>593.74</v>
      </c>
      <c r="EV598" s="67" t="s">
        <v>4800</v>
      </c>
      <c r="EW598" s="67">
        <v>520.86</v>
      </c>
      <c r="EX598" s="67" t="s">
        <v>4801</v>
      </c>
      <c r="EY598" s="67">
        <v>5948.25</v>
      </c>
      <c r="EZ598" s="67" t="s">
        <v>4802</v>
      </c>
      <c r="FA598" s="67">
        <v>21380.75</v>
      </c>
      <c r="FB598" s="67" t="s">
        <v>4803</v>
      </c>
      <c r="FC598" s="67" t="s">
        <v>4804</v>
      </c>
      <c r="FD598" s="67" t="s">
        <v>4805</v>
      </c>
      <c r="FE598" s="68" t="s">
        <v>4806</v>
      </c>
      <c r="FF598" s="68" t="s">
        <v>4807</v>
      </c>
    </row>
    <row r="599" spans="151:162" x14ac:dyDescent="0.2">
      <c r="EU599" s="67">
        <v>593.71</v>
      </c>
      <c r="EV599" s="67" t="s">
        <v>4808</v>
      </c>
      <c r="EW599" s="67">
        <v>520.82500000000005</v>
      </c>
      <c r="EX599" s="67" t="s">
        <v>4809</v>
      </c>
      <c r="EY599" s="67">
        <v>5948</v>
      </c>
      <c r="EZ599" s="67" t="s">
        <v>4810</v>
      </c>
      <c r="FA599" s="67">
        <v>21379.25</v>
      </c>
      <c r="FB599" s="67" t="s">
        <v>4811</v>
      </c>
      <c r="FC599" s="67" t="s">
        <v>4812</v>
      </c>
      <c r="FD599" s="67" t="s">
        <v>4813</v>
      </c>
      <c r="FE599" s="68" t="s">
        <v>4814</v>
      </c>
      <c r="FF599" s="68" t="s">
        <v>4815</v>
      </c>
    </row>
    <row r="600" spans="151:162" x14ac:dyDescent="0.2">
      <c r="EU600" s="67">
        <v>593.58000000000004</v>
      </c>
      <c r="EV600" s="67" t="s">
        <v>4816</v>
      </c>
      <c r="EW600" s="67">
        <v>520.67100000000005</v>
      </c>
      <c r="EX600" s="67" t="s">
        <v>4817</v>
      </c>
      <c r="EY600" s="67">
        <v>5946.5</v>
      </c>
      <c r="EZ600" s="67" t="s">
        <v>4818</v>
      </c>
      <c r="FA600" s="67">
        <v>21373.5</v>
      </c>
      <c r="FB600" s="67" t="s">
        <v>4819</v>
      </c>
      <c r="FC600" s="67" t="s">
        <v>4820</v>
      </c>
      <c r="FD600" s="67" t="s">
        <v>4821</v>
      </c>
      <c r="FE600" s="68" t="s">
        <v>4822</v>
      </c>
      <c r="FF600" s="68" t="s">
        <v>4823</v>
      </c>
    </row>
    <row r="601" spans="151:162" x14ac:dyDescent="0.2">
      <c r="EU601" s="67">
        <v>593.66999999999996</v>
      </c>
      <c r="EV601" s="67" t="s">
        <v>4824</v>
      </c>
      <c r="EW601" s="67">
        <v>520.80999999999995</v>
      </c>
      <c r="EX601" s="67" t="s">
        <v>4825</v>
      </c>
      <c r="EY601" s="67">
        <v>5947.5</v>
      </c>
      <c r="EZ601" s="67" t="s">
        <v>4826</v>
      </c>
      <c r="FA601" s="67">
        <v>21379</v>
      </c>
      <c r="FB601" s="67" t="s">
        <v>4827</v>
      </c>
      <c r="FC601" s="67" t="s">
        <v>4828</v>
      </c>
      <c r="FD601" s="67" t="s">
        <v>4829</v>
      </c>
      <c r="FE601" s="68" t="s">
        <v>4830</v>
      </c>
      <c r="FF601" s="68" t="s">
        <v>4831</v>
      </c>
    </row>
    <row r="602" spans="151:162" x14ac:dyDescent="0.2">
      <c r="EU602" s="67">
        <v>593.58000000000004</v>
      </c>
      <c r="EV602" s="67" t="s">
        <v>4832</v>
      </c>
      <c r="EW602" s="67">
        <v>520.62</v>
      </c>
      <c r="EX602" s="67" t="s">
        <v>4833</v>
      </c>
      <c r="EY602" s="67">
        <v>5946.75</v>
      </c>
      <c r="EZ602" s="67" t="s">
        <v>4834</v>
      </c>
      <c r="FA602" s="67">
        <v>21371.5</v>
      </c>
      <c r="FB602" s="67" t="s">
        <v>4835</v>
      </c>
      <c r="FC602" s="67" t="s">
        <v>4836</v>
      </c>
      <c r="FD602" s="67" t="s">
        <v>4837</v>
      </c>
      <c r="FE602" s="68" t="s">
        <v>4838</v>
      </c>
      <c r="FF602" s="68" t="s">
        <v>4839</v>
      </c>
    </row>
    <row r="603" spans="151:162" x14ac:dyDescent="0.2">
      <c r="EU603" s="67">
        <v>593.74</v>
      </c>
      <c r="EV603" s="67" t="s">
        <v>4840</v>
      </c>
      <c r="EW603" s="67">
        <v>520.76499999999999</v>
      </c>
      <c r="EX603" s="67" t="s">
        <v>4841</v>
      </c>
      <c r="EY603" s="67">
        <v>5948.25</v>
      </c>
      <c r="EZ603" s="67" t="s">
        <v>4842</v>
      </c>
      <c r="FA603" s="67">
        <v>21376.75</v>
      </c>
      <c r="FB603" s="67" t="s">
        <v>4843</v>
      </c>
      <c r="FC603" s="67" t="s">
        <v>4844</v>
      </c>
      <c r="FD603" s="67" t="s">
        <v>4845</v>
      </c>
      <c r="FE603" s="68" t="s">
        <v>4846</v>
      </c>
      <c r="FF603" s="68" t="s">
        <v>4847</v>
      </c>
    </row>
    <row r="604" spans="151:162" x14ac:dyDescent="0.2">
      <c r="EU604" s="67">
        <v>593.72</v>
      </c>
      <c r="EV604" s="67" t="s">
        <v>4848</v>
      </c>
      <c r="EW604" s="67">
        <v>520.74</v>
      </c>
      <c r="EX604" s="67" t="s">
        <v>4849</v>
      </c>
      <c r="EY604" s="67">
        <v>5948.25</v>
      </c>
      <c r="EZ604" s="67" t="s">
        <v>4850</v>
      </c>
      <c r="FA604" s="67">
        <v>21375.75</v>
      </c>
      <c r="FB604" s="67" t="s">
        <v>4851</v>
      </c>
      <c r="FC604" s="67" t="s">
        <v>4852</v>
      </c>
      <c r="FD604" s="67" t="s">
        <v>4853</v>
      </c>
      <c r="FE604" s="68" t="s">
        <v>4854</v>
      </c>
      <c r="FF604" s="68" t="s">
        <v>4855</v>
      </c>
    </row>
    <row r="605" spans="151:162" x14ac:dyDescent="0.2">
      <c r="EU605" s="67">
        <v>593.70000000000005</v>
      </c>
      <c r="EV605" s="67" t="s">
        <v>4856</v>
      </c>
      <c r="EW605" s="67">
        <v>520.66999999999996</v>
      </c>
      <c r="EX605" s="67" t="s">
        <v>4857</v>
      </c>
      <c r="EY605" s="67">
        <v>5948</v>
      </c>
      <c r="EZ605" s="67" t="s">
        <v>4858</v>
      </c>
      <c r="FA605" s="67">
        <v>21374.25</v>
      </c>
      <c r="FB605" s="67" t="s">
        <v>4859</v>
      </c>
      <c r="FC605" s="67" t="s">
        <v>4860</v>
      </c>
      <c r="FD605" s="67" t="s">
        <v>4861</v>
      </c>
      <c r="FE605" s="68" t="s">
        <v>4862</v>
      </c>
      <c r="FF605" s="68" t="s">
        <v>4863</v>
      </c>
    </row>
    <row r="606" spans="151:162" x14ac:dyDescent="0.2">
      <c r="EU606" s="67">
        <v>593.61</v>
      </c>
      <c r="EV606" s="67" t="s">
        <v>4864</v>
      </c>
      <c r="EW606" s="67">
        <v>520.62</v>
      </c>
      <c r="EX606" s="67" t="s">
        <v>4865</v>
      </c>
      <c r="EY606" s="67">
        <v>5947</v>
      </c>
      <c r="EZ606" s="67" t="s">
        <v>4866</v>
      </c>
      <c r="FA606" s="67">
        <v>21371.25</v>
      </c>
      <c r="FB606" s="67" t="s">
        <v>4867</v>
      </c>
      <c r="FC606" s="67" t="s">
        <v>4868</v>
      </c>
      <c r="FD606" s="67" t="s">
        <v>4869</v>
      </c>
      <c r="FE606" s="68" t="s">
        <v>4870</v>
      </c>
      <c r="FF606" s="68" t="s">
        <v>4871</v>
      </c>
    </row>
    <row r="607" spans="151:162" x14ac:dyDescent="0.2">
      <c r="EU607" s="67">
        <v>593.66</v>
      </c>
      <c r="EV607" s="67" t="s">
        <v>4872</v>
      </c>
      <c r="EW607" s="67">
        <v>520.64</v>
      </c>
      <c r="EX607" s="67" t="s">
        <v>4873</v>
      </c>
      <c r="EY607" s="67">
        <v>5947.25</v>
      </c>
      <c r="EZ607" s="67" t="s">
        <v>4874</v>
      </c>
      <c r="FA607" s="67">
        <v>21372</v>
      </c>
      <c r="FB607" s="67" t="s">
        <v>4875</v>
      </c>
      <c r="FC607" s="67" t="s">
        <v>4876</v>
      </c>
      <c r="FD607" s="67" t="s">
        <v>4877</v>
      </c>
      <c r="FE607" s="68" t="s">
        <v>4878</v>
      </c>
      <c r="FF607" s="68" t="s">
        <v>4879</v>
      </c>
    </row>
    <row r="608" spans="151:162" x14ac:dyDescent="0.2">
      <c r="EU608" s="67">
        <v>593.47500000000002</v>
      </c>
      <c r="EV608" s="67" t="s">
        <v>4880</v>
      </c>
      <c r="EW608" s="67">
        <v>520.44000000000005</v>
      </c>
      <c r="EX608" s="67" t="s">
        <v>4881</v>
      </c>
      <c r="EY608" s="67">
        <v>5945.5</v>
      </c>
      <c r="EZ608" s="67" t="s">
        <v>4882</v>
      </c>
      <c r="FA608" s="67">
        <v>21363.75</v>
      </c>
      <c r="FB608" s="67" t="s">
        <v>4883</v>
      </c>
      <c r="FC608" s="67" t="s">
        <v>4884</v>
      </c>
      <c r="FD608" s="67" t="s">
        <v>4885</v>
      </c>
      <c r="FE608" s="68" t="s">
        <v>4886</v>
      </c>
      <c r="FF608" s="68" t="s">
        <v>4887</v>
      </c>
    </row>
    <row r="609" spans="151:162" x14ac:dyDescent="0.2">
      <c r="EU609" s="67">
        <v>593.37</v>
      </c>
      <c r="EV609" s="67" t="s">
        <v>4888</v>
      </c>
      <c r="EW609" s="67">
        <v>520.36</v>
      </c>
      <c r="EX609" s="67" t="s">
        <v>4889</v>
      </c>
      <c r="EY609" s="67">
        <v>5944.5</v>
      </c>
      <c r="EZ609" s="67" t="s">
        <v>4890</v>
      </c>
      <c r="FA609" s="67">
        <v>21360.5</v>
      </c>
      <c r="FB609" s="67" t="s">
        <v>4891</v>
      </c>
      <c r="FC609" s="67" t="s">
        <v>4892</v>
      </c>
      <c r="FD609" s="67" t="s">
        <v>4893</v>
      </c>
      <c r="FE609" s="68" t="s">
        <v>4894</v>
      </c>
      <c r="FF609" s="68" t="s">
        <v>4895</v>
      </c>
    </row>
    <row r="610" spans="151:162" x14ac:dyDescent="0.2">
      <c r="EU610" s="67">
        <v>593.33500000000004</v>
      </c>
      <c r="EV610" s="67" t="s">
        <v>4896</v>
      </c>
      <c r="EW610" s="67">
        <v>520.34</v>
      </c>
      <c r="EX610" s="67" t="s">
        <v>4897</v>
      </c>
      <c r="EY610" s="67">
        <v>5944.5</v>
      </c>
      <c r="EZ610" s="67" t="s">
        <v>4898</v>
      </c>
      <c r="FA610" s="67">
        <v>21360</v>
      </c>
      <c r="FB610" s="67" t="s">
        <v>4899</v>
      </c>
      <c r="FC610" s="67" t="s">
        <v>4900</v>
      </c>
      <c r="FD610" s="67" t="s">
        <v>4901</v>
      </c>
      <c r="FE610" s="68" t="s">
        <v>4902</v>
      </c>
      <c r="FF610" s="68" t="s">
        <v>4903</v>
      </c>
    </row>
    <row r="611" spans="151:162" x14ac:dyDescent="0.2">
      <c r="EU611" s="67">
        <v>593.4</v>
      </c>
      <c r="EV611" s="67" t="s">
        <v>4904</v>
      </c>
      <c r="EW611" s="67">
        <v>520.41</v>
      </c>
      <c r="EX611" s="67" t="s">
        <v>4905</v>
      </c>
      <c r="EY611" s="67">
        <v>5945</v>
      </c>
      <c r="EZ611" s="67" t="s">
        <v>4906</v>
      </c>
      <c r="FA611" s="67">
        <v>21362.75</v>
      </c>
      <c r="FB611" s="67" t="s">
        <v>4907</v>
      </c>
      <c r="FC611" s="67" t="s">
        <v>4908</v>
      </c>
      <c r="FD611" s="67" t="s">
        <v>4909</v>
      </c>
      <c r="FE611" s="68" t="s">
        <v>4910</v>
      </c>
      <c r="FF611" s="68" t="s">
        <v>4911</v>
      </c>
    </row>
    <row r="612" spans="151:162" x14ac:dyDescent="0.2">
      <c r="EU612" s="67">
        <v>593.28</v>
      </c>
      <c r="EV612" s="67" t="s">
        <v>4912</v>
      </c>
      <c r="EW612" s="67">
        <v>520.34</v>
      </c>
      <c r="EX612" s="67" t="s">
        <v>4913</v>
      </c>
      <c r="EY612" s="67">
        <v>5944</v>
      </c>
      <c r="EZ612" s="67" t="s">
        <v>4914</v>
      </c>
      <c r="FA612" s="67">
        <v>21359</v>
      </c>
      <c r="FB612" s="67" t="s">
        <v>4915</v>
      </c>
      <c r="FC612" s="67" t="s">
        <v>4916</v>
      </c>
      <c r="FD612" s="67" t="s">
        <v>4917</v>
      </c>
      <c r="FE612" s="68" t="s">
        <v>4918</v>
      </c>
      <c r="FF612" s="68" t="s">
        <v>4919</v>
      </c>
    </row>
    <row r="613" spans="151:162" x14ac:dyDescent="0.2">
      <c r="EU613" s="67">
        <v>593.33000000000004</v>
      </c>
      <c r="EV613" s="67" t="s">
        <v>4920</v>
      </c>
      <c r="EW613" s="67">
        <v>520.35</v>
      </c>
      <c r="EX613" s="67" t="s">
        <v>4921</v>
      </c>
      <c r="EY613" s="67">
        <v>5944.25</v>
      </c>
      <c r="EZ613" s="67" t="s">
        <v>4922</v>
      </c>
      <c r="FA613" s="67">
        <v>21360</v>
      </c>
      <c r="FB613" s="67" t="s">
        <v>4923</v>
      </c>
      <c r="FC613" s="67" t="s">
        <v>4924</v>
      </c>
      <c r="FD613" s="67" t="s">
        <v>4925</v>
      </c>
      <c r="FE613" s="68" t="s">
        <v>4926</v>
      </c>
      <c r="FF613" s="68" t="s">
        <v>4927</v>
      </c>
    </row>
    <row r="614" spans="151:162" x14ac:dyDescent="0.2">
      <c r="EU614" s="67">
        <v>593.44000000000005</v>
      </c>
      <c r="EV614" s="67" t="s">
        <v>4928</v>
      </c>
      <c r="EW614" s="67">
        <v>520.44000000000005</v>
      </c>
      <c r="EX614" s="67" t="s">
        <v>4929</v>
      </c>
      <c r="EY614" s="67">
        <v>5945.5</v>
      </c>
      <c r="EZ614" s="67" t="s">
        <v>4930</v>
      </c>
      <c r="FA614" s="67">
        <v>21364.75</v>
      </c>
      <c r="FB614" s="67" t="s">
        <v>4931</v>
      </c>
      <c r="FC614" s="67" t="s">
        <v>4932</v>
      </c>
      <c r="FD614" s="67" t="s">
        <v>4933</v>
      </c>
      <c r="FE614" s="68" t="s">
        <v>4934</v>
      </c>
      <c r="FF614" s="68" t="s">
        <v>4935</v>
      </c>
    </row>
    <row r="615" spans="151:162" x14ac:dyDescent="0.2">
      <c r="EU615" s="67">
        <v>593.58900000000006</v>
      </c>
      <c r="EV615" s="67" t="s">
        <v>4936</v>
      </c>
      <c r="EW615" s="67">
        <v>520.53</v>
      </c>
      <c r="EX615" s="67" t="s">
        <v>4937</v>
      </c>
      <c r="EY615" s="67">
        <v>5946.75</v>
      </c>
      <c r="EZ615" s="67" t="s">
        <v>4938</v>
      </c>
      <c r="FA615" s="67">
        <v>21367.25</v>
      </c>
      <c r="FB615" s="67" t="s">
        <v>4939</v>
      </c>
      <c r="FC615" s="67" t="s">
        <v>4940</v>
      </c>
      <c r="FD615" s="67" t="s">
        <v>4941</v>
      </c>
      <c r="FE615" s="68" t="s">
        <v>4942</v>
      </c>
      <c r="FF615" s="68" t="s">
        <v>4943</v>
      </c>
    </row>
    <row r="616" spans="151:162" x14ac:dyDescent="0.2">
      <c r="EU616" s="67">
        <v>593.66</v>
      </c>
      <c r="EV616" s="67" t="s">
        <v>4944</v>
      </c>
      <c r="EW616" s="67">
        <v>520.62</v>
      </c>
      <c r="EX616" s="67" t="s">
        <v>4945</v>
      </c>
      <c r="EY616" s="67">
        <v>5947.5</v>
      </c>
      <c r="EZ616" s="67" t="s">
        <v>4946</v>
      </c>
      <c r="FA616" s="67">
        <v>21371.5</v>
      </c>
      <c r="FB616" s="67" t="s">
        <v>4947</v>
      </c>
      <c r="FC616" s="67" t="s">
        <v>4948</v>
      </c>
      <c r="FD616" s="67" t="s">
        <v>4949</v>
      </c>
      <c r="FE616" s="68" t="s">
        <v>4950</v>
      </c>
      <c r="FF616" s="68" t="s">
        <v>4951</v>
      </c>
    </row>
    <row r="617" spans="151:162" x14ac:dyDescent="0.2">
      <c r="EU617" s="67">
        <v>593.52</v>
      </c>
      <c r="EV617" s="67" t="s">
        <v>4952</v>
      </c>
      <c r="EW617" s="67">
        <v>520.51499999999999</v>
      </c>
      <c r="EX617" s="67" t="s">
        <v>4953</v>
      </c>
      <c r="EY617" s="67">
        <v>5946.25</v>
      </c>
      <c r="EZ617" s="67" t="s">
        <v>4954</v>
      </c>
      <c r="FA617" s="67">
        <v>21367.25</v>
      </c>
      <c r="FB617" s="67" t="s">
        <v>4955</v>
      </c>
      <c r="FC617" s="67" t="s">
        <v>4956</v>
      </c>
      <c r="FD617" s="67" t="s">
        <v>4957</v>
      </c>
      <c r="FE617" s="68" t="s">
        <v>4958</v>
      </c>
      <c r="FF617" s="68" t="s">
        <v>4959</v>
      </c>
    </row>
    <row r="618" spans="151:162" x14ac:dyDescent="0.2">
      <c r="EU618" s="67">
        <v>593.45000000000005</v>
      </c>
      <c r="EV618" s="67" t="s">
        <v>4960</v>
      </c>
      <c r="EW618" s="67">
        <v>520.45000000000005</v>
      </c>
      <c r="EX618" s="67" t="s">
        <v>4961</v>
      </c>
      <c r="EY618" s="67">
        <v>5945.5</v>
      </c>
      <c r="EZ618" s="67" t="s">
        <v>4962</v>
      </c>
      <c r="FA618" s="67">
        <v>21363.25</v>
      </c>
      <c r="FB618" s="67" t="s">
        <v>4963</v>
      </c>
      <c r="FC618" s="67" t="s">
        <v>4964</v>
      </c>
      <c r="FD618" s="67" t="s">
        <v>4965</v>
      </c>
      <c r="FE618" s="68" t="s">
        <v>4966</v>
      </c>
      <c r="FF618" s="68" t="s">
        <v>4967</v>
      </c>
    </row>
    <row r="619" spans="151:162" x14ac:dyDescent="0.2">
      <c r="EU619" s="67">
        <v>593.36</v>
      </c>
      <c r="EV619" s="67" t="s">
        <v>4968</v>
      </c>
      <c r="EW619" s="67">
        <v>520.33100000000002</v>
      </c>
      <c r="EX619" s="67" t="s">
        <v>4969</v>
      </c>
      <c r="EY619" s="67">
        <v>5944.5</v>
      </c>
      <c r="EZ619" s="67" t="s">
        <v>4970</v>
      </c>
      <c r="FA619" s="67">
        <v>21359.25</v>
      </c>
      <c r="FB619" s="67" t="s">
        <v>4971</v>
      </c>
      <c r="FC619" s="67" t="s">
        <v>4972</v>
      </c>
      <c r="FD619" s="67" t="s">
        <v>4973</v>
      </c>
      <c r="FE619" s="68" t="s">
        <v>4974</v>
      </c>
      <c r="FF619" s="68" t="s">
        <v>4975</v>
      </c>
    </row>
    <row r="620" spans="151:162" x14ac:dyDescent="0.2">
      <c r="EU620" s="67">
        <v>593.45000000000005</v>
      </c>
      <c r="EV620" s="67" t="s">
        <v>4976</v>
      </c>
      <c r="EW620" s="67">
        <v>520.38</v>
      </c>
      <c r="EX620" s="67" t="s">
        <v>4977</v>
      </c>
      <c r="EY620" s="67">
        <v>5945.5</v>
      </c>
      <c r="EZ620" s="67" t="s">
        <v>4978</v>
      </c>
      <c r="FA620" s="67">
        <v>21361.75</v>
      </c>
      <c r="FB620" s="67" t="s">
        <v>4979</v>
      </c>
      <c r="FC620" s="67" t="s">
        <v>4980</v>
      </c>
      <c r="FD620" s="67" t="s">
        <v>4981</v>
      </c>
      <c r="FE620" s="68" t="s">
        <v>4982</v>
      </c>
      <c r="FF620" s="68" t="s">
        <v>4983</v>
      </c>
    </row>
    <row r="621" spans="151:162" x14ac:dyDescent="0.2">
      <c r="EU621" s="67">
        <v>593.1</v>
      </c>
      <c r="EV621" s="67" t="s">
        <v>4984</v>
      </c>
      <c r="EW621" s="67">
        <v>519.98</v>
      </c>
      <c r="EX621" s="67" t="s">
        <v>4985</v>
      </c>
      <c r="EY621" s="67">
        <v>5941.75</v>
      </c>
      <c r="EZ621" s="67" t="s">
        <v>4986</v>
      </c>
      <c r="FA621" s="67">
        <v>21344.25</v>
      </c>
      <c r="FB621" s="67" t="s">
        <v>4987</v>
      </c>
      <c r="FC621" s="67" t="s">
        <v>4988</v>
      </c>
      <c r="FD621" s="67" t="s">
        <v>4989</v>
      </c>
      <c r="FE621" s="68" t="s">
        <v>4990</v>
      </c>
      <c r="FF621" s="68" t="s">
        <v>4991</v>
      </c>
    </row>
    <row r="622" spans="151:162" x14ac:dyDescent="0.2">
      <c r="EU622" s="67">
        <v>592.92100000000005</v>
      </c>
      <c r="EV622" s="67" t="s">
        <v>4992</v>
      </c>
      <c r="EW622" s="67">
        <v>519.79999999999995</v>
      </c>
      <c r="EX622" s="67" t="s">
        <v>4993</v>
      </c>
      <c r="EY622" s="67">
        <v>5940.25</v>
      </c>
      <c r="EZ622" s="67" t="s">
        <v>4994</v>
      </c>
      <c r="FA622" s="67">
        <v>21338</v>
      </c>
      <c r="FB622" s="67" t="s">
        <v>4995</v>
      </c>
      <c r="FC622" s="67" t="s">
        <v>4996</v>
      </c>
      <c r="FD622" s="67" t="s">
        <v>4997</v>
      </c>
      <c r="FE622" s="68" t="s">
        <v>4998</v>
      </c>
      <c r="FF622" s="68" t="s">
        <v>4999</v>
      </c>
    </row>
    <row r="623" spans="151:162" x14ac:dyDescent="0.2">
      <c r="EU623" s="67">
        <v>593</v>
      </c>
      <c r="EV623" s="67" t="s">
        <v>5000</v>
      </c>
      <c r="EW623" s="67">
        <v>519.80999999999995</v>
      </c>
      <c r="EX623" s="67" t="s">
        <v>5001</v>
      </c>
      <c r="EY623" s="67">
        <v>5940.75</v>
      </c>
      <c r="EZ623" s="67" t="s">
        <v>5002</v>
      </c>
      <c r="FA623" s="67">
        <v>21337.5</v>
      </c>
      <c r="FB623" s="67" t="s">
        <v>5003</v>
      </c>
      <c r="FC623" s="67" t="s">
        <v>5004</v>
      </c>
      <c r="FD623" s="67" t="s">
        <v>5005</v>
      </c>
      <c r="FE623" s="68" t="s">
        <v>5006</v>
      </c>
      <c r="FF623" s="68" t="s">
        <v>5007</v>
      </c>
    </row>
    <row r="624" spans="151:162" x14ac:dyDescent="0.2">
      <c r="EU624" s="67">
        <v>592.94000000000005</v>
      </c>
      <c r="EV624" s="67" t="s">
        <v>5008</v>
      </c>
      <c r="EW624" s="67">
        <v>519.79999999999995</v>
      </c>
      <c r="EX624" s="67" t="s">
        <v>5009</v>
      </c>
      <c r="EY624" s="67">
        <v>5940.25</v>
      </c>
      <c r="EZ624" s="67" t="s">
        <v>5010</v>
      </c>
      <c r="FA624" s="67">
        <v>21337.5</v>
      </c>
      <c r="FB624" s="67" t="s">
        <v>5011</v>
      </c>
      <c r="FC624" s="67" t="s">
        <v>5012</v>
      </c>
      <c r="FD624" s="67" t="s">
        <v>5013</v>
      </c>
      <c r="FE624" s="68" t="s">
        <v>5014</v>
      </c>
      <c r="FF624" s="68" t="s">
        <v>5015</v>
      </c>
    </row>
    <row r="625" spans="151:162" x14ac:dyDescent="0.2">
      <c r="EU625" s="67">
        <v>593.06500000000005</v>
      </c>
      <c r="EV625" s="67" t="s">
        <v>5016</v>
      </c>
      <c r="EW625" s="67">
        <v>519.92999999999995</v>
      </c>
      <c r="EX625" s="67" t="s">
        <v>5017</v>
      </c>
      <c r="EY625" s="67">
        <v>5941.75</v>
      </c>
      <c r="EZ625" s="67" t="s">
        <v>5018</v>
      </c>
      <c r="FA625" s="67">
        <v>21343</v>
      </c>
      <c r="FB625" s="67" t="s">
        <v>5019</v>
      </c>
      <c r="FC625" s="67" t="s">
        <v>5020</v>
      </c>
      <c r="FD625" s="67" t="s">
        <v>5021</v>
      </c>
      <c r="FE625" s="68" t="s">
        <v>5022</v>
      </c>
      <c r="FF625" s="68" t="s">
        <v>5023</v>
      </c>
    </row>
    <row r="626" spans="151:162" x14ac:dyDescent="0.2">
      <c r="EU626" s="67">
        <v>592.91</v>
      </c>
      <c r="EV626" s="67" t="s">
        <v>5024</v>
      </c>
      <c r="EW626" s="67">
        <v>519.67999999999995</v>
      </c>
      <c r="EX626" s="67" t="s">
        <v>5025</v>
      </c>
      <c r="EY626" s="67">
        <v>5940</v>
      </c>
      <c r="EZ626" s="67" t="s">
        <v>5026</v>
      </c>
      <c r="FA626" s="67">
        <v>21332.25</v>
      </c>
      <c r="FB626" s="67" t="s">
        <v>5027</v>
      </c>
      <c r="FC626" s="67" t="s">
        <v>5028</v>
      </c>
      <c r="FD626" s="67" t="s">
        <v>5029</v>
      </c>
      <c r="FE626" s="68" t="s">
        <v>5030</v>
      </c>
      <c r="FF626" s="68" t="s">
        <v>5031</v>
      </c>
    </row>
    <row r="627" spans="151:162" x14ac:dyDescent="0.2">
      <c r="EU627" s="67">
        <v>593.03</v>
      </c>
      <c r="EV627" s="67" t="s">
        <v>5032</v>
      </c>
      <c r="EW627" s="67">
        <v>519.82000000000005</v>
      </c>
      <c r="EX627" s="67" t="s">
        <v>5033</v>
      </c>
      <c r="EY627" s="67">
        <v>5941.25</v>
      </c>
      <c r="EZ627" s="67" t="s">
        <v>5034</v>
      </c>
      <c r="FA627" s="67">
        <v>21338.75</v>
      </c>
      <c r="FB627" s="67" t="s">
        <v>5035</v>
      </c>
      <c r="FC627" s="67" t="s">
        <v>5036</v>
      </c>
      <c r="FD627" s="67" t="s">
        <v>5037</v>
      </c>
      <c r="FE627" s="68" t="s">
        <v>5038</v>
      </c>
      <c r="FF627" s="68" t="s">
        <v>5039</v>
      </c>
    </row>
    <row r="628" spans="151:162" x14ac:dyDescent="0.2">
      <c r="EU628" s="67">
        <v>592.99</v>
      </c>
      <c r="EV628" s="67" t="s">
        <v>5040</v>
      </c>
      <c r="EW628" s="67">
        <v>519.79999999999995</v>
      </c>
      <c r="EX628" s="67" t="s">
        <v>5041</v>
      </c>
      <c r="EY628" s="67">
        <v>5940.75</v>
      </c>
      <c r="EZ628" s="67" t="s">
        <v>5042</v>
      </c>
      <c r="FA628" s="67">
        <v>21337</v>
      </c>
      <c r="FB628" s="67" t="s">
        <v>5043</v>
      </c>
      <c r="FC628" s="67" t="s">
        <v>5044</v>
      </c>
      <c r="FD628" s="67" t="s">
        <v>5045</v>
      </c>
      <c r="FE628" s="68" t="s">
        <v>5046</v>
      </c>
      <c r="FF628" s="68" t="s">
        <v>5047</v>
      </c>
    </row>
    <row r="629" spans="151:162" x14ac:dyDescent="0.2">
      <c r="EU629" s="67">
        <v>592.98</v>
      </c>
      <c r="EV629" s="67" t="s">
        <v>5048</v>
      </c>
      <c r="EW629" s="67">
        <v>519.84</v>
      </c>
      <c r="EX629" s="67" t="s">
        <v>5049</v>
      </c>
      <c r="EY629" s="67">
        <v>5940.5</v>
      </c>
      <c r="EZ629" s="67" t="s">
        <v>5050</v>
      </c>
      <c r="FA629" s="67">
        <v>21339.25</v>
      </c>
      <c r="FB629" s="67" t="s">
        <v>5051</v>
      </c>
      <c r="FC629" s="67" t="s">
        <v>5052</v>
      </c>
      <c r="FD629" s="67" t="s">
        <v>5053</v>
      </c>
      <c r="FE629" s="68" t="s">
        <v>5054</v>
      </c>
      <c r="FF629" s="68" t="s">
        <v>5055</v>
      </c>
    </row>
    <row r="630" spans="151:162" x14ac:dyDescent="0.2">
      <c r="EU630" s="67">
        <v>593.14</v>
      </c>
      <c r="EV630" s="67" t="s">
        <v>5056</v>
      </c>
      <c r="EW630" s="67">
        <v>520.09</v>
      </c>
      <c r="EX630" s="67" t="s">
        <v>5057</v>
      </c>
      <c r="EY630" s="67">
        <v>5942.25</v>
      </c>
      <c r="EZ630" s="67" t="s">
        <v>5058</v>
      </c>
      <c r="FA630" s="67">
        <v>21349</v>
      </c>
      <c r="FB630" s="67" t="s">
        <v>5059</v>
      </c>
      <c r="FC630" s="67" t="s">
        <v>5060</v>
      </c>
      <c r="FD630" s="67" t="s">
        <v>5061</v>
      </c>
      <c r="FE630" s="68" t="s">
        <v>5062</v>
      </c>
      <c r="FF630" s="68" t="s">
        <v>5063</v>
      </c>
    </row>
    <row r="631" spans="151:162" x14ac:dyDescent="0.2">
      <c r="EU631" s="67">
        <v>593.04999999999995</v>
      </c>
      <c r="EV631" s="67" t="s">
        <v>5064</v>
      </c>
      <c r="EW631" s="67">
        <v>519.91999999999996</v>
      </c>
      <c r="EX631" s="67" t="s">
        <v>5065</v>
      </c>
      <c r="EY631" s="67">
        <v>5941.5</v>
      </c>
      <c r="EZ631" s="67" t="s">
        <v>5066</v>
      </c>
      <c r="FA631" s="67">
        <v>21343.5</v>
      </c>
      <c r="FB631" s="67" t="s">
        <v>5067</v>
      </c>
      <c r="FC631" s="67" t="s">
        <v>5068</v>
      </c>
      <c r="FD631" s="67" t="s">
        <v>5069</v>
      </c>
      <c r="FE631" s="68" t="s">
        <v>5070</v>
      </c>
      <c r="FF631" s="68" t="s">
        <v>5071</v>
      </c>
    </row>
    <row r="632" spans="151:162" x14ac:dyDescent="0.2">
      <c r="EU632" s="67">
        <v>593.04999999999995</v>
      </c>
      <c r="EV632" s="67" t="s">
        <v>5072</v>
      </c>
      <c r="EW632" s="67">
        <v>519.94500000000005</v>
      </c>
      <c r="EX632" s="67" t="s">
        <v>5073</v>
      </c>
      <c r="EY632" s="67">
        <v>5941.5</v>
      </c>
      <c r="EZ632" s="67" t="s">
        <v>5074</v>
      </c>
      <c r="FA632" s="67">
        <v>21343</v>
      </c>
      <c r="FB632" s="67" t="s">
        <v>5075</v>
      </c>
      <c r="FC632" s="67" t="s">
        <v>5076</v>
      </c>
      <c r="FD632" s="67" t="s">
        <v>5077</v>
      </c>
      <c r="FE632" s="68" t="s">
        <v>5078</v>
      </c>
      <c r="FF632" s="68" t="s">
        <v>5079</v>
      </c>
    </row>
    <row r="633" spans="151:162" x14ac:dyDescent="0.2">
      <c r="EU633" s="67">
        <v>592.95000000000005</v>
      </c>
      <c r="EV633" s="67" t="s">
        <v>5080</v>
      </c>
      <c r="EW633" s="67">
        <v>519.87</v>
      </c>
      <c r="EX633" s="67" t="s">
        <v>5081</v>
      </c>
      <c r="EY633" s="67">
        <v>5940.5</v>
      </c>
      <c r="EZ633" s="67" t="s">
        <v>5082</v>
      </c>
      <c r="FA633" s="67">
        <v>21340</v>
      </c>
      <c r="FB633" s="67" t="s">
        <v>5083</v>
      </c>
      <c r="FC633" s="67" t="s">
        <v>5084</v>
      </c>
      <c r="FD633" s="67" t="s">
        <v>5085</v>
      </c>
      <c r="FE633" s="68" t="s">
        <v>5086</v>
      </c>
      <c r="FF633" s="68" t="s">
        <v>5087</v>
      </c>
    </row>
    <row r="634" spans="151:162" x14ac:dyDescent="0.2">
      <c r="EU634" s="67">
        <v>592.92999999999995</v>
      </c>
      <c r="EV634" s="67" t="s">
        <v>5088</v>
      </c>
      <c r="EW634" s="67">
        <v>519.80999999999995</v>
      </c>
      <c r="EX634" s="67" t="s">
        <v>5089</v>
      </c>
      <c r="EY634" s="67">
        <v>5940</v>
      </c>
      <c r="EZ634" s="67" t="s">
        <v>5090</v>
      </c>
      <c r="FA634" s="67">
        <v>21338.5</v>
      </c>
      <c r="FB634" s="67" t="s">
        <v>5091</v>
      </c>
      <c r="FC634" s="67" t="s">
        <v>5092</v>
      </c>
      <c r="FD634" s="67" t="s">
        <v>5093</v>
      </c>
      <c r="FE634" s="68" t="s">
        <v>5094</v>
      </c>
      <c r="FF634" s="68" t="s">
        <v>5095</v>
      </c>
    </row>
    <row r="635" spans="151:162" x14ac:dyDescent="0.2">
      <c r="EU635" s="67">
        <v>593.02</v>
      </c>
      <c r="EV635" s="67" t="s">
        <v>5096</v>
      </c>
      <c r="EW635" s="67">
        <v>519.92999999999995</v>
      </c>
      <c r="EX635" s="67" t="s">
        <v>5097</v>
      </c>
      <c r="EY635" s="67">
        <v>5941.25</v>
      </c>
      <c r="EZ635" s="67" t="s">
        <v>5098</v>
      </c>
      <c r="FA635" s="67">
        <v>21343.25</v>
      </c>
      <c r="FB635" s="67" t="s">
        <v>5099</v>
      </c>
      <c r="FC635" s="67" t="s">
        <v>5100</v>
      </c>
      <c r="FD635" s="67" t="s">
        <v>5101</v>
      </c>
      <c r="FE635" s="68" t="s">
        <v>5102</v>
      </c>
      <c r="FF635" s="68" t="s">
        <v>5103</v>
      </c>
    </row>
    <row r="636" spans="151:162" x14ac:dyDescent="0.2">
      <c r="EU636" s="67">
        <v>592.91999999999996</v>
      </c>
      <c r="EV636" s="67" t="s">
        <v>5104</v>
      </c>
      <c r="EW636" s="67">
        <v>519.85</v>
      </c>
      <c r="EX636" s="67" t="s">
        <v>5105</v>
      </c>
      <c r="EY636" s="67">
        <v>5940</v>
      </c>
      <c r="EZ636" s="67" t="s">
        <v>5106</v>
      </c>
      <c r="FA636" s="67">
        <v>21339</v>
      </c>
      <c r="FB636" s="67" t="s">
        <v>5107</v>
      </c>
      <c r="FC636" s="67" t="s">
        <v>5108</v>
      </c>
      <c r="FD636" s="67" t="s">
        <v>5109</v>
      </c>
      <c r="FE636" s="68" t="s">
        <v>5110</v>
      </c>
      <c r="FF636" s="68" t="s">
        <v>5111</v>
      </c>
    </row>
    <row r="637" spans="151:162" x14ac:dyDescent="0.2">
      <c r="EU637" s="67">
        <v>592.99</v>
      </c>
      <c r="EV637" s="67" t="s">
        <v>5112</v>
      </c>
      <c r="EW637" s="67">
        <v>519.98</v>
      </c>
      <c r="EX637" s="67" t="s">
        <v>5113</v>
      </c>
      <c r="EY637" s="67">
        <v>5941</v>
      </c>
      <c r="EZ637" s="67" t="s">
        <v>5114</v>
      </c>
      <c r="FA637" s="67">
        <v>21342.5</v>
      </c>
      <c r="FB637" s="67" t="s">
        <v>5115</v>
      </c>
      <c r="FC637" s="67" t="s">
        <v>5116</v>
      </c>
      <c r="FD637" s="67" t="s">
        <v>5117</v>
      </c>
      <c r="FE637" s="68" t="s">
        <v>5118</v>
      </c>
      <c r="FF637" s="68" t="s">
        <v>5119</v>
      </c>
    </row>
    <row r="638" spans="151:162" x14ac:dyDescent="0.2">
      <c r="EU638" s="67">
        <v>592.5</v>
      </c>
      <c r="EV638" s="67" t="s">
        <v>5120</v>
      </c>
      <c r="EW638" s="67">
        <v>519.39</v>
      </c>
      <c r="EX638" s="67" t="s">
        <v>5121</v>
      </c>
      <c r="EY638" s="67">
        <v>5936</v>
      </c>
      <c r="EZ638" s="67" t="s">
        <v>5122</v>
      </c>
      <c r="FA638" s="67">
        <v>21320.75</v>
      </c>
      <c r="FB638" s="67" t="s">
        <v>5123</v>
      </c>
      <c r="FC638" s="67" t="s">
        <v>5124</v>
      </c>
      <c r="FD638" s="67" t="s">
        <v>5125</v>
      </c>
      <c r="FE638" s="68" t="s">
        <v>5126</v>
      </c>
      <c r="FF638" s="68" t="s">
        <v>5127</v>
      </c>
    </row>
    <row r="639" spans="151:162" x14ac:dyDescent="0.2">
      <c r="EU639" s="67">
        <v>592.82000000000005</v>
      </c>
      <c r="EV639" s="67" t="s">
        <v>5128</v>
      </c>
      <c r="EW639" s="67">
        <v>519.72</v>
      </c>
      <c r="EX639" s="67" t="s">
        <v>5129</v>
      </c>
      <c r="EY639" s="67">
        <v>5939</v>
      </c>
      <c r="EZ639" s="67" t="s">
        <v>5130</v>
      </c>
      <c r="FA639" s="67">
        <v>21335</v>
      </c>
      <c r="FB639" s="67" t="s">
        <v>5131</v>
      </c>
      <c r="FC639" s="67" t="s">
        <v>5132</v>
      </c>
      <c r="FD639" s="67" t="s">
        <v>5133</v>
      </c>
      <c r="FE639" s="68" t="s">
        <v>5134</v>
      </c>
      <c r="FF639" s="68" t="s">
        <v>5135</v>
      </c>
    </row>
    <row r="640" spans="151:162" x14ac:dyDescent="0.2">
      <c r="EU640" s="67">
        <v>592.755</v>
      </c>
      <c r="EV640" s="67" t="s">
        <v>5136</v>
      </c>
      <c r="EW640" s="67">
        <v>519.71</v>
      </c>
      <c r="EX640" s="67" t="s">
        <v>5137</v>
      </c>
      <c r="EY640" s="67">
        <v>5938.5</v>
      </c>
      <c r="EZ640" s="67" t="s">
        <v>5138</v>
      </c>
      <c r="FA640" s="67">
        <v>21333.75</v>
      </c>
      <c r="FB640" s="67" t="s">
        <v>5139</v>
      </c>
      <c r="FC640" s="67" t="s">
        <v>5140</v>
      </c>
      <c r="FD640" s="67" t="s">
        <v>5141</v>
      </c>
      <c r="FE640" s="68" t="s">
        <v>5142</v>
      </c>
      <c r="FF640" s="68" t="s">
        <v>5143</v>
      </c>
    </row>
    <row r="641" spans="151:162" x14ac:dyDescent="0.2">
      <c r="EU641" s="67">
        <v>592.87</v>
      </c>
      <c r="EV641" s="67" t="s">
        <v>5144</v>
      </c>
      <c r="EW641" s="67">
        <v>519.79999999999995</v>
      </c>
      <c r="EX641" s="67" t="s">
        <v>5145</v>
      </c>
      <c r="EY641" s="67">
        <v>5939.75</v>
      </c>
      <c r="EZ641" s="67" t="s">
        <v>5146</v>
      </c>
      <c r="FA641" s="67">
        <v>21337.75</v>
      </c>
      <c r="FB641" s="67" t="s">
        <v>5147</v>
      </c>
      <c r="FC641" s="67" t="s">
        <v>5148</v>
      </c>
      <c r="FD641" s="67" t="s">
        <v>5149</v>
      </c>
      <c r="FE641" s="68" t="s">
        <v>5150</v>
      </c>
      <c r="FF641" s="68" t="s">
        <v>5151</v>
      </c>
    </row>
    <row r="642" spans="151:162" x14ac:dyDescent="0.2">
      <c r="EU642" s="67">
        <v>592.82000000000005</v>
      </c>
      <c r="EV642" s="67" t="s">
        <v>5152</v>
      </c>
      <c r="EW642" s="67">
        <v>519.79</v>
      </c>
      <c r="EX642" s="67" t="s">
        <v>5153</v>
      </c>
      <c r="EY642" s="67">
        <v>5939</v>
      </c>
      <c r="EZ642" s="67" t="s">
        <v>5154</v>
      </c>
      <c r="FA642" s="67">
        <v>21336.75</v>
      </c>
      <c r="FB642" s="67" t="s">
        <v>5155</v>
      </c>
      <c r="FC642" s="67" t="s">
        <v>5156</v>
      </c>
      <c r="FD642" s="67" t="s">
        <v>5157</v>
      </c>
      <c r="FE642" s="68" t="s">
        <v>5158</v>
      </c>
      <c r="FF642" s="68" t="s">
        <v>5159</v>
      </c>
    </row>
    <row r="643" spans="151:162" x14ac:dyDescent="0.2">
      <c r="EU643" s="67">
        <v>592.86</v>
      </c>
      <c r="EV643" s="67" t="s">
        <v>5160</v>
      </c>
      <c r="EW643" s="67">
        <v>519.83000000000004</v>
      </c>
      <c r="EX643" s="67" t="s">
        <v>5161</v>
      </c>
      <c r="EY643" s="67">
        <v>5940</v>
      </c>
      <c r="EZ643" s="67" t="s">
        <v>5162</v>
      </c>
      <c r="FA643" s="67">
        <v>21338.75</v>
      </c>
      <c r="FB643" s="67" t="s">
        <v>5163</v>
      </c>
      <c r="FC643" s="67" t="s">
        <v>5164</v>
      </c>
      <c r="FD643" s="67" t="s">
        <v>5165</v>
      </c>
      <c r="FE643" s="68" t="s">
        <v>5166</v>
      </c>
      <c r="FF643" s="68" t="s">
        <v>5167</v>
      </c>
    </row>
    <row r="644" spans="151:162" x14ac:dyDescent="0.2">
      <c r="EU644" s="67">
        <v>592.86</v>
      </c>
      <c r="EV644" s="67" t="s">
        <v>5168</v>
      </c>
      <c r="EW644" s="67">
        <v>519.77</v>
      </c>
      <c r="EX644" s="67" t="s">
        <v>5169</v>
      </c>
      <c r="EY644" s="67">
        <v>5939.5</v>
      </c>
      <c r="EZ644" s="67" t="s">
        <v>5170</v>
      </c>
      <c r="FA644" s="67">
        <v>21336.5</v>
      </c>
      <c r="FB644" s="67" t="s">
        <v>5171</v>
      </c>
      <c r="FC644" s="67" t="s">
        <v>5172</v>
      </c>
      <c r="FD644" s="67" t="s">
        <v>5173</v>
      </c>
      <c r="FE644" s="68" t="s">
        <v>5174</v>
      </c>
      <c r="FF644" s="68" t="s">
        <v>5175</v>
      </c>
    </row>
    <row r="645" spans="151:162" x14ac:dyDescent="0.2">
      <c r="EU645" s="67">
        <v>592.79999999999995</v>
      </c>
      <c r="EV645" s="67" t="s">
        <v>5176</v>
      </c>
      <c r="EW645" s="67">
        <v>519.69500000000005</v>
      </c>
      <c r="EX645" s="67" t="s">
        <v>5177</v>
      </c>
      <c r="EY645" s="67">
        <v>5938.75</v>
      </c>
      <c r="EZ645" s="67" t="s">
        <v>5178</v>
      </c>
      <c r="FA645" s="67">
        <v>21334</v>
      </c>
      <c r="FB645" s="67" t="s">
        <v>5179</v>
      </c>
      <c r="FC645" s="67" t="s">
        <v>5180</v>
      </c>
      <c r="FD645" s="67" t="s">
        <v>5181</v>
      </c>
      <c r="FE645" s="68" t="s">
        <v>5182</v>
      </c>
      <c r="FF645" s="68" t="s">
        <v>5183</v>
      </c>
    </row>
    <row r="646" spans="151:162" x14ac:dyDescent="0.2">
      <c r="EU646" s="67">
        <v>592.98</v>
      </c>
      <c r="EV646" s="67" t="s">
        <v>5184</v>
      </c>
      <c r="EW646" s="67">
        <v>519.86</v>
      </c>
      <c r="EX646" s="67" t="s">
        <v>5185</v>
      </c>
      <c r="EY646" s="67">
        <v>5940.5</v>
      </c>
      <c r="EZ646" s="67" t="s">
        <v>5186</v>
      </c>
      <c r="FA646" s="67">
        <v>21341</v>
      </c>
      <c r="FB646" s="67" t="s">
        <v>5187</v>
      </c>
      <c r="FC646" s="67" t="s">
        <v>5188</v>
      </c>
      <c r="FD646" s="67" t="s">
        <v>5189</v>
      </c>
      <c r="FE646" s="68" t="s">
        <v>5190</v>
      </c>
      <c r="FF646" s="68" t="s">
        <v>5191</v>
      </c>
    </row>
    <row r="647" spans="151:162" x14ac:dyDescent="0.2">
      <c r="EU647" s="67">
        <v>593.07000000000005</v>
      </c>
      <c r="EV647" s="67" t="s">
        <v>5192</v>
      </c>
      <c r="EW647" s="67">
        <v>519.92999999999995</v>
      </c>
      <c r="EX647" s="67" t="s">
        <v>5193</v>
      </c>
      <c r="EY647" s="67">
        <v>5941.75</v>
      </c>
      <c r="EZ647" s="67" t="s">
        <v>5194</v>
      </c>
      <c r="FA647" s="67">
        <v>21343</v>
      </c>
      <c r="FB647" s="67" t="s">
        <v>5195</v>
      </c>
      <c r="FC647" s="67" t="s">
        <v>5196</v>
      </c>
      <c r="FD647" s="67" t="s">
        <v>5197</v>
      </c>
      <c r="FE647" s="68" t="s">
        <v>5198</v>
      </c>
      <c r="FF647" s="68" t="s">
        <v>5199</v>
      </c>
    </row>
    <row r="648" spans="151:162" x14ac:dyDescent="0.2">
      <c r="EU648" s="67">
        <v>593.005</v>
      </c>
      <c r="EV648" s="67" t="s">
        <v>5200</v>
      </c>
      <c r="EW648" s="67">
        <v>519.88499999999999</v>
      </c>
      <c r="EX648" s="67" t="s">
        <v>5201</v>
      </c>
      <c r="EY648" s="67">
        <v>5940.75</v>
      </c>
      <c r="EZ648" s="67" t="s">
        <v>5202</v>
      </c>
      <c r="FA648" s="67">
        <v>21341.75</v>
      </c>
      <c r="FB648" s="67" t="s">
        <v>5203</v>
      </c>
      <c r="FC648" s="67" t="s">
        <v>5204</v>
      </c>
      <c r="FD648" s="67" t="s">
        <v>5205</v>
      </c>
      <c r="FE648" s="68" t="s">
        <v>5206</v>
      </c>
      <c r="FF648" s="68" t="s">
        <v>5207</v>
      </c>
    </row>
    <row r="649" spans="151:162" x14ac:dyDescent="0.2">
      <c r="EU649" s="67">
        <v>592.79</v>
      </c>
      <c r="EV649" s="67" t="s">
        <v>5208</v>
      </c>
      <c r="EW649" s="67">
        <v>519.69000000000005</v>
      </c>
      <c r="EX649" s="67" t="s">
        <v>5209</v>
      </c>
      <c r="EY649" s="67">
        <v>5938.75</v>
      </c>
      <c r="EZ649" s="67" t="s">
        <v>5210</v>
      </c>
      <c r="FA649" s="67">
        <v>21333.25</v>
      </c>
      <c r="FB649" s="67" t="s">
        <v>5211</v>
      </c>
      <c r="FC649" s="67" t="s">
        <v>5212</v>
      </c>
      <c r="FD649" s="67" t="s">
        <v>5213</v>
      </c>
      <c r="FE649" s="68" t="s">
        <v>5214</v>
      </c>
      <c r="FF649" s="68" t="s">
        <v>5215</v>
      </c>
    </row>
    <row r="650" spans="151:162" x14ac:dyDescent="0.2">
      <c r="EU650" s="67">
        <v>592.95000000000005</v>
      </c>
      <c r="EV650" s="67" t="s">
        <v>5216</v>
      </c>
      <c r="EW650" s="67">
        <v>519.86</v>
      </c>
      <c r="EX650" s="67" t="s">
        <v>5217</v>
      </c>
      <c r="EY650" s="67">
        <v>5940.25</v>
      </c>
      <c r="EZ650" s="67" t="s">
        <v>5218</v>
      </c>
      <c r="FA650" s="67">
        <v>21340.75</v>
      </c>
      <c r="FB650" s="67" t="s">
        <v>5219</v>
      </c>
      <c r="FC650" s="67" t="s">
        <v>5220</v>
      </c>
      <c r="FD650" s="67" t="s">
        <v>5221</v>
      </c>
      <c r="FE650" s="68" t="s">
        <v>5222</v>
      </c>
      <c r="FF650" s="68" t="s">
        <v>5223</v>
      </c>
    </row>
    <row r="651" spans="151:162" x14ac:dyDescent="0.2">
      <c r="EU651" s="67">
        <v>593.04399999999998</v>
      </c>
      <c r="EV651" s="67" t="s">
        <v>5224</v>
      </c>
      <c r="EW651" s="67">
        <v>519.95000000000005</v>
      </c>
      <c r="EX651" s="67" t="s">
        <v>5225</v>
      </c>
      <c r="EY651" s="67">
        <v>5941.25</v>
      </c>
      <c r="EZ651" s="67" t="s">
        <v>5226</v>
      </c>
      <c r="FA651" s="67">
        <v>21344.5</v>
      </c>
      <c r="FB651" s="67" t="s">
        <v>5227</v>
      </c>
      <c r="FC651" s="67" t="s">
        <v>5228</v>
      </c>
      <c r="FD651" s="67" t="s">
        <v>5229</v>
      </c>
      <c r="FE651" s="68" t="s">
        <v>5230</v>
      </c>
      <c r="FF651" s="68" t="s">
        <v>5231</v>
      </c>
    </row>
    <row r="652" spans="151:162" x14ac:dyDescent="0.2">
      <c r="EU652" s="67">
        <v>593.13</v>
      </c>
      <c r="EV652" s="67" t="s">
        <v>5232</v>
      </c>
      <c r="EW652" s="67">
        <v>520.04999999999995</v>
      </c>
      <c r="EX652" s="67" t="s">
        <v>5233</v>
      </c>
      <c r="EY652" s="67">
        <v>5942.25</v>
      </c>
      <c r="EZ652" s="67" t="s">
        <v>5234</v>
      </c>
      <c r="FA652" s="67">
        <v>21348.25</v>
      </c>
      <c r="FB652" s="67" t="s">
        <v>5235</v>
      </c>
      <c r="FC652" s="67" t="s">
        <v>5236</v>
      </c>
      <c r="FD652" s="67" t="s">
        <v>5237</v>
      </c>
      <c r="FE652" s="68" t="s">
        <v>5238</v>
      </c>
      <c r="FF652" s="68" t="s">
        <v>5239</v>
      </c>
    </row>
    <row r="653" spans="151:162" x14ac:dyDescent="0.2">
      <c r="EU653" s="67">
        <v>593.1</v>
      </c>
      <c r="EV653" s="67" t="s">
        <v>5240</v>
      </c>
      <c r="EW653" s="67">
        <v>520.01499999999999</v>
      </c>
      <c r="EX653" s="67" t="s">
        <v>5241</v>
      </c>
      <c r="EY653" s="67">
        <v>5942</v>
      </c>
      <c r="EZ653" s="67" t="s">
        <v>5242</v>
      </c>
      <c r="FA653" s="67">
        <v>21348</v>
      </c>
      <c r="FB653" s="67" t="s">
        <v>5243</v>
      </c>
      <c r="FC653" s="67" t="s">
        <v>5244</v>
      </c>
      <c r="FD653" s="67" t="s">
        <v>5245</v>
      </c>
      <c r="FE653" s="68" t="s">
        <v>5246</v>
      </c>
      <c r="FF653" s="68" t="s">
        <v>5247</v>
      </c>
    </row>
    <row r="654" spans="151:162" x14ac:dyDescent="0.2">
      <c r="EU654" s="67">
        <v>593.13</v>
      </c>
      <c r="EV654" s="67" t="s">
        <v>5248</v>
      </c>
      <c r="EW654" s="67">
        <v>520.07000000000005</v>
      </c>
      <c r="EX654" s="67" t="s">
        <v>5249</v>
      </c>
      <c r="EY654" s="67">
        <v>5942.25</v>
      </c>
      <c r="EZ654" s="67" t="s">
        <v>5250</v>
      </c>
      <c r="FA654" s="67">
        <v>21349</v>
      </c>
      <c r="FB654" s="67" t="s">
        <v>5251</v>
      </c>
      <c r="FC654" s="67" t="s">
        <v>5252</v>
      </c>
      <c r="FD654" s="67" t="s">
        <v>5253</v>
      </c>
      <c r="FE654" s="68" t="s">
        <v>5254</v>
      </c>
      <c r="FF654" s="68" t="s">
        <v>5255</v>
      </c>
    </row>
    <row r="655" spans="151:162" x14ac:dyDescent="0.2">
      <c r="EU655" s="67">
        <v>593.16</v>
      </c>
      <c r="EV655" s="67" t="s">
        <v>5256</v>
      </c>
      <c r="EW655" s="67">
        <v>520.03</v>
      </c>
      <c r="EX655" s="67" t="s">
        <v>5257</v>
      </c>
      <c r="EY655" s="67">
        <v>5942</v>
      </c>
      <c r="EZ655" s="67" t="s">
        <v>5258</v>
      </c>
      <c r="FA655" s="67">
        <v>21350</v>
      </c>
      <c r="FB655" s="67" t="s">
        <v>5259</v>
      </c>
      <c r="FC655" s="67" t="s">
        <v>5260</v>
      </c>
      <c r="FD655" s="67" t="s">
        <v>5261</v>
      </c>
      <c r="FE655" s="68" t="s">
        <v>5262</v>
      </c>
      <c r="FF655" s="68" t="s">
        <v>5263</v>
      </c>
    </row>
    <row r="656" spans="151:162" x14ac:dyDescent="0.2">
      <c r="EU656" s="67">
        <v>593.02</v>
      </c>
      <c r="EV656" s="67" t="s">
        <v>5264</v>
      </c>
      <c r="EW656" s="67">
        <v>519.99</v>
      </c>
      <c r="EX656" s="67" t="s">
        <v>5265</v>
      </c>
      <c r="EY656" s="67">
        <v>5941</v>
      </c>
      <c r="EZ656" s="67" t="s">
        <v>5266</v>
      </c>
      <c r="FA656" s="67">
        <v>21346</v>
      </c>
      <c r="FB656" s="67" t="s">
        <v>5267</v>
      </c>
      <c r="FC656" s="67" t="s">
        <v>5268</v>
      </c>
      <c r="FD656" s="67" t="s">
        <v>5269</v>
      </c>
      <c r="FE656" s="68" t="s">
        <v>5270</v>
      </c>
      <c r="FF656" s="68" t="s">
        <v>5271</v>
      </c>
    </row>
    <row r="657" spans="151:162" x14ac:dyDescent="0.2">
      <c r="EU657" s="67">
        <v>592.92999999999995</v>
      </c>
      <c r="EV657" s="67" t="s">
        <v>5272</v>
      </c>
      <c r="EW657" s="67">
        <v>519.86</v>
      </c>
      <c r="EX657" s="67" t="s">
        <v>5273</v>
      </c>
      <c r="EY657" s="67">
        <v>5940</v>
      </c>
      <c r="EZ657" s="67" t="s">
        <v>5274</v>
      </c>
      <c r="FA657" s="67">
        <v>21340.25</v>
      </c>
      <c r="FB657" s="67" t="s">
        <v>5275</v>
      </c>
      <c r="FC657" s="67" t="s">
        <v>5276</v>
      </c>
      <c r="FD657" s="67" t="s">
        <v>5277</v>
      </c>
      <c r="FE657" s="68" t="s">
        <v>5278</v>
      </c>
      <c r="FF657" s="68" t="s">
        <v>5279</v>
      </c>
    </row>
    <row r="658" spans="151:162" x14ac:dyDescent="0.2">
      <c r="EU658" s="67">
        <v>593</v>
      </c>
      <c r="EV658" s="67" t="s">
        <v>5280</v>
      </c>
      <c r="EW658" s="67">
        <v>519.97500000000002</v>
      </c>
      <c r="EX658" s="67" t="s">
        <v>5281</v>
      </c>
      <c r="EY658" s="67">
        <v>5941</v>
      </c>
      <c r="EZ658" s="67" t="s">
        <v>5282</v>
      </c>
      <c r="FA658" s="67">
        <v>21345</v>
      </c>
      <c r="FB658" s="67" t="s">
        <v>5283</v>
      </c>
      <c r="FC658" s="67" t="s">
        <v>5284</v>
      </c>
      <c r="FD658" s="67" t="s">
        <v>5285</v>
      </c>
      <c r="FE658" s="68" t="s">
        <v>5286</v>
      </c>
      <c r="FF658" s="68" t="s">
        <v>5287</v>
      </c>
    </row>
    <row r="659" spans="151:162" x14ac:dyDescent="0.2">
      <c r="EU659" s="67">
        <v>593.1</v>
      </c>
      <c r="EV659" s="67" t="s">
        <v>5288</v>
      </c>
      <c r="EW659" s="67">
        <v>520.09</v>
      </c>
      <c r="EX659" s="67" t="s">
        <v>5289</v>
      </c>
      <c r="EY659" s="67">
        <v>5942</v>
      </c>
      <c r="EZ659" s="67" t="s">
        <v>5290</v>
      </c>
      <c r="FA659" s="67">
        <v>21350.25</v>
      </c>
      <c r="FB659" s="67" t="s">
        <v>5291</v>
      </c>
      <c r="FC659" s="67" t="s">
        <v>5292</v>
      </c>
      <c r="FD659" s="67" t="s">
        <v>5293</v>
      </c>
      <c r="FE659" s="68" t="s">
        <v>5294</v>
      </c>
      <c r="FF659" s="68" t="s">
        <v>5295</v>
      </c>
    </row>
    <row r="660" spans="151:162" x14ac:dyDescent="0.2">
      <c r="EU660" s="67">
        <v>593.04</v>
      </c>
      <c r="EV660" s="67" t="s">
        <v>5296</v>
      </c>
      <c r="EW660" s="67">
        <v>520</v>
      </c>
      <c r="EX660" s="67" t="s">
        <v>5297</v>
      </c>
      <c r="EY660" s="67">
        <v>5941.5</v>
      </c>
      <c r="EZ660" s="67" t="s">
        <v>5298</v>
      </c>
      <c r="FA660" s="67">
        <v>21347</v>
      </c>
      <c r="FB660" s="67" t="s">
        <v>5299</v>
      </c>
      <c r="FC660" s="67" t="s">
        <v>5300</v>
      </c>
      <c r="FD660" s="67" t="s">
        <v>5301</v>
      </c>
      <c r="FE660" s="68" t="s">
        <v>5302</v>
      </c>
      <c r="FF660" s="68" t="s">
        <v>5303</v>
      </c>
    </row>
    <row r="661" spans="151:162" x14ac:dyDescent="0.2">
      <c r="EU661" s="67">
        <v>592.99</v>
      </c>
      <c r="EV661" s="67" t="s">
        <v>5304</v>
      </c>
      <c r="EW661" s="67">
        <v>519.98</v>
      </c>
      <c r="EX661" s="67" t="s">
        <v>5305</v>
      </c>
      <c r="EY661" s="67">
        <v>5941</v>
      </c>
      <c r="EZ661" s="67" t="s">
        <v>5306</v>
      </c>
      <c r="FA661" s="67">
        <v>21344.5</v>
      </c>
      <c r="FB661" s="67" t="s">
        <v>5307</v>
      </c>
      <c r="FC661" s="67" t="s">
        <v>5308</v>
      </c>
      <c r="FD661" s="67" t="s">
        <v>5309</v>
      </c>
      <c r="FE661" s="68" t="s">
        <v>5310</v>
      </c>
      <c r="FF661" s="68" t="s">
        <v>5311</v>
      </c>
    </row>
    <row r="662" spans="151:162" x14ac:dyDescent="0.2">
      <c r="EU662" s="67">
        <v>592.97500000000002</v>
      </c>
      <c r="EV662" s="67" t="s">
        <v>5312</v>
      </c>
      <c r="EW662" s="67">
        <v>519.95000000000005</v>
      </c>
      <c r="EX662" s="67" t="s">
        <v>5313</v>
      </c>
      <c r="EY662" s="67">
        <v>5940.5</v>
      </c>
      <c r="EZ662" s="67" t="s">
        <v>5314</v>
      </c>
      <c r="FA662" s="67">
        <v>21344.75</v>
      </c>
      <c r="FB662" s="67" t="s">
        <v>5315</v>
      </c>
      <c r="FC662" s="67" t="s">
        <v>5316</v>
      </c>
      <c r="FD662" s="67" t="s">
        <v>5317</v>
      </c>
      <c r="FE662" s="68" t="s">
        <v>5318</v>
      </c>
      <c r="FF662" s="68" t="s">
        <v>5319</v>
      </c>
    </row>
    <row r="663" spans="151:162" x14ac:dyDescent="0.2">
      <c r="EU663" s="67">
        <v>592.89</v>
      </c>
      <c r="EV663" s="67" t="s">
        <v>5320</v>
      </c>
      <c r="EW663" s="67">
        <v>519.92999999999995</v>
      </c>
      <c r="EX663" s="67" t="s">
        <v>5321</v>
      </c>
      <c r="EY663" s="67">
        <v>5940.25</v>
      </c>
      <c r="EZ663" s="67" t="s">
        <v>5322</v>
      </c>
      <c r="FA663" s="67">
        <v>21343.75</v>
      </c>
      <c r="FB663" s="67" t="s">
        <v>5323</v>
      </c>
      <c r="FC663" s="67" t="s">
        <v>5324</v>
      </c>
      <c r="FD663" s="67" t="s">
        <v>5325</v>
      </c>
      <c r="FE663" s="68" t="s">
        <v>5326</v>
      </c>
      <c r="FF663" s="68" t="s">
        <v>5327</v>
      </c>
    </row>
    <row r="664" spans="151:162" x14ac:dyDescent="0.2">
      <c r="EU664" s="67">
        <v>592.47400000000005</v>
      </c>
      <c r="EV664" s="67" t="s">
        <v>5328</v>
      </c>
      <c r="EW664" s="67">
        <v>519.50300000000004</v>
      </c>
      <c r="EX664" s="67" t="s">
        <v>5329</v>
      </c>
      <c r="EY664" s="67">
        <v>5935.5</v>
      </c>
      <c r="EZ664" s="67" t="s">
        <v>5330</v>
      </c>
      <c r="FA664" s="67">
        <v>21325.25</v>
      </c>
      <c r="FB664" s="67" t="s">
        <v>5331</v>
      </c>
      <c r="FC664" s="67" t="s">
        <v>5332</v>
      </c>
      <c r="FD664" s="67" t="s">
        <v>5333</v>
      </c>
      <c r="FE664" s="68" t="s">
        <v>5334</v>
      </c>
      <c r="FF664" s="68" t="s">
        <v>5335</v>
      </c>
    </row>
    <row r="665" spans="151:162" x14ac:dyDescent="0.2">
      <c r="EU665" s="67">
        <v>592.41999999999996</v>
      </c>
      <c r="EV665" s="67" t="s">
        <v>5336</v>
      </c>
      <c r="EW665" s="67">
        <v>519.44000000000005</v>
      </c>
      <c r="EX665" s="67" t="s">
        <v>5337</v>
      </c>
      <c r="EY665" s="67">
        <v>5935.25</v>
      </c>
      <c r="EZ665" s="67" t="s">
        <v>5338</v>
      </c>
      <c r="FA665" s="67">
        <v>21323.25</v>
      </c>
      <c r="FB665" s="67" t="s">
        <v>5339</v>
      </c>
      <c r="FC665" s="67" t="s">
        <v>5340</v>
      </c>
      <c r="FD665" s="67" t="s">
        <v>5341</v>
      </c>
      <c r="FE665" s="68" t="s">
        <v>5342</v>
      </c>
      <c r="FF665" s="68" t="s">
        <v>5343</v>
      </c>
    </row>
    <row r="666" spans="151:162" x14ac:dyDescent="0.2">
      <c r="EU666" s="67">
        <v>592.66999999999996</v>
      </c>
      <c r="EV666" s="67" t="s">
        <v>5344</v>
      </c>
      <c r="EW666" s="67">
        <v>519.71</v>
      </c>
      <c r="EX666" s="67" t="s">
        <v>5345</v>
      </c>
      <c r="EY666" s="67">
        <v>5937.5</v>
      </c>
      <c r="EZ666" s="67" t="s">
        <v>5346</v>
      </c>
      <c r="FA666" s="67">
        <v>21334.5</v>
      </c>
      <c r="FB666" s="67" t="s">
        <v>5347</v>
      </c>
      <c r="FC666" s="67" t="s">
        <v>5348</v>
      </c>
      <c r="FD666" s="67" t="s">
        <v>5349</v>
      </c>
      <c r="FE666" s="68" t="s">
        <v>5350</v>
      </c>
      <c r="FF666" s="68" t="s">
        <v>5351</v>
      </c>
    </row>
    <row r="667" spans="151:162" x14ac:dyDescent="0.2">
      <c r="EU667" s="67">
        <v>592.47</v>
      </c>
      <c r="EV667" s="67" t="s">
        <v>5352</v>
      </c>
      <c r="EW667" s="67">
        <v>519.52</v>
      </c>
      <c r="EX667" s="67" t="s">
        <v>5353</v>
      </c>
      <c r="EY667" s="67">
        <v>5935.5</v>
      </c>
      <c r="EZ667" s="67" t="s">
        <v>5354</v>
      </c>
      <c r="FA667" s="67">
        <v>21326.75</v>
      </c>
      <c r="FB667" s="67" t="s">
        <v>5355</v>
      </c>
      <c r="FC667" s="67" t="s">
        <v>5356</v>
      </c>
      <c r="FD667" s="67" t="s">
        <v>5357</v>
      </c>
      <c r="FE667" s="68" t="s">
        <v>5358</v>
      </c>
      <c r="FF667" s="68" t="s">
        <v>5359</v>
      </c>
    </row>
    <row r="668" spans="151:162" x14ac:dyDescent="0.2">
      <c r="EU668" s="67">
        <v>592.08000000000004</v>
      </c>
      <c r="EV668" s="67" t="s">
        <v>5360</v>
      </c>
      <c r="EW668" s="67">
        <v>519.20000000000005</v>
      </c>
      <c r="EX668" s="67" t="s">
        <v>5361</v>
      </c>
      <c r="EY668" s="67">
        <v>5931.5</v>
      </c>
      <c r="EZ668" s="67" t="s">
        <v>5362</v>
      </c>
      <c r="FA668" s="67">
        <v>21308.25</v>
      </c>
      <c r="FB668" s="67" t="s">
        <v>5363</v>
      </c>
      <c r="FC668" s="67" t="s">
        <v>5364</v>
      </c>
      <c r="FD668" s="67" t="s">
        <v>5365</v>
      </c>
      <c r="FE668" s="68" t="s">
        <v>5366</v>
      </c>
      <c r="FF668" s="68" t="s">
        <v>5367</v>
      </c>
    </row>
    <row r="669" spans="151:162" x14ac:dyDescent="0.2">
      <c r="EU669" s="67">
        <v>591.42999999999995</v>
      </c>
      <c r="EV669" s="67" t="s">
        <v>5368</v>
      </c>
      <c r="EW669" s="67">
        <v>518.53499999999997</v>
      </c>
      <c r="EX669" s="67" t="s">
        <v>5369</v>
      </c>
      <c r="EY669" s="67">
        <v>5925.25</v>
      </c>
      <c r="EZ669" s="67" t="s">
        <v>5370</v>
      </c>
      <c r="FA669" s="67">
        <v>21286</v>
      </c>
      <c r="FB669" s="67" t="s">
        <v>5371</v>
      </c>
      <c r="FC669" s="67" t="s">
        <v>5372</v>
      </c>
      <c r="FD669" s="67" t="s">
        <v>5373</v>
      </c>
      <c r="FE669" s="68" t="s">
        <v>5374</v>
      </c>
      <c r="FF669" s="68" t="s">
        <v>5375</v>
      </c>
    </row>
    <row r="670" spans="151:162" x14ac:dyDescent="0.2">
      <c r="EU670" s="67">
        <v>591.54</v>
      </c>
      <c r="EV670" s="67" t="s">
        <v>5376</v>
      </c>
      <c r="EW670" s="67">
        <v>518.55999999999995</v>
      </c>
      <c r="EX670" s="67" t="s">
        <v>5377</v>
      </c>
      <c r="EY670" s="67">
        <v>5926.25</v>
      </c>
      <c r="EZ670" s="67" t="s">
        <v>5378</v>
      </c>
      <c r="FA670" s="67">
        <v>21286.75</v>
      </c>
      <c r="FB670" s="67" t="s">
        <v>5379</v>
      </c>
      <c r="FC670" s="67" t="s">
        <v>5380</v>
      </c>
      <c r="FD670" s="67" t="s">
        <v>5381</v>
      </c>
      <c r="FE670" s="68" t="s">
        <v>5382</v>
      </c>
      <c r="FF670" s="68" t="s">
        <v>5383</v>
      </c>
    </row>
    <row r="671" spans="151:162" x14ac:dyDescent="0.2">
      <c r="EU671" s="67">
        <v>591.74</v>
      </c>
      <c r="EV671" s="67" t="s">
        <v>5384</v>
      </c>
      <c r="EW671" s="67">
        <v>518.83399999999995</v>
      </c>
      <c r="EX671" s="67" t="s">
        <v>5385</v>
      </c>
      <c r="EY671" s="67">
        <v>5928.25</v>
      </c>
      <c r="EZ671" s="67" t="s">
        <v>5386</v>
      </c>
      <c r="FA671" s="67">
        <v>21297.75</v>
      </c>
      <c r="FB671" s="67" t="s">
        <v>5387</v>
      </c>
      <c r="FC671" s="67" t="s">
        <v>5388</v>
      </c>
      <c r="FD671" s="67" t="s">
        <v>5389</v>
      </c>
      <c r="FE671" s="68" t="s">
        <v>5390</v>
      </c>
      <c r="FF671" s="68" t="s">
        <v>5391</v>
      </c>
    </row>
    <row r="672" spans="151:162" x14ac:dyDescent="0.2">
      <c r="EU672" s="67">
        <v>591.92999999999995</v>
      </c>
      <c r="EV672" s="67" t="s">
        <v>5392</v>
      </c>
      <c r="EW672" s="67">
        <v>519.03</v>
      </c>
      <c r="EX672" s="67" t="s">
        <v>5393</v>
      </c>
      <c r="EY672" s="67">
        <v>5930.75</v>
      </c>
      <c r="EZ672" s="67" t="s">
        <v>5394</v>
      </c>
      <c r="FA672" s="67">
        <v>21304.75</v>
      </c>
      <c r="FB672" s="67" t="s">
        <v>5395</v>
      </c>
      <c r="FC672" s="67" t="s">
        <v>5396</v>
      </c>
      <c r="FD672" s="67" t="s">
        <v>5397</v>
      </c>
      <c r="FE672" s="68" t="s">
        <v>5398</v>
      </c>
      <c r="FF672" s="68" t="s">
        <v>5399</v>
      </c>
    </row>
    <row r="673" spans="151:162" x14ac:dyDescent="0.2">
      <c r="EU673" s="67">
        <v>591.80999999999995</v>
      </c>
      <c r="EV673" s="67" t="s">
        <v>5400</v>
      </c>
      <c r="EW673" s="67">
        <v>518.85</v>
      </c>
      <c r="EX673" s="67" t="s">
        <v>5401</v>
      </c>
      <c r="EY673" s="67">
        <v>5929</v>
      </c>
      <c r="EZ673" s="67" t="s">
        <v>5402</v>
      </c>
      <c r="FA673" s="67">
        <v>21298.75</v>
      </c>
      <c r="FB673" s="67" t="s">
        <v>5403</v>
      </c>
      <c r="FC673" s="67" t="s">
        <v>5404</v>
      </c>
      <c r="FD673" s="67" t="s">
        <v>5405</v>
      </c>
      <c r="FE673" s="68" t="s">
        <v>5406</v>
      </c>
      <c r="FF673" s="68" t="s">
        <v>5407</v>
      </c>
    </row>
    <row r="674" spans="151:162" x14ac:dyDescent="0.2">
      <c r="EU674" s="67">
        <v>591.6</v>
      </c>
      <c r="EV674" s="67" t="s">
        <v>5408</v>
      </c>
      <c r="EW674" s="67">
        <v>518.66999999999996</v>
      </c>
      <c r="EX674" s="67" t="s">
        <v>5409</v>
      </c>
      <c r="EY674" s="67">
        <v>5926.75</v>
      </c>
      <c r="EZ674" s="67" t="s">
        <v>5410</v>
      </c>
      <c r="FA674" s="67">
        <v>21291.5</v>
      </c>
      <c r="FB674" s="67" t="s">
        <v>5411</v>
      </c>
      <c r="FC674" s="67" t="s">
        <v>5412</v>
      </c>
      <c r="FD674" s="67" t="s">
        <v>5413</v>
      </c>
      <c r="FE674" s="68" t="s">
        <v>5414</v>
      </c>
      <c r="FF674" s="68" t="s">
        <v>5415</v>
      </c>
    </row>
    <row r="675" spans="151:162" x14ac:dyDescent="0.2">
      <c r="EU675" s="67">
        <v>591.25</v>
      </c>
      <c r="EV675" s="67" t="s">
        <v>5416</v>
      </c>
      <c r="EW675" s="67">
        <v>518.28</v>
      </c>
      <c r="EX675" s="67" t="s">
        <v>5417</v>
      </c>
      <c r="EY675" s="67">
        <v>5923</v>
      </c>
      <c r="EZ675" s="67" t="s">
        <v>5418</v>
      </c>
      <c r="FA675" s="67">
        <v>21276</v>
      </c>
      <c r="FB675" s="67" t="s">
        <v>5419</v>
      </c>
      <c r="FC675" s="67" t="s">
        <v>5420</v>
      </c>
      <c r="FD675" s="67" t="s">
        <v>5421</v>
      </c>
      <c r="FE675" s="68" t="s">
        <v>5422</v>
      </c>
      <c r="FF675" s="68" t="s">
        <v>5423</v>
      </c>
    </row>
    <row r="676" spans="151:162" x14ac:dyDescent="0.2">
      <c r="EU676" s="67">
        <v>590.88</v>
      </c>
      <c r="EV676" s="67" t="s">
        <v>5424</v>
      </c>
      <c r="EW676" s="67">
        <v>517.94000000000005</v>
      </c>
      <c r="EX676" s="67" t="s">
        <v>5425</v>
      </c>
      <c r="EY676" s="67">
        <v>5919.5</v>
      </c>
      <c r="EZ676" s="67" t="s">
        <v>5426</v>
      </c>
      <c r="FA676" s="67">
        <v>21261.75</v>
      </c>
      <c r="FB676" s="67" t="s">
        <v>5427</v>
      </c>
      <c r="FC676" s="67" t="s">
        <v>5428</v>
      </c>
      <c r="FD676" s="67" t="s">
        <v>5429</v>
      </c>
      <c r="FE676" s="68" t="s">
        <v>5430</v>
      </c>
      <c r="FF676" s="68" t="s">
        <v>5431</v>
      </c>
    </row>
    <row r="677" spans="151:162" x14ac:dyDescent="0.2">
      <c r="EU677" s="67">
        <v>590.899</v>
      </c>
      <c r="EV677" s="67" t="s">
        <v>5432</v>
      </c>
      <c r="EW677" s="67">
        <v>518</v>
      </c>
      <c r="EX677" s="67" t="s">
        <v>5433</v>
      </c>
      <c r="EY677" s="67">
        <v>5919.75</v>
      </c>
      <c r="EZ677" s="67" t="s">
        <v>5434</v>
      </c>
      <c r="FA677" s="67">
        <v>21263.5</v>
      </c>
      <c r="FB677" s="67" t="s">
        <v>5435</v>
      </c>
      <c r="FC677" s="67" t="s">
        <v>5436</v>
      </c>
      <c r="FD677" s="67" t="s">
        <v>5437</v>
      </c>
      <c r="FE677" s="68" t="s">
        <v>5438</v>
      </c>
      <c r="FF677" s="68" t="s">
        <v>5439</v>
      </c>
    </row>
    <row r="678" spans="151:162" x14ac:dyDescent="0.2">
      <c r="EU678" s="67">
        <v>590.76</v>
      </c>
      <c r="EV678" s="67" t="s">
        <v>5440</v>
      </c>
      <c r="EW678" s="67">
        <v>517.96</v>
      </c>
      <c r="EX678" s="67" t="s">
        <v>5441</v>
      </c>
      <c r="EY678" s="67">
        <v>5918.25</v>
      </c>
      <c r="EZ678" s="67" t="s">
        <v>5442</v>
      </c>
      <c r="FA678" s="67">
        <v>21261.75</v>
      </c>
      <c r="FB678" s="67" t="s">
        <v>5443</v>
      </c>
      <c r="FC678" s="67" t="s">
        <v>5444</v>
      </c>
      <c r="FD678" s="67" t="s">
        <v>5445</v>
      </c>
      <c r="FE678" s="68" t="s">
        <v>5446</v>
      </c>
      <c r="FF678" s="68" t="s">
        <v>5447</v>
      </c>
    </row>
    <row r="679" spans="151:162" x14ac:dyDescent="0.2">
      <c r="EU679" s="67">
        <v>590.70000000000005</v>
      </c>
      <c r="EV679" s="67" t="s">
        <v>5448</v>
      </c>
      <c r="EW679" s="67">
        <v>518</v>
      </c>
      <c r="EX679" s="67" t="s">
        <v>5449</v>
      </c>
      <c r="EY679" s="67">
        <v>5917.75</v>
      </c>
      <c r="EZ679" s="67" t="s">
        <v>5450</v>
      </c>
      <c r="FA679" s="67">
        <v>21261.5</v>
      </c>
      <c r="FB679" s="67" t="s">
        <v>5451</v>
      </c>
      <c r="FC679" s="67" t="s">
        <v>5452</v>
      </c>
      <c r="FD679" s="67" t="s">
        <v>5453</v>
      </c>
      <c r="FE679" s="68" t="s">
        <v>5454</v>
      </c>
      <c r="FF679" s="68" t="s">
        <v>5455</v>
      </c>
    </row>
    <row r="680" spans="151:162" x14ac:dyDescent="0.2">
      <c r="EU680" s="67">
        <v>590.99</v>
      </c>
      <c r="EV680" s="67" t="s">
        <v>5456</v>
      </c>
      <c r="EW680" s="67">
        <v>518.28</v>
      </c>
      <c r="EX680" s="67" t="s">
        <v>5457</v>
      </c>
      <c r="EY680" s="67">
        <v>5920.5</v>
      </c>
      <c r="EZ680" s="67" t="s">
        <v>5458</v>
      </c>
      <c r="FA680" s="67">
        <v>21275.5</v>
      </c>
      <c r="FB680" s="67" t="s">
        <v>5459</v>
      </c>
      <c r="FC680" s="67" t="s">
        <v>5460</v>
      </c>
      <c r="FD680" s="67" t="s">
        <v>5461</v>
      </c>
      <c r="FE680" s="68" t="s">
        <v>5462</v>
      </c>
      <c r="FF680" s="68" t="s">
        <v>5463</v>
      </c>
    </row>
    <row r="681" spans="151:162" x14ac:dyDescent="0.2">
      <c r="EU681" s="67">
        <v>590.87</v>
      </c>
      <c r="EV681" s="67" t="s">
        <v>5464</v>
      </c>
      <c r="EW681" s="67">
        <v>518.16999999999996</v>
      </c>
      <c r="EX681" s="67" t="s">
        <v>5465</v>
      </c>
      <c r="EY681" s="67">
        <v>5919.25</v>
      </c>
      <c r="EZ681" s="67" t="s">
        <v>5466</v>
      </c>
      <c r="FA681" s="67">
        <v>21270.75</v>
      </c>
      <c r="FB681" s="67" t="s">
        <v>5467</v>
      </c>
      <c r="FC681" s="67" t="s">
        <v>5468</v>
      </c>
      <c r="FD681" s="67" t="s">
        <v>5469</v>
      </c>
      <c r="FE681" s="68" t="s">
        <v>5470</v>
      </c>
      <c r="FF681" s="68" t="s">
        <v>5471</v>
      </c>
    </row>
    <row r="682" spans="151:162" x14ac:dyDescent="0.2">
      <c r="EU682" s="67">
        <v>591.04999999999995</v>
      </c>
      <c r="EV682" s="67" t="s">
        <v>5472</v>
      </c>
      <c r="EW682" s="67">
        <v>518.25</v>
      </c>
      <c r="EX682" s="67" t="s">
        <v>5473</v>
      </c>
      <c r="EY682" s="67">
        <v>5921</v>
      </c>
      <c r="EZ682" s="67" t="s">
        <v>5474</v>
      </c>
      <c r="FA682" s="67">
        <v>21276</v>
      </c>
      <c r="FB682" s="67" t="s">
        <v>5475</v>
      </c>
      <c r="FC682" s="67" t="s">
        <v>5476</v>
      </c>
      <c r="FD682" s="67" t="s">
        <v>5477</v>
      </c>
      <c r="FE682" s="68" t="s">
        <v>5478</v>
      </c>
      <c r="FF682" s="68" t="s">
        <v>5479</v>
      </c>
    </row>
    <row r="683" spans="151:162" x14ac:dyDescent="0.2">
      <c r="EU683" s="67">
        <v>591.255</v>
      </c>
      <c r="EV683" s="67" t="s">
        <v>5480</v>
      </c>
      <c r="EW683" s="67">
        <v>518.48</v>
      </c>
      <c r="EX683" s="67" t="s">
        <v>5481</v>
      </c>
      <c r="EY683" s="67">
        <v>5923.25</v>
      </c>
      <c r="EZ683" s="67" t="s">
        <v>5482</v>
      </c>
      <c r="FA683" s="67">
        <v>21283.5</v>
      </c>
      <c r="FB683" s="67" t="s">
        <v>5483</v>
      </c>
      <c r="FC683" s="67" t="s">
        <v>5484</v>
      </c>
      <c r="FD683" s="67" t="s">
        <v>5485</v>
      </c>
      <c r="FE683" s="68" t="s">
        <v>5486</v>
      </c>
      <c r="FF683" s="68" t="s">
        <v>5487</v>
      </c>
    </row>
    <row r="684" spans="151:162" x14ac:dyDescent="0.2">
      <c r="EU684" s="67">
        <v>591.19000000000005</v>
      </c>
      <c r="EV684" s="67" t="s">
        <v>5488</v>
      </c>
      <c r="EW684" s="67">
        <v>518.41</v>
      </c>
      <c r="EX684" s="67" t="s">
        <v>5489</v>
      </c>
      <c r="EY684" s="67">
        <v>5922</v>
      </c>
      <c r="EZ684" s="67" t="s">
        <v>5490</v>
      </c>
      <c r="FA684" s="67">
        <v>21281.25</v>
      </c>
      <c r="FB684" s="67" t="s">
        <v>5491</v>
      </c>
      <c r="FC684" s="67" t="s">
        <v>5492</v>
      </c>
      <c r="FD684" s="67" t="s">
        <v>5493</v>
      </c>
      <c r="FE684" s="68" t="s">
        <v>5494</v>
      </c>
      <c r="FF684" s="68" t="s">
        <v>5495</v>
      </c>
    </row>
    <row r="685" spans="151:162" x14ac:dyDescent="0.2">
      <c r="EU685" s="67">
        <v>591.47</v>
      </c>
      <c r="EV685" s="67" t="s">
        <v>5496</v>
      </c>
      <c r="EW685" s="67">
        <v>518.63</v>
      </c>
      <c r="EX685" s="67" t="s">
        <v>5497</v>
      </c>
      <c r="EY685" s="67">
        <v>5924.75</v>
      </c>
      <c r="EZ685" s="67" t="s">
        <v>5498</v>
      </c>
      <c r="FA685" s="67">
        <v>21291.25</v>
      </c>
      <c r="FB685" s="67" t="s">
        <v>5499</v>
      </c>
      <c r="FC685" s="67" t="s">
        <v>5500</v>
      </c>
      <c r="FD685" s="67" t="s">
        <v>5501</v>
      </c>
      <c r="FE685" s="68" t="s">
        <v>5502</v>
      </c>
      <c r="FF685" s="68" t="s">
        <v>5503</v>
      </c>
    </row>
    <row r="686" spans="151:162" x14ac:dyDescent="0.2">
      <c r="EU686" s="67">
        <v>591.54999999999995</v>
      </c>
      <c r="EV686" s="67" t="s">
        <v>5504</v>
      </c>
      <c r="EW686" s="67">
        <v>518.72</v>
      </c>
      <c r="EX686" s="67" t="s">
        <v>5505</v>
      </c>
      <c r="EY686" s="67">
        <v>5926.5</v>
      </c>
      <c r="EZ686" s="67" t="s">
        <v>5506</v>
      </c>
      <c r="FA686" s="67">
        <v>21293.25</v>
      </c>
      <c r="FB686" s="67" t="s">
        <v>5507</v>
      </c>
      <c r="FC686" s="67" t="s">
        <v>5508</v>
      </c>
      <c r="FD686" s="67" t="s">
        <v>5509</v>
      </c>
      <c r="FE686" s="68" t="s">
        <v>5510</v>
      </c>
      <c r="FF686" s="68" t="s">
        <v>5511</v>
      </c>
    </row>
    <row r="687" spans="151:162" x14ac:dyDescent="0.2">
      <c r="EU687" s="67">
        <v>591.19500000000005</v>
      </c>
      <c r="EV687" s="67" t="s">
        <v>5512</v>
      </c>
      <c r="EW687" s="67">
        <v>518.38</v>
      </c>
      <c r="EX687" s="67" t="s">
        <v>5513</v>
      </c>
      <c r="EY687" s="67">
        <v>5922.75</v>
      </c>
      <c r="EZ687" s="67" t="s">
        <v>5514</v>
      </c>
      <c r="FA687" s="67">
        <v>21278.25</v>
      </c>
      <c r="FB687" s="67" t="s">
        <v>5515</v>
      </c>
      <c r="FC687" s="67" t="s">
        <v>5516</v>
      </c>
      <c r="FD687" s="67" t="s">
        <v>5517</v>
      </c>
      <c r="FE687" s="68" t="s">
        <v>5518</v>
      </c>
      <c r="FF687" s="68" t="s">
        <v>5519</v>
      </c>
    </row>
    <row r="688" spans="151:162" x14ac:dyDescent="0.2">
      <c r="EU688" s="67">
        <v>590.79999999999995</v>
      </c>
      <c r="EV688" s="67" t="s">
        <v>5520</v>
      </c>
      <c r="EW688" s="67">
        <v>517.97</v>
      </c>
      <c r="EX688" s="67" t="s">
        <v>5521</v>
      </c>
      <c r="EY688" s="67">
        <v>5919.75</v>
      </c>
      <c r="EZ688" s="67" t="s">
        <v>5522</v>
      </c>
      <c r="FA688" s="67">
        <v>21259.25</v>
      </c>
      <c r="FB688" s="67" t="s">
        <v>5523</v>
      </c>
      <c r="FC688" s="67" t="s">
        <v>5524</v>
      </c>
      <c r="FD688" s="67" t="s">
        <v>5525</v>
      </c>
      <c r="FE688" s="68" t="s">
        <v>5526</v>
      </c>
      <c r="FF688" s="68" t="s">
        <v>5527</v>
      </c>
    </row>
    <row r="689" spans="151:162" x14ac:dyDescent="0.2">
      <c r="EU689" s="67">
        <v>590.745</v>
      </c>
      <c r="EV689" s="67" t="s">
        <v>5528</v>
      </c>
      <c r="EW689" s="67">
        <v>517.85500000000002</v>
      </c>
      <c r="EX689" s="67" t="s">
        <v>5529</v>
      </c>
      <c r="EY689" s="67">
        <v>5918.25</v>
      </c>
      <c r="EZ689" s="67" t="s">
        <v>5530</v>
      </c>
      <c r="FA689" s="67">
        <v>21257.25</v>
      </c>
      <c r="FB689" s="67" t="s">
        <v>5531</v>
      </c>
      <c r="FC689" s="67" t="s">
        <v>5532</v>
      </c>
      <c r="FD689" s="67" t="s">
        <v>5533</v>
      </c>
      <c r="FE689" s="68" t="s">
        <v>5534</v>
      </c>
      <c r="FF689" s="68" t="s">
        <v>5535</v>
      </c>
    </row>
    <row r="690" spans="151:162" x14ac:dyDescent="0.2">
      <c r="EU690" s="67">
        <v>591</v>
      </c>
      <c r="EV690" s="67" t="s">
        <v>5536</v>
      </c>
      <c r="EW690" s="67">
        <v>518.09900000000005</v>
      </c>
      <c r="EX690" s="67" t="s">
        <v>5537</v>
      </c>
      <c r="EY690" s="67">
        <v>5920.5</v>
      </c>
      <c r="EZ690" s="67" t="s">
        <v>5538</v>
      </c>
      <c r="FA690" s="67">
        <v>21267.75</v>
      </c>
      <c r="FB690" s="67" t="s">
        <v>5539</v>
      </c>
      <c r="FC690" s="67" t="s">
        <v>5540</v>
      </c>
      <c r="FD690" s="67" t="s">
        <v>5541</v>
      </c>
      <c r="FE690" s="68" t="s">
        <v>5542</v>
      </c>
      <c r="FF690" s="68" t="s">
        <v>5543</v>
      </c>
    </row>
    <row r="691" spans="151:162" x14ac:dyDescent="0.2">
      <c r="EU691" s="67">
        <v>590.96</v>
      </c>
      <c r="EV691" s="67" t="s">
        <v>5544</v>
      </c>
      <c r="EW691" s="67">
        <v>518.07000000000005</v>
      </c>
      <c r="EX691" s="67" t="s">
        <v>5545</v>
      </c>
      <c r="EY691" s="67">
        <v>5920.5</v>
      </c>
      <c r="EZ691" s="67" t="s">
        <v>5546</v>
      </c>
      <c r="FA691" s="67">
        <v>21266.75</v>
      </c>
      <c r="FB691" s="67" t="s">
        <v>5547</v>
      </c>
      <c r="FC691" s="67" t="s">
        <v>5548</v>
      </c>
      <c r="FD691" s="67" t="s">
        <v>5549</v>
      </c>
      <c r="FE691" s="68" t="s">
        <v>5550</v>
      </c>
      <c r="FF691" s="68" t="s">
        <v>5551</v>
      </c>
    </row>
    <row r="692" spans="151:162" x14ac:dyDescent="0.2">
      <c r="EU692" s="67">
        <v>591.04999999999995</v>
      </c>
      <c r="EV692" s="67" t="s">
        <v>5552</v>
      </c>
      <c r="EW692" s="67">
        <v>518.15499999999997</v>
      </c>
      <c r="EX692" s="67" t="s">
        <v>5553</v>
      </c>
      <c r="EY692" s="67">
        <v>5921.25</v>
      </c>
      <c r="EZ692" s="67" t="s">
        <v>5554</v>
      </c>
      <c r="FA692" s="67">
        <v>21270.25</v>
      </c>
      <c r="FB692" s="67" t="s">
        <v>5555</v>
      </c>
      <c r="FC692" s="67" t="s">
        <v>5556</v>
      </c>
      <c r="FD692" s="67" t="s">
        <v>5557</v>
      </c>
      <c r="FE692" s="68" t="s">
        <v>5558</v>
      </c>
      <c r="FF692" s="68" t="s">
        <v>5559</v>
      </c>
    </row>
    <row r="693" spans="151:162" x14ac:dyDescent="0.2">
      <c r="EU693" s="67">
        <v>590.78499999999997</v>
      </c>
      <c r="EV693" s="67" t="s">
        <v>5560</v>
      </c>
      <c r="EW693" s="67">
        <v>517.87</v>
      </c>
      <c r="EX693" s="67" t="s">
        <v>5561</v>
      </c>
      <c r="EY693" s="67">
        <v>5918.5</v>
      </c>
      <c r="EZ693" s="67" t="s">
        <v>5562</v>
      </c>
      <c r="FA693" s="67">
        <v>21257.5</v>
      </c>
      <c r="FB693" s="67" t="s">
        <v>5563</v>
      </c>
      <c r="FC693" s="67" t="s">
        <v>5564</v>
      </c>
      <c r="FD693" s="67" t="s">
        <v>5565</v>
      </c>
      <c r="FE693" s="68" t="s">
        <v>5566</v>
      </c>
      <c r="FF693" s="68" t="s">
        <v>5567</v>
      </c>
    </row>
    <row r="694" spans="151:162" x14ac:dyDescent="0.2">
      <c r="EU694" s="67">
        <v>590.84</v>
      </c>
      <c r="EV694" s="67" t="s">
        <v>5568</v>
      </c>
      <c r="EW694" s="67">
        <v>517.89499999999998</v>
      </c>
      <c r="EX694" s="67" t="s">
        <v>5569</v>
      </c>
      <c r="EY694" s="67">
        <v>5919</v>
      </c>
      <c r="EZ694" s="67" t="s">
        <v>5570</v>
      </c>
      <c r="FA694" s="67">
        <v>21260</v>
      </c>
      <c r="FB694" s="67" t="s">
        <v>5571</v>
      </c>
      <c r="FC694" s="67" t="s">
        <v>5572</v>
      </c>
      <c r="FD694" s="67" t="s">
        <v>5573</v>
      </c>
      <c r="FE694" s="68" t="s">
        <v>5574</v>
      </c>
      <c r="FF694" s="68" t="s">
        <v>5575</v>
      </c>
    </row>
    <row r="695" spans="151:162" x14ac:dyDescent="0.2">
      <c r="EU695" s="67">
        <v>590.94000000000005</v>
      </c>
      <c r="EV695" s="67" t="s">
        <v>5576</v>
      </c>
      <c r="EW695" s="67">
        <v>517.97</v>
      </c>
      <c r="EX695" s="67" t="s">
        <v>5577</v>
      </c>
      <c r="EY695" s="67">
        <v>5920</v>
      </c>
      <c r="EZ695" s="67" t="s">
        <v>5578</v>
      </c>
      <c r="FA695" s="67">
        <v>21262.75</v>
      </c>
      <c r="FB695" s="67" t="s">
        <v>5579</v>
      </c>
      <c r="FC695" s="67" t="s">
        <v>5580</v>
      </c>
      <c r="FD695" s="67" t="s">
        <v>5581</v>
      </c>
      <c r="FE695" s="68" t="s">
        <v>5582</v>
      </c>
      <c r="FF695" s="68" t="s">
        <v>5583</v>
      </c>
    </row>
    <row r="696" spans="151:162" x14ac:dyDescent="0.2">
      <c r="EU696" s="67">
        <v>590.99</v>
      </c>
      <c r="EV696" s="67" t="s">
        <v>5584</v>
      </c>
      <c r="EW696" s="67">
        <v>517.99</v>
      </c>
      <c r="EX696" s="67" t="s">
        <v>5585</v>
      </c>
      <c r="EY696" s="67">
        <v>5920</v>
      </c>
      <c r="EZ696" s="67" t="s">
        <v>5586</v>
      </c>
      <c r="FA696" s="67">
        <v>21266.25</v>
      </c>
      <c r="FB696" s="67" t="s">
        <v>5587</v>
      </c>
      <c r="FC696" s="67" t="s">
        <v>5588</v>
      </c>
      <c r="FD696" s="67" t="s">
        <v>5589</v>
      </c>
      <c r="FE696" s="68" t="s">
        <v>5590</v>
      </c>
      <c r="FF696" s="68" t="s">
        <v>5591</v>
      </c>
    </row>
    <row r="697" spans="151:162" x14ac:dyDescent="0.2">
      <c r="EU697" s="67">
        <v>591.01</v>
      </c>
      <c r="EV697" s="67" t="s">
        <v>5592</v>
      </c>
      <c r="EW697" s="67">
        <v>518.08000000000004</v>
      </c>
      <c r="EX697" s="67" t="s">
        <v>5593</v>
      </c>
      <c r="EY697" s="67">
        <v>5920.75</v>
      </c>
      <c r="EZ697" s="67" t="s">
        <v>5594</v>
      </c>
      <c r="FA697" s="67">
        <v>21267.25</v>
      </c>
      <c r="FB697" s="67" t="s">
        <v>5595</v>
      </c>
      <c r="FC697" s="67" t="s">
        <v>5596</v>
      </c>
      <c r="FD697" s="67" t="s">
        <v>5597</v>
      </c>
      <c r="FE697" s="68" t="s">
        <v>5598</v>
      </c>
      <c r="FF697" s="68" t="s">
        <v>5599</v>
      </c>
    </row>
    <row r="698" spans="151:162" x14ac:dyDescent="0.2">
      <c r="EU698" s="67">
        <v>591.08000000000004</v>
      </c>
      <c r="EV698" s="67" t="s">
        <v>5600</v>
      </c>
      <c r="EW698" s="67">
        <v>518.15</v>
      </c>
      <c r="EX698" s="67" t="s">
        <v>5601</v>
      </c>
      <c r="EY698" s="67">
        <v>5921.25</v>
      </c>
      <c r="EZ698" s="67" t="s">
        <v>5602</v>
      </c>
      <c r="FA698" s="67">
        <v>21270</v>
      </c>
      <c r="FB698" s="67" t="s">
        <v>5603</v>
      </c>
      <c r="FC698" s="67" t="s">
        <v>5604</v>
      </c>
      <c r="FD698" s="67" t="s">
        <v>5605</v>
      </c>
      <c r="FE698" s="68" t="s">
        <v>5606</v>
      </c>
      <c r="FF698" s="68" t="s">
        <v>5607</v>
      </c>
    </row>
    <row r="699" spans="151:162" x14ac:dyDescent="0.2">
      <c r="EU699" s="67">
        <v>590.92999999999995</v>
      </c>
      <c r="EV699" s="67" t="s">
        <v>5608</v>
      </c>
      <c r="EW699" s="67">
        <v>517.99</v>
      </c>
      <c r="EX699" s="67" t="s">
        <v>5609</v>
      </c>
      <c r="EY699" s="67">
        <v>5920</v>
      </c>
      <c r="EZ699" s="67" t="s">
        <v>5610</v>
      </c>
      <c r="FA699" s="67">
        <v>21263.25</v>
      </c>
      <c r="FB699" s="67" t="s">
        <v>5611</v>
      </c>
      <c r="FC699" s="67" t="s">
        <v>5612</v>
      </c>
      <c r="FD699" s="67" t="s">
        <v>5613</v>
      </c>
      <c r="FE699" s="68" t="s">
        <v>5614</v>
      </c>
      <c r="FF699" s="68" t="s">
        <v>5615</v>
      </c>
    </row>
    <row r="700" spans="151:162" x14ac:dyDescent="0.2">
      <c r="EU700" s="67">
        <v>590.97</v>
      </c>
      <c r="EV700" s="67" t="s">
        <v>5616</v>
      </c>
      <c r="EW700" s="67">
        <v>518.08000000000004</v>
      </c>
      <c r="EX700" s="67" t="s">
        <v>5617</v>
      </c>
      <c r="EY700" s="67">
        <v>5920.25</v>
      </c>
      <c r="EZ700" s="67" t="s">
        <v>5618</v>
      </c>
      <c r="FA700" s="67">
        <v>21266.75</v>
      </c>
      <c r="FB700" s="67" t="s">
        <v>5619</v>
      </c>
      <c r="FC700" s="67" t="s">
        <v>5620</v>
      </c>
      <c r="FD700" s="67" t="s">
        <v>5621</v>
      </c>
      <c r="FE700" s="68" t="s">
        <v>5622</v>
      </c>
      <c r="FF700" s="68" t="s">
        <v>5623</v>
      </c>
    </row>
    <row r="701" spans="151:162" x14ac:dyDescent="0.2">
      <c r="EU701" s="67">
        <v>590.95000000000005</v>
      </c>
      <c r="EV701" s="67" t="s">
        <v>5624</v>
      </c>
      <c r="EW701" s="67">
        <v>518.04</v>
      </c>
      <c r="EX701" s="67" t="s">
        <v>5625</v>
      </c>
      <c r="EY701" s="67">
        <v>5920.5</v>
      </c>
      <c r="EZ701" s="67" t="s">
        <v>5626</v>
      </c>
      <c r="FA701" s="67">
        <v>21265.75</v>
      </c>
      <c r="FB701" s="67" t="s">
        <v>5627</v>
      </c>
      <c r="FC701" s="67" t="s">
        <v>5628</v>
      </c>
      <c r="FD701" s="67" t="s">
        <v>5629</v>
      </c>
      <c r="FE701" s="68" t="s">
        <v>5630</v>
      </c>
      <c r="FF701" s="68" t="s">
        <v>5631</v>
      </c>
    </row>
    <row r="702" spans="151:162" x14ac:dyDescent="0.2">
      <c r="EU702" s="67">
        <v>590.89</v>
      </c>
      <c r="EV702" s="67" t="s">
        <v>5632</v>
      </c>
      <c r="EW702" s="67">
        <v>517.92999999999995</v>
      </c>
      <c r="EX702" s="67" t="s">
        <v>5633</v>
      </c>
      <c r="EY702" s="67">
        <v>5919.5</v>
      </c>
      <c r="EZ702" s="67" t="s">
        <v>5634</v>
      </c>
      <c r="FA702" s="67">
        <v>21260.75</v>
      </c>
      <c r="FB702" s="67" t="s">
        <v>5635</v>
      </c>
      <c r="FC702" s="67" t="s">
        <v>5636</v>
      </c>
      <c r="FD702" s="67" t="s">
        <v>5637</v>
      </c>
      <c r="FE702" s="68" t="s">
        <v>5638</v>
      </c>
      <c r="FF702" s="68" t="s">
        <v>5639</v>
      </c>
    </row>
    <row r="703" spans="151:162" x14ac:dyDescent="0.2">
      <c r="EU703" s="67">
        <v>590.91</v>
      </c>
      <c r="EV703" s="67" t="s">
        <v>5640</v>
      </c>
      <c r="EW703" s="67">
        <v>517.92999999999995</v>
      </c>
      <c r="EX703" s="67" t="s">
        <v>5641</v>
      </c>
      <c r="EY703" s="67">
        <v>5919.75</v>
      </c>
      <c r="EZ703" s="67" t="s">
        <v>5642</v>
      </c>
      <c r="FA703" s="67">
        <v>21261.5</v>
      </c>
      <c r="FB703" s="67" t="s">
        <v>5643</v>
      </c>
      <c r="FC703" s="67" t="s">
        <v>5644</v>
      </c>
      <c r="FD703" s="67" t="s">
        <v>5645</v>
      </c>
      <c r="FE703" s="68" t="s">
        <v>5646</v>
      </c>
      <c r="FF703" s="68" t="s">
        <v>5647</v>
      </c>
    </row>
    <row r="704" spans="151:162" x14ac:dyDescent="0.2">
      <c r="EU704" s="67">
        <v>590.92999999999995</v>
      </c>
      <c r="EV704" s="67" t="s">
        <v>5648</v>
      </c>
      <c r="EW704" s="67">
        <v>517.95000000000005</v>
      </c>
      <c r="EX704" s="67" t="s">
        <v>5649</v>
      </c>
      <c r="EY704" s="67">
        <v>5920</v>
      </c>
      <c r="EZ704" s="67" t="s">
        <v>5650</v>
      </c>
      <c r="FA704" s="67">
        <v>21261.25</v>
      </c>
      <c r="FB704" s="67" t="s">
        <v>5651</v>
      </c>
      <c r="FC704" s="67" t="s">
        <v>5652</v>
      </c>
      <c r="FD704" s="67" t="s">
        <v>5653</v>
      </c>
      <c r="FE704" s="68" t="s">
        <v>5654</v>
      </c>
      <c r="FF704" s="68" t="s">
        <v>5655</v>
      </c>
    </row>
    <row r="705" spans="151:162" x14ac:dyDescent="0.2">
      <c r="EU705" s="67">
        <v>591.02</v>
      </c>
      <c r="EV705" s="67" t="s">
        <v>5656</v>
      </c>
      <c r="EW705" s="67">
        <v>518.05200000000002</v>
      </c>
      <c r="EX705" s="67" t="s">
        <v>5657</v>
      </c>
      <c r="EY705" s="67">
        <v>5921</v>
      </c>
      <c r="EZ705" s="67" t="s">
        <v>5658</v>
      </c>
      <c r="FA705" s="67">
        <v>21266.5</v>
      </c>
      <c r="FB705" s="67" t="s">
        <v>5659</v>
      </c>
      <c r="FC705" s="67" t="s">
        <v>5660</v>
      </c>
      <c r="FD705" s="67" t="s">
        <v>5661</v>
      </c>
      <c r="FE705" s="68" t="s">
        <v>5662</v>
      </c>
      <c r="FF705" s="68" t="s">
        <v>5663</v>
      </c>
    </row>
    <row r="706" spans="151:162" x14ac:dyDescent="0.2">
      <c r="EU706" s="67">
        <v>590.52099999999996</v>
      </c>
      <c r="EV706" s="67" t="s">
        <v>5664</v>
      </c>
      <c r="EW706" s="67">
        <v>517.45000000000005</v>
      </c>
      <c r="EX706" s="67" t="s">
        <v>5665</v>
      </c>
      <c r="EY706" s="67">
        <v>5915</v>
      </c>
      <c r="EZ706" s="67" t="s">
        <v>5666</v>
      </c>
      <c r="FA706" s="67">
        <v>21245.5</v>
      </c>
      <c r="FB706" s="67" t="s">
        <v>5667</v>
      </c>
      <c r="FC706" s="67" t="s">
        <v>5668</v>
      </c>
      <c r="FD706" s="67" t="s">
        <v>5669</v>
      </c>
      <c r="FE706" s="68" t="s">
        <v>5670</v>
      </c>
      <c r="FF706" s="68" t="s">
        <v>5671</v>
      </c>
    </row>
    <row r="707" spans="151:162" x14ac:dyDescent="0.2">
      <c r="EU707" s="67">
        <v>590.29999999999995</v>
      </c>
      <c r="EV707" s="67" t="s">
        <v>5672</v>
      </c>
      <c r="EW707" s="67">
        <v>517.48</v>
      </c>
      <c r="EX707" s="67" t="s">
        <v>5673</v>
      </c>
      <c r="EY707" s="67">
        <v>5914.75</v>
      </c>
      <c r="EZ707" s="67" t="s">
        <v>5674</v>
      </c>
      <c r="FA707" s="67">
        <v>21239.5</v>
      </c>
      <c r="FB707" s="67" t="s">
        <v>5675</v>
      </c>
      <c r="FC707" s="67" t="s">
        <v>5676</v>
      </c>
      <c r="FD707" s="67" t="s">
        <v>5677</v>
      </c>
      <c r="FE707" s="68" t="s">
        <v>5678</v>
      </c>
      <c r="FF707" s="68" t="s">
        <v>5679</v>
      </c>
    </row>
    <row r="708" spans="151:162" x14ac:dyDescent="0.2">
      <c r="EU708" s="67">
        <v>590.38</v>
      </c>
      <c r="EV708" s="67" t="s">
        <v>5680</v>
      </c>
      <c r="EW708" s="67">
        <v>517.48</v>
      </c>
      <c r="EX708" s="67" t="s">
        <v>5681</v>
      </c>
      <c r="EY708" s="67">
        <v>5914.5</v>
      </c>
      <c r="EZ708" s="67" t="s">
        <v>5682</v>
      </c>
      <c r="FA708" s="67">
        <v>21243</v>
      </c>
      <c r="FB708" s="67" t="s">
        <v>5683</v>
      </c>
      <c r="FC708" s="67" t="s">
        <v>5684</v>
      </c>
      <c r="FD708" s="67" t="s">
        <v>5685</v>
      </c>
      <c r="FE708" s="68" t="s">
        <v>5686</v>
      </c>
      <c r="FF708" s="68" t="s">
        <v>5687</v>
      </c>
    </row>
    <row r="709" spans="151:162" x14ac:dyDescent="0.2">
      <c r="EU709" s="67">
        <v>590.14499999999998</v>
      </c>
      <c r="EV709" s="67" t="s">
        <v>5688</v>
      </c>
      <c r="EW709" s="67">
        <v>517.24</v>
      </c>
      <c r="EX709" s="67" t="s">
        <v>5689</v>
      </c>
      <c r="EY709" s="67">
        <v>5912.25</v>
      </c>
      <c r="EZ709" s="67" t="s">
        <v>5690</v>
      </c>
      <c r="FA709" s="67">
        <v>21233</v>
      </c>
      <c r="FB709" s="67" t="s">
        <v>5691</v>
      </c>
      <c r="FC709" s="67" t="s">
        <v>5692</v>
      </c>
      <c r="FD709" s="67" t="s">
        <v>5693</v>
      </c>
      <c r="FE709" s="68" t="s">
        <v>5694</v>
      </c>
      <c r="FF709" s="68" t="s">
        <v>5695</v>
      </c>
    </row>
    <row r="710" spans="151:162" x14ac:dyDescent="0.2">
      <c r="EU710" s="67">
        <v>589.88</v>
      </c>
      <c r="EV710" s="67" t="s">
        <v>5696</v>
      </c>
      <c r="EW710" s="67">
        <v>516.98</v>
      </c>
      <c r="EX710" s="67" t="s">
        <v>5697</v>
      </c>
      <c r="EY710" s="67">
        <v>5909.5</v>
      </c>
      <c r="EZ710" s="67" t="s">
        <v>5698</v>
      </c>
      <c r="FA710" s="67">
        <v>21222.5</v>
      </c>
      <c r="FB710" s="67" t="s">
        <v>5699</v>
      </c>
      <c r="FC710" s="67" t="s">
        <v>5700</v>
      </c>
      <c r="FD710" s="67" t="s">
        <v>5701</v>
      </c>
      <c r="FE710" s="68" t="s">
        <v>5702</v>
      </c>
      <c r="FF710" s="68" t="s">
        <v>5703</v>
      </c>
    </row>
    <row r="711" spans="151:162" x14ac:dyDescent="0.2">
      <c r="EU711" s="67">
        <v>589.89</v>
      </c>
      <c r="EV711" s="67" t="s">
        <v>5704</v>
      </c>
      <c r="EW711" s="67">
        <v>516.96</v>
      </c>
      <c r="EX711" s="67" t="s">
        <v>5705</v>
      </c>
      <c r="EY711" s="67">
        <v>5909.25</v>
      </c>
      <c r="EZ711" s="67" t="s">
        <v>5706</v>
      </c>
      <c r="FA711" s="67">
        <v>21220.5</v>
      </c>
      <c r="FB711" s="67" t="s">
        <v>5707</v>
      </c>
      <c r="FC711" s="67" t="s">
        <v>5708</v>
      </c>
      <c r="FD711" s="67" t="s">
        <v>5709</v>
      </c>
      <c r="FE711" s="68" t="s">
        <v>5710</v>
      </c>
      <c r="FF711" s="68" t="s">
        <v>5711</v>
      </c>
    </row>
    <row r="712" spans="151:162" x14ac:dyDescent="0.2">
      <c r="EU712" s="67">
        <v>590.16999999999996</v>
      </c>
      <c r="EV712" s="67" t="s">
        <v>5712</v>
      </c>
      <c r="EW712" s="67">
        <v>517.20500000000004</v>
      </c>
      <c r="EX712" s="67" t="s">
        <v>5713</v>
      </c>
      <c r="EY712" s="67">
        <v>5912.5</v>
      </c>
      <c r="EZ712" s="67" t="s">
        <v>5714</v>
      </c>
      <c r="FA712" s="67">
        <v>21231.5</v>
      </c>
      <c r="FB712" s="67" t="s">
        <v>5715</v>
      </c>
      <c r="FC712" s="67" t="s">
        <v>5716</v>
      </c>
      <c r="FD712" s="67" t="s">
        <v>5717</v>
      </c>
      <c r="FE712" s="68" t="s">
        <v>5718</v>
      </c>
      <c r="FF712" s="68" t="s">
        <v>5719</v>
      </c>
    </row>
    <row r="713" spans="151:162" x14ac:dyDescent="0.2">
      <c r="EU713" s="67">
        <v>589.98</v>
      </c>
      <c r="EV713" s="67" t="s">
        <v>5720</v>
      </c>
      <c r="EW713" s="67">
        <v>517.04999999999995</v>
      </c>
      <c r="EX713" s="67" t="s">
        <v>5721</v>
      </c>
      <c r="EY713" s="67">
        <v>5910.5</v>
      </c>
      <c r="EZ713" s="67" t="s">
        <v>5722</v>
      </c>
      <c r="FA713" s="67">
        <v>21223.75</v>
      </c>
      <c r="FB713" s="67" t="s">
        <v>5723</v>
      </c>
      <c r="FC713" s="67" t="s">
        <v>5724</v>
      </c>
      <c r="FD713" s="67" t="s">
        <v>5725</v>
      </c>
      <c r="FE713" s="68" t="s">
        <v>5726</v>
      </c>
      <c r="FF713" s="68" t="s">
        <v>5727</v>
      </c>
    </row>
    <row r="714" spans="151:162" x14ac:dyDescent="0.2">
      <c r="EU714" s="67">
        <v>590.39</v>
      </c>
      <c r="EV714" s="67" t="s">
        <v>5728</v>
      </c>
      <c r="EW714" s="67">
        <v>517.39</v>
      </c>
      <c r="EX714" s="67" t="s">
        <v>5729</v>
      </c>
      <c r="EY714" s="67">
        <v>5914.5</v>
      </c>
      <c r="EZ714" s="67" t="s">
        <v>5730</v>
      </c>
      <c r="FA714" s="67">
        <v>21239</v>
      </c>
      <c r="FB714" s="67" t="s">
        <v>5731</v>
      </c>
      <c r="FC714" s="67" t="s">
        <v>5732</v>
      </c>
      <c r="FD714" s="67" t="s">
        <v>5733</v>
      </c>
      <c r="FE714" s="68" t="s">
        <v>5734</v>
      </c>
      <c r="FF714" s="68" t="s">
        <v>5735</v>
      </c>
    </row>
    <row r="715" spans="151:162" x14ac:dyDescent="0.2">
      <c r="EU715" s="67">
        <v>590.59</v>
      </c>
      <c r="EV715" s="67" t="s">
        <v>5736</v>
      </c>
      <c r="EW715" s="67">
        <v>517.64</v>
      </c>
      <c r="EX715" s="67" t="s">
        <v>5737</v>
      </c>
      <c r="EY715" s="67">
        <v>5917</v>
      </c>
      <c r="EZ715" s="67" t="s">
        <v>5738</v>
      </c>
      <c r="FA715" s="67">
        <v>21248.5</v>
      </c>
      <c r="FB715" s="67" t="s">
        <v>5739</v>
      </c>
      <c r="FC715" s="67" t="s">
        <v>5740</v>
      </c>
      <c r="FD715" s="67" t="s">
        <v>5741</v>
      </c>
      <c r="FE715" s="68" t="s">
        <v>5742</v>
      </c>
      <c r="FF715" s="68" t="s">
        <v>5743</v>
      </c>
    </row>
    <row r="716" spans="151:162" x14ac:dyDescent="0.2">
      <c r="EU716" s="67">
        <v>590.69000000000005</v>
      </c>
      <c r="EV716" s="67" t="s">
        <v>5744</v>
      </c>
      <c r="EW716" s="67">
        <v>517.67999999999995</v>
      </c>
      <c r="EX716" s="67" t="s">
        <v>5745</v>
      </c>
      <c r="EY716" s="67">
        <v>5917.5</v>
      </c>
      <c r="EZ716" s="67" t="s">
        <v>5746</v>
      </c>
      <c r="FA716" s="67">
        <v>21251.5</v>
      </c>
      <c r="FB716" s="67" t="s">
        <v>5747</v>
      </c>
      <c r="FC716" s="67" t="s">
        <v>5748</v>
      </c>
      <c r="FD716" s="67" t="s">
        <v>5749</v>
      </c>
      <c r="FE716" s="68" t="s">
        <v>5750</v>
      </c>
      <c r="FF716" s="68" t="s">
        <v>5751</v>
      </c>
    </row>
    <row r="717" spans="151:162" x14ac:dyDescent="0.2">
      <c r="EU717" s="67">
        <v>590.46500000000003</v>
      </c>
      <c r="EV717" s="67" t="s">
        <v>5752</v>
      </c>
      <c r="EW717" s="67">
        <v>517.57000000000005</v>
      </c>
      <c r="EX717" s="67" t="s">
        <v>5753</v>
      </c>
      <c r="EY717" s="67">
        <v>5916</v>
      </c>
      <c r="EZ717" s="67" t="s">
        <v>5754</v>
      </c>
      <c r="FA717" s="67">
        <v>21244.25</v>
      </c>
      <c r="FB717" s="67" t="s">
        <v>5755</v>
      </c>
      <c r="FC717" s="67" t="s">
        <v>5756</v>
      </c>
      <c r="FD717" s="67" t="s">
        <v>5757</v>
      </c>
      <c r="FE717" s="68" t="s">
        <v>5758</v>
      </c>
      <c r="FF717" s="68" t="s">
        <v>5759</v>
      </c>
    </row>
    <row r="718" spans="151:162" x14ac:dyDescent="0.2">
      <c r="EU718" s="67">
        <v>590.70000000000005</v>
      </c>
      <c r="EV718" s="67" t="s">
        <v>5760</v>
      </c>
      <c r="EW718" s="67">
        <v>517.78</v>
      </c>
      <c r="EX718" s="67" t="s">
        <v>5761</v>
      </c>
      <c r="EY718" s="67">
        <v>5917.75</v>
      </c>
      <c r="EZ718" s="67" t="s">
        <v>5762</v>
      </c>
      <c r="FA718" s="67">
        <v>21255.25</v>
      </c>
      <c r="FB718" s="67" t="s">
        <v>5763</v>
      </c>
      <c r="FC718" s="67" t="s">
        <v>5764</v>
      </c>
      <c r="FD718" s="67" t="s">
        <v>5765</v>
      </c>
      <c r="FE718" s="68" t="s">
        <v>5766</v>
      </c>
      <c r="FF718" s="68" t="s">
        <v>5767</v>
      </c>
    </row>
    <row r="719" spans="151:162" x14ac:dyDescent="0.2">
      <c r="EU719" s="67">
        <v>590.79999999999995</v>
      </c>
      <c r="EV719" s="67" t="s">
        <v>5768</v>
      </c>
      <c r="EW719" s="67">
        <v>517.89</v>
      </c>
      <c r="EX719" s="67" t="s">
        <v>5769</v>
      </c>
      <c r="EY719" s="67">
        <v>5918.75</v>
      </c>
      <c r="EZ719" s="67" t="s">
        <v>5770</v>
      </c>
      <c r="FA719" s="67">
        <v>21259.5</v>
      </c>
      <c r="FB719" s="67" t="s">
        <v>5771</v>
      </c>
      <c r="FC719" s="67" t="s">
        <v>5772</v>
      </c>
      <c r="FD719" s="67" t="s">
        <v>5773</v>
      </c>
      <c r="FE719" s="68" t="s">
        <v>5774</v>
      </c>
      <c r="FF719" s="68" t="s">
        <v>5775</v>
      </c>
    </row>
    <row r="720" spans="151:162" x14ac:dyDescent="0.2">
      <c r="EU720" s="67">
        <v>590.86</v>
      </c>
      <c r="EV720" s="67" t="s">
        <v>5776</v>
      </c>
      <c r="EW720" s="67">
        <v>517.96500000000003</v>
      </c>
      <c r="EX720" s="67" t="s">
        <v>5777</v>
      </c>
      <c r="EY720" s="67">
        <v>5919.25</v>
      </c>
      <c r="EZ720" s="67" t="s">
        <v>5778</v>
      </c>
      <c r="FA720" s="67">
        <v>21262.25</v>
      </c>
      <c r="FB720" s="67" t="s">
        <v>5779</v>
      </c>
      <c r="FC720" s="67" t="s">
        <v>5780</v>
      </c>
      <c r="FD720" s="67" t="s">
        <v>5781</v>
      </c>
      <c r="FE720" s="68" t="s">
        <v>5782</v>
      </c>
      <c r="FF720" s="68" t="s">
        <v>5783</v>
      </c>
    </row>
    <row r="721" spans="151:162" x14ac:dyDescent="0.2">
      <c r="EU721" s="67">
        <v>590.87</v>
      </c>
      <c r="EV721" s="67" t="s">
        <v>5784</v>
      </c>
      <c r="EW721" s="67">
        <v>517.96</v>
      </c>
      <c r="EX721" s="67" t="s">
        <v>5785</v>
      </c>
      <c r="EY721" s="67">
        <v>5919.25</v>
      </c>
      <c r="EZ721" s="67" t="s">
        <v>5786</v>
      </c>
      <c r="FA721" s="67">
        <v>21263.75</v>
      </c>
      <c r="FB721" s="67" t="s">
        <v>5787</v>
      </c>
      <c r="FC721" s="67" t="s">
        <v>5788</v>
      </c>
      <c r="FD721" s="67" t="s">
        <v>5789</v>
      </c>
      <c r="FE721" s="68" t="s">
        <v>5790</v>
      </c>
      <c r="FF721" s="68" t="s">
        <v>5791</v>
      </c>
    </row>
    <row r="722" spans="151:162" x14ac:dyDescent="0.2">
      <c r="EU722" s="67">
        <v>590.79</v>
      </c>
      <c r="EV722" s="67" t="s">
        <v>5792</v>
      </c>
      <c r="EW722" s="67">
        <v>517.90499999999997</v>
      </c>
      <c r="EX722" s="67" t="s">
        <v>5793</v>
      </c>
      <c r="EY722" s="67">
        <v>5918.75</v>
      </c>
      <c r="EZ722" s="67" t="s">
        <v>5794</v>
      </c>
      <c r="FA722" s="67">
        <v>21260.5</v>
      </c>
      <c r="FB722" s="67" t="s">
        <v>5795</v>
      </c>
      <c r="FC722" s="67" t="s">
        <v>5796</v>
      </c>
      <c r="FD722" s="67" t="s">
        <v>5797</v>
      </c>
      <c r="FE722" s="68" t="s">
        <v>5798</v>
      </c>
      <c r="FF722" s="68" t="s">
        <v>5799</v>
      </c>
    </row>
    <row r="723" spans="151:162" x14ac:dyDescent="0.2">
      <c r="EU723" s="67">
        <v>590.80999999999995</v>
      </c>
      <c r="EV723" s="67" t="s">
        <v>5800</v>
      </c>
      <c r="EW723" s="67">
        <v>517.91999999999996</v>
      </c>
      <c r="EX723" s="67" t="s">
        <v>5801</v>
      </c>
      <c r="EY723" s="67">
        <v>5919</v>
      </c>
      <c r="EZ723" s="67" t="s">
        <v>5802</v>
      </c>
      <c r="FA723" s="67">
        <v>21261</v>
      </c>
      <c r="FB723" s="67" t="s">
        <v>5803</v>
      </c>
      <c r="FC723" s="67" t="s">
        <v>5804</v>
      </c>
      <c r="FD723" s="67" t="s">
        <v>5805</v>
      </c>
      <c r="FE723" s="68" t="s">
        <v>5806</v>
      </c>
      <c r="FF723" s="68" t="s">
        <v>5807</v>
      </c>
    </row>
    <row r="724" spans="151:162" x14ac:dyDescent="0.2">
      <c r="EU724" s="67">
        <v>590.96</v>
      </c>
      <c r="EV724" s="67" t="s">
        <v>5808</v>
      </c>
      <c r="EW724" s="67">
        <v>518.04999999999995</v>
      </c>
      <c r="EX724" s="67" t="s">
        <v>5809</v>
      </c>
      <c r="EY724" s="67">
        <v>5920.75</v>
      </c>
      <c r="EZ724" s="67" t="s">
        <v>5810</v>
      </c>
      <c r="FA724" s="67">
        <v>21266.5</v>
      </c>
      <c r="FB724" s="67" t="s">
        <v>5811</v>
      </c>
      <c r="FC724" s="67" t="s">
        <v>5812</v>
      </c>
      <c r="FD724" s="67" t="s">
        <v>5813</v>
      </c>
      <c r="FE724" s="68" t="s">
        <v>5814</v>
      </c>
      <c r="FF724" s="68" t="s">
        <v>5815</v>
      </c>
    </row>
    <row r="725" spans="151:162" x14ac:dyDescent="0.2">
      <c r="EU725" s="67">
        <v>591.20500000000004</v>
      </c>
      <c r="EV725" s="67" t="s">
        <v>5816</v>
      </c>
      <c r="EW725" s="67">
        <v>518.29</v>
      </c>
      <c r="EX725" s="67" t="s">
        <v>5817</v>
      </c>
      <c r="EY725" s="67">
        <v>5923</v>
      </c>
      <c r="EZ725" s="67" t="s">
        <v>5818</v>
      </c>
      <c r="FA725" s="67">
        <v>21276.25</v>
      </c>
      <c r="FB725" s="67" t="s">
        <v>5819</v>
      </c>
      <c r="FC725" s="67" t="s">
        <v>5820</v>
      </c>
      <c r="FD725" s="67" t="s">
        <v>5821</v>
      </c>
      <c r="FE725" s="68" t="s">
        <v>5822</v>
      </c>
      <c r="FF725" s="68" t="s">
        <v>5823</v>
      </c>
    </row>
    <row r="726" spans="151:162" x14ac:dyDescent="0.2">
      <c r="EU726" s="67">
        <v>591.32000000000005</v>
      </c>
      <c r="EV726" s="67" t="s">
        <v>5824</v>
      </c>
      <c r="EW726" s="67">
        <v>518.44000000000005</v>
      </c>
      <c r="EX726" s="67" t="s">
        <v>5825</v>
      </c>
      <c r="EY726" s="67">
        <v>5923.75</v>
      </c>
      <c r="EZ726" s="67" t="s">
        <v>5826</v>
      </c>
      <c r="FA726" s="67">
        <v>21281.75</v>
      </c>
      <c r="FB726" s="67" t="s">
        <v>5827</v>
      </c>
      <c r="FC726" s="67" t="s">
        <v>5828</v>
      </c>
      <c r="FD726" s="67" t="s">
        <v>5829</v>
      </c>
      <c r="FE726" s="68" t="s">
        <v>5830</v>
      </c>
      <c r="FF726" s="68" t="s">
        <v>5831</v>
      </c>
    </row>
    <row r="727" spans="151:162" x14ac:dyDescent="0.2">
      <c r="EU727" s="67">
        <v>591.26</v>
      </c>
      <c r="EV727" s="67" t="s">
        <v>5832</v>
      </c>
      <c r="EW727" s="67">
        <v>518.38</v>
      </c>
      <c r="EX727" s="67" t="s">
        <v>5833</v>
      </c>
      <c r="EY727" s="67">
        <v>5923.5</v>
      </c>
      <c r="EZ727" s="67" t="s">
        <v>5834</v>
      </c>
      <c r="FA727" s="67">
        <v>21279.5</v>
      </c>
      <c r="FB727" s="67" t="s">
        <v>5835</v>
      </c>
      <c r="FC727" s="67" t="s">
        <v>5836</v>
      </c>
      <c r="FD727" s="67" t="s">
        <v>5837</v>
      </c>
      <c r="FE727" s="68" t="s">
        <v>5838</v>
      </c>
      <c r="FF727" s="68" t="s">
        <v>5839</v>
      </c>
    </row>
    <row r="728" spans="151:162" x14ac:dyDescent="0.2">
      <c r="EU728" s="67">
        <v>591.21</v>
      </c>
      <c r="EV728" s="67" t="s">
        <v>5840</v>
      </c>
      <c r="EW728" s="67">
        <v>518.37</v>
      </c>
      <c r="EX728" s="67" t="s">
        <v>5841</v>
      </c>
      <c r="EY728" s="67">
        <v>5923</v>
      </c>
      <c r="EZ728" s="67" t="s">
        <v>5842</v>
      </c>
      <c r="FA728" s="67">
        <v>21279.25</v>
      </c>
      <c r="FB728" s="67" t="s">
        <v>5843</v>
      </c>
      <c r="FC728" s="67" t="s">
        <v>5844</v>
      </c>
      <c r="FD728" s="67" t="s">
        <v>5845</v>
      </c>
      <c r="FE728" s="68" t="s">
        <v>5846</v>
      </c>
      <c r="FF728" s="68" t="s">
        <v>5847</v>
      </c>
    </row>
    <row r="729" spans="151:162" x14ac:dyDescent="0.2">
      <c r="EU729" s="67">
        <v>591.37</v>
      </c>
      <c r="EV729" s="67" t="s">
        <v>5848</v>
      </c>
      <c r="EW729" s="67">
        <v>518.54499999999996</v>
      </c>
      <c r="EX729" s="67" t="s">
        <v>5849</v>
      </c>
      <c r="EY729" s="67">
        <v>5924.75</v>
      </c>
      <c r="EZ729" s="67" t="s">
        <v>5850</v>
      </c>
      <c r="FA729" s="67">
        <v>21285.5</v>
      </c>
      <c r="FB729" s="67" t="s">
        <v>5851</v>
      </c>
      <c r="FC729" s="67" t="s">
        <v>5852</v>
      </c>
      <c r="FD729" s="67" t="s">
        <v>5853</v>
      </c>
      <c r="FE729" s="68" t="s">
        <v>5854</v>
      </c>
      <c r="FF729" s="68" t="s">
        <v>5855</v>
      </c>
    </row>
    <row r="730" spans="151:162" x14ac:dyDescent="0.2">
      <c r="EU730" s="67">
        <v>591.30999999999995</v>
      </c>
      <c r="EV730" s="67" t="s">
        <v>5856</v>
      </c>
      <c r="EW730" s="67">
        <v>518.48</v>
      </c>
      <c r="EX730" s="67" t="s">
        <v>5857</v>
      </c>
      <c r="EY730" s="67">
        <v>5924</v>
      </c>
      <c r="EZ730" s="67" t="s">
        <v>5858</v>
      </c>
      <c r="FA730" s="67">
        <v>21284</v>
      </c>
      <c r="FB730" s="67" t="s">
        <v>5859</v>
      </c>
      <c r="FC730" s="67" t="s">
        <v>5860</v>
      </c>
      <c r="FD730" s="67" t="s">
        <v>5861</v>
      </c>
      <c r="FE730" s="68" t="s">
        <v>5862</v>
      </c>
      <c r="FF730" s="68" t="s">
        <v>5863</v>
      </c>
    </row>
    <row r="731" spans="151:162" x14ac:dyDescent="0.2">
      <c r="EU731" s="67">
        <v>591.49</v>
      </c>
      <c r="EV731" s="67" t="s">
        <v>5864</v>
      </c>
      <c r="EW731" s="67">
        <v>518.66</v>
      </c>
      <c r="EX731" s="67" t="s">
        <v>5865</v>
      </c>
      <c r="EY731" s="67">
        <v>5925.75</v>
      </c>
      <c r="EZ731" s="67" t="s">
        <v>5866</v>
      </c>
      <c r="FA731" s="67">
        <v>21292.25</v>
      </c>
      <c r="FB731" s="67" t="s">
        <v>5867</v>
      </c>
      <c r="FC731" s="67" t="s">
        <v>5868</v>
      </c>
      <c r="FD731" s="67" t="s">
        <v>5869</v>
      </c>
      <c r="FE731" s="68" t="s">
        <v>5870</v>
      </c>
      <c r="FF731" s="68" t="s">
        <v>5871</v>
      </c>
    </row>
    <row r="732" spans="151:162" x14ac:dyDescent="0.2">
      <c r="EU732" s="67">
        <v>591.55999999999995</v>
      </c>
      <c r="EV732" s="67" t="s">
        <v>5872</v>
      </c>
      <c r="EW732" s="67">
        <v>518.72</v>
      </c>
      <c r="EX732" s="67" t="s">
        <v>5873</v>
      </c>
      <c r="EY732" s="67">
        <v>5926.5</v>
      </c>
      <c r="EZ732" s="67" t="s">
        <v>5874</v>
      </c>
      <c r="FA732" s="67">
        <v>21293.75</v>
      </c>
      <c r="FB732" s="67" t="s">
        <v>5875</v>
      </c>
      <c r="FC732" s="67" t="s">
        <v>5876</v>
      </c>
      <c r="FD732" s="67" t="s">
        <v>5877</v>
      </c>
      <c r="FE732" s="68" t="s">
        <v>5878</v>
      </c>
      <c r="FF732" s="68" t="s">
        <v>5879</v>
      </c>
    </row>
    <row r="733" spans="151:162" x14ac:dyDescent="0.2">
      <c r="EU733" s="67">
        <v>591.5</v>
      </c>
      <c r="EV733" s="67" t="s">
        <v>5880</v>
      </c>
      <c r="EW733" s="67">
        <v>518.66999999999996</v>
      </c>
      <c r="EX733" s="67" t="s">
        <v>5881</v>
      </c>
      <c r="EY733" s="67">
        <v>5925.75</v>
      </c>
      <c r="EZ733" s="67" t="s">
        <v>5882</v>
      </c>
      <c r="FA733" s="67">
        <v>21291.75</v>
      </c>
      <c r="FB733" s="67" t="s">
        <v>5883</v>
      </c>
      <c r="FC733" s="67" t="s">
        <v>5884</v>
      </c>
      <c r="FD733" s="67" t="s">
        <v>5885</v>
      </c>
      <c r="FE733" s="68" t="s">
        <v>5886</v>
      </c>
      <c r="FF733" s="68" t="s">
        <v>5887</v>
      </c>
    </row>
    <row r="734" spans="151:162" x14ac:dyDescent="0.2">
      <c r="EU734" s="67">
        <v>591.52499999999998</v>
      </c>
      <c r="EV734" s="67" t="s">
        <v>5888</v>
      </c>
      <c r="EW734" s="67">
        <v>518.77</v>
      </c>
      <c r="EX734" s="67" t="s">
        <v>5889</v>
      </c>
      <c r="EY734" s="67">
        <v>5926.5</v>
      </c>
      <c r="EZ734" s="67" t="s">
        <v>5890</v>
      </c>
      <c r="FA734" s="67">
        <v>21294.5</v>
      </c>
      <c r="FB734" s="67" t="s">
        <v>5891</v>
      </c>
      <c r="FC734" s="67" t="s">
        <v>5892</v>
      </c>
      <c r="FD734" s="67" t="s">
        <v>5893</v>
      </c>
      <c r="FE734" s="68" t="s">
        <v>5894</v>
      </c>
      <c r="FF734" s="68" t="s">
        <v>5895</v>
      </c>
    </row>
    <row r="735" spans="151:162" x14ac:dyDescent="0.2">
      <c r="EU735" s="67">
        <v>591.38499999999999</v>
      </c>
      <c r="EV735" s="67" t="s">
        <v>5896</v>
      </c>
      <c r="EW735" s="67">
        <v>518.66</v>
      </c>
      <c r="EX735" s="67" t="s">
        <v>5897</v>
      </c>
      <c r="EY735" s="67">
        <v>5924.75</v>
      </c>
      <c r="EZ735" s="67" t="s">
        <v>5898</v>
      </c>
      <c r="FA735" s="67">
        <v>21291.5</v>
      </c>
      <c r="FB735" s="67" t="s">
        <v>5899</v>
      </c>
      <c r="FC735" s="67" t="s">
        <v>5900</v>
      </c>
      <c r="FD735" s="67" t="s">
        <v>5901</v>
      </c>
      <c r="FE735" s="68" t="s">
        <v>5902</v>
      </c>
      <c r="FF735" s="68" t="s">
        <v>5903</v>
      </c>
    </row>
    <row r="736" spans="151:162" x14ac:dyDescent="0.2">
      <c r="EU736" s="67">
        <v>591.81500000000005</v>
      </c>
      <c r="EV736" s="67" t="s">
        <v>5904</v>
      </c>
      <c r="EW736" s="67">
        <v>519.14800000000002</v>
      </c>
      <c r="EX736" s="67" t="s">
        <v>5905</v>
      </c>
      <c r="EY736" s="67">
        <v>5929.25</v>
      </c>
      <c r="EZ736" s="67" t="s">
        <v>5906</v>
      </c>
      <c r="FA736" s="67">
        <v>21311.25</v>
      </c>
      <c r="FB736" s="67" t="s">
        <v>5907</v>
      </c>
      <c r="FC736" s="67" t="s">
        <v>5908</v>
      </c>
      <c r="FD736" s="67" t="s">
        <v>5909</v>
      </c>
      <c r="FE736" s="68" t="s">
        <v>5910</v>
      </c>
      <c r="FF736" s="68" t="s">
        <v>5911</v>
      </c>
    </row>
    <row r="737" spans="151:162" x14ac:dyDescent="0.2">
      <c r="EU737" s="67">
        <v>591.89</v>
      </c>
      <c r="EV737" s="67" t="s">
        <v>5912</v>
      </c>
      <c r="EW737" s="67">
        <v>519.12</v>
      </c>
      <c r="EX737" s="67" t="s">
        <v>5913</v>
      </c>
      <c r="EY737" s="67">
        <v>5929.5</v>
      </c>
      <c r="EZ737" s="67" t="s">
        <v>5914</v>
      </c>
      <c r="FA737" s="67">
        <v>21313</v>
      </c>
      <c r="FB737" s="67" t="s">
        <v>5915</v>
      </c>
      <c r="FC737" s="67" t="s">
        <v>5916</v>
      </c>
      <c r="FD737" s="67" t="s">
        <v>5917</v>
      </c>
      <c r="FE737" s="68" t="s">
        <v>5918</v>
      </c>
      <c r="FF737" s="68" t="s">
        <v>5919</v>
      </c>
    </row>
    <row r="738" spans="151:162" x14ac:dyDescent="0.2">
      <c r="EU738" s="67">
        <v>591.82000000000005</v>
      </c>
      <c r="EV738" s="67" t="s">
        <v>5920</v>
      </c>
      <c r="EW738" s="67">
        <v>519.1</v>
      </c>
      <c r="EX738" s="67" t="s">
        <v>5921</v>
      </c>
      <c r="EY738" s="67">
        <v>5929.25</v>
      </c>
      <c r="EZ738" s="67" t="s">
        <v>5922</v>
      </c>
      <c r="FA738" s="67">
        <v>21309.5</v>
      </c>
      <c r="FB738" s="67" t="s">
        <v>5923</v>
      </c>
      <c r="FC738" s="67" t="s">
        <v>5924</v>
      </c>
      <c r="FD738" s="67" t="s">
        <v>5925</v>
      </c>
      <c r="FE738" s="68" t="s">
        <v>5926</v>
      </c>
      <c r="FF738" s="68" t="s">
        <v>5927</v>
      </c>
    </row>
    <row r="739" spans="151:162" x14ac:dyDescent="0.2">
      <c r="EU739" s="67">
        <v>592.03</v>
      </c>
      <c r="EV739" s="67" t="s">
        <v>5928</v>
      </c>
      <c r="EW739" s="67">
        <v>519.32000000000005</v>
      </c>
      <c r="EX739" s="67" t="s">
        <v>5929</v>
      </c>
      <c r="EY739" s="67">
        <v>5931.75</v>
      </c>
      <c r="EZ739" s="67" t="s">
        <v>5930</v>
      </c>
      <c r="FA739" s="67">
        <v>21317.25</v>
      </c>
      <c r="FB739" s="67" t="s">
        <v>5931</v>
      </c>
      <c r="FC739" s="67" t="s">
        <v>5932</v>
      </c>
      <c r="FD739" s="67" t="s">
        <v>5933</v>
      </c>
      <c r="FE739" s="68" t="s">
        <v>5934</v>
      </c>
      <c r="FF739" s="68" t="s">
        <v>5935</v>
      </c>
    </row>
    <row r="740" spans="151:162" x14ac:dyDescent="0.2">
      <c r="EU740" s="67">
        <v>592.14</v>
      </c>
      <c r="EV740" s="67" t="s">
        <v>5936</v>
      </c>
      <c r="EW740" s="67">
        <v>519.35</v>
      </c>
      <c r="EX740" s="67" t="s">
        <v>5937</v>
      </c>
      <c r="EY740" s="67">
        <v>5932.5</v>
      </c>
      <c r="EZ740" s="67" t="s">
        <v>5938</v>
      </c>
      <c r="FA740" s="67">
        <v>21319.75</v>
      </c>
      <c r="FB740" s="67" t="s">
        <v>5939</v>
      </c>
      <c r="FC740" s="67" t="s">
        <v>5940</v>
      </c>
      <c r="FD740" s="67" t="s">
        <v>5941</v>
      </c>
      <c r="FE740" s="68" t="s">
        <v>5942</v>
      </c>
      <c r="FF740" s="68" t="s">
        <v>5943</v>
      </c>
    </row>
    <row r="741" spans="151:162" x14ac:dyDescent="0.2">
      <c r="EU741" s="67">
        <v>591.96</v>
      </c>
      <c r="EV741" s="67" t="s">
        <v>5944</v>
      </c>
      <c r="EW741" s="67">
        <v>519.23</v>
      </c>
      <c r="EX741" s="67" t="s">
        <v>5945</v>
      </c>
      <c r="EY741" s="67">
        <v>5930.5</v>
      </c>
      <c r="EZ741" s="67" t="s">
        <v>5946</v>
      </c>
      <c r="FA741" s="67">
        <v>21313.5</v>
      </c>
      <c r="FB741" s="67" t="s">
        <v>5947</v>
      </c>
      <c r="FC741" s="67" t="s">
        <v>5948</v>
      </c>
      <c r="FD741" s="67" t="s">
        <v>5949</v>
      </c>
      <c r="FE741" s="68" t="s">
        <v>5950</v>
      </c>
      <c r="FF741" s="68" t="s">
        <v>5951</v>
      </c>
    </row>
    <row r="742" spans="151:162" x14ac:dyDescent="0.2">
      <c r="EU742" s="67">
        <v>591.95000000000005</v>
      </c>
      <c r="EV742" s="67" t="s">
        <v>5952</v>
      </c>
      <c r="EW742" s="67">
        <v>519.24</v>
      </c>
      <c r="EX742" s="67" t="s">
        <v>5953</v>
      </c>
      <c r="EY742" s="67">
        <v>5930.75</v>
      </c>
      <c r="EZ742" s="67" t="s">
        <v>5954</v>
      </c>
      <c r="FA742" s="67">
        <v>21316</v>
      </c>
      <c r="FB742" s="67" t="s">
        <v>5955</v>
      </c>
      <c r="FC742" s="67" t="s">
        <v>5956</v>
      </c>
      <c r="FD742" s="67" t="s">
        <v>5957</v>
      </c>
      <c r="FE742" s="68" t="s">
        <v>5958</v>
      </c>
      <c r="FF742" s="68" t="s">
        <v>5959</v>
      </c>
    </row>
    <row r="743" spans="151:162" x14ac:dyDescent="0.2">
      <c r="EU743" s="67">
        <v>591.96</v>
      </c>
      <c r="EV743" s="67" t="s">
        <v>5960</v>
      </c>
      <c r="EW743" s="67">
        <v>519.26</v>
      </c>
      <c r="EX743" s="67" t="s">
        <v>5961</v>
      </c>
      <c r="EY743" s="67">
        <v>5930.75</v>
      </c>
      <c r="EZ743" s="67" t="s">
        <v>5962</v>
      </c>
      <c r="FA743" s="67">
        <v>21315.75</v>
      </c>
      <c r="FB743" s="67" t="s">
        <v>5963</v>
      </c>
      <c r="FC743" s="67" t="s">
        <v>5964</v>
      </c>
      <c r="FD743" s="67" t="s">
        <v>5965</v>
      </c>
      <c r="FE743" s="68" t="s">
        <v>5966</v>
      </c>
      <c r="FF743" s="68" t="s">
        <v>5967</v>
      </c>
    </row>
    <row r="744" spans="151:162" x14ac:dyDescent="0.2">
      <c r="EU744" s="67">
        <v>591.95000000000005</v>
      </c>
      <c r="EV744" s="67" t="s">
        <v>5968</v>
      </c>
      <c r="EW744" s="67">
        <v>519.23</v>
      </c>
      <c r="EX744" s="67" t="s">
        <v>5969</v>
      </c>
      <c r="EY744" s="67">
        <v>5930.5</v>
      </c>
      <c r="EZ744" s="67" t="s">
        <v>5970</v>
      </c>
      <c r="FA744" s="67">
        <v>21314.25</v>
      </c>
      <c r="FB744" s="67" t="s">
        <v>5971</v>
      </c>
      <c r="FC744" s="67" t="s">
        <v>5972</v>
      </c>
      <c r="FD744" s="67" t="s">
        <v>5973</v>
      </c>
      <c r="FE744" s="68" t="s">
        <v>5974</v>
      </c>
      <c r="FF744" s="68" t="s">
        <v>5975</v>
      </c>
    </row>
    <row r="745" spans="151:162" x14ac:dyDescent="0.2">
      <c r="EU745" s="67">
        <v>592.16999999999996</v>
      </c>
      <c r="EV745" s="67" t="s">
        <v>5976</v>
      </c>
      <c r="EW745" s="67">
        <v>519.42999999999995</v>
      </c>
      <c r="EX745" s="67" t="s">
        <v>5977</v>
      </c>
      <c r="EY745" s="67">
        <v>5932.75</v>
      </c>
      <c r="EZ745" s="67" t="s">
        <v>5978</v>
      </c>
      <c r="FA745" s="67">
        <v>21323</v>
      </c>
      <c r="FB745" s="67" t="s">
        <v>5979</v>
      </c>
      <c r="FC745" s="67" t="s">
        <v>5980</v>
      </c>
      <c r="FD745" s="67" t="s">
        <v>5981</v>
      </c>
      <c r="FE745" s="68" t="s">
        <v>5982</v>
      </c>
      <c r="FF745" s="68" t="s">
        <v>5983</v>
      </c>
    </row>
    <row r="746" spans="151:162" x14ac:dyDescent="0.2">
      <c r="EU746" s="67">
        <v>592.02</v>
      </c>
      <c r="EV746" s="67" t="s">
        <v>5984</v>
      </c>
      <c r="EW746" s="67">
        <v>519.25</v>
      </c>
      <c r="EX746" s="67" t="s">
        <v>5985</v>
      </c>
      <c r="EY746" s="67">
        <v>5931.5</v>
      </c>
      <c r="EZ746" s="67" t="s">
        <v>5986</v>
      </c>
      <c r="FA746" s="67">
        <v>21316</v>
      </c>
      <c r="FB746" s="67" t="s">
        <v>5987</v>
      </c>
      <c r="FC746" s="67" t="s">
        <v>5988</v>
      </c>
      <c r="FD746" s="67" t="s">
        <v>5989</v>
      </c>
      <c r="FE746" s="68" t="s">
        <v>5990</v>
      </c>
      <c r="FF746" s="68" t="s">
        <v>5991</v>
      </c>
    </row>
    <row r="747" spans="151:162" x14ac:dyDescent="0.2">
      <c r="EU747" s="67">
        <v>591.99</v>
      </c>
      <c r="EV747" s="67" t="s">
        <v>5992</v>
      </c>
      <c r="EW747" s="67">
        <v>519.21</v>
      </c>
      <c r="EX747" s="67" t="s">
        <v>5993</v>
      </c>
      <c r="EY747" s="67">
        <v>5930.75</v>
      </c>
      <c r="EZ747" s="67" t="s">
        <v>5994</v>
      </c>
      <c r="FA747" s="67">
        <v>21314.25</v>
      </c>
      <c r="FB747" s="67" t="s">
        <v>5995</v>
      </c>
      <c r="FC747" s="67" t="s">
        <v>5996</v>
      </c>
      <c r="FD747" s="67" t="s">
        <v>5997</v>
      </c>
      <c r="FE747" s="68" t="s">
        <v>5998</v>
      </c>
      <c r="FF747" s="68" t="s">
        <v>5999</v>
      </c>
    </row>
    <row r="748" spans="151:162" x14ac:dyDescent="0.2">
      <c r="EU748" s="67">
        <v>591.86</v>
      </c>
      <c r="EV748" s="67" t="s">
        <v>6000</v>
      </c>
      <c r="EW748" s="67">
        <v>519.12</v>
      </c>
      <c r="EX748" s="67" t="s">
        <v>6001</v>
      </c>
      <c r="EY748" s="67">
        <v>5929.75</v>
      </c>
      <c r="EZ748" s="67" t="s">
        <v>6002</v>
      </c>
      <c r="FA748" s="67">
        <v>21310</v>
      </c>
      <c r="FB748" s="67" t="s">
        <v>6003</v>
      </c>
      <c r="FC748" s="67" t="s">
        <v>6004</v>
      </c>
      <c r="FD748" s="67" t="s">
        <v>6005</v>
      </c>
      <c r="FE748" s="68" t="s">
        <v>6006</v>
      </c>
      <c r="FF748" s="68" t="s">
        <v>6007</v>
      </c>
    </row>
    <row r="749" spans="151:162" x14ac:dyDescent="0.2">
      <c r="EU749" s="67">
        <v>591.64</v>
      </c>
      <c r="EV749" s="67" t="s">
        <v>6008</v>
      </c>
      <c r="EW749" s="67">
        <v>518.92499999999995</v>
      </c>
      <c r="EX749" s="67" t="s">
        <v>6009</v>
      </c>
      <c r="EY749" s="67">
        <v>5927.5</v>
      </c>
      <c r="EZ749" s="67" t="s">
        <v>6010</v>
      </c>
      <c r="FA749" s="67">
        <v>21302</v>
      </c>
      <c r="FB749" s="67" t="s">
        <v>6011</v>
      </c>
      <c r="FC749" s="67" t="s">
        <v>6012</v>
      </c>
      <c r="FD749" s="67" t="s">
        <v>6013</v>
      </c>
      <c r="FE749" s="68" t="s">
        <v>6014</v>
      </c>
      <c r="FF749" s="68" t="s">
        <v>6015</v>
      </c>
    </row>
    <row r="750" spans="151:162" x14ac:dyDescent="0.2">
      <c r="EU750" s="67">
        <v>591.92999999999995</v>
      </c>
      <c r="EV750" s="67" t="s">
        <v>6016</v>
      </c>
      <c r="EW750" s="67">
        <v>519.20000000000005</v>
      </c>
      <c r="EX750" s="67" t="s">
        <v>6017</v>
      </c>
      <c r="EY750" s="67">
        <v>5930.5</v>
      </c>
      <c r="EZ750" s="67" t="s">
        <v>6018</v>
      </c>
      <c r="FA750" s="67">
        <v>21314.5</v>
      </c>
      <c r="FB750" s="67" t="s">
        <v>6019</v>
      </c>
      <c r="FC750" s="67" t="s">
        <v>6020</v>
      </c>
      <c r="FD750" s="67" t="s">
        <v>6021</v>
      </c>
      <c r="FE750" s="68" t="s">
        <v>6022</v>
      </c>
      <c r="FF750" s="68" t="s">
        <v>6023</v>
      </c>
    </row>
    <row r="751" spans="151:162" x14ac:dyDescent="0.2">
      <c r="EU751" s="67">
        <v>591.57000000000005</v>
      </c>
      <c r="EV751" s="67" t="s">
        <v>6024</v>
      </c>
      <c r="EW751" s="67">
        <v>518.84</v>
      </c>
      <c r="EX751" s="67" t="s">
        <v>6025</v>
      </c>
      <c r="EY751" s="67">
        <v>5926.75</v>
      </c>
      <c r="EZ751" s="67" t="s">
        <v>6026</v>
      </c>
      <c r="FA751" s="67">
        <v>21298.75</v>
      </c>
      <c r="FB751" s="67" t="s">
        <v>6027</v>
      </c>
      <c r="FC751" s="67" t="s">
        <v>6028</v>
      </c>
      <c r="FD751" s="67" t="s">
        <v>6029</v>
      </c>
      <c r="FE751" s="68" t="s">
        <v>6030</v>
      </c>
      <c r="FF751" s="68" t="s">
        <v>6031</v>
      </c>
    </row>
    <row r="752" spans="151:162" x14ac:dyDescent="0.2">
      <c r="EU752" s="67">
        <v>591.85</v>
      </c>
      <c r="EV752" s="67" t="s">
        <v>6032</v>
      </c>
      <c r="EW752" s="67">
        <v>519.11</v>
      </c>
      <c r="EX752" s="67" t="s">
        <v>6033</v>
      </c>
      <c r="EY752" s="67">
        <v>5929.75</v>
      </c>
      <c r="EZ752" s="67" t="s">
        <v>6034</v>
      </c>
      <c r="FA752" s="67">
        <v>21310.25</v>
      </c>
      <c r="FB752" s="67" t="s">
        <v>6035</v>
      </c>
      <c r="FC752" s="67" t="s">
        <v>6036</v>
      </c>
      <c r="FD752" s="67" t="s">
        <v>6037</v>
      </c>
      <c r="FE752" s="68" t="s">
        <v>6038</v>
      </c>
      <c r="FF752" s="68" t="s">
        <v>6039</v>
      </c>
    </row>
    <row r="753" spans="151:162" x14ac:dyDescent="0.2">
      <c r="EU753" s="67">
        <v>591.96</v>
      </c>
      <c r="EV753" s="67" t="s">
        <v>6040</v>
      </c>
      <c r="EW753" s="67">
        <v>519.17999999999995</v>
      </c>
      <c r="EX753" s="67" t="s">
        <v>6041</v>
      </c>
      <c r="EY753" s="67">
        <v>5930.5</v>
      </c>
      <c r="EZ753" s="67" t="s">
        <v>6042</v>
      </c>
      <c r="FA753" s="67">
        <v>21313.25</v>
      </c>
      <c r="FB753" s="67" t="s">
        <v>6043</v>
      </c>
      <c r="FC753" s="67" t="s">
        <v>6044</v>
      </c>
      <c r="FD753" s="67" t="s">
        <v>6045</v>
      </c>
      <c r="FE753" s="68" t="s">
        <v>6046</v>
      </c>
      <c r="FF753" s="68" t="s">
        <v>6047</v>
      </c>
    </row>
    <row r="754" spans="151:162" x14ac:dyDescent="0.2">
      <c r="EU754" s="67">
        <v>591.80999999999995</v>
      </c>
      <c r="EV754" s="67" t="s">
        <v>6048</v>
      </c>
      <c r="EW754" s="67">
        <v>519.16</v>
      </c>
      <c r="EX754" s="67" t="s">
        <v>6049</v>
      </c>
      <c r="EY754" s="67">
        <v>5929.75</v>
      </c>
      <c r="EZ754" s="67" t="s">
        <v>6050</v>
      </c>
      <c r="FA754" s="67">
        <v>21310</v>
      </c>
      <c r="FB754" s="67" t="s">
        <v>6051</v>
      </c>
      <c r="FC754" s="67" t="s">
        <v>6052</v>
      </c>
      <c r="FD754" s="67" t="s">
        <v>6053</v>
      </c>
      <c r="FE754" s="68" t="s">
        <v>6054</v>
      </c>
      <c r="FF754" s="68" t="s">
        <v>6055</v>
      </c>
    </row>
    <row r="755" spans="151:162" x14ac:dyDescent="0.2">
      <c r="EU755" s="67">
        <v>592.05499999999995</v>
      </c>
      <c r="EV755" s="67" t="s">
        <v>6056</v>
      </c>
      <c r="EW755" s="67">
        <v>519.41</v>
      </c>
      <c r="EX755" s="67" t="s">
        <v>6057</v>
      </c>
      <c r="EY755" s="67">
        <v>5931.5</v>
      </c>
      <c r="EZ755" s="67" t="s">
        <v>6058</v>
      </c>
      <c r="FA755" s="67">
        <v>21322.5</v>
      </c>
      <c r="FB755" s="67" t="s">
        <v>6059</v>
      </c>
      <c r="FC755" s="67" t="s">
        <v>6060</v>
      </c>
      <c r="FD755" s="67" t="s">
        <v>6061</v>
      </c>
      <c r="FE755" s="68" t="s">
        <v>6062</v>
      </c>
      <c r="FF755" s="68" t="s">
        <v>6063</v>
      </c>
    </row>
    <row r="756" spans="151:162" x14ac:dyDescent="0.2">
      <c r="EU756" s="67">
        <v>592.08000000000004</v>
      </c>
      <c r="EV756" s="67" t="s">
        <v>6064</v>
      </c>
      <c r="EW756" s="67">
        <v>519.46</v>
      </c>
      <c r="EX756" s="67" t="s">
        <v>6065</v>
      </c>
      <c r="EY756" s="67">
        <v>5932</v>
      </c>
      <c r="EZ756" s="67" t="s">
        <v>6066</v>
      </c>
      <c r="FA756" s="67">
        <v>21325</v>
      </c>
      <c r="FB756" s="67" t="s">
        <v>6067</v>
      </c>
      <c r="FC756" s="67" t="s">
        <v>6068</v>
      </c>
      <c r="FD756" s="67" t="s">
        <v>6069</v>
      </c>
      <c r="FE756" s="68" t="s">
        <v>6070</v>
      </c>
      <c r="FF756" s="68" t="s">
        <v>6071</v>
      </c>
    </row>
    <row r="757" spans="151:162" x14ac:dyDescent="0.2">
      <c r="EU757" s="67">
        <v>592.16999999999996</v>
      </c>
      <c r="EV757" s="67" t="s">
        <v>6072</v>
      </c>
      <c r="EW757" s="67">
        <v>519.54</v>
      </c>
      <c r="EX757" s="67" t="s">
        <v>6073</v>
      </c>
      <c r="EY757" s="67">
        <v>5932.75</v>
      </c>
      <c r="EZ757" s="67" t="s">
        <v>6074</v>
      </c>
      <c r="FA757" s="67">
        <v>21327.5</v>
      </c>
      <c r="FB757" s="67" t="s">
        <v>6075</v>
      </c>
      <c r="FC757" s="67" t="s">
        <v>6076</v>
      </c>
      <c r="FD757" s="67" t="s">
        <v>6077</v>
      </c>
      <c r="FE757" s="68" t="s">
        <v>6078</v>
      </c>
      <c r="FF757" s="68" t="s">
        <v>6079</v>
      </c>
    </row>
    <row r="758" spans="151:162" x14ac:dyDescent="0.2">
      <c r="EU758" s="67">
        <v>592.27</v>
      </c>
      <c r="EV758" s="67" t="s">
        <v>6080</v>
      </c>
      <c r="EW758" s="67">
        <v>519.74</v>
      </c>
      <c r="EX758" s="67" t="s">
        <v>6081</v>
      </c>
      <c r="EY758" s="67">
        <v>5934.25</v>
      </c>
      <c r="EZ758" s="67" t="s">
        <v>6082</v>
      </c>
      <c r="FA758" s="67">
        <v>21335</v>
      </c>
      <c r="FB758" s="67" t="s">
        <v>6083</v>
      </c>
      <c r="FC758" s="67" t="s">
        <v>6084</v>
      </c>
      <c r="FD758" s="67" t="s">
        <v>6085</v>
      </c>
      <c r="FE758" s="68" t="s">
        <v>6086</v>
      </c>
      <c r="FF758" s="68" t="s">
        <v>6087</v>
      </c>
    </row>
    <row r="759" spans="151:162" x14ac:dyDescent="0.2">
      <c r="EU759" s="67">
        <v>592.54999999999995</v>
      </c>
      <c r="EV759" s="67" t="s">
        <v>6088</v>
      </c>
      <c r="EW759" s="67">
        <v>520.02499999999998</v>
      </c>
      <c r="EX759" s="67" t="s">
        <v>6089</v>
      </c>
      <c r="EY759" s="67">
        <v>5936.75</v>
      </c>
      <c r="EZ759" s="67" t="s">
        <v>6090</v>
      </c>
      <c r="FA759" s="67">
        <v>21348.25</v>
      </c>
      <c r="FB759" s="67" t="s">
        <v>6091</v>
      </c>
      <c r="FC759" s="67" t="s">
        <v>6092</v>
      </c>
      <c r="FD759" s="67" t="s">
        <v>6093</v>
      </c>
      <c r="FE759" s="68" t="s">
        <v>6094</v>
      </c>
      <c r="FF759" s="68" t="s">
        <v>6095</v>
      </c>
    </row>
    <row r="760" spans="151:162" x14ac:dyDescent="0.2">
      <c r="EU760" s="67">
        <v>592.15800000000002</v>
      </c>
      <c r="EV760" s="67" t="s">
        <v>6096</v>
      </c>
      <c r="EW760" s="67">
        <v>519.67999999999995</v>
      </c>
      <c r="EX760" s="67" t="s">
        <v>6097</v>
      </c>
      <c r="EY760" s="67">
        <v>5932.75</v>
      </c>
      <c r="EZ760" s="67" t="s">
        <v>6098</v>
      </c>
      <c r="FA760" s="67">
        <v>21333.5</v>
      </c>
      <c r="FB760" s="67" t="s">
        <v>6099</v>
      </c>
      <c r="FC760" s="67" t="s">
        <v>6100</v>
      </c>
      <c r="FD760" s="67" t="s">
        <v>6101</v>
      </c>
      <c r="FE760" s="68" t="s">
        <v>6102</v>
      </c>
      <c r="FF760" s="68" t="s">
        <v>6103</v>
      </c>
    </row>
    <row r="761" spans="151:162" x14ac:dyDescent="0.2">
      <c r="EU761" s="67">
        <v>592.46</v>
      </c>
      <c r="EV761" s="67" t="s">
        <v>6104</v>
      </c>
      <c r="EW761" s="67">
        <v>519.98</v>
      </c>
      <c r="EX761" s="67" t="s">
        <v>6105</v>
      </c>
      <c r="EY761" s="67">
        <v>5936</v>
      </c>
      <c r="EZ761" s="67" t="s">
        <v>6106</v>
      </c>
      <c r="FA761" s="67">
        <v>21345.75</v>
      </c>
      <c r="FB761" s="67" t="s">
        <v>6107</v>
      </c>
      <c r="FC761" s="67" t="s">
        <v>6108</v>
      </c>
      <c r="FD761" s="67" t="s">
        <v>6109</v>
      </c>
      <c r="FE761" s="68" t="s">
        <v>6110</v>
      </c>
      <c r="FF761" s="68" t="s">
        <v>6111</v>
      </c>
    </row>
    <row r="762" spans="151:162" x14ac:dyDescent="0.2">
      <c r="EU762" s="67">
        <v>592.51599999999996</v>
      </c>
      <c r="EV762" s="67" t="s">
        <v>6112</v>
      </c>
      <c r="EW762" s="67">
        <v>520</v>
      </c>
      <c r="EX762" s="67" t="s">
        <v>6113</v>
      </c>
      <c r="EY762" s="67">
        <v>5936.5</v>
      </c>
      <c r="EZ762" s="67" t="s">
        <v>6114</v>
      </c>
      <c r="FA762" s="67">
        <v>21347.5</v>
      </c>
      <c r="FB762" s="67" t="s">
        <v>6115</v>
      </c>
      <c r="FC762" s="67" t="s">
        <v>6116</v>
      </c>
      <c r="FD762" s="67" t="s">
        <v>6117</v>
      </c>
      <c r="FE762" s="68" t="s">
        <v>6118</v>
      </c>
      <c r="FF762" s="68" t="s">
        <v>6119</v>
      </c>
    </row>
    <row r="763" spans="151:162" x14ac:dyDescent="0.2">
      <c r="EU763" s="67">
        <v>592.41999999999996</v>
      </c>
      <c r="EV763" s="67" t="s">
        <v>6120</v>
      </c>
      <c r="EW763" s="67">
        <v>519.88</v>
      </c>
      <c r="EX763" s="67" t="s">
        <v>6121</v>
      </c>
      <c r="EY763" s="67">
        <v>5935.5</v>
      </c>
      <c r="EZ763" s="67" t="s">
        <v>6122</v>
      </c>
      <c r="FA763" s="67">
        <v>21342.75</v>
      </c>
      <c r="FB763" s="67" t="s">
        <v>6123</v>
      </c>
      <c r="FC763" s="67" t="s">
        <v>6124</v>
      </c>
      <c r="FD763" s="67" t="s">
        <v>6125</v>
      </c>
      <c r="FE763" s="68" t="s">
        <v>6126</v>
      </c>
      <c r="FF763" s="68" t="s">
        <v>6127</v>
      </c>
    </row>
    <row r="764" spans="151:162" x14ac:dyDescent="0.2">
      <c r="EU764" s="67">
        <v>592.84</v>
      </c>
      <c r="EV764" s="67" t="s">
        <v>6128</v>
      </c>
      <c r="EW764" s="67">
        <v>520.25</v>
      </c>
      <c r="EX764" s="67" t="s">
        <v>6129</v>
      </c>
      <c r="EY764" s="67">
        <v>5939.5</v>
      </c>
      <c r="EZ764" s="67" t="s">
        <v>6130</v>
      </c>
      <c r="FA764" s="67">
        <v>21357.75</v>
      </c>
      <c r="FB764" s="67" t="s">
        <v>6131</v>
      </c>
      <c r="FC764" s="67" t="s">
        <v>6132</v>
      </c>
      <c r="FD764" s="67" t="s">
        <v>6133</v>
      </c>
      <c r="FE764" s="68" t="s">
        <v>6134</v>
      </c>
      <c r="FF764" s="68" t="s">
        <v>6135</v>
      </c>
    </row>
    <row r="765" spans="151:162" x14ac:dyDescent="0.2">
      <c r="EU765" s="67">
        <v>592.52</v>
      </c>
      <c r="EV765" s="67" t="s">
        <v>6136</v>
      </c>
      <c r="EW765" s="67">
        <v>519.91999999999996</v>
      </c>
      <c r="EX765" s="67" t="s">
        <v>6137</v>
      </c>
      <c r="EY765" s="67">
        <v>5936.25</v>
      </c>
      <c r="EZ765" s="67" t="s">
        <v>6138</v>
      </c>
      <c r="FA765" s="67">
        <v>21342.75</v>
      </c>
      <c r="FB765" s="67" t="s">
        <v>6139</v>
      </c>
      <c r="FC765" s="67" t="s">
        <v>6140</v>
      </c>
      <c r="FD765" s="67" t="s">
        <v>6141</v>
      </c>
      <c r="FE765" s="68" t="s">
        <v>6142</v>
      </c>
      <c r="FF765" s="68" t="s">
        <v>6143</v>
      </c>
    </row>
    <row r="766" spans="151:162" x14ac:dyDescent="0.2">
      <c r="EU766" s="67">
        <v>592.28</v>
      </c>
      <c r="EV766" s="67" t="s">
        <v>6144</v>
      </c>
      <c r="EW766" s="67">
        <v>519.63</v>
      </c>
      <c r="EX766" s="67" t="s">
        <v>6145</v>
      </c>
      <c r="EY766" s="67">
        <v>5934</v>
      </c>
      <c r="EZ766" s="67" t="s">
        <v>6146</v>
      </c>
      <c r="FA766" s="67">
        <v>21331</v>
      </c>
      <c r="FB766" s="67" t="s">
        <v>6147</v>
      </c>
      <c r="FC766" s="67" t="s">
        <v>6148</v>
      </c>
      <c r="FD766" s="67" t="s">
        <v>6149</v>
      </c>
      <c r="FE766" s="68" t="s">
        <v>6150</v>
      </c>
      <c r="FF766" s="68" t="s">
        <v>6151</v>
      </c>
    </row>
    <row r="767" spans="151:162" x14ac:dyDescent="0.2">
      <c r="EU767" s="67">
        <v>592.39</v>
      </c>
      <c r="EV767" s="67" t="s">
        <v>6152</v>
      </c>
      <c r="EW767" s="67">
        <v>519.83000000000004</v>
      </c>
      <c r="EX767" s="67" t="s">
        <v>6153</v>
      </c>
      <c r="EY767" s="67">
        <v>5935</v>
      </c>
      <c r="EZ767" s="67" t="s">
        <v>6154</v>
      </c>
      <c r="FA767" s="67">
        <v>21340</v>
      </c>
      <c r="FB767" s="67" t="s">
        <v>6155</v>
      </c>
      <c r="FC767" s="67" t="s">
        <v>6156</v>
      </c>
      <c r="FD767" s="67" t="s">
        <v>6157</v>
      </c>
      <c r="FE767" s="68" t="s">
        <v>6158</v>
      </c>
      <c r="FF767" s="68" t="s">
        <v>6159</v>
      </c>
    </row>
    <row r="768" spans="151:162" x14ac:dyDescent="0.2">
      <c r="EU768" s="67">
        <v>592.30999999999995</v>
      </c>
      <c r="EV768" s="67" t="s">
        <v>6160</v>
      </c>
      <c r="EW768" s="67">
        <v>519.74</v>
      </c>
      <c r="EX768" s="67" t="s">
        <v>6161</v>
      </c>
      <c r="EY768" s="67">
        <v>5934</v>
      </c>
      <c r="EZ768" s="67" t="s">
        <v>6162</v>
      </c>
      <c r="FA768" s="67">
        <v>21335.75</v>
      </c>
      <c r="FB768" s="67" t="s">
        <v>6163</v>
      </c>
      <c r="FC768" s="67" t="s">
        <v>6164</v>
      </c>
      <c r="FD768" s="67" t="s">
        <v>6165</v>
      </c>
      <c r="FE768" s="68" t="s">
        <v>6166</v>
      </c>
      <c r="FF768" s="68" t="s">
        <v>6167</v>
      </c>
    </row>
    <row r="769" spans="151:162" x14ac:dyDescent="0.2">
      <c r="EU769" s="67">
        <v>592.27</v>
      </c>
      <c r="EV769" s="67" t="s">
        <v>6168</v>
      </c>
      <c r="EW769" s="67">
        <v>519.70000000000005</v>
      </c>
      <c r="EX769" s="67" t="s">
        <v>6169</v>
      </c>
      <c r="EY769" s="67">
        <v>5933.5</v>
      </c>
      <c r="EZ769" s="67" t="s">
        <v>6170</v>
      </c>
      <c r="FA769" s="67">
        <v>21334</v>
      </c>
      <c r="FB769" s="67" t="s">
        <v>6171</v>
      </c>
      <c r="FC769" s="67" t="s">
        <v>6172</v>
      </c>
      <c r="FD769" s="67" t="s">
        <v>6173</v>
      </c>
      <c r="FE769" s="68" t="s">
        <v>6174</v>
      </c>
      <c r="FF769" s="68" t="s">
        <v>6175</v>
      </c>
    </row>
    <row r="770" spans="151:162" x14ac:dyDescent="0.2">
      <c r="EU770" s="67">
        <v>592.36</v>
      </c>
      <c r="EV770" s="67" t="s">
        <v>6176</v>
      </c>
      <c r="EW770" s="67">
        <v>519.74</v>
      </c>
      <c r="EX770" s="67" t="s">
        <v>6177</v>
      </c>
      <c r="EY770" s="67">
        <v>5934.5</v>
      </c>
      <c r="EZ770" s="67" t="s">
        <v>6178</v>
      </c>
      <c r="FA770" s="67">
        <v>21335.75</v>
      </c>
      <c r="FB770" s="67" t="s">
        <v>6179</v>
      </c>
      <c r="FC770" s="67" t="s">
        <v>6180</v>
      </c>
      <c r="FD770" s="67" t="s">
        <v>6181</v>
      </c>
      <c r="FE770" s="68" t="s">
        <v>6182</v>
      </c>
      <c r="FF770" s="68" t="s">
        <v>6183</v>
      </c>
    </row>
    <row r="771" spans="151:162" x14ac:dyDescent="0.2">
      <c r="EU771" s="67">
        <v>592.35</v>
      </c>
      <c r="EV771" s="67" t="s">
        <v>6184</v>
      </c>
      <c r="EW771" s="67">
        <v>519.70000000000005</v>
      </c>
      <c r="EX771" s="67" t="s">
        <v>6185</v>
      </c>
      <c r="EY771" s="67">
        <v>5934.75</v>
      </c>
      <c r="EZ771" s="67" t="s">
        <v>6186</v>
      </c>
      <c r="FA771" s="67">
        <v>21334.5</v>
      </c>
      <c r="FB771" s="67" t="s">
        <v>6187</v>
      </c>
      <c r="FC771" s="67" t="s">
        <v>6188</v>
      </c>
      <c r="FD771" s="67" t="s">
        <v>6189</v>
      </c>
      <c r="FE771" s="68" t="s">
        <v>6190</v>
      </c>
      <c r="FF771" s="68" t="s">
        <v>6191</v>
      </c>
    </row>
    <row r="772" spans="151:162" x14ac:dyDescent="0.2">
      <c r="EU772" s="67">
        <v>592.17999999999995</v>
      </c>
      <c r="EV772" s="67" t="s">
        <v>6192</v>
      </c>
      <c r="EW772" s="67">
        <v>519.48</v>
      </c>
      <c r="EX772" s="67" t="s">
        <v>6193</v>
      </c>
      <c r="EY772" s="67">
        <v>5932.5</v>
      </c>
      <c r="EZ772" s="67" t="s">
        <v>6194</v>
      </c>
      <c r="FA772" s="67">
        <v>21324.25</v>
      </c>
      <c r="FB772" s="67" t="s">
        <v>6195</v>
      </c>
      <c r="FC772" s="67" t="s">
        <v>6196</v>
      </c>
      <c r="FD772" s="67" t="s">
        <v>6197</v>
      </c>
      <c r="FE772" s="68" t="s">
        <v>6198</v>
      </c>
      <c r="FF772" s="68" t="s">
        <v>6199</v>
      </c>
    </row>
    <row r="773" spans="151:162" x14ac:dyDescent="0.2">
      <c r="EU773" s="67">
        <v>592.16999999999996</v>
      </c>
      <c r="EV773" s="67" t="s">
        <v>6200</v>
      </c>
      <c r="EW773" s="67">
        <v>519.45000000000005</v>
      </c>
      <c r="EX773" s="67" t="s">
        <v>6201</v>
      </c>
      <c r="EY773" s="67">
        <v>5932.75</v>
      </c>
      <c r="EZ773" s="67" t="s">
        <v>6202</v>
      </c>
      <c r="FA773" s="67">
        <v>21323.75</v>
      </c>
      <c r="FB773" s="67" t="s">
        <v>6203</v>
      </c>
      <c r="FC773" s="67" t="s">
        <v>6204</v>
      </c>
      <c r="FD773" s="67" t="s">
        <v>6205</v>
      </c>
      <c r="FE773" s="68" t="s">
        <v>6206</v>
      </c>
      <c r="FF773" s="68" t="s">
        <v>6207</v>
      </c>
    </row>
    <row r="774" spans="151:162" x14ac:dyDescent="0.2">
      <c r="EU774" s="67">
        <v>592.14</v>
      </c>
      <c r="EV774" s="67" t="s">
        <v>6208</v>
      </c>
      <c r="EW774" s="67">
        <v>519.45000000000005</v>
      </c>
      <c r="EX774" s="67" t="s">
        <v>6209</v>
      </c>
      <c r="EY774" s="67">
        <v>5932.5</v>
      </c>
      <c r="EZ774" s="67" t="s">
        <v>6210</v>
      </c>
      <c r="FA774" s="67">
        <v>21323.5</v>
      </c>
      <c r="FB774" s="67" t="s">
        <v>6211</v>
      </c>
      <c r="FC774" s="67" t="s">
        <v>6212</v>
      </c>
      <c r="FD774" s="67" t="s">
        <v>6213</v>
      </c>
      <c r="FE774" s="68" t="s">
        <v>6214</v>
      </c>
      <c r="FF774" s="68" t="s">
        <v>6215</v>
      </c>
    </row>
    <row r="775" spans="151:162" x14ac:dyDescent="0.2">
      <c r="EU775" s="67">
        <v>592.05999999999995</v>
      </c>
      <c r="EV775" s="67" t="s">
        <v>6216</v>
      </c>
      <c r="EW775" s="67">
        <v>519.29999999999995</v>
      </c>
      <c r="EX775" s="67" t="s">
        <v>6217</v>
      </c>
      <c r="EY775" s="67">
        <v>5931.75</v>
      </c>
      <c r="EZ775" s="67" t="s">
        <v>6218</v>
      </c>
      <c r="FA775" s="67">
        <v>21317.25</v>
      </c>
      <c r="FB775" s="67" t="s">
        <v>6219</v>
      </c>
      <c r="FC775" s="67" t="s">
        <v>6220</v>
      </c>
      <c r="FD775" s="67" t="s">
        <v>6221</v>
      </c>
      <c r="FE775" s="68" t="s">
        <v>6222</v>
      </c>
      <c r="FF775" s="68" t="s">
        <v>6223</v>
      </c>
    </row>
    <row r="776" spans="151:162" x14ac:dyDescent="0.2">
      <c r="EU776" s="67">
        <v>592.23</v>
      </c>
      <c r="EV776" s="67" t="s">
        <v>6224</v>
      </c>
      <c r="EW776" s="67">
        <v>519.44000000000005</v>
      </c>
      <c r="EX776" s="67" t="s">
        <v>6225</v>
      </c>
      <c r="EY776" s="67">
        <v>5933.25</v>
      </c>
      <c r="EZ776" s="67" t="s">
        <v>6226</v>
      </c>
      <c r="FA776" s="67">
        <v>21323.25</v>
      </c>
      <c r="FB776" s="67" t="s">
        <v>6227</v>
      </c>
      <c r="FC776" s="67" t="s">
        <v>6228</v>
      </c>
      <c r="FD776" s="67" t="s">
        <v>6229</v>
      </c>
      <c r="FE776" s="68" t="s">
        <v>6230</v>
      </c>
      <c r="FF776" s="68" t="s">
        <v>6231</v>
      </c>
    </row>
    <row r="777" spans="151:162" x14ac:dyDescent="0.2">
      <c r="EU777" s="67">
        <v>592.14</v>
      </c>
      <c r="EV777" s="67" t="s">
        <v>6232</v>
      </c>
      <c r="EW777" s="67">
        <v>519.24</v>
      </c>
      <c r="EX777" s="67" t="s">
        <v>6233</v>
      </c>
      <c r="EY777" s="67">
        <v>5932.5</v>
      </c>
      <c r="EZ777" s="67" t="s">
        <v>6234</v>
      </c>
      <c r="FA777" s="67">
        <v>21315</v>
      </c>
      <c r="FB777" s="67" t="s">
        <v>6235</v>
      </c>
      <c r="FC777" s="67" t="s">
        <v>6236</v>
      </c>
      <c r="FD777" s="67" t="s">
        <v>6237</v>
      </c>
      <c r="FE777" s="68" t="s">
        <v>6238</v>
      </c>
      <c r="FF777" s="68" t="s">
        <v>6239</v>
      </c>
    </row>
    <row r="778" spans="151:162" x14ac:dyDescent="0.2">
      <c r="EU778" s="67">
        <v>592.11</v>
      </c>
      <c r="EV778" s="67" t="s">
        <v>6240</v>
      </c>
      <c r="EW778" s="67">
        <v>519.17999999999995</v>
      </c>
      <c r="EX778" s="67" t="s">
        <v>6241</v>
      </c>
      <c r="EY778" s="67">
        <v>5932</v>
      </c>
      <c r="EZ778" s="67" t="s">
        <v>6242</v>
      </c>
      <c r="FA778" s="67">
        <v>21312.5</v>
      </c>
      <c r="FB778" s="67" t="s">
        <v>6243</v>
      </c>
      <c r="FC778" s="67" t="s">
        <v>6244</v>
      </c>
      <c r="FD778" s="67" t="s">
        <v>6245</v>
      </c>
      <c r="FE778" s="68" t="s">
        <v>6246</v>
      </c>
      <c r="FF778" s="68" t="s">
        <v>6247</v>
      </c>
    </row>
    <row r="779" spans="151:162" x14ac:dyDescent="0.2">
      <c r="EU779" s="67">
        <v>592.14</v>
      </c>
      <c r="EV779" s="67" t="s">
        <v>6248</v>
      </c>
      <c r="EW779" s="67">
        <v>519.17999999999995</v>
      </c>
      <c r="EX779" s="67" t="s">
        <v>6249</v>
      </c>
      <c r="EY779" s="67">
        <v>5932.25</v>
      </c>
      <c r="EZ779" s="67" t="s">
        <v>6250</v>
      </c>
      <c r="FA779" s="67">
        <v>21312.75</v>
      </c>
      <c r="FB779" s="67" t="s">
        <v>6251</v>
      </c>
      <c r="FC779" s="67" t="s">
        <v>6252</v>
      </c>
      <c r="FD779" s="67" t="s">
        <v>6253</v>
      </c>
      <c r="FE779" s="68" t="s">
        <v>6254</v>
      </c>
      <c r="FF779" s="68" t="s">
        <v>6255</v>
      </c>
    </row>
    <row r="780" spans="151:162" x14ac:dyDescent="0.2">
      <c r="EU780" s="67">
        <v>592.33000000000004</v>
      </c>
      <c r="EV780" s="67" t="s">
        <v>6256</v>
      </c>
      <c r="EW780" s="67">
        <v>519.4</v>
      </c>
      <c r="EX780" s="67" t="s">
        <v>6257</v>
      </c>
      <c r="EY780" s="67">
        <v>5934.25</v>
      </c>
      <c r="EZ780" s="67" t="s">
        <v>6258</v>
      </c>
      <c r="FA780" s="67">
        <v>21321.75</v>
      </c>
      <c r="FB780" s="67" t="s">
        <v>6259</v>
      </c>
      <c r="FC780" s="67" t="s">
        <v>6260</v>
      </c>
      <c r="FD780" s="67" t="s">
        <v>6261</v>
      </c>
      <c r="FE780" s="68" t="s">
        <v>6262</v>
      </c>
      <c r="FF780" s="68" t="s">
        <v>6263</v>
      </c>
    </row>
    <row r="781" spans="151:162" x14ac:dyDescent="0.2">
      <c r="EU781" s="67">
        <v>592.24</v>
      </c>
      <c r="EV781" s="67" t="s">
        <v>6264</v>
      </c>
      <c r="EW781" s="67">
        <v>519.34</v>
      </c>
      <c r="EX781" s="67" t="s">
        <v>6265</v>
      </c>
      <c r="EY781" s="67">
        <v>5933.5</v>
      </c>
      <c r="EZ781" s="67" t="s">
        <v>6266</v>
      </c>
      <c r="FA781" s="67">
        <v>21319</v>
      </c>
      <c r="FB781" s="67" t="s">
        <v>6267</v>
      </c>
      <c r="FC781" s="67" t="s">
        <v>6268</v>
      </c>
      <c r="FD781" s="67" t="s">
        <v>6269</v>
      </c>
      <c r="FE781" s="68" t="s">
        <v>6270</v>
      </c>
      <c r="FF781" s="68" t="s">
        <v>6271</v>
      </c>
    </row>
    <row r="782" spans="151:162" x14ac:dyDescent="0.2">
      <c r="EU782" s="67">
        <v>592.26</v>
      </c>
      <c r="EV782" s="67" t="s">
        <v>6272</v>
      </c>
      <c r="EW782" s="67">
        <v>519.41999999999996</v>
      </c>
      <c r="EX782" s="67" t="s">
        <v>6273</v>
      </c>
      <c r="EY782" s="67">
        <v>5933.75</v>
      </c>
      <c r="EZ782" s="67" t="s">
        <v>6274</v>
      </c>
      <c r="FA782" s="67">
        <v>21323</v>
      </c>
      <c r="FB782" s="67" t="s">
        <v>6275</v>
      </c>
      <c r="FC782" s="67" t="s">
        <v>6276</v>
      </c>
      <c r="FD782" s="67" t="s">
        <v>6277</v>
      </c>
      <c r="FE782" s="68" t="s">
        <v>6278</v>
      </c>
      <c r="FF782" s="68" t="s">
        <v>6279</v>
      </c>
    </row>
    <row r="783" spans="151:162" x14ac:dyDescent="0.2">
      <c r="EU783" s="67">
        <v>592.33000000000004</v>
      </c>
      <c r="EV783" s="67" t="s">
        <v>6280</v>
      </c>
      <c r="EW783" s="67">
        <v>519.58000000000004</v>
      </c>
      <c r="EX783" s="67" t="s">
        <v>6281</v>
      </c>
      <c r="EY783" s="67">
        <v>5934.75</v>
      </c>
      <c r="EZ783" s="67" t="s">
        <v>6282</v>
      </c>
      <c r="FA783" s="67">
        <v>21329</v>
      </c>
      <c r="FB783" s="67" t="s">
        <v>6283</v>
      </c>
      <c r="FC783" s="67" t="s">
        <v>6284</v>
      </c>
      <c r="FD783" s="67" t="s">
        <v>6285</v>
      </c>
      <c r="FE783" s="68" t="s">
        <v>6286</v>
      </c>
      <c r="FF783" s="68" t="s">
        <v>6287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"GEX-OI,GEX-VOL,DEX,VOLPRESS,TRUGEX"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zoomScale="80" zoomScaleNormal="80" workbookViewId="0">
      <selection activeCell="N23" sqref="N23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customWidth="1" outlineLevel="1"/>
    <col min="3" max="3" width="8.42578125" style="93" customWidth="1" outlineLevel="1"/>
    <col min="4" max="10" width="7.7109375" style="93" customWidth="1" outlineLevel="1"/>
    <col min="11" max="11" width="8.42578125" style="93" customWidth="1" outlineLevel="1"/>
    <col min="12" max="24" width="7.7109375" style="93" customWidth="1" outlineLevel="1"/>
    <col min="25" max="25" width="20.42578125" style="93" customWidth="1"/>
    <col min="26" max="16384" width="7.28515625" style="93"/>
  </cols>
  <sheetData>
    <row r="1" spans="1:25" x14ac:dyDescent="0.25">
      <c r="A1" s="92" t="str">
        <f ca="1">TEXT(IF(HOUR(NOW())&gt;=17,NOW()+1,NOW()),"YYMMDD")</f>
        <v>250520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>250521</v>
      </c>
      <c r="E1" s="92" t="str">
        <f ca="1">IF(AND(TEXT(E3,"YYMMDD")&gt;$A$1,TEXT(E3,"YYMMDD")&lt;&gt;Hoja1!$C$2,TEXT(E3,"YYMMDD")&lt;&gt;Hoja1!$D$2),TEXT(E3,"YYMMDD"),"")</f>
        <v>250522</v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>250530</v>
      </c>
      <c r="H1" s="92" t="str">
        <f ca="1">IF(AND(TEXT(H3,"YYMMDD")&gt;$A$1,TEXT(H3,"YYMMDD")&lt;&gt;Hoja1!$C$2,TEXT(H3,"YYMMDD")&lt;&gt;Hoja1!$D$2),TEXT(H3,"YYMMDD"),"")</f>
        <v>250606</v>
      </c>
      <c r="I1" s="92" t="str">
        <f ca="1">IF(AND(TEXT(I3,"YYMMDD")&gt;$A$1,TEXT(I3,"YYMMDD")&lt;&gt;Hoja1!$C$2,TEXT(I3,"YYMMDD")&lt;&gt;Hoja1!$D$2),TEXT(I3,"YYMMDD"),"")</f>
        <v>250613</v>
      </c>
      <c r="J1" s="92" t="str">
        <f ca="1">IF(AND(TEXT(J3,"YYMMDD")&gt;$A$1,TEXT(J3,"YYMMDD")&lt;&gt;Hoja1!$C$2,TEXT(J3,"YYMMDD")&lt;&gt;Hoja1!$D$2),TEXT(J3,"YYMMDD"),"")</f>
        <v/>
      </c>
      <c r="K1" s="92" t="str">
        <f ca="1">IF(AND(TEXT(K3,"YYMMDD")&gt;$A$1,TEXT(K3,"YYMMDD")&lt;&gt;Hoja1!$C$2,TEXT(K3,"YYMMDD")&lt;&gt;Hoja1!$D$2),TEXT(K3,"YYMMDD"),"")</f>
        <v>250627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250725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250822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250926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251024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251128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251226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>+K2</f>
        <v>SPY</v>
      </c>
      <c r="M2" s="92" t="str">
        <f t="shared" ref="M2:X2" si="1">+K2</f>
        <v>SPY</v>
      </c>
      <c r="N2" s="92" t="str">
        <f t="shared" si="1"/>
        <v>SPY</v>
      </c>
      <c r="O2" s="92" t="str">
        <f t="shared" si="1"/>
        <v>SPY</v>
      </c>
      <c r="P2" s="92" t="str">
        <f t="shared" si="1"/>
        <v>SPY</v>
      </c>
      <c r="Q2" s="92" t="str">
        <f t="shared" si="1"/>
        <v>SPY</v>
      </c>
      <c r="R2" s="92" t="str">
        <f t="shared" si="1"/>
        <v>SPY</v>
      </c>
      <c r="S2" s="92" t="str">
        <f t="shared" si="1"/>
        <v>SPY</v>
      </c>
      <c r="T2" s="92" t="str">
        <f t="shared" si="1"/>
        <v>SPY</v>
      </c>
      <c r="U2" s="92" t="str">
        <f t="shared" si="1"/>
        <v>SPY</v>
      </c>
      <c r="V2" s="92" t="str">
        <f t="shared" si="1"/>
        <v>SPY</v>
      </c>
      <c r="W2" s="92" t="str">
        <f t="shared" si="1"/>
        <v>SPY</v>
      </c>
      <c r="X2" s="92" t="str">
        <f t="shared" si="1"/>
        <v>SPY</v>
      </c>
    </row>
    <row r="3" spans="1:25" x14ac:dyDescent="0.25">
      <c r="A3" s="92" t="str">
        <f>+Hoja1!A2</f>
        <v>SPY</v>
      </c>
      <c r="B3" s="94">
        <v>45796</v>
      </c>
      <c r="C3" s="94">
        <f>+B3+1</f>
        <v>45797</v>
      </c>
      <c r="D3" s="94">
        <f>+C3+1</f>
        <v>45798</v>
      </c>
      <c r="E3" s="94">
        <f>+D3+1</f>
        <v>45799</v>
      </c>
      <c r="F3" s="94">
        <f>+E3+1</f>
        <v>45800</v>
      </c>
      <c r="G3" s="94">
        <f>+F3+7</f>
        <v>45807</v>
      </c>
      <c r="H3" s="94">
        <f>+G3+7</f>
        <v>45814</v>
      </c>
      <c r="I3" s="94">
        <f>+H3+7</f>
        <v>45821</v>
      </c>
      <c r="J3" s="94">
        <f>+I3+7</f>
        <v>45828</v>
      </c>
      <c r="K3" s="94">
        <f>+J3+7</f>
        <v>45835</v>
      </c>
      <c r="L3" s="94">
        <v>45838</v>
      </c>
      <c r="M3" s="94">
        <f>+K3+7+7+7+7</f>
        <v>45863</v>
      </c>
      <c r="N3" s="94">
        <v>45869</v>
      </c>
      <c r="O3" s="94">
        <f>+M3+7+7+7+7</f>
        <v>45891</v>
      </c>
      <c r="P3" s="94">
        <v>45898</v>
      </c>
      <c r="Q3" s="94">
        <f>+O3+7+7+7+7+7</f>
        <v>45926</v>
      </c>
      <c r="R3" s="94">
        <v>45930</v>
      </c>
      <c r="S3" s="94">
        <f>+Q3+7+7+7+7</f>
        <v>45954</v>
      </c>
      <c r="T3" s="94">
        <v>45961</v>
      </c>
      <c r="U3" s="94">
        <f>+S3+7+7+7+7+7</f>
        <v>45989</v>
      </c>
      <c r="V3" s="94">
        <v>45989</v>
      </c>
      <c r="W3" s="94">
        <f>+U3+7+7+7+7</f>
        <v>46017</v>
      </c>
      <c r="X3" s="94">
        <v>46022</v>
      </c>
    </row>
    <row r="4" spans="1:25" x14ac:dyDescent="0.25">
      <c r="A4" s="92">
        <f>+Hoja1!A3</f>
        <v>592.41</v>
      </c>
      <c r="B4" s="92"/>
      <c r="C4" s="92"/>
      <c r="D4" s="92"/>
    </row>
    <row r="5" spans="1:25" x14ac:dyDescent="0.25">
      <c r="A5" s="92">
        <f>+Hoja1!A4</f>
        <v>602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7971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2233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962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124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0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0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0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107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25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0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0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0</v>
      </c>
      <c r="Y5" s="98">
        <f ca="1">SUM(B5:X5)</f>
        <v>11422</v>
      </c>
    </row>
    <row r="6" spans="1:25" x14ac:dyDescent="0.25">
      <c r="A6" s="92">
        <f>+Hoja1!A5</f>
        <v>601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7158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3305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766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235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351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0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43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86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0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0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20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-7</v>
      </c>
      <c r="Y6" s="98">
        <f t="shared" ref="Y6:Y39" ca="1" si="2">SUM(B6:X6)</f>
        <v>11957</v>
      </c>
    </row>
    <row r="7" spans="1:25" x14ac:dyDescent="0.25">
      <c r="A7" s="92">
        <f>+Hoja1!A6</f>
        <v>600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49442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18417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14288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2824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1646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0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152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839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0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136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0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24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0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-97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-99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0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75</v>
      </c>
      <c r="Y7" s="98">
        <f t="shared" ca="1" si="2"/>
        <v>87647</v>
      </c>
    </row>
    <row r="8" spans="1:25" x14ac:dyDescent="0.25">
      <c r="A8" s="92">
        <f>+Hoja1!A7</f>
        <v>599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12900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4735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629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216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344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0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2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92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17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0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92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-10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0</v>
      </c>
      <c r="Y8" s="98">
        <f t="shared" ca="1" si="2"/>
        <v>19017</v>
      </c>
    </row>
    <row r="9" spans="1:25" x14ac:dyDescent="0.25">
      <c r="A9" s="93">
        <f>+Hoja1!A8</f>
        <v>598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30798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22226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1529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5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539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0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-47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46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1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0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0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1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0</v>
      </c>
      <c r="Y9" s="98">
        <f t="shared" ca="1" si="2"/>
        <v>55098</v>
      </c>
    </row>
    <row r="10" spans="1:25" x14ac:dyDescent="0.25">
      <c r="A10" s="93">
        <f>+Hoja1!A9</f>
        <v>597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29534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4712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1193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953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-50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0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44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145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-3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0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1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12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-2</v>
      </c>
      <c r="Y10" s="98">
        <f t="shared" ca="1" si="2"/>
        <v>36539</v>
      </c>
    </row>
    <row r="11" spans="1:25" x14ac:dyDescent="0.25">
      <c r="A11" s="93">
        <f>+Hoja1!A10</f>
        <v>596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40826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3850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1352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1551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86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0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81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34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0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0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-95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3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4</v>
      </c>
      <c r="Y11" s="98">
        <f t="shared" ca="1" si="2"/>
        <v>47692</v>
      </c>
    </row>
    <row r="12" spans="1:25" x14ac:dyDescent="0.25">
      <c r="A12" s="93">
        <f>+Hoja1!A11</f>
        <v>595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94512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23857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8080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1077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238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0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967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-510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0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59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0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-5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0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4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-14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0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-1</v>
      </c>
      <c r="Y12" s="98">
        <f t="shared" ca="1" si="2"/>
        <v>128264</v>
      </c>
    </row>
    <row r="13" spans="1:25" x14ac:dyDescent="0.25">
      <c r="A13" s="93">
        <f>+Hoja1!A12</f>
        <v>594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104426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19888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2953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26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63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0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108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-414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41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0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-53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-20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-4</v>
      </c>
      <c r="Y13" s="98">
        <f t="shared" ca="1" si="2"/>
        <v>127014</v>
      </c>
    </row>
    <row r="14" spans="1:25" x14ac:dyDescent="0.25">
      <c r="A14" s="93">
        <f>+Hoja1!A13</f>
        <v>593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70111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-379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820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520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237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0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-114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-174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67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0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15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-20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-164</v>
      </c>
      <c r="Y14" s="98">
        <f t="shared" ca="1" si="2"/>
        <v>70919</v>
      </c>
    </row>
    <row r="15" spans="1:25" x14ac:dyDescent="0.25">
      <c r="A15" s="93">
        <f>+Hoja1!A14</f>
        <v>592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7862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-2297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1548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-79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-191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0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66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-147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68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0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8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-9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0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-3</v>
      </c>
      <c r="Y15" s="98">
        <f t="shared" ca="1" si="2"/>
        <v>6826</v>
      </c>
    </row>
    <row r="16" spans="1:25" x14ac:dyDescent="0.25">
      <c r="A16" s="93">
        <f>+Hoja1!A15</f>
        <v>591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-22175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12075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458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47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-157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0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68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-192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-5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0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-55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0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1</v>
      </c>
      <c r="Y16" s="98">
        <f t="shared" ca="1" si="2"/>
        <v>-9935</v>
      </c>
    </row>
    <row r="17" spans="1:25" x14ac:dyDescent="0.25">
      <c r="A17" s="93">
        <f>+Hoja1!A16</f>
        <v>590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-61756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-9783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-7218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-88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-845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0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-1330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-677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0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294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0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-45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0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-13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-57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0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-88</v>
      </c>
      <c r="Y17" s="98">
        <f t="shared" ca="1" si="2"/>
        <v>-81606</v>
      </c>
    </row>
    <row r="18" spans="1:25" x14ac:dyDescent="0.25">
      <c r="A18" s="93">
        <f>+Hoja1!A17</f>
        <v>589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-28854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-1762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2525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22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-154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0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-46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-134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-19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0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3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0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0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0</v>
      </c>
      <c r="Y18" s="98">
        <f t="shared" ca="1" si="2"/>
        <v>-28419</v>
      </c>
    </row>
    <row r="19" spans="1:25" x14ac:dyDescent="0.25">
      <c r="A19" s="93">
        <f>+Hoja1!A18</f>
        <v>588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-40933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-5425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-1163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81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-113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0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-55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19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-27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0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53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-4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0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5</v>
      </c>
      <c r="Y19" s="98">
        <f t="shared" ca="1" si="2"/>
        <v>-47562</v>
      </c>
    </row>
    <row r="20" spans="1:25" x14ac:dyDescent="0.25">
      <c r="A20" s="93">
        <f>+Hoja1!A19</f>
        <v>587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-20710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-2606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-1096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-1205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-182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0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-4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-24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-14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0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0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-1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0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0</v>
      </c>
      <c r="Y20" s="98">
        <f t="shared" ca="1" si="2"/>
        <v>-25842</v>
      </c>
    </row>
    <row r="21" spans="1:25" x14ac:dyDescent="0.25">
      <c r="A21" s="93">
        <f>+Hoja1!A20</f>
        <v>586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-13603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-2304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-934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-319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-44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0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-142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-203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-91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0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-3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20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0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-20</v>
      </c>
      <c r="Y21" s="98">
        <f t="shared" ca="1" si="2"/>
        <v>-17643</v>
      </c>
    </row>
    <row r="22" spans="1:25" x14ac:dyDescent="0.25">
      <c r="A22" s="93">
        <f>+Hoja1!A21</f>
        <v>585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-37233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-9500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-6562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-8111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-717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0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-186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-471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0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21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0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-13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0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-50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-58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0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-9</v>
      </c>
      <c r="Y22" s="98">
        <f t="shared" ca="1" si="2"/>
        <v>-62889</v>
      </c>
    </row>
    <row r="23" spans="1:25" x14ac:dyDescent="0.25">
      <c r="A23" s="93">
        <f>+Hoja1!A22</f>
        <v>584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-10577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-2411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-158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-275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-1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0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-5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-127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50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0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1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0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0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-19</v>
      </c>
      <c r="Y23" s="98">
        <f t="shared" ca="1" si="2"/>
        <v>-13522</v>
      </c>
    </row>
    <row r="24" spans="1:25" x14ac:dyDescent="0.25">
      <c r="A24" s="93">
        <f>+Hoja1!A23</f>
        <v>583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-14477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-2037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-889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-219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-44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0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-5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-20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7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0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-2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4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0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0</v>
      </c>
      <c r="Y24" s="98">
        <f t="shared" ca="1" si="2"/>
        <v>-17682</v>
      </c>
    </row>
    <row r="25" spans="1:25" x14ac:dyDescent="0.25">
      <c r="A25" s="93">
        <f>+Hoja1!A24</f>
        <v>582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-7857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-2148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-689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-178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-166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0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-38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-52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-21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0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6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4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0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-1</v>
      </c>
      <c r="Y25" s="98">
        <f t="shared" ca="1" si="2"/>
        <v>-11140</v>
      </c>
    </row>
    <row r="26" spans="1:25" x14ac:dyDescent="0.25">
      <c r="A26" s="93">
        <f>+Hoja1!A25</f>
        <v>581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-5223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-1761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-895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-117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-54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0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-10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-87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7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0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-1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6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0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0</v>
      </c>
      <c r="Y26" s="98">
        <f t="shared" ca="1" si="2"/>
        <v>-8135</v>
      </c>
    </row>
    <row r="27" spans="1:25" x14ac:dyDescent="0.25">
      <c r="A27" s="93">
        <f>+Hoja1!A26</f>
        <v>580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-16424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-4828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-15819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-4044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-1540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0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-387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-674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0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-404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0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-30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0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-140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-29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0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-178</v>
      </c>
      <c r="Y27" s="98">
        <f t="shared" ca="1" si="2"/>
        <v>-44497</v>
      </c>
    </row>
    <row r="28" spans="1:25" x14ac:dyDescent="0.25">
      <c r="A28" s="93">
        <f>+Hoja1!A27</f>
        <v>579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-3307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-1908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-408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4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-80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0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-63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-179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-87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0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0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0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0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0</v>
      </c>
      <c r="Y28" s="98">
        <f t="shared" ca="1" si="2"/>
        <v>-6028</v>
      </c>
    </row>
    <row r="29" spans="1:25" x14ac:dyDescent="0.25">
      <c r="A29" s="93">
        <f>+Hoja1!A28</f>
        <v>578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-6691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-1265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-1043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-152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-67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0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-218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-285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-9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0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0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-4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0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0</v>
      </c>
      <c r="Y29" s="98">
        <f t="shared" ca="1" si="2"/>
        <v>-9734</v>
      </c>
    </row>
    <row r="30" spans="1:25" x14ac:dyDescent="0.25">
      <c r="A30" s="93">
        <f>+Hoja1!A29</f>
        <v>577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-2805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-2270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-1124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-124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-80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0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-23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-218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0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0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-1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-1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0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0</v>
      </c>
      <c r="Y30" s="98">
        <f t="shared" ca="1" si="2"/>
        <v>-6646</v>
      </c>
    </row>
    <row r="31" spans="1:25" x14ac:dyDescent="0.25">
      <c r="A31" s="93">
        <f>+Hoja1!A30</f>
        <v>576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-2698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-2110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-361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17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-56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0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-37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-239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-17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0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-1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-3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0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0</v>
      </c>
      <c r="Y31" s="98">
        <f t="shared" ca="1" si="2"/>
        <v>-5505</v>
      </c>
    </row>
    <row r="32" spans="1:25" x14ac:dyDescent="0.25">
      <c r="A32" s="93">
        <f>+Hoja1!A31</f>
        <v>575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-3803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-2535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-8699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-475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-645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0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-2569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-443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0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-356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0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5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0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-88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1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0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-8</v>
      </c>
      <c r="Y32" s="98">
        <f t="shared" ca="1" si="2"/>
        <v>-19615</v>
      </c>
    </row>
    <row r="33" spans="1:25" x14ac:dyDescent="0.25">
      <c r="A33" s="93">
        <f>+Hoja1!A32</f>
        <v>574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-931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-247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-672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-65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4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0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0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-46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0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0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0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0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0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13</v>
      </c>
      <c r="Y33" s="98">
        <f t="shared" ca="1" si="2"/>
        <v>-1944</v>
      </c>
    </row>
    <row r="34" spans="1:25" x14ac:dyDescent="0.25">
      <c r="A34" s="93">
        <f>+Hoja1!A33</f>
        <v>573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-975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-939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-873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-143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-1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0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-4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-26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-8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0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0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0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0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0</v>
      </c>
      <c r="Y34" s="98">
        <f t="shared" ca="1" si="2"/>
        <v>-2969</v>
      </c>
    </row>
    <row r="35" spans="1:25" x14ac:dyDescent="0.25">
      <c r="A35" s="93">
        <f>+Hoja1!A34</f>
        <v>572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-1331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-784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-1340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-144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-135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0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-91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-36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-3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0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0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1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-7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-6</v>
      </c>
      <c r="Y35" s="98">
        <f t="shared" ca="1" si="2"/>
        <v>-3876</v>
      </c>
    </row>
    <row r="36" spans="1:25" x14ac:dyDescent="0.25">
      <c r="A36" s="93">
        <f>+Hoja1!A35</f>
        <v>571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-898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-332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-995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-166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-17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0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0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-23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-1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0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-3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0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-4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-1</v>
      </c>
      <c r="Y36" s="98">
        <f t="shared" ca="1" si="2"/>
        <v>-2440</v>
      </c>
    </row>
    <row r="37" spans="1:25" x14ac:dyDescent="0.25">
      <c r="A37" s="93">
        <f>+Hoja1!A36</f>
        <v>570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-616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-1080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-10362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-1065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-2136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0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-492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-801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0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-219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0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-7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0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-44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0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0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-446</v>
      </c>
      <c r="Y37" s="98">
        <f t="shared" ca="1" si="2"/>
        <v>-17268</v>
      </c>
    </row>
    <row r="38" spans="1:25" x14ac:dyDescent="0.25">
      <c r="A38" s="93">
        <f>+Hoja1!A37</f>
        <v>569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-254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-1439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-941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-61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-148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0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-2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-48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-4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0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0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-1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-4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0</v>
      </c>
      <c r="Y38" s="98">
        <f t="shared" ca="1" si="2"/>
        <v>-2902</v>
      </c>
    </row>
    <row r="39" spans="1:25" x14ac:dyDescent="0.25">
      <c r="A39" s="93">
        <f>+Hoja1!A38</f>
        <v>568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-227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-1415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-4174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-67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2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0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-6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-163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-1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0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-1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0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-3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-1</v>
      </c>
      <c r="Y39" s="98">
        <f t="shared" ca="1" si="2"/>
        <v>-6056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3">+C1</f>
        <v/>
      </c>
      <c r="D42" s="92" t="str">
        <f t="shared" ca="1" si="3"/>
        <v>250521</v>
      </c>
      <c r="E42" s="92" t="str">
        <f t="shared" ca="1" si="3"/>
        <v>250522</v>
      </c>
      <c r="F42" s="92" t="str">
        <f t="shared" ca="1" si="3"/>
        <v/>
      </c>
      <c r="G42" s="92" t="str">
        <f t="shared" ca="1" si="3"/>
        <v>250530</v>
      </c>
      <c r="H42" s="92" t="str">
        <f t="shared" ca="1" si="3"/>
        <v>250606</v>
      </c>
      <c r="I42" s="92" t="str">
        <f t="shared" ca="1" si="3"/>
        <v>250613</v>
      </c>
      <c r="J42" s="92" t="str">
        <f t="shared" ca="1" si="3"/>
        <v/>
      </c>
      <c r="K42" s="92" t="str">
        <f t="shared" ca="1" si="3"/>
        <v>250627</v>
      </c>
      <c r="L42" s="92" t="str">
        <f t="shared" ca="1" si="3"/>
        <v>250630</v>
      </c>
      <c r="M42" s="92" t="str">
        <f t="shared" ca="1" si="3"/>
        <v>250725</v>
      </c>
      <c r="N42" s="92" t="str">
        <f t="shared" ca="1" si="3"/>
        <v>250731</v>
      </c>
      <c r="O42" s="92" t="str">
        <f t="shared" ca="1" si="3"/>
        <v>250822</v>
      </c>
      <c r="P42" s="92" t="str">
        <f t="shared" ca="1" si="3"/>
        <v>250829</v>
      </c>
      <c r="Q42" s="92" t="str">
        <f t="shared" ca="1" si="3"/>
        <v>250926</v>
      </c>
      <c r="R42" s="92" t="str">
        <f t="shared" ca="1" si="3"/>
        <v>250930</v>
      </c>
      <c r="S42" s="92" t="str">
        <f t="shared" ca="1" si="3"/>
        <v>251024</v>
      </c>
      <c r="T42" s="92" t="str">
        <f t="shared" ca="1" si="3"/>
        <v>251031</v>
      </c>
      <c r="U42" s="92" t="str">
        <f t="shared" ca="1" si="3"/>
        <v>251128</v>
      </c>
      <c r="V42" s="92" t="str">
        <f t="shared" ca="1" si="3"/>
        <v>251128</v>
      </c>
      <c r="W42" s="92" t="str">
        <f t="shared" ca="1" si="3"/>
        <v>251226</v>
      </c>
      <c r="X42" s="92" t="str">
        <f t="shared" ca="1" si="3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4">+C43</f>
        <v>QQQ</v>
      </c>
      <c r="E43" s="92" t="str">
        <f t="shared" si="4"/>
        <v>QQQ</v>
      </c>
      <c r="F43" s="92" t="str">
        <f t="shared" si="4"/>
        <v>QQQ</v>
      </c>
      <c r="G43" s="92" t="str">
        <f t="shared" si="4"/>
        <v>QQQ</v>
      </c>
      <c r="H43" s="92" t="str">
        <f t="shared" si="4"/>
        <v>QQQ</v>
      </c>
      <c r="I43" s="92" t="str">
        <f t="shared" si="4"/>
        <v>QQQ</v>
      </c>
      <c r="J43" s="92" t="str">
        <f t="shared" si="4"/>
        <v>QQQ</v>
      </c>
      <c r="K43" s="92" t="str">
        <f t="shared" si="4"/>
        <v>QQQ</v>
      </c>
      <c r="L43" s="92" t="str">
        <f t="shared" si="4"/>
        <v>QQQ</v>
      </c>
      <c r="M43" s="92" t="str">
        <f t="shared" ref="M43:X43" si="5">+K43</f>
        <v>QQQ</v>
      </c>
      <c r="N43" s="92" t="str">
        <f t="shared" si="5"/>
        <v>QQQ</v>
      </c>
      <c r="O43" s="92" t="str">
        <f t="shared" si="5"/>
        <v>QQQ</v>
      </c>
      <c r="P43" s="92" t="str">
        <f t="shared" si="5"/>
        <v>QQQ</v>
      </c>
      <c r="Q43" s="92" t="str">
        <f t="shared" si="5"/>
        <v>QQQ</v>
      </c>
      <c r="R43" s="92" t="str">
        <f t="shared" si="5"/>
        <v>QQQ</v>
      </c>
      <c r="S43" s="92" t="str">
        <f t="shared" si="5"/>
        <v>QQQ</v>
      </c>
      <c r="T43" s="92" t="str">
        <f t="shared" si="5"/>
        <v>QQQ</v>
      </c>
      <c r="U43" s="92" t="str">
        <f t="shared" si="5"/>
        <v>QQQ</v>
      </c>
      <c r="V43" s="92" t="str">
        <f t="shared" si="5"/>
        <v>QQQ</v>
      </c>
      <c r="W43" s="92" t="str">
        <f t="shared" si="5"/>
        <v>QQQ</v>
      </c>
      <c r="X43" s="92" t="str">
        <f t="shared" si="5"/>
        <v>QQQ</v>
      </c>
    </row>
    <row r="44" spans="1:25" x14ac:dyDescent="0.25">
      <c r="A44" s="93" t="str">
        <f>+Hoja1!A43</f>
        <v>QQQ</v>
      </c>
      <c r="B44" s="94">
        <f>+B3</f>
        <v>45796</v>
      </c>
      <c r="C44" s="94">
        <f>+B44+1</f>
        <v>45797</v>
      </c>
      <c r="D44" s="94">
        <f>+C44+1</f>
        <v>45798</v>
      </c>
      <c r="E44" s="94">
        <f>+D44+1</f>
        <v>45799</v>
      </c>
      <c r="F44" s="94">
        <f>+E44+1</f>
        <v>45800</v>
      </c>
      <c r="G44" s="94">
        <f>+F44+7</f>
        <v>45807</v>
      </c>
      <c r="H44" s="94">
        <f>+G44+7</f>
        <v>45814</v>
      </c>
      <c r="I44" s="94">
        <f>+H44+7</f>
        <v>45821</v>
      </c>
      <c r="J44" s="94">
        <f>+I44+7</f>
        <v>45828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519.63</v>
      </c>
      <c r="B45" s="92"/>
      <c r="C45" s="92"/>
      <c r="D45" s="92"/>
    </row>
    <row r="46" spans="1:25" x14ac:dyDescent="0.25">
      <c r="A46" s="93">
        <f>+Hoja1!A45</f>
        <v>532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1396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622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59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8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81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5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0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0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0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2171</v>
      </c>
    </row>
    <row r="47" spans="1:25" x14ac:dyDescent="0.25">
      <c r="A47" s="93">
        <f>+Hoja1!A46</f>
        <v>531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2250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1040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124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44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22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-3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0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0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11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6">SUM(B47:X47)</f>
        <v>3488</v>
      </c>
    </row>
    <row r="48" spans="1:25" x14ac:dyDescent="0.25">
      <c r="A48" s="93">
        <f>+Hoja1!A47</f>
        <v>530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4922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3493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1618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345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125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0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64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16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0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191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0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43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0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21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0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0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-4</v>
      </c>
      <c r="Y48" s="98">
        <f t="shared" ca="1" si="6"/>
        <v>10834</v>
      </c>
    </row>
    <row r="49" spans="1:25" x14ac:dyDescent="0.25">
      <c r="A49" s="93">
        <f>+Hoja1!A48</f>
        <v>529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2383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867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127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-132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24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0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12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-28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0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0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0</v>
      </c>
      <c r="Y49" s="98">
        <f t="shared" ca="1" si="6"/>
        <v>3253</v>
      </c>
    </row>
    <row r="50" spans="1:25" x14ac:dyDescent="0.25">
      <c r="A50" s="93">
        <f>+Hoja1!A49</f>
        <v>528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6494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564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174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-83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13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0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23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-68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1</v>
      </c>
      <c r="Y50" s="98">
        <f t="shared" ca="1" si="6"/>
        <v>7118</v>
      </c>
    </row>
    <row r="51" spans="1:25" x14ac:dyDescent="0.25">
      <c r="A51" s="93">
        <f>+Hoja1!A50</f>
        <v>527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4313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1709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169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98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34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0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304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-302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2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0</v>
      </c>
      <c r="Y51" s="98">
        <f t="shared" ca="1" si="6"/>
        <v>6327</v>
      </c>
    </row>
    <row r="52" spans="1:25" x14ac:dyDescent="0.25">
      <c r="A52" s="93">
        <f>+Hoja1!A51</f>
        <v>526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4068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1197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141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19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11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0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36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0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8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0</v>
      </c>
      <c r="Y52" s="98">
        <f t="shared" ca="1" si="6"/>
        <v>5480</v>
      </c>
    </row>
    <row r="53" spans="1:25" x14ac:dyDescent="0.25">
      <c r="A53" s="93">
        <f>+Hoja1!A52</f>
        <v>525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20513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2070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5587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528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505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0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9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94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0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89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0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39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0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89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0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0</v>
      </c>
      <c r="Y53" s="98">
        <f t="shared" ca="1" si="6"/>
        <v>29523</v>
      </c>
    </row>
    <row r="54" spans="1:25" x14ac:dyDescent="0.25">
      <c r="A54" s="93">
        <f>+Hoja1!A53</f>
        <v>524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11380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1282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748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130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29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0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-4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165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0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5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6"/>
        <v>13735</v>
      </c>
    </row>
    <row r="55" spans="1:25" x14ac:dyDescent="0.25">
      <c r="A55" s="93">
        <f>+Hoja1!A54</f>
        <v>523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12748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1899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744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161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544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0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-5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-19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-9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0</v>
      </c>
      <c r="Y55" s="98">
        <f t="shared" ca="1" si="6"/>
        <v>16063</v>
      </c>
    </row>
    <row r="56" spans="1:25" x14ac:dyDescent="0.25">
      <c r="A56" s="93">
        <f>+Hoja1!A55</f>
        <v>522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17673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5592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1042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647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379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0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114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1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0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3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-2</v>
      </c>
      <c r="Y56" s="98">
        <f t="shared" ca="1" si="6"/>
        <v>25449</v>
      </c>
    </row>
    <row r="57" spans="1:25" x14ac:dyDescent="0.25">
      <c r="A57" s="93">
        <f>+Hoja1!A56</f>
        <v>521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19409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2586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1241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241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253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0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-109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-43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0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14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-1</v>
      </c>
      <c r="Y57" s="98">
        <f t="shared" ca="1" si="6"/>
        <v>23591</v>
      </c>
    </row>
    <row r="58" spans="1:25" x14ac:dyDescent="0.25">
      <c r="A58" s="93">
        <f>+Hoja1!A57</f>
        <v>520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37135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-50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-1668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-2239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-55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0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-148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-600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0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-181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0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17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0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-26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0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0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258</v>
      </c>
      <c r="Y58" s="98">
        <f t="shared" ca="1" si="6"/>
        <v>32443</v>
      </c>
    </row>
    <row r="59" spans="1:25" x14ac:dyDescent="0.25">
      <c r="A59" s="93">
        <f>+Hoja1!A58</f>
        <v>519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5104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-1159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-1665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-283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308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0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-106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36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0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8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0</v>
      </c>
      <c r="Y59" s="98">
        <f t="shared" ca="1" si="6"/>
        <v>2243</v>
      </c>
    </row>
    <row r="60" spans="1:25" x14ac:dyDescent="0.25">
      <c r="A60" s="93">
        <f>+Hoja1!A59</f>
        <v>518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-23350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-3305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-789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-48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-778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0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-18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-43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0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13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-4</v>
      </c>
      <c r="Y60" s="98">
        <f t="shared" ca="1" si="6"/>
        <v>-28322</v>
      </c>
    </row>
    <row r="61" spans="1:25" x14ac:dyDescent="0.25">
      <c r="A61" s="93">
        <f>+Hoja1!A60</f>
        <v>517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-13552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-7717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-993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-308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-277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0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-175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-24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0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-12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0</v>
      </c>
      <c r="Y61" s="98">
        <f t="shared" ca="1" si="6"/>
        <v>-23058</v>
      </c>
    </row>
    <row r="62" spans="1:25" x14ac:dyDescent="0.25">
      <c r="A62" s="93">
        <f>+Hoja1!A61</f>
        <v>516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-13453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-4816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-1054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-79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-32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0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19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-421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0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-15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0</v>
      </c>
      <c r="Y62" s="98">
        <f t="shared" ca="1" si="6"/>
        <v>-19851</v>
      </c>
    </row>
    <row r="63" spans="1:25" x14ac:dyDescent="0.25">
      <c r="A63" s="93">
        <f>+Hoja1!A62</f>
        <v>515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-24873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-4014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-2825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4083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-106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0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-114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-110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0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-4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0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10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0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-29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0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1</v>
      </c>
      <c r="Y63" s="98">
        <f t="shared" ca="1" si="6"/>
        <v>-27981</v>
      </c>
    </row>
    <row r="64" spans="1:25" x14ac:dyDescent="0.25">
      <c r="A64" s="93">
        <f>+Hoja1!A63</f>
        <v>514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-9485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-2382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-243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-83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-544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0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-12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-9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0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2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0</v>
      </c>
      <c r="Y64" s="98">
        <f t="shared" ca="1" si="6"/>
        <v>-12756</v>
      </c>
    </row>
    <row r="65" spans="1:25" x14ac:dyDescent="0.25">
      <c r="A65" s="93">
        <f>+Hoja1!A64</f>
        <v>513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-9560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-1696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-164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-969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-824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0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1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-91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0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0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0</v>
      </c>
      <c r="Y65" s="98">
        <f t="shared" ca="1" si="6"/>
        <v>-13303</v>
      </c>
    </row>
    <row r="66" spans="1:25" x14ac:dyDescent="0.25">
      <c r="A66" s="93">
        <f>+Hoja1!A65</f>
        <v>512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-4904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-1709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-298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-22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-119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0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-7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8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0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0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-1</v>
      </c>
      <c r="Y66" s="98">
        <f t="shared" ca="1" si="6"/>
        <v>-7052</v>
      </c>
    </row>
    <row r="67" spans="1:25" x14ac:dyDescent="0.25">
      <c r="A67" s="93">
        <f>+Hoja1!A66</f>
        <v>511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-6571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-1982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-154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38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-31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0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-44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-2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0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0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6"/>
        <v>-8746</v>
      </c>
    </row>
    <row r="68" spans="1:25" x14ac:dyDescent="0.25">
      <c r="A68" s="93">
        <f>+Hoja1!A67</f>
        <v>510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-14003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-3551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-5370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60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-579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0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-54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-188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0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-40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0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-13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0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-21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0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0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1</v>
      </c>
      <c r="Y68" s="98">
        <f t="shared" ca="1" si="6"/>
        <v>-23758</v>
      </c>
    </row>
    <row r="69" spans="1:25" x14ac:dyDescent="0.25">
      <c r="A69" s="93">
        <f>+Hoja1!A68</f>
        <v>509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-4333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-1356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-485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69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-12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0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-3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-1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0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0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-6</v>
      </c>
      <c r="Y69" s="98">
        <f t="shared" ca="1" si="6"/>
        <v>-6127</v>
      </c>
    </row>
    <row r="70" spans="1:25" x14ac:dyDescent="0.25">
      <c r="A70" s="93">
        <f>+Hoja1!A69</f>
        <v>508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-6137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-823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-249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-25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-13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0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-2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0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15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-1</v>
      </c>
      <c r="Y70" s="98">
        <f t="shared" ca="1" si="6"/>
        <v>-7238</v>
      </c>
    </row>
    <row r="71" spans="1:25" x14ac:dyDescent="0.25">
      <c r="A71" s="93">
        <f>+Hoja1!A70</f>
        <v>507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-3178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-324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-131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-43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-103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0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1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0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0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0</v>
      </c>
      <c r="Y71" s="98">
        <f t="shared" ca="1" si="6"/>
        <v>-3778</v>
      </c>
    </row>
    <row r="72" spans="1:25" x14ac:dyDescent="0.25">
      <c r="A72" s="93">
        <f>+Hoja1!A71</f>
        <v>506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-1991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-463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-126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-35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-22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0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-1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0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0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-1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6"/>
        <v>-2639</v>
      </c>
    </row>
    <row r="73" spans="1:25" x14ac:dyDescent="0.25">
      <c r="A73" s="93">
        <f>+Hoja1!A72</f>
        <v>505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-1790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-1625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-830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-1132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-182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0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-23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15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0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-3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0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-8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0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0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0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1</v>
      </c>
      <c r="Y73" s="98">
        <f t="shared" ca="1" si="6"/>
        <v>-5577</v>
      </c>
    </row>
    <row r="74" spans="1:25" x14ac:dyDescent="0.25">
      <c r="A74" s="93">
        <f>+Hoja1!A73</f>
        <v>504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-1340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-861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-325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9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-2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0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-43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-1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2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-12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6"/>
        <v>-2573</v>
      </c>
    </row>
    <row r="75" spans="1:25" x14ac:dyDescent="0.25">
      <c r="A75" s="93">
        <f>+Hoja1!A74</f>
        <v>503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-2395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-870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-167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-38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0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0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-26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0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0</v>
      </c>
      <c r="Y75" s="98">
        <f t="shared" ca="1" si="6"/>
        <v>-3496</v>
      </c>
    </row>
    <row r="76" spans="1:25" x14ac:dyDescent="0.25">
      <c r="A76" s="93">
        <f>+Hoja1!A75</f>
        <v>502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-1360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-852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-45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-30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0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0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-6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1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-1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0</v>
      </c>
      <c r="Y76" s="98">
        <f t="shared" ca="1" si="6"/>
        <v>-2293</v>
      </c>
    </row>
    <row r="77" spans="1:25" x14ac:dyDescent="0.25">
      <c r="A77" s="93">
        <f>+Hoja1!A76</f>
        <v>501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-2962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-459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-34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-3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0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0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7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-2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-3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6"/>
        <v>-3456</v>
      </c>
    </row>
    <row r="78" spans="1:25" x14ac:dyDescent="0.25">
      <c r="A78" s="93">
        <f>+Hoja1!A77</f>
        <v>500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-2677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-685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-9864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-2623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-731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0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-331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-6392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0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-45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0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-91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0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-86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0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0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25</v>
      </c>
      <c r="Y78" s="98">
        <f t="shared" ca="1" si="6"/>
        <v>-23500</v>
      </c>
    </row>
    <row r="79" spans="1:25" x14ac:dyDescent="0.25">
      <c r="A79" s="93">
        <f>+Hoja1!A78</f>
        <v>499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-651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-493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-147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-165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-68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0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-27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-2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-2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0</v>
      </c>
      <c r="Y79" s="98">
        <f t="shared" ca="1" si="6"/>
        <v>-1555</v>
      </c>
    </row>
    <row r="80" spans="1:25" x14ac:dyDescent="0.25">
      <c r="A80" s="93">
        <f>+Hoja1!A79</f>
        <v>498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-227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-59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-90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13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-19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0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-4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-522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0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-1</v>
      </c>
      <c r="Y80" s="98">
        <f t="shared" ca="1" si="6"/>
        <v>-909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7">+C42</f>
        <v/>
      </c>
      <c r="D82" s="92" t="str">
        <f t="shared" ca="1" si="7"/>
        <v>250521</v>
      </c>
      <c r="E82" s="92" t="str">
        <f t="shared" ca="1" si="7"/>
        <v>250522</v>
      </c>
      <c r="F82" s="92" t="str">
        <f t="shared" ca="1" si="7"/>
        <v/>
      </c>
      <c r="G82" s="92" t="str">
        <f t="shared" ca="1" si="7"/>
        <v>250530</v>
      </c>
      <c r="H82" s="92" t="str">
        <f t="shared" ca="1" si="7"/>
        <v>250606</v>
      </c>
      <c r="I82" s="92" t="str">
        <f t="shared" ca="1" si="7"/>
        <v>250613</v>
      </c>
      <c r="J82" s="92" t="str">
        <f t="shared" ca="1" si="7"/>
        <v/>
      </c>
      <c r="K82" s="92" t="str">
        <f t="shared" ca="1" si="7"/>
        <v>250627</v>
      </c>
      <c r="L82" s="92" t="str">
        <f t="shared" ca="1" si="7"/>
        <v>250630</v>
      </c>
      <c r="M82" s="92" t="str">
        <f t="shared" ca="1" si="7"/>
        <v>250725</v>
      </c>
      <c r="N82" s="92" t="str">
        <f t="shared" ca="1" si="7"/>
        <v>250731</v>
      </c>
      <c r="O82" s="92" t="str">
        <f t="shared" ca="1" si="7"/>
        <v>250822</v>
      </c>
      <c r="P82" s="92" t="str">
        <f t="shared" ca="1" si="7"/>
        <v>250829</v>
      </c>
      <c r="Q82" s="92" t="str">
        <f t="shared" ca="1" si="7"/>
        <v>250926</v>
      </c>
      <c r="R82" s="92" t="str">
        <f t="shared" ca="1" si="7"/>
        <v>250930</v>
      </c>
      <c r="S82" s="92" t="str">
        <f t="shared" ca="1" si="7"/>
        <v>251024</v>
      </c>
      <c r="T82" s="92" t="str">
        <f t="shared" ca="1" si="7"/>
        <v>251031</v>
      </c>
      <c r="U82" s="92" t="str">
        <f t="shared" ca="1" si="7"/>
        <v>251128</v>
      </c>
      <c r="V82" s="92" t="str">
        <f t="shared" ca="1" si="7"/>
        <v>251128</v>
      </c>
      <c r="W82" s="92" t="str">
        <f t="shared" ca="1" si="7"/>
        <v>251226</v>
      </c>
      <c r="X82" s="92" t="str">
        <f t="shared" ca="1" si="7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45796</v>
      </c>
      <c r="C84" s="94">
        <f t="shared" ref="C84:X84" si="8">+C44</f>
        <v>45797</v>
      </c>
      <c r="D84" s="94">
        <f t="shared" si="8"/>
        <v>45798</v>
      </c>
      <c r="E84" s="94">
        <f t="shared" si="8"/>
        <v>45799</v>
      </c>
      <c r="F84" s="94">
        <f t="shared" si="8"/>
        <v>45800</v>
      </c>
      <c r="G84" s="94">
        <f t="shared" si="8"/>
        <v>45807</v>
      </c>
      <c r="H84" s="94">
        <f t="shared" si="8"/>
        <v>45814</v>
      </c>
      <c r="I84" s="94">
        <f t="shared" si="8"/>
        <v>45821</v>
      </c>
      <c r="J84" s="94">
        <f t="shared" si="8"/>
        <v>45828</v>
      </c>
      <c r="K84" s="94">
        <f t="shared" si="8"/>
        <v>45828</v>
      </c>
      <c r="L84" s="94">
        <f t="shared" si="8"/>
        <v>45838</v>
      </c>
      <c r="M84" s="94">
        <f t="shared" si="8"/>
        <v>45856</v>
      </c>
      <c r="N84" s="94">
        <f t="shared" si="8"/>
        <v>45869</v>
      </c>
      <c r="O84" s="94">
        <f t="shared" si="8"/>
        <v>45884</v>
      </c>
      <c r="P84" s="94">
        <f t="shared" si="8"/>
        <v>45898</v>
      </c>
      <c r="Q84" s="94">
        <f t="shared" si="8"/>
        <v>45919</v>
      </c>
      <c r="R84" s="94">
        <f t="shared" si="8"/>
        <v>45930</v>
      </c>
      <c r="S84" s="94">
        <f t="shared" si="8"/>
        <v>45947</v>
      </c>
      <c r="T84" s="94">
        <f t="shared" si="8"/>
        <v>45961</v>
      </c>
      <c r="U84" s="94">
        <f t="shared" si="8"/>
        <v>45982</v>
      </c>
      <c r="V84" s="94">
        <f t="shared" si="8"/>
        <v>45989</v>
      </c>
      <c r="W84" s="94">
        <f t="shared" si="8"/>
        <v>46010</v>
      </c>
      <c r="X84" s="94">
        <f t="shared" si="8"/>
        <v>46022</v>
      </c>
    </row>
    <row r="85" spans="1:25" x14ac:dyDescent="0.25">
      <c r="A85" s="93">
        <f>+Hoja1!A84</f>
        <v>5935.25</v>
      </c>
      <c r="B85" s="92"/>
    </row>
    <row r="86" spans="1:25" x14ac:dyDescent="0.25">
      <c r="A86" s="93">
        <f>+Hoja1!A85</f>
        <v>6070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1027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55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75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1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0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0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3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0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4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2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-5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-4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1158</v>
      </c>
    </row>
    <row r="87" spans="1:25" x14ac:dyDescent="0.25">
      <c r="A87" s="93">
        <f>+Hoja1!A86</f>
        <v>6060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1287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223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138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22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0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0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0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0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0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9">SUM(B87:X87)</f>
        <v>1670</v>
      </c>
    </row>
    <row r="88" spans="1:25" x14ac:dyDescent="0.25">
      <c r="A88" s="93">
        <f>+Hoja1!A87</f>
        <v>6050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2391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441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1893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24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0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0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1420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0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3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0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1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0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4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0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0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0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15</v>
      </c>
      <c r="Y88" s="98">
        <f t="shared" ca="1" si="9"/>
        <v>6192</v>
      </c>
    </row>
    <row r="89" spans="1:25" x14ac:dyDescent="0.25">
      <c r="A89" s="93">
        <f>+Hoja1!A88</f>
        <v>6040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1391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2134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292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127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0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-6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0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125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1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3</v>
      </c>
      <c r="Y89" s="98">
        <f t="shared" ca="1" si="9"/>
        <v>4067</v>
      </c>
    </row>
    <row r="90" spans="1:25" x14ac:dyDescent="0.25">
      <c r="A90" s="93">
        <f>+Hoja1!A89</f>
        <v>6030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6060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233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30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5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0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0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1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0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-2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9"/>
        <v>6327</v>
      </c>
    </row>
    <row r="91" spans="1:25" x14ac:dyDescent="0.25">
      <c r="A91" s="93">
        <f>+Hoja1!A90</f>
        <v>6020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7596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155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138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174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0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3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0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5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0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1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0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0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9"/>
        <v>8072</v>
      </c>
    </row>
    <row r="92" spans="1:25" x14ac:dyDescent="0.25">
      <c r="A92" s="93">
        <f>+Hoja1!A91</f>
        <v>6010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3628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615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120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0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0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61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-1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9"/>
        <v>4423</v>
      </c>
    </row>
    <row r="93" spans="1:25" x14ac:dyDescent="0.25">
      <c r="A93" s="93">
        <f>+Hoja1!A92</f>
        <v>6000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10724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1417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607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66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0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0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123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0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30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0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14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0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12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0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0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113</v>
      </c>
      <c r="Y93" s="98">
        <f t="shared" ca="1" si="9"/>
        <v>13106</v>
      </c>
    </row>
    <row r="94" spans="1:25" x14ac:dyDescent="0.25">
      <c r="A94" s="93">
        <f>+Hoja1!A93</f>
        <v>5990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2663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404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54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-3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0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5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0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-1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-1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0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1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9"/>
        <v>3122</v>
      </c>
    </row>
    <row r="95" spans="1:25" x14ac:dyDescent="0.25">
      <c r="A95" s="93">
        <f>+Hoja1!A94</f>
        <v>5980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4523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689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62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14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0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0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6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0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0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1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-4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9"/>
        <v>5291</v>
      </c>
    </row>
    <row r="96" spans="1:25" x14ac:dyDescent="0.25">
      <c r="A96" s="93">
        <f>+Hoja1!A95</f>
        <v>5970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3368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323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62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84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0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0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2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0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0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-4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9"/>
        <v>3835</v>
      </c>
    </row>
    <row r="97" spans="1:25" x14ac:dyDescent="0.25">
      <c r="A97" s="93">
        <f>+Hoja1!A96</f>
        <v>5960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4685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335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-19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70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0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0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0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0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0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0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4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0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0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9"/>
        <v>5075</v>
      </c>
    </row>
    <row r="98" spans="1:25" x14ac:dyDescent="0.25">
      <c r="A98" s="93">
        <f>+Hoja1!A97</f>
        <v>5950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5216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374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134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236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0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0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-480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0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-395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0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-1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0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-2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0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-4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0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0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-6</v>
      </c>
      <c r="Y98" s="98">
        <f t="shared" ca="1" si="9"/>
        <v>5072</v>
      </c>
    </row>
    <row r="99" spans="1:25" x14ac:dyDescent="0.25">
      <c r="A99" s="93">
        <f>+Hoja1!A98</f>
        <v>5940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82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971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64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64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0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6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0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7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0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5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-3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9"/>
        <v>1196</v>
      </c>
    </row>
    <row r="100" spans="1:25" x14ac:dyDescent="0.25">
      <c r="A100" s="93">
        <f>+Hoja1!A99</f>
        <v>5930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-834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0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-155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57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0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0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-298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0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0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1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0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0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3</v>
      </c>
      <c r="Y100" s="98">
        <f t="shared" ca="1" si="9"/>
        <v>-1226</v>
      </c>
    </row>
    <row r="101" spans="1:25" x14ac:dyDescent="0.25">
      <c r="A101" s="93">
        <f>+Hoja1!A100</f>
        <v>5920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-3405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-10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-36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0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0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0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-13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0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0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0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0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2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-5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9"/>
        <v>-3467</v>
      </c>
    </row>
    <row r="102" spans="1:25" x14ac:dyDescent="0.25">
      <c r="A102" s="93">
        <f>+Hoja1!A101</f>
        <v>5910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-2259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-327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-72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15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0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1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0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-3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0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0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0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9"/>
        <v>-2645</v>
      </c>
    </row>
    <row r="103" spans="1:25" x14ac:dyDescent="0.25">
      <c r="A103" s="93">
        <f>+Hoja1!A102</f>
        <v>5900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-6876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-1083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-223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-32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0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-595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0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-20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0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-5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0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-10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0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-18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0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0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-42</v>
      </c>
      <c r="Y103" s="98">
        <f t="shared" ca="1" si="9"/>
        <v>-8904</v>
      </c>
    </row>
    <row r="104" spans="1:25" x14ac:dyDescent="0.25">
      <c r="A104" s="93">
        <f>+Hoja1!A103</f>
        <v>5890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-2427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-282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-131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12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0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0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-17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0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0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0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-5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-2</v>
      </c>
      <c r="Y104" s="98">
        <f t="shared" ca="1" si="9"/>
        <v>-2852</v>
      </c>
    </row>
    <row r="105" spans="1:25" x14ac:dyDescent="0.25">
      <c r="A105" s="93">
        <f>+Hoja1!A104</f>
        <v>5880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-2309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419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-148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-20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0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0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-81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0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3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0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-1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0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9"/>
        <v>-2137</v>
      </c>
    </row>
    <row r="106" spans="1:25" x14ac:dyDescent="0.25">
      <c r="A106" s="93">
        <f>+Hoja1!A105</f>
        <v>5870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-3159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-713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-132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-7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0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0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-3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0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-1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0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0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9"/>
        <v>-4015</v>
      </c>
    </row>
    <row r="107" spans="1:25" x14ac:dyDescent="0.25">
      <c r="A107" s="93">
        <f>+Hoja1!A106</f>
        <v>5860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-1887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-294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-67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4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0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0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0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0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1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0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0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0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0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0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0</v>
      </c>
      <c r="Y107" s="98">
        <f t="shared" ca="1" si="9"/>
        <v>-2243</v>
      </c>
    </row>
    <row r="108" spans="1:25" x14ac:dyDescent="0.25">
      <c r="A108" s="93">
        <f>+Hoja1!A107</f>
        <v>5850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-5641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-1879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-1678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-23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0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0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208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0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-2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0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1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0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1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0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0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0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-30</v>
      </c>
      <c r="Y108" s="98">
        <f t="shared" ca="1" si="9"/>
        <v>-9043</v>
      </c>
    </row>
    <row r="109" spans="1:25" x14ac:dyDescent="0.25">
      <c r="A109" s="93">
        <f>+Hoja1!A108</f>
        <v>5840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-3066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-676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-141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-37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0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-20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0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1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0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1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0</v>
      </c>
      <c r="Y109" s="98">
        <f t="shared" ca="1" si="9"/>
        <v>-3938</v>
      </c>
    </row>
    <row r="110" spans="1:25" x14ac:dyDescent="0.25">
      <c r="A110" s="93">
        <f>+Hoja1!A109</f>
        <v>5830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-2046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-333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-97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-15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0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0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0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0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-2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0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-1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9"/>
        <v>-2494</v>
      </c>
    </row>
    <row r="111" spans="1:25" x14ac:dyDescent="0.25">
      <c r="A111" s="93">
        <f>+Hoja1!A110</f>
        <v>5820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-2100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-241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-115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-28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0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0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-3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0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0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0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0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0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-2</v>
      </c>
      <c r="Y111" s="98">
        <f t="shared" ca="1" si="9"/>
        <v>-2489</v>
      </c>
    </row>
    <row r="112" spans="1:25" x14ac:dyDescent="0.25">
      <c r="A112" s="93">
        <f>+Hoja1!A111</f>
        <v>5810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-2383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-226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-44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4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-3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0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-61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0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5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0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0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-1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-28</v>
      </c>
      <c r="Y112" s="98">
        <f t="shared" ca="1" si="9"/>
        <v>-2737</v>
      </c>
    </row>
    <row r="113" spans="1:25" x14ac:dyDescent="0.25">
      <c r="A113" s="93">
        <f>+Hoja1!A112</f>
        <v>5800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-6135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-1920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-299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0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0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0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-1405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0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-33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0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223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0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-2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0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-209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0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0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422</v>
      </c>
      <c r="Y113" s="98">
        <f t="shared" ca="1" si="9"/>
        <v>-9358</v>
      </c>
    </row>
    <row r="114" spans="1:25" x14ac:dyDescent="0.25">
      <c r="A114" s="93">
        <f>+Hoja1!A113</f>
        <v>5790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-2681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-209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-82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-4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0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-75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0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3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0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0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9"/>
        <v>-3048</v>
      </c>
    </row>
    <row r="115" spans="1:25" x14ac:dyDescent="0.25">
      <c r="A115" s="93">
        <f>+Hoja1!A114</f>
        <v>5780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-806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-560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-93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-40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-43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0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0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0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-1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0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9"/>
        <v>-1543</v>
      </c>
    </row>
    <row r="116" spans="1:25" x14ac:dyDescent="0.25">
      <c r="A116" s="93">
        <f>+Hoja1!A115</f>
        <v>5770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-1217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-184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-77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0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0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-1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0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9"/>
        <v>-1479</v>
      </c>
    </row>
    <row r="117" spans="1:25" x14ac:dyDescent="0.25">
      <c r="A117" s="93">
        <f>+Hoja1!A116</f>
        <v>5760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-387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-92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-24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-8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0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-8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0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0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0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0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1</v>
      </c>
      <c r="Y117" s="98">
        <f t="shared" ca="1" si="9"/>
        <v>-518</v>
      </c>
    </row>
    <row r="118" spans="1:25" x14ac:dyDescent="0.25">
      <c r="A118" s="93">
        <f>+Hoja1!A117</f>
        <v>5750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-799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-1528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-1518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0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0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0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-57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0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-88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0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-125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0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-2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0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-12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0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0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11</v>
      </c>
      <c r="Y118" s="98">
        <f t="shared" ca="1" si="9"/>
        <v>-4118</v>
      </c>
    </row>
    <row r="119" spans="1:25" x14ac:dyDescent="0.25">
      <c r="A119" s="93">
        <f>+Hoja1!A118</f>
        <v>5740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-165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-152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-103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-4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0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0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-22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0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-1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0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-24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3</v>
      </c>
      <c r="Y119" s="98">
        <f t="shared" ca="1" si="9"/>
        <v>-468</v>
      </c>
    </row>
    <row r="120" spans="1:25" x14ac:dyDescent="0.25">
      <c r="A120" s="93">
        <f>+Hoja1!A119</f>
        <v>5730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-260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-69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-67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-28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0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0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-9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0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0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0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-1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0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9"/>
        <v>-434</v>
      </c>
    </row>
    <row r="121" spans="1:25" x14ac:dyDescent="0.25">
      <c r="A121" s="93">
        <f>+Hoja1!A120</f>
        <v>5720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-199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66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-124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1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0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0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-10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0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0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0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-6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-30</v>
      </c>
      <c r="Y121" s="98">
        <f t="shared" ca="1" si="9"/>
        <v>-302</v>
      </c>
    </row>
    <row r="122" spans="1:25" x14ac:dyDescent="0.25">
      <c r="A122" s="93">
        <f>+Hoja1!A121</f>
        <v>5710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-1134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-17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-348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-5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0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0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0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0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-1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-1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9"/>
        <v>-1506</v>
      </c>
    </row>
    <row r="123" spans="1:25" x14ac:dyDescent="0.25">
      <c r="A123" s="93">
        <f>+Hoja1!A122</f>
        <v>5700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-3805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-227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-1087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-72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0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0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-446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0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-53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0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0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0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0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0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-69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0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0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-1</v>
      </c>
      <c r="Y123" s="98">
        <f t="shared" ca="1" si="9"/>
        <v>-5760</v>
      </c>
    </row>
    <row r="124" spans="1:25" x14ac:dyDescent="0.25">
      <c r="A124" s="93">
        <f>+Hoja1!A123</f>
        <v>5690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-2016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-11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-165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0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0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0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0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-1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0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-1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0</v>
      </c>
      <c r="Y124" s="98">
        <f t="shared" ca="1" si="9"/>
        <v>-2194</v>
      </c>
    </row>
    <row r="125" spans="1:25" x14ac:dyDescent="0.25">
      <c r="A125" s="93">
        <f>+Hoja1!A124</f>
        <v>5680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-239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-11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-45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-1513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0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-2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-1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0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0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-1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2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9"/>
        <v>-1810</v>
      </c>
    </row>
    <row r="126" spans="1:25" x14ac:dyDescent="0.25">
      <c r="A126" s="93">
        <f>+Hoja1!A125</f>
        <v>5670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-80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-3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-5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-2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0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0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-207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0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0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0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9"/>
        <v>-297</v>
      </c>
    </row>
    <row r="127" spans="1:25" x14ac:dyDescent="0.25">
      <c r="A127" s="93">
        <f>+Hoja1!A126</f>
        <v>5660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-85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11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-19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-6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-4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0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-1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0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9"/>
        <v>-104</v>
      </c>
    </row>
    <row r="128" spans="1:25" x14ac:dyDescent="0.25">
      <c r="A128" s="93">
        <f>+Hoja1!A127</f>
        <v>5650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-316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-120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-552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-68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0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0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-74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0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-3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0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0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0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0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0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0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0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0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0</v>
      </c>
      <c r="Y128" s="98">
        <f t="shared" ca="1" si="9"/>
        <v>-1133</v>
      </c>
    </row>
    <row r="129" spans="1:27" x14ac:dyDescent="0.25">
      <c r="A129" s="93">
        <f>+Hoja1!A128</f>
        <v>5640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5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-208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-39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-1051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0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0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-1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0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0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0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0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0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-1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9"/>
        <v>-1295</v>
      </c>
    </row>
    <row r="130" spans="1:27" x14ac:dyDescent="0.25">
      <c r="A130" s="93">
        <f>+Hoja1!A129</f>
        <v>5630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-93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-60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-16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-1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0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0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0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0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0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-1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9"/>
        <v>-171</v>
      </c>
    </row>
    <row r="131" spans="1:27" x14ac:dyDescent="0.25">
      <c r="A131" s="93">
        <f>+Hoja1!A130</f>
        <v>5620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-78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2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-19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0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0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-2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-3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0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0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9"/>
        <v>-100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0">+C82</f>
        <v/>
      </c>
      <c r="D134" s="92" t="str">
        <f t="shared" ca="1" si="10"/>
        <v>250521</v>
      </c>
      <c r="E134" s="92" t="str">
        <f t="shared" ca="1" si="10"/>
        <v>250522</v>
      </c>
      <c r="F134" s="92" t="str">
        <f t="shared" ca="1" si="10"/>
        <v/>
      </c>
      <c r="G134" s="92" t="str">
        <f t="shared" ca="1" si="10"/>
        <v>250530</v>
      </c>
      <c r="H134" s="92" t="str">
        <f t="shared" ca="1" si="10"/>
        <v>250606</v>
      </c>
      <c r="I134" s="92" t="str">
        <f t="shared" ca="1" si="10"/>
        <v>250613</v>
      </c>
      <c r="J134" s="92" t="str">
        <f t="shared" ca="1" si="10"/>
        <v/>
      </c>
      <c r="K134" s="92" t="str">
        <f t="shared" ca="1" si="10"/>
        <v>250627</v>
      </c>
      <c r="L134" s="92" t="str">
        <f t="shared" ca="1" si="10"/>
        <v>250630</v>
      </c>
      <c r="M134" s="92" t="str">
        <f t="shared" ca="1" si="10"/>
        <v>250725</v>
      </c>
      <c r="N134" s="92" t="str">
        <f t="shared" ca="1" si="10"/>
        <v>250731</v>
      </c>
      <c r="O134" s="92" t="str">
        <f t="shared" ca="1" si="10"/>
        <v>250822</v>
      </c>
      <c r="P134" s="92" t="str">
        <f t="shared" ca="1" si="10"/>
        <v>250829</v>
      </c>
      <c r="Q134" s="92" t="str">
        <f t="shared" ca="1" si="10"/>
        <v>250926</v>
      </c>
      <c r="R134" s="92" t="str">
        <f t="shared" ca="1" si="10"/>
        <v>250930</v>
      </c>
      <c r="S134" s="92" t="str">
        <f t="shared" ca="1" si="10"/>
        <v>251024</v>
      </c>
      <c r="T134" s="92" t="str">
        <f t="shared" ca="1" si="10"/>
        <v>251031</v>
      </c>
      <c r="U134" s="92" t="str">
        <f t="shared" ca="1" si="10"/>
        <v>251128</v>
      </c>
      <c r="V134" s="92" t="str">
        <f t="shared" ca="1" si="10"/>
        <v>251128</v>
      </c>
      <c r="W134" s="92" t="str">
        <f t="shared" ca="1" si="10"/>
        <v>251226</v>
      </c>
      <c r="X134" s="92" t="str">
        <f t="shared" ca="1" si="10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45796</v>
      </c>
      <c r="C136" s="94">
        <f t="shared" ref="C136:X136" si="11">+C84</f>
        <v>45797</v>
      </c>
      <c r="D136" s="94">
        <f t="shared" si="11"/>
        <v>45798</v>
      </c>
      <c r="E136" s="94">
        <f t="shared" si="11"/>
        <v>45799</v>
      </c>
      <c r="F136" s="94">
        <f t="shared" si="11"/>
        <v>45800</v>
      </c>
      <c r="G136" s="94">
        <f t="shared" si="11"/>
        <v>45807</v>
      </c>
      <c r="H136" s="94">
        <f t="shared" si="11"/>
        <v>45814</v>
      </c>
      <c r="I136" s="94">
        <f t="shared" si="11"/>
        <v>45821</v>
      </c>
      <c r="J136" s="94">
        <f t="shared" si="11"/>
        <v>45828</v>
      </c>
      <c r="K136" s="94">
        <f t="shared" si="11"/>
        <v>45828</v>
      </c>
      <c r="L136" s="94">
        <f t="shared" si="11"/>
        <v>45838</v>
      </c>
      <c r="M136" s="94">
        <f t="shared" si="11"/>
        <v>45856</v>
      </c>
      <c r="N136" s="94">
        <f t="shared" si="11"/>
        <v>45869</v>
      </c>
      <c r="O136" s="94">
        <f t="shared" si="11"/>
        <v>45884</v>
      </c>
      <c r="P136" s="94">
        <f t="shared" si="11"/>
        <v>45898</v>
      </c>
      <c r="Q136" s="94">
        <f t="shared" si="11"/>
        <v>45919</v>
      </c>
      <c r="R136" s="94">
        <f t="shared" si="11"/>
        <v>45930</v>
      </c>
      <c r="S136" s="94">
        <f t="shared" si="11"/>
        <v>45947</v>
      </c>
      <c r="T136" s="94">
        <f t="shared" si="11"/>
        <v>45961</v>
      </c>
      <c r="U136" s="94">
        <f t="shared" si="11"/>
        <v>45982</v>
      </c>
      <c r="V136" s="94">
        <f t="shared" si="11"/>
        <v>45989</v>
      </c>
      <c r="W136" s="94">
        <f t="shared" si="11"/>
        <v>46010</v>
      </c>
      <c r="X136" s="94">
        <f t="shared" si="11"/>
        <v>46022</v>
      </c>
    </row>
    <row r="137" spans="1:27" x14ac:dyDescent="0.25">
      <c r="A137" s="93">
        <f>+Hoja1!A136</f>
        <v>21330.75</v>
      </c>
      <c r="B137" s="92"/>
      <c r="X137" s="91"/>
    </row>
    <row r="138" spans="1:27" x14ac:dyDescent="0.25">
      <c r="A138" s="93">
        <f>+Hoja1!A137</f>
        <v>21550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31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6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0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2">SUM(B138:X138)</f>
        <v>37</v>
      </c>
      <c r="Z138" s="91"/>
      <c r="AA138" s="91"/>
    </row>
    <row r="139" spans="1:27" x14ac:dyDescent="0.25">
      <c r="A139" s="93">
        <f>+Hoja1!A138</f>
        <v>21525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1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2"/>
        <v>1</v>
      </c>
      <c r="Z139" s="91"/>
      <c r="AA139" s="91"/>
    </row>
    <row r="140" spans="1:27" x14ac:dyDescent="0.25">
      <c r="A140" s="93">
        <f>+Hoja1!A139</f>
        <v>21500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227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9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3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0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0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0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6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0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2"/>
        <v>245</v>
      </c>
      <c r="Z140" s="91"/>
      <c r="AA140" s="91"/>
    </row>
    <row r="141" spans="1:27" x14ac:dyDescent="0.25">
      <c r="A141" s="93">
        <f>+Hoja1!A140</f>
        <v>21475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14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1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2"/>
        <v>15</v>
      </c>
      <c r="Z141" s="91"/>
      <c r="AA141" s="91"/>
    </row>
    <row r="142" spans="1:27" x14ac:dyDescent="0.25">
      <c r="A142" s="93">
        <f>+Hoja1!A141</f>
        <v>21450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60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3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0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0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2"/>
        <v>63</v>
      </c>
      <c r="Z142" s="91"/>
      <c r="AA142" s="91"/>
    </row>
    <row r="143" spans="1:27" x14ac:dyDescent="0.25">
      <c r="A143" s="93">
        <f>+Hoja1!A142</f>
        <v>21425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25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-2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2"/>
        <v>23</v>
      </c>
      <c r="Z143" s="91"/>
      <c r="AA143" s="91"/>
    </row>
    <row r="144" spans="1:27" x14ac:dyDescent="0.25">
      <c r="A144" s="93">
        <f>+Hoja1!A143</f>
        <v>21400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33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3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7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0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0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0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8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0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2"/>
        <v>51</v>
      </c>
      <c r="Z144" s="91"/>
      <c r="AA144" s="91"/>
    </row>
    <row r="145" spans="1:27" x14ac:dyDescent="0.25">
      <c r="A145" s="93">
        <f>+Hoja1!A144</f>
        <v>21375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8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3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0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-1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2"/>
        <v>10</v>
      </c>
      <c r="Z145" s="91"/>
      <c r="AA145" s="91"/>
    </row>
    <row r="146" spans="1:27" x14ac:dyDescent="0.25">
      <c r="A146" s="93">
        <f>+Hoja1!A145</f>
        <v>21350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95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1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0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-12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2"/>
        <v>84</v>
      </c>
      <c r="Z146" s="91"/>
      <c r="AA146" s="91"/>
    </row>
    <row r="147" spans="1:27" x14ac:dyDescent="0.25">
      <c r="A147" s="93">
        <f>+Hoja1!A146</f>
        <v>21325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34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5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0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2"/>
        <v>39</v>
      </c>
      <c r="Z147" s="91"/>
      <c r="AA147" s="91"/>
    </row>
    <row r="148" spans="1:27" x14ac:dyDescent="0.25">
      <c r="A148" s="93">
        <f>+Hoja1!A147</f>
        <v>21300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-21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-8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-4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0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0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0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-1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0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1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2"/>
        <v>-33</v>
      </c>
      <c r="Z148" s="91"/>
      <c r="AA148" s="91"/>
    </row>
    <row r="149" spans="1:27" x14ac:dyDescent="0.25">
      <c r="A149" s="93">
        <f>+Hoja1!A148</f>
        <v>21275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1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-6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-6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-1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2"/>
        <v>-12</v>
      </c>
      <c r="Z149" s="91"/>
      <c r="AA149" s="91"/>
    </row>
    <row r="150" spans="1:27" x14ac:dyDescent="0.25">
      <c r="A150" s="93">
        <f>+Hoja1!A149</f>
        <v>21250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-72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0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-2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0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0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-5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2"/>
        <v>-79</v>
      </c>
      <c r="Z150" s="91"/>
      <c r="AA150" s="91"/>
    </row>
    <row r="151" spans="1:27" x14ac:dyDescent="0.25">
      <c r="A151" s="93">
        <f>+Hoja1!A150</f>
        <v>21225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-19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-1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2"/>
        <v>-20</v>
      </c>
      <c r="Z151" s="91"/>
      <c r="AA151" s="91"/>
    </row>
    <row r="152" spans="1:27" x14ac:dyDescent="0.25">
      <c r="A152" s="93">
        <f>+Hoja1!A151</f>
        <v>21200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-81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-2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-6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-1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0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0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4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0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0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1</v>
      </c>
      <c r="Y152" s="98">
        <f t="shared" ca="1" si="12"/>
        <v>-85</v>
      </c>
      <c r="Z152" s="91"/>
      <c r="AA152" s="91"/>
    </row>
    <row r="153" spans="1:27" x14ac:dyDescent="0.25">
      <c r="A153" s="93">
        <f>+Hoja1!A152</f>
        <v>21175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-1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0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0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0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2"/>
        <v>-1</v>
      </c>
      <c r="Z153" s="91"/>
      <c r="AA153" s="91"/>
    </row>
    <row r="154" spans="1:27" x14ac:dyDescent="0.25">
      <c r="A154" s="93">
        <f>+Hoja1!A153</f>
        <v>21150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-26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17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-1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0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0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2"/>
        <v>-10</v>
      </c>
      <c r="Z154" s="91"/>
      <c r="AA154" s="91"/>
    </row>
    <row r="155" spans="1:27" x14ac:dyDescent="0.25">
      <c r="A155" s="93">
        <f>+Hoja1!A154</f>
        <v>21125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-2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-1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-2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0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0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0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2"/>
        <v>-5</v>
      </c>
      <c r="Z155" s="91"/>
      <c r="AA155" s="91"/>
    </row>
    <row r="156" spans="1:27" x14ac:dyDescent="0.25">
      <c r="A156" s="93">
        <f>+Hoja1!A155</f>
        <v>21100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-22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-34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-4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0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0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0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0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0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0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2"/>
        <v>-60</v>
      </c>
      <c r="Z156" s="91"/>
      <c r="AA156" s="91"/>
    </row>
    <row r="157" spans="1:27" x14ac:dyDescent="0.25">
      <c r="A157" s="93">
        <f>+Hoja1!A156</f>
        <v>21075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-13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0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0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2"/>
        <v>-13</v>
      </c>
      <c r="Z157" s="91"/>
      <c r="AA157" s="91"/>
    </row>
    <row r="158" spans="1:27" x14ac:dyDescent="0.25">
      <c r="A158" s="93">
        <f>+Hoja1!A157</f>
        <v>21050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-24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-2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0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0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0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0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2"/>
        <v>-26</v>
      </c>
      <c r="Z158" s="91"/>
      <c r="AA158" s="91"/>
    </row>
    <row r="159" spans="1:27" x14ac:dyDescent="0.25">
      <c r="A159" s="93">
        <f>+Hoja1!A158</f>
        <v>21025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-2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1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0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2"/>
        <v>-1</v>
      </c>
      <c r="Z159" s="91"/>
      <c r="AA159" s="91"/>
    </row>
    <row r="160" spans="1:27" x14ac:dyDescent="0.25">
      <c r="A160" s="93">
        <f>+Hoja1!A159</f>
        <v>21000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-51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-10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-5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0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0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-12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0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0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0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2"/>
        <v>-78</v>
      </c>
      <c r="Z160" s="91"/>
      <c r="AA160" s="91"/>
    </row>
    <row r="161" spans="1:27" x14ac:dyDescent="0.25">
      <c r="A161" s="93">
        <f>+Hoja1!A160</f>
        <v>20975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-14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2"/>
        <v>-14</v>
      </c>
      <c r="Z161" s="91"/>
      <c r="AA161" s="91"/>
    </row>
    <row r="162" spans="1:27" x14ac:dyDescent="0.25">
      <c r="A162" s="93">
        <f>+Hoja1!A161</f>
        <v>20950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-46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-1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0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0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0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0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2"/>
        <v>-47</v>
      </c>
      <c r="Z162" s="91"/>
      <c r="AA162" s="91"/>
    </row>
    <row r="163" spans="1:27" x14ac:dyDescent="0.25">
      <c r="A163" s="93">
        <f>+Hoja1!A162</f>
        <v>20925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-17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-2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0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0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0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2"/>
        <v>-19</v>
      </c>
      <c r="Z163" s="91"/>
      <c r="AA163" s="91"/>
    </row>
    <row r="164" spans="1:27" x14ac:dyDescent="0.25">
      <c r="A164" s="93">
        <f>+Hoja1!A163</f>
        <v>20900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-21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-1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-6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0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0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13</v>
      </c>
      <c r="Y164" s="98">
        <f t="shared" ca="1" si="12"/>
        <v>-15</v>
      </c>
      <c r="Z164" s="91"/>
      <c r="AA164" s="91"/>
    </row>
    <row r="165" spans="1:27" x14ac:dyDescent="0.25">
      <c r="A165" s="93">
        <f>+Hoja1!A164</f>
        <v>20875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-6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0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0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-1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2"/>
        <v>-7</v>
      </c>
      <c r="Z165" s="91"/>
      <c r="AA165" s="91"/>
    </row>
    <row r="166" spans="1:27" x14ac:dyDescent="0.25">
      <c r="A166" s="93">
        <f>+Hoja1!A165</f>
        <v>20850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-8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-1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-4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0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2"/>
        <v>-13</v>
      </c>
      <c r="Z166" s="91"/>
      <c r="AA166" s="91"/>
    </row>
    <row r="167" spans="1:27" x14ac:dyDescent="0.25">
      <c r="A167" s="93">
        <f>+Hoja1!A166</f>
        <v>20825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-1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-1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0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-1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2"/>
        <v>-3</v>
      </c>
      <c r="Z167" s="91"/>
      <c r="AA167" s="91"/>
    </row>
    <row r="168" spans="1:27" x14ac:dyDescent="0.25">
      <c r="A168" s="93">
        <f>+Hoja1!A167</f>
        <v>20800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-25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-11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-3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0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0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-1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0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2"/>
        <v>-40</v>
      </c>
      <c r="Z168" s="91"/>
      <c r="AA168" s="91"/>
    </row>
    <row r="169" spans="1:27" x14ac:dyDescent="0.25">
      <c r="A169" s="93">
        <f>+Hoja1!A168</f>
        <v>20775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-3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0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0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2"/>
        <v>-3</v>
      </c>
      <c r="Z169" s="91"/>
      <c r="AA169" s="91"/>
    </row>
    <row r="170" spans="1:27" x14ac:dyDescent="0.25">
      <c r="A170" s="93">
        <f>+Hoja1!A169</f>
        <v>20750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-64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0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-3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0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0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2"/>
        <v>-67</v>
      </c>
      <c r="Z170" s="91"/>
      <c r="AA170" s="91"/>
    </row>
    <row r="171" spans="1:27" x14ac:dyDescent="0.25">
      <c r="A171" s="93">
        <f>+Hoja1!A170</f>
        <v>20725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-5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0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2"/>
        <v>-5</v>
      </c>
      <c r="Z171" s="91"/>
      <c r="AA171" s="91"/>
    </row>
    <row r="172" spans="1:27" x14ac:dyDescent="0.25">
      <c r="A172" s="93">
        <f>+Hoja1!A171</f>
        <v>20700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-90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-2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0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0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0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0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2"/>
        <v>-92</v>
      </c>
      <c r="Z172" s="91"/>
      <c r="AA172" s="91"/>
    </row>
    <row r="173" spans="1:27" x14ac:dyDescent="0.25">
      <c r="A173" s="93">
        <f>+Hoja1!A172</f>
        <v>20675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-1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-1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2"/>
        <v>-2</v>
      </c>
      <c r="Z173" s="91"/>
      <c r="AA173" s="91"/>
    </row>
    <row r="174" spans="1:27" x14ac:dyDescent="0.25">
      <c r="A174" s="93">
        <f>+Hoja1!A173</f>
        <v>20650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-26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-6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-1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2"/>
        <v>-33</v>
      </c>
      <c r="Z174" s="91"/>
      <c r="AA174" s="91"/>
    </row>
    <row r="175" spans="1:27" x14ac:dyDescent="0.25">
      <c r="A175" s="93">
        <f>+Hoja1!A174</f>
        <v>20625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-6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-2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-1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0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2"/>
        <v>-9</v>
      </c>
      <c r="Z175" s="91"/>
      <c r="AA175" s="91"/>
    </row>
    <row r="176" spans="1:27" x14ac:dyDescent="0.25">
      <c r="A176" s="93">
        <f>+Hoja1!A175</f>
        <v>20600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-8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-3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-5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0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0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0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2"/>
        <v>-16</v>
      </c>
      <c r="Z176" s="91"/>
      <c r="AA176" s="91"/>
    </row>
    <row r="177" spans="1:27" x14ac:dyDescent="0.25">
      <c r="A177" s="93">
        <f>+Hoja1!A176</f>
        <v>20575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-4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0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2"/>
        <v>-4</v>
      </c>
      <c r="Z177" s="91"/>
      <c r="AA177" s="91"/>
    </row>
    <row r="178" spans="1:27" x14ac:dyDescent="0.25">
      <c r="A178" s="93">
        <f>+Hoja1!A177</f>
        <v>20550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-45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-3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-3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0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0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-2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2"/>
        <v>-53</v>
      </c>
      <c r="Z178" s="91"/>
      <c r="AA178" s="91"/>
    </row>
    <row r="179" spans="1:27" x14ac:dyDescent="0.25">
      <c r="A179" s="93">
        <f>+Hoja1!A178</f>
        <v>20525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-2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-5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0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2"/>
        <v>-7</v>
      </c>
      <c r="Z179" s="91"/>
      <c r="AA179" s="91"/>
    </row>
    <row r="180" spans="1:27" x14ac:dyDescent="0.25">
      <c r="A180" s="93">
        <f>+Hoja1!A179</f>
        <v>20500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-36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-1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-10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0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0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0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-4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0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0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0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2"/>
        <v>-51</v>
      </c>
      <c r="Z180" s="91"/>
      <c r="AA180" s="91"/>
    </row>
    <row r="181" spans="1:27" x14ac:dyDescent="0.25">
      <c r="A181" s="93">
        <f>+Hoja1!A180</f>
        <v>20475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-6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0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0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0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2"/>
        <v>-6</v>
      </c>
      <c r="Z181" s="91"/>
      <c r="AA181" s="91"/>
    </row>
    <row r="182" spans="1:27" x14ac:dyDescent="0.25">
      <c r="A182" s="93">
        <f>+Hoja1!A181</f>
        <v>20450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-14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0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0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0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2"/>
        <v>-14</v>
      </c>
      <c r="Z182" s="91"/>
      <c r="AA182" s="91"/>
    </row>
    <row r="183" spans="1:27" x14ac:dyDescent="0.25">
      <c r="A183" s="93">
        <f>+Hoja1!A182</f>
        <v>20425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-8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0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0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2"/>
        <v>-8</v>
      </c>
      <c r="Z183" s="91"/>
      <c r="AA183" s="91"/>
    </row>
    <row r="184" spans="1:27" x14ac:dyDescent="0.25">
      <c r="A184" s="93">
        <f>+Hoja1!A183</f>
        <v>20400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8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-2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0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0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0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0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2"/>
        <v>6</v>
      </c>
      <c r="Z184" s="91"/>
      <c r="AA184" s="91"/>
    </row>
    <row r="185" spans="1:27" x14ac:dyDescent="0.25">
      <c r="A185" s="93">
        <f>+Hoja1!A184</f>
        <v>20375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0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2"/>
        <v>0</v>
      </c>
      <c r="Z185" s="91"/>
      <c r="AA185" s="91"/>
    </row>
    <row r="186" spans="1:27" x14ac:dyDescent="0.25">
      <c r="A186" s="93">
        <f>+Hoja1!A185</f>
        <v>20350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-3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0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0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2"/>
        <v>-3</v>
      </c>
      <c r="Z186" s="91"/>
      <c r="AA186" s="91"/>
    </row>
    <row r="187" spans="1:27" x14ac:dyDescent="0.25">
      <c r="A187" s="93">
        <f>+Hoja1!A186</f>
        <v>20325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-3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0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2"/>
        <v>-3</v>
      </c>
      <c r="Z187" s="91"/>
      <c r="AA187" s="91"/>
    </row>
    <row r="188" spans="1:27" x14ac:dyDescent="0.25">
      <c r="A188" s="93">
        <f>+Hoja1!A187</f>
        <v>20300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-9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-13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0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0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-3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0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0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0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0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2"/>
        <v>-25</v>
      </c>
      <c r="Z188" s="91"/>
      <c r="AA188" s="91"/>
    </row>
    <row r="189" spans="1:27" x14ac:dyDescent="0.25">
      <c r="A189" s="93">
        <f>+Hoja1!A188</f>
        <v>20275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-3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-1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2"/>
        <v>-4</v>
      </c>
      <c r="Z189" s="91"/>
      <c r="AA189" s="91"/>
    </row>
    <row r="190" spans="1:27" x14ac:dyDescent="0.25">
      <c r="A190" s="93">
        <f>+Hoja1!A189</f>
        <v>20250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-6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-2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0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0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2"/>
        <v>-8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2025-05-20T20:19:54Z</dcterms:modified>
</cp:coreProperties>
</file>